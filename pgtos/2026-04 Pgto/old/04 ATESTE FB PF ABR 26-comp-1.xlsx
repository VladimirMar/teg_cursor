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EstaPasta_de_trabalho" hidePivotFieldList="1"/>
  <mc:AlternateContent xmlns:mc="http://schemas.openxmlformats.org/markup-compatibility/2006">
    <mc:Choice Requires="x15">
      <x15ac:absPath xmlns:x15ac="http://schemas.microsoft.com/office/spreadsheetml/2010/11/ac" url="C:\Users\m089383\Aplicativos\teg_financ\pgtos\2026-04 Pgto\old\"/>
    </mc:Choice>
  </mc:AlternateContent>
  <xr:revisionPtr revIDLastSave="0" documentId="13_ncr:1_{ED6CC96E-D119-4CE7-BB01-04B63F47C0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ONTAMENTO CREDENCIAMENTO" sheetId="64" r:id="rId1"/>
    <sheet name="APELIDOS" sheetId="88" state="hidden" r:id="rId2"/>
    <sheet name="CONTINUA" sheetId="59" r:id="rId3"/>
    <sheet name="BASE C" sheetId="6" r:id="rId4"/>
    <sheet name="DEMO C" sheetId="68" r:id="rId5"/>
    <sheet name="ATESTE-LIQ-FIS" sheetId="87" r:id="rId6"/>
    <sheet name="DEMO FIS" sheetId="86" r:id="rId7"/>
    <sheet name="EMPRESA C" sheetId="66" r:id="rId8"/>
    <sheet name="ATESTADO C" sheetId="67" r:id="rId9"/>
    <sheet name="Planilha1" sheetId="83" r:id="rId10"/>
    <sheet name="ProcRel" sheetId="79" state="hidden" r:id="rId11"/>
    <sheet name="ProcRel1" sheetId="81" state="hidden" r:id="rId12"/>
    <sheet name="ATESTE-LIQ" sheetId="13" state="hidden" r:id="rId13"/>
    <sheet name="VALORES TABELA" sheetId="74" r:id="rId14"/>
    <sheet name="REVISAO" sheetId="80" r:id="rId15"/>
    <sheet name="Plan1" sheetId="82" r:id="rId16"/>
    <sheet name="Cálculo IRRF -Jan.2026" sheetId="89" r:id="rId17"/>
    <sheet name="IR Deduções Legais-Maio.2025" sheetId="90" r:id="rId18"/>
    <sheet name="IR Desc. Simplificado-Maio.2025" sheetId="91" r:id="rId19"/>
  </sheets>
  <externalReferences>
    <externalReference r:id="rId20"/>
  </externalReferences>
  <definedNames>
    <definedName name="\a" localSheetId="5">#REF!</definedName>
    <definedName name="\a">#REF!</definedName>
    <definedName name="\p" localSheetId="5">#REF!</definedName>
    <definedName name="\p">#REF!</definedName>
    <definedName name="_______xlnm.Print_Titles">#REF!</definedName>
    <definedName name="_______xlnm_Print_Titles">NA()</definedName>
    <definedName name="______xlnm._FilterDatabase">"#ref!"</definedName>
    <definedName name="______xlnm.Print_Titles">#REF!</definedName>
    <definedName name="______xlnm__FilterDatabase">"#ref!"</definedName>
    <definedName name="______xlnm_Print_Titles">NA()</definedName>
    <definedName name="_____xlfn_BAHTTEXT">NA()</definedName>
    <definedName name="_____xlfn_SUMIFS">NA()</definedName>
    <definedName name="_____xlnm._FilterDatabase">"#ref!"</definedName>
    <definedName name="_____xlnm.Print_Titles">#REF!</definedName>
    <definedName name="_____xlnm__FilterDatabase">"#ref!"</definedName>
    <definedName name="_____xlnm_Print_Titles">NA()</definedName>
    <definedName name="____xlfn_BAHTTEXT">NA()</definedName>
    <definedName name="____xlfn_SUMIFS">NA()</definedName>
    <definedName name="____xlnm._FilterDatabase">"#ref!"</definedName>
    <definedName name="____xlnm.Print_Titles">#REF!</definedName>
    <definedName name="____xlnm__FilterDatabase">"#ref!"</definedName>
    <definedName name="____xlnm_Print_Titles">NA()</definedName>
    <definedName name="___xlfn_BAHTTEXT">NA()</definedName>
    <definedName name="___xlfn_SUMIFS">NA()</definedName>
    <definedName name="___xlnm._FilterDatabase">"#ref!"</definedName>
    <definedName name="___xlnm.Print_Titles">#REF!</definedName>
    <definedName name="___xlnm__FilterDatabase">"#ref!"</definedName>
    <definedName name="___xlnm_Print_Titles">NA()</definedName>
    <definedName name="__TAB3688">#REF!</definedName>
    <definedName name="__xlfn_BAHTTEXT">NA()</definedName>
    <definedName name="__xlfn_SUMIFS">NA()</definedName>
    <definedName name="__xlnm._FilterDatabase">"#ref!"</definedName>
    <definedName name="__xlnm.Print_Titles">#REF!</definedName>
    <definedName name="__xlnm__FilterDatabase">"#ref!"</definedName>
    <definedName name="__xlnm_Print_Titles">NA()</definedName>
    <definedName name="_xlnm._FilterDatabase" localSheetId="1" hidden="1">APELIDOS!$A$1:$B$3867</definedName>
    <definedName name="_xlnm._FilterDatabase" localSheetId="0" hidden="1">'APONTAMENTO CREDENCIAMENTO'!$A$5:$T$170</definedName>
    <definedName name="_xlnm._FilterDatabase" localSheetId="8" hidden="1">'ATESTADO C'!$A$17:$Z$17</definedName>
    <definedName name="_xlnm._FilterDatabase" localSheetId="12" hidden="1">'ATESTE-LIQ'!$A$1:$AT$36</definedName>
    <definedName name="_xlnm._FilterDatabase" localSheetId="2" hidden="1">CONTINUA!$A$5:$BW$10</definedName>
    <definedName name="_xlnm._FilterDatabase" localSheetId="7" hidden="1">'EMPRESA C'!$A$12:$AC$16</definedName>
    <definedName name="_xlnm._FilterDatabase" localSheetId="10" hidden="1">ProcRel!$D$1:$E$174</definedName>
    <definedName name="_xlnm._FilterDatabase" localSheetId="11" hidden="1">ProcRel1!$E$1:$G$223</definedName>
    <definedName name="_xlnm._FilterDatabase">#REF!</definedName>
    <definedName name="_TAB3688" localSheetId="5">#REF!</definedName>
    <definedName name="_TAB3688">#REF!</definedName>
    <definedName name="a">#REF!</definedName>
    <definedName name="abr" localSheetId="5">#REF!</definedName>
    <definedName name="abr">#REF!</definedName>
    <definedName name="abril">#REF!</definedName>
    <definedName name="ACRESCENTAR">#REF!</definedName>
    <definedName name="ADAPTADO" localSheetId="5">'[1]APONTAMENTO CREDENCIAMENTO'!#REF!</definedName>
    <definedName name="ADAPTADO">'APONTAMENTO CREDENCIAMENTO'!#REF!</definedName>
    <definedName name="AGOSTO">#REF!</definedName>
    <definedName name="AI" localSheetId="5">#REF!</definedName>
    <definedName name="AI">#REF!</definedName>
    <definedName name="AII" localSheetId="5">#REF!</definedName>
    <definedName name="AII">#REF!</definedName>
    <definedName name="AK" localSheetId="5">#REF!</definedName>
    <definedName name="AK">#REF!</definedName>
    <definedName name="AL" localSheetId="5">#REF!</definedName>
    <definedName name="AL">#REF!</definedName>
    <definedName name="AMPLIAR" localSheetId="5">#REF!</definedName>
    <definedName name="AMPLIAR">#REF!</definedName>
    <definedName name="ApagaAtesteFis">'ATESTE-LIQ-FIS'!$A$4:$K$3878</definedName>
    <definedName name="ApagaBaseC">'BASE C'!$A$11:$N$4950</definedName>
    <definedName name="ApagaDadosA">'APONTAMENTO CREDENCIAMENTO'!$Q$6:$T$3008</definedName>
    <definedName name="ApagaDadosC">CONTINUA!$L$6:$BU$3047</definedName>
    <definedName name="ApagarDadosDigitados">#REF!</definedName>
    <definedName name="ApagaRegistroA">'APONTAMENTO CREDENCIAMENTO'!$A$6:$K$3008</definedName>
    <definedName name="ApagaRegistroC">CONTINUA!$A$6:$K$3047</definedName>
    <definedName name="APONT">#REF!</definedName>
    <definedName name="_xlnm.Print_Area" localSheetId="0">'APONTAMENTO CREDENCIAMENTO'!$D$1:$J$4</definedName>
    <definedName name="_xlnm.Print_Area" localSheetId="8">'ATESTADO C'!$A$1:$M$25</definedName>
    <definedName name="_xlnm.Print_Area" localSheetId="5">'ATESTE-LIQ-FIS'!#REF!</definedName>
    <definedName name="_xlnm.Print_Area" localSheetId="16">'Cálculo IRRF -Jan.2026'!$B$1:$G$60</definedName>
    <definedName name="_xlnm.Print_Area" localSheetId="2">CONTINUA!$D$1:$J$4</definedName>
    <definedName name="_xlnm.Print_Area" localSheetId="4">'DEMO C'!$A$2:$I$60</definedName>
    <definedName name="_xlnm.Print_Area" localSheetId="6">'DEMO FIS'!$A$3:$I$63</definedName>
    <definedName name="ATESTE">#REF!</definedName>
    <definedName name="ATNF" localSheetId="5">#REF!</definedName>
    <definedName name="ATNF">#REF!</definedName>
    <definedName name="baseCalculo">'APONTAMENTO CREDENCIAMENTO'!#REF!</definedName>
    <definedName name="BDADOS" localSheetId="5">#REF!</definedName>
    <definedName name="BDADOS">#REF!</definedName>
    <definedName name="bianca" localSheetId="5">#REF!</definedName>
    <definedName name="bianca">#REF!</definedName>
    <definedName name="BP">#REF!</definedName>
    <definedName name="Cadeirante" localSheetId="5">'[1]VALORES TABELA'!$B$4</definedName>
    <definedName name="Cadeirante">'VALORES TABELA'!$B$4</definedName>
    <definedName name="Cadeirantee" localSheetId="5">'[1]VALORES TABELA'!$B$9</definedName>
    <definedName name="Cadeirantee">'VALORES TABELA'!$B$9</definedName>
    <definedName name="CALC">#REF!</definedName>
    <definedName name="calc10" localSheetId="5">#REF!</definedName>
    <definedName name="calc10">#REF!</definedName>
    <definedName name="CALCDEZ" localSheetId="5">'ATESTE-LIQ-FIS'!#REF!</definedName>
    <definedName name="CALCDEZ">#REF!</definedName>
    <definedName name="CALCULO">#REF!</definedName>
    <definedName name="Cálculos">#REF!</definedName>
    <definedName name="CAPS" localSheetId="5">#REF!</definedName>
    <definedName name="CAPS">#REF!</definedName>
    <definedName name="capso" localSheetId="5">#REF!</definedName>
    <definedName name="capso">#REF!</definedName>
    <definedName name="carla">#REF!</definedName>
    <definedName name="CINT" localSheetId="5">#REF!</definedName>
    <definedName name="CINT">#REF!</definedName>
    <definedName name="CLIM" localSheetId="5">#REF!</definedName>
    <definedName name="CLIM">#REF!</definedName>
    <definedName name="clout" localSheetId="5">#REF!</definedName>
    <definedName name="clout">#REF!</definedName>
    <definedName name="CLSET" localSheetId="5">#REF!</definedName>
    <definedName name="CLSET">#REF!</definedName>
    <definedName name="CLSETE" localSheetId="5">#REF!</definedName>
    <definedName name="CLSETE">#REF!</definedName>
    <definedName name="cocertar2015">#REF!</definedName>
    <definedName name="cont2015">#REF!</definedName>
    <definedName name="CONTN2" localSheetId="5">#REF!</definedName>
    <definedName name="CONTN2">#REF!</definedName>
    <definedName name="contno" localSheetId="5">#REF!</definedName>
    <definedName name="contno">#REF!</definedName>
    <definedName name="contra" localSheetId="5">#REF!</definedName>
    <definedName name="contra">#REF!</definedName>
    <definedName name="CopiaDados">'APONTAMENTO CREDENCIAMENTO'!$Q$6:$T$10</definedName>
    <definedName name="CopiaDadosC">CONTINUA!$L$6:$BU$10</definedName>
    <definedName name="CopiaFormula">'APONTAMENTO CREDENCIAMENTO'!#REF!</definedName>
    <definedName name="CopiaFormulaA">'APONTAMENTO CREDENCIAMENTO'!#REF!</definedName>
    <definedName name="CopiaFormulaA1">'APONTAMENTO CREDENCIAMENTO'!$L$6:$M$10</definedName>
    <definedName name="CopiaFormulaC">CONTINUA!$BV$6:$BW$10</definedName>
    <definedName name="CopiaSomaA" localSheetId="5">'[1]APONTAMENTO CREDENCIAMENTO'!#REF!</definedName>
    <definedName name="CopiaSomaA">'APONTAMENTO CREDENCIAMENTO'!#REF!</definedName>
    <definedName name="CopiaSomaC" localSheetId="5">[1]CONTINUA!#REF!</definedName>
    <definedName name="CopiaSomaC">CONTINUA!$BV$172</definedName>
    <definedName name="CPF" localSheetId="5">#REF!</definedName>
    <definedName name="CPF">#REF!</definedName>
    <definedName name="CRECHE" localSheetId="5">'[1]APONTAMENTO CREDENCIAMENTO'!#REF!</definedName>
    <definedName name="CRECHE">'APONTAMENTO CREDENCIAMENTO'!#REF!</definedName>
    <definedName name="Crechee" localSheetId="5">'[1]VALORES TABELA'!$B$5</definedName>
    <definedName name="Crechee">'VALORES TABELA'!$B$5</definedName>
    <definedName name="CRIANCA_KM">#REF!</definedName>
    <definedName name="CTRN" localSheetId="5">#REF!</definedName>
    <definedName name="CTRN">#REF!</definedName>
    <definedName name="D">#REF!</definedName>
    <definedName name="dados">#REF!</definedName>
    <definedName name="DataF">CONTINUA!$G$5</definedName>
    <definedName name="DataFinal">'APONTAMENTO CREDENCIAMENTO'!$G$5</definedName>
    <definedName name="DataI">CONTINUA!$F$5</definedName>
    <definedName name="Datainicial">'APONTAMENTO CREDENCIAMENTO'!$F$5</definedName>
    <definedName name="DDD">#REF!</definedName>
    <definedName name="DFG">#REF!</definedName>
    <definedName name="DiasFinais">'APONTAMENTO CREDENCIAMENTO'!#REF!</definedName>
    <definedName name="DiasMes">'APONTAMENTO CREDENCIAMENTO'!#REF!</definedName>
    <definedName name="DiasMesC">CONTINUA!$BP:$BU</definedName>
    <definedName name="DIFER" localSheetId="5">#REF!</definedName>
    <definedName name="DIFER">#REF!</definedName>
    <definedName name="DIIS">#REF!</definedName>
    <definedName name="DIV">#REF!</definedName>
    <definedName name="DIV_AGO_SET">#REF!</definedName>
    <definedName name="DIV_SET_OUT">#REF!</definedName>
    <definedName name="DRE">CONTINUA!$A$1</definedName>
    <definedName name="dres" localSheetId="5">#REF!</definedName>
    <definedName name="dres">#REF!</definedName>
    <definedName name="DRET">#REF!</definedName>
    <definedName name="emp" localSheetId="5">#REF!</definedName>
    <definedName name="emp">#REF!</definedName>
    <definedName name="EMPE" localSheetId="5">#REF!</definedName>
    <definedName name="EMPE">#REF!</definedName>
    <definedName name="empen" localSheetId="5">#REF!</definedName>
    <definedName name="empen">#REF!</definedName>
    <definedName name="EMPENHO" localSheetId="5">#REF!</definedName>
    <definedName name="EMPENHO">#REF!</definedName>
    <definedName name="empenho15">#REF!</definedName>
    <definedName name="eom" localSheetId="5">#REF!</definedName>
    <definedName name="eom">#REF!</definedName>
    <definedName name="ESPECIAL" localSheetId="5">'[1]APONTAMENTO CREDENCIAMENTO'!#REF!</definedName>
    <definedName name="ESPECIAL">'APONTAMENTO CREDENCIAMENTO'!#REF!</definedName>
    <definedName name="Especiall" localSheetId="5">'[1]VALORES TABELA'!$B$6</definedName>
    <definedName name="Especiall">'VALORES TABELA'!$B$6</definedName>
    <definedName name="ETH">#REF!</definedName>
    <definedName name="Excel_BuiltIn__FilterDatabase" localSheetId="12">'ATESTE-LIQ'!$A$1:$M$2</definedName>
    <definedName name="Excel_BuiltIn__FilterDatabase">#REF!</definedName>
    <definedName name="Excel_BuiltIn_Print_Titles">NA()</definedName>
    <definedName name="fegue" localSheetId="5">#REF!</definedName>
    <definedName name="fegue">#REF!</definedName>
    <definedName name="fer" localSheetId="5">#REF!</definedName>
    <definedName name="fer">#REF!</definedName>
    <definedName name="FEVEREIRO">#REF!</definedName>
    <definedName name="FIN" localSheetId="5">#REF!</definedName>
    <definedName name="FIN">#REF!</definedName>
    <definedName name="Fixo" localSheetId="5">'[1]VALORES TABELA'!$B$3</definedName>
    <definedName name="Fixo">'VALORES TABELA'!$B$3</definedName>
    <definedName name="FormulaAtestadoC">'ATESTADO C'!$A$18:$M$18</definedName>
    <definedName name="FormulaAtesteFis">'ATESTE-LIQ-FIS'!$D$4:$K$4</definedName>
    <definedName name="FormulaAtesteLiq">'ATESTE-LIQ'!$B$2:$AD$2</definedName>
    <definedName name="FormulaBaseC">'BASE C'!$D$10:$N$10</definedName>
    <definedName name="FormulaEmpresaC">'EMPRESA C'!$A$14:$AC$14</definedName>
    <definedName name="GAGA">#REF!</definedName>
    <definedName name="GFG">#REF!</definedName>
    <definedName name="GHJJGJ">#REF!</definedName>
    <definedName name="HXHX">#REF!</definedName>
    <definedName name="IA">#REF!</definedName>
    <definedName name="IMRPRIMIR">#REF!</definedName>
    <definedName name="info">#REF!</definedName>
    <definedName name="iniab" localSheetId="5">#REF!</definedName>
    <definedName name="iniab">#REF!</definedName>
    <definedName name="IRRENDA" localSheetId="5">#REF!</definedName>
    <definedName name="IRRENDA">#REF!</definedName>
    <definedName name="ITAQ" localSheetId="5">#REF!</definedName>
    <definedName name="ITAQ">#REF!</definedName>
    <definedName name="ITAQUERA">#REF!</definedName>
    <definedName name="JURI" localSheetId="5">#REF!</definedName>
    <definedName name="JURI">#REF!</definedName>
    <definedName name="juridica">#REF!</definedName>
    <definedName name="km" localSheetId="5">'[1]VALORES TABELA'!$B$7</definedName>
    <definedName name="km">'VALORES TABELA'!$B$7</definedName>
    <definedName name="LIQUID" localSheetId="5">#REF!</definedName>
    <definedName name="LIQUID">#REF!</definedName>
    <definedName name="LIQUIDA" localSheetId="5">#REF!</definedName>
    <definedName name="LIQUIDA">#REF!</definedName>
    <definedName name="LIQUIDAÇÃO" localSheetId="5">#REF!</definedName>
    <definedName name="LIQUIDAÇÃO">#REF!</definedName>
    <definedName name="LIST" localSheetId="5">#REF!</definedName>
    <definedName name="LIST">#REF!</definedName>
    <definedName name="LISTA">#REF!</definedName>
    <definedName name="marc" localSheetId="5">#REF!</definedName>
    <definedName name="marc">#REF!</definedName>
    <definedName name="MARÇO">#REF!</definedName>
    <definedName name="MINUTA">#REF!</definedName>
    <definedName name="na">#REF!</definedName>
    <definedName name="nfis" localSheetId="5">#REF!</definedName>
    <definedName name="nfis">#REF!</definedName>
    <definedName name="nfisc" localSheetId="5">#REF!</definedName>
    <definedName name="nfisc">#REF!</definedName>
    <definedName name="NLIQ" localSheetId="5">#REF!</definedName>
    <definedName name="NLIQ">#REF!</definedName>
    <definedName name="NomeDRE">'APONTAMENTO CREDENCIAMENTO'!$A$1</definedName>
    <definedName name="NORMAL" localSheetId="5">'[1]APONTAMENTO CREDENCIAMENTO'!#REF!</definedName>
    <definedName name="NORMAL">'APONTAMENTO CREDENCIAMENTO'!#REF!</definedName>
    <definedName name="NOV" localSheetId="5">#REF!</definedName>
    <definedName name="NOV">#REF!</definedName>
    <definedName name="novaju">#REF!</definedName>
    <definedName name="NOVEMBRO">#REF!</definedName>
    <definedName name="novo" localSheetId="5">#REF!</definedName>
    <definedName name="novo">#REF!</definedName>
    <definedName name="novos" localSheetId="5">#REF!</definedName>
    <definedName name="novos">#REF!</definedName>
    <definedName name="numer">#REF!</definedName>
    <definedName name="numero">#REF!</definedName>
    <definedName name="numero1">#REF!</definedName>
    <definedName name="O">#REF!</definedName>
    <definedName name="OPERA" localSheetId="5">#REF!</definedName>
    <definedName name="OPERA">#REF!</definedName>
    <definedName name="OUT">#REF!</definedName>
    <definedName name="OUTUBRO">#REF!</definedName>
    <definedName name="P" localSheetId="5">#REF!</definedName>
    <definedName name="P">#REF!</definedName>
    <definedName name="PadraoApontamento">'[1]APONTAMENTO CREDENCIAMENTO'!#REF!</definedName>
    <definedName name="PAGTO" localSheetId="5">#REF!</definedName>
    <definedName name="PAGTO">#REF!</definedName>
    <definedName name="PARA">#REF!</definedName>
    <definedName name="PAVALOR" localSheetId="5">#REF!</definedName>
    <definedName name="PAVALOR">#REF!</definedName>
    <definedName name="Percapita" localSheetId="5">'[1]VALORES TABELA'!$B$2</definedName>
    <definedName name="Percapita">'VALORES TABELA'!$B$2</definedName>
    <definedName name="pjota" localSheetId="5">#REF!</definedName>
    <definedName name="pjota">#REF!</definedName>
    <definedName name="pju" localSheetId="5">#REF!</definedName>
    <definedName name="pju">#REF!</definedName>
    <definedName name="PontoA">'APONTAMENTO CREDENCIAMENTO'!$A$6</definedName>
    <definedName name="PontoC">CONTINUA!$A$6</definedName>
    <definedName name="PontoFormula">'APONTAMENTO CREDENCIAMENTO'!#REF!</definedName>
    <definedName name="pp">#REF!</definedName>
    <definedName name="Q">#REF!</definedName>
    <definedName name="QUADRO1" localSheetId="5">#REF!</definedName>
    <definedName name="QUADRO1">#REF!</definedName>
    <definedName name="QUADRO2" localSheetId="5">#REF!</definedName>
    <definedName name="QUADRO2">#REF!</definedName>
    <definedName name="QUADRO3" localSheetId="5">#REF!</definedName>
    <definedName name="QUADRO3">#REF!</definedName>
    <definedName name="REF" localSheetId="5">#REF!</definedName>
    <definedName name="REF">#REF!</definedName>
    <definedName name="regular" localSheetId="5">'[1]VALORES TABELA'!$B$8</definedName>
    <definedName name="regular">'VALORES TABELA'!$B$8</definedName>
    <definedName name="reno" localSheetId="5">#REF!</definedName>
    <definedName name="reno">#REF!</definedName>
    <definedName name="RENOVA" localSheetId="5">#REF!</definedName>
    <definedName name="RENOVA">#REF!</definedName>
    <definedName name="RENOVÇ">#REF!</definedName>
    <definedName name="reser" localSheetId="5">#REF!</definedName>
    <definedName name="reser">#REF!</definedName>
    <definedName name="RESERVA">#REF!</definedName>
    <definedName name="rmar" localSheetId="5">#REF!</definedName>
    <definedName name="rmar">#REF!</definedName>
    <definedName name="S">#REF!</definedName>
    <definedName name="SALDOSOF" localSheetId="5">#REF!</definedName>
    <definedName name="SALDOSOF">#REF!</definedName>
    <definedName name="sam" localSheetId="5">#REF!</definedName>
    <definedName name="sam">#REF!</definedName>
    <definedName name="SET_OUT_NOV">#REF!</definedName>
    <definedName name="SETEMBRO">#REF!</definedName>
    <definedName name="TABC4826" localSheetId="5">#REF!</definedName>
    <definedName name="TABC4826">#REF!</definedName>
    <definedName name="TABVEIC" localSheetId="5">#REF!</definedName>
    <definedName name="TABVEIC">#REF!</definedName>
    <definedName name="TESTE1">#REF!</definedName>
    <definedName name="thiago">#REF!</definedName>
    <definedName name="_xlnm.Print_Titles">LISTA PARA #REF!</definedName>
    <definedName name="VAEMP" localSheetId="5">#REF!</definedName>
    <definedName name="VAEMP">#REF!</definedName>
    <definedName name="valor" localSheetId="5">#REF!</definedName>
    <definedName name="valor">#REF!</definedName>
    <definedName name="VALTER">#REF!</definedName>
    <definedName name="Z_011B120B_8244_4B35_8253_076E86B9088C_.wvu.Cols" localSheetId="5" hidden="1">'ATESTE-LIQ-FIS'!#REF!,'ATESTE-LIQ-FIS'!#REF!,'ATESTE-LIQ-FIS'!#REF!</definedName>
    <definedName name="Z_011B120B_8244_4B35_8253_076E86B9088C_.wvu.FilterData" localSheetId="5" hidden="1">'ATESTE-LIQ-FIS'!#REF!</definedName>
    <definedName name="Z_011B120B_8244_4B35_8253_076E86B9088C_.wvu.PrintArea" localSheetId="5" hidden="1">'ATESTE-LIQ-FIS'!#REF!</definedName>
    <definedName name="Z_011B120B_8244_4B35_8253_076E86B9088C_.wvu.PrintTitles" localSheetId="5" hidden="1">'ATESTE-LIQ-FIS'!#REF!</definedName>
    <definedName name="Z_0D231017_AD66_4D4F_B5A5_8354A60A50E6_.wvu.FilterData" localSheetId="5" hidden="1">'ATESTE-LIQ-FIS'!#REF!</definedName>
    <definedName name="Z_1D837C81_0159_4256_A026_71C371D54E44_.wvu.FilterData" localSheetId="5" hidden="1">'ATESTE-LIQ-FIS'!#REF!</definedName>
    <definedName name="Z_313D368F_AFFC_4E5E_8868_BD079C98C4D7_.wvu.FilterData" localSheetId="5" hidden="1">'ATESTE-LIQ-FIS'!#REF!</definedName>
    <definedName name="Z_3C9C7BFA_895A_4C5E_9547_3495A82BA3E1_.wvu.FilterData" localSheetId="5" hidden="1">'ATESTE-LIQ-FIS'!#REF!</definedName>
    <definedName name="Z_41922B57_5DC9_4A9B_8F25_1E4BA682F541_.wvu.FilterData" localSheetId="5" hidden="1">'ATESTE-LIQ-FIS'!#REF!</definedName>
    <definedName name="Z_61E3CF03_F5F9_4064_B280_64CB82257AFC_.wvu.FilterData" localSheetId="5" hidden="1">'ATESTE-LIQ-FIS'!#REF!</definedName>
    <definedName name="Z_63127EC2_DBBC_45FA_8174_EEBF58329133_.wvu.Cols" localSheetId="5" hidden="1">'ATESTE-LIQ-FIS'!#REF!,'ATESTE-LIQ-FIS'!#REF!</definedName>
    <definedName name="Z_63127EC2_DBBC_45FA_8174_EEBF58329133_.wvu.FilterData" localSheetId="5" hidden="1">'ATESTE-LIQ-FIS'!#REF!</definedName>
    <definedName name="Z_63127EC2_DBBC_45FA_8174_EEBF58329133_.wvu.PrintArea" localSheetId="5" hidden="1">'ATESTE-LIQ-FIS'!#REF!</definedName>
    <definedName name="Z_63127EC2_DBBC_45FA_8174_EEBF58329133_.wvu.PrintTitles" localSheetId="5" hidden="1">'ATESTE-LIQ-FIS'!#REF!</definedName>
    <definedName name="Z_6E8B9F76_6586_4A3A_B639_4D31F1AB034E_.wvu.FilterData" localSheetId="5" hidden="1">'ATESTE-LIQ-FIS'!#REF!</definedName>
    <definedName name="Z_77DA50AA_D079_4D33_A506_198857BC8104_.wvu.FilterData" localSheetId="5" hidden="1">'ATESTE-LIQ-FIS'!#REF!</definedName>
    <definedName name="Z_8B2670C0_B1DB_4F7D_845E_F2C8F3D88645_.wvu.FilterData" localSheetId="5" hidden="1">'ATESTE-LIQ-FIS'!#REF!</definedName>
    <definedName name="Z_95EB0056_9129_4778_9CF5_B2A8E8EACA38_.wvu.FilterData" localSheetId="5" hidden="1">'ATESTE-LIQ-FIS'!#REF!</definedName>
    <definedName name="Z_A132BFA3_32B6_4FCE_AE53_4F6CA7DF5DB2_.wvu.FilterData" localSheetId="5" hidden="1">'ATESTE-LIQ-FIS'!#REF!</definedName>
    <definedName name="Z_B3FF3ACF_84F9_4953_9A1E_387165B9DDC0_.wvu.FilterData" localSheetId="5" hidden="1">'ATESTE-LIQ-FIS'!#REF!</definedName>
    <definedName name="Z_C037A31A_2755_4C10_A3AE_DBB589431E79_.wvu.FilterData" localSheetId="5" hidden="1">'ATESTE-LIQ-FIS'!#REF!</definedName>
    <definedName name="Z_C9548E60_79BD_4094_A4C6_01B332AFD72C_.wvu.FilterData" localSheetId="5" hidden="1">'ATESTE-LIQ-FIS'!#REF!</definedName>
    <definedName name="Z_D3736991_F6CE_4ABF_8DDD_61D3526ACD63_.wvu.FilterData" localSheetId="5" hidden="1">'ATESTE-LIQ-FIS'!#REF!</definedName>
    <definedName name="Z_EF429097_D4EF_4B88_BBEF_58DF4E3BB1E4_.wvu.Cols" localSheetId="5" hidden="1">'ATESTE-LIQ-FIS'!#REF!</definedName>
    <definedName name="Z_EF429097_D4EF_4B88_BBEF_58DF4E3BB1E4_.wvu.FilterData" localSheetId="5" hidden="1">'ATESTE-LIQ-FIS'!#REF!</definedName>
    <definedName name="Z_EF429097_D4EF_4B88_BBEF_58DF4E3BB1E4_.wvu.PrintArea" localSheetId="5" hidden="1">'ATESTE-LIQ-FIS'!#REF!</definedName>
    <definedName name="Z_EF429097_D4EF_4B88_BBEF_58DF4E3BB1E4_.wvu.PrintTitles" localSheetId="5" hidden="1">'ATESTE-LIQ-FIS'!#REF!</definedName>
    <definedName name="Z_F9B7ACFC_8967_4F1D_A7F9_B4BD1AD90914_.wvu.FilterData" localSheetId="5" hidden="1">'ATESTE-LIQ-FIS'!#REF!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70" i="64" l="1"/>
  <c r="V170" i="64"/>
  <c r="AI168" i="64" s="1"/>
  <c r="V169" i="64"/>
  <c r="AU167" i="64" s="1"/>
  <c r="AO168" i="64"/>
  <c r="V168" i="64"/>
  <c r="AX167" i="64"/>
  <c r="AH167" i="64"/>
  <c r="X167" i="64"/>
  <c r="AN169" i="64" s="1"/>
  <c r="V167" i="64"/>
  <c r="AT167" i="64" s="1"/>
  <c r="X166" i="64"/>
  <c r="V166" i="64"/>
  <c r="X165" i="64"/>
  <c r="AX162" i="64" s="1"/>
  <c r="V165" i="64"/>
  <c r="AH162" i="64" s="1"/>
  <c r="AH164" i="64"/>
  <c r="V164" i="64"/>
  <c r="AU162" i="64" s="1"/>
  <c r="AI163" i="64"/>
  <c r="V163" i="64"/>
  <c r="X162" i="64"/>
  <c r="AN162" i="64" s="1"/>
  <c r="V162" i="64"/>
  <c r="X161" i="64"/>
  <c r="V161" i="64"/>
  <c r="X160" i="64"/>
  <c r="V160" i="64"/>
  <c r="AH159" i="64" s="1"/>
  <c r="V159" i="64"/>
  <c r="AI158" i="64"/>
  <c r="V158" i="64"/>
  <c r="AU157" i="64" s="1"/>
  <c r="AX157" i="64"/>
  <c r="X157" i="64"/>
  <c r="V157" i="64"/>
  <c r="X156" i="64"/>
  <c r="V156" i="64"/>
  <c r="X155" i="64"/>
  <c r="AX152" i="64" s="1"/>
  <c r="V155" i="64"/>
  <c r="AI153" i="64" s="1"/>
  <c r="AH154" i="64"/>
  <c r="V154" i="64"/>
  <c r="AO153" i="64"/>
  <c r="X153" i="64"/>
  <c r="V153" i="64"/>
  <c r="AU152" i="64" s="1"/>
  <c r="AH152" i="64"/>
  <c r="AJ153" i="64" s="1"/>
  <c r="X152" i="64"/>
  <c r="AN154" i="64" s="1"/>
  <c r="V152" i="64"/>
  <c r="X151" i="64"/>
  <c r="V151" i="64"/>
  <c r="X150" i="64"/>
  <c r="AX147" i="64" s="1"/>
  <c r="V150" i="64"/>
  <c r="AH147" i="64" s="1"/>
  <c r="AH149" i="64"/>
  <c r="V149" i="64"/>
  <c r="AI148" i="64"/>
  <c r="V148" i="64"/>
  <c r="AU147" i="64"/>
  <c r="X147" i="64"/>
  <c r="AN147" i="64" s="1"/>
  <c r="V147" i="64"/>
  <c r="X148" i="64" s="1"/>
  <c r="X146" i="64"/>
  <c r="V146" i="64"/>
  <c r="X145" i="64"/>
  <c r="AX142" i="64" s="1"/>
  <c r="V145" i="64"/>
  <c r="AH144" i="64" s="1"/>
  <c r="V144" i="64"/>
  <c r="V143" i="64"/>
  <c r="AU142" i="64" s="1"/>
  <c r="AN142" i="64"/>
  <c r="X142" i="64"/>
  <c r="AN144" i="64" s="1"/>
  <c r="V142" i="64"/>
  <c r="X141" i="64"/>
  <c r="V141" i="64"/>
  <c r="AT142" i="64" s="1"/>
  <c r="X140" i="64"/>
  <c r="AX137" i="64" s="1"/>
  <c r="V140" i="64"/>
  <c r="AH139" i="64"/>
  <c r="V139" i="64"/>
  <c r="AO138" i="64"/>
  <c r="AI138" i="64"/>
  <c r="V138" i="64"/>
  <c r="AU137" i="64" s="1"/>
  <c r="AT137" i="64"/>
  <c r="AS137" i="64"/>
  <c r="AH137" i="64"/>
  <c r="X137" i="64"/>
  <c r="AN139" i="64" s="1"/>
  <c r="V137" i="64"/>
  <c r="X139" i="64" s="1"/>
  <c r="AB137" i="64" s="1"/>
  <c r="X136" i="64"/>
  <c r="V136" i="64"/>
  <c r="X138" i="64" s="1"/>
  <c r="X135" i="64"/>
  <c r="AX132" i="64" s="1"/>
  <c r="V135" i="64"/>
  <c r="AH132" i="64" s="1"/>
  <c r="V134" i="64"/>
  <c r="AS132" i="64" s="1"/>
  <c r="V133" i="64"/>
  <c r="X132" i="64"/>
  <c r="AN132" i="64" s="1"/>
  <c r="V132" i="64"/>
  <c r="X131" i="64"/>
  <c r="V131" i="64"/>
  <c r="X130" i="64"/>
  <c r="V130" i="64"/>
  <c r="AH129" i="64" s="1"/>
  <c r="V129" i="64"/>
  <c r="V128" i="64"/>
  <c r="AX127" i="64"/>
  <c r="AU127" i="64"/>
  <c r="X127" i="64"/>
  <c r="AN129" i="64" s="1"/>
  <c r="V127" i="64"/>
  <c r="X126" i="64"/>
  <c r="V126" i="64"/>
  <c r="X125" i="64"/>
  <c r="V125" i="64"/>
  <c r="AH124" i="64" s="1"/>
  <c r="V124" i="64"/>
  <c r="AU122" i="64" s="1"/>
  <c r="AI123" i="64"/>
  <c r="V123" i="64"/>
  <c r="AX122" i="64"/>
  <c r="AH122" i="64"/>
  <c r="X122" i="64"/>
  <c r="V122" i="64"/>
  <c r="AS122" i="64" s="1"/>
  <c r="X121" i="64"/>
  <c r="V121" i="64"/>
  <c r="X120" i="64"/>
  <c r="AX117" i="64" s="1"/>
  <c r="V120" i="64"/>
  <c r="AH119" i="64"/>
  <c r="V119" i="64"/>
  <c r="V118" i="64"/>
  <c r="AU117" i="64" s="1"/>
  <c r="X117" i="64"/>
  <c r="AN117" i="64" s="1"/>
  <c r="V117" i="64"/>
  <c r="X116" i="64"/>
  <c r="V116" i="64"/>
  <c r="X115" i="64"/>
  <c r="AX112" i="64" s="1"/>
  <c r="V115" i="64"/>
  <c r="AI113" i="64" s="1"/>
  <c r="V114" i="64"/>
  <c r="V113" i="64"/>
  <c r="AU112" i="64" s="1"/>
  <c r="X112" i="64"/>
  <c r="AO113" i="64" s="1"/>
  <c r="V112" i="64"/>
  <c r="X111" i="64"/>
  <c r="V111" i="64"/>
  <c r="X110" i="64"/>
  <c r="AX107" i="64" s="1"/>
  <c r="V110" i="64"/>
  <c r="AI108" i="64" s="1"/>
  <c r="AH109" i="64"/>
  <c r="V109" i="64"/>
  <c r="AO108" i="64"/>
  <c r="V108" i="64"/>
  <c r="AU107" i="64" s="1"/>
  <c r="AH107" i="64"/>
  <c r="X107" i="64"/>
  <c r="AN109" i="64" s="1"/>
  <c r="V107" i="64"/>
  <c r="X106" i="64"/>
  <c r="V106" i="64"/>
  <c r="X108" i="64" s="1"/>
  <c r="X105" i="64"/>
  <c r="AX102" i="64" s="1"/>
  <c r="V105" i="64"/>
  <c r="AH102" i="64" s="1"/>
  <c r="AH104" i="64"/>
  <c r="V104" i="64"/>
  <c r="AI103" i="64"/>
  <c r="X103" i="64"/>
  <c r="V103" i="64"/>
  <c r="AU102" i="64"/>
  <c r="X102" i="64"/>
  <c r="AN102" i="64" s="1"/>
  <c r="V102" i="64"/>
  <c r="X101" i="64"/>
  <c r="V101" i="64"/>
  <c r="X100" i="64"/>
  <c r="V100" i="64"/>
  <c r="AH99" i="64" s="1"/>
  <c r="V99" i="64"/>
  <c r="V98" i="64"/>
  <c r="AU97" i="64" s="1"/>
  <c r="AX97" i="64"/>
  <c r="AN97" i="64"/>
  <c r="X97" i="64"/>
  <c r="AN99" i="64" s="1"/>
  <c r="V97" i="64"/>
  <c r="X96" i="64"/>
  <c r="V96" i="64"/>
  <c r="AT97" i="64" s="1"/>
  <c r="X95" i="64"/>
  <c r="AX92" i="64" s="1"/>
  <c r="V95" i="64"/>
  <c r="AH92" i="64" s="1"/>
  <c r="AH94" i="64"/>
  <c r="V94" i="64"/>
  <c r="AI93" i="64"/>
  <c r="V93" i="64"/>
  <c r="AU92" i="64" s="1"/>
  <c r="AN92" i="64"/>
  <c r="X92" i="64"/>
  <c r="AN94" i="64" s="1"/>
  <c r="V92" i="64"/>
  <c r="AS92" i="64" s="1"/>
  <c r="X91" i="64"/>
  <c r="V91" i="64"/>
  <c r="X90" i="64"/>
  <c r="V90" i="64"/>
  <c r="AH87" i="64" s="1"/>
  <c r="AN89" i="64"/>
  <c r="V89" i="64"/>
  <c r="V88" i="64"/>
  <c r="AU87" i="64" s="1"/>
  <c r="AX87" i="64"/>
  <c r="AT87" i="64"/>
  <c r="X87" i="64"/>
  <c r="AN87" i="64" s="1"/>
  <c r="V87" i="64"/>
  <c r="X86" i="64"/>
  <c r="V86" i="64"/>
  <c r="X89" i="64" s="1"/>
  <c r="X85" i="64"/>
  <c r="AX82" i="64" s="1"/>
  <c r="V85" i="64"/>
  <c r="AH84" i="64"/>
  <c r="V84" i="64"/>
  <c r="AO83" i="64"/>
  <c r="AJ83" i="64"/>
  <c r="AI83" i="64"/>
  <c r="V83" i="64"/>
  <c r="AH82" i="64"/>
  <c r="X82" i="64"/>
  <c r="AN84" i="64" s="1"/>
  <c r="V82" i="64"/>
  <c r="X81" i="64"/>
  <c r="V81" i="64"/>
  <c r="X80" i="64"/>
  <c r="V80" i="64"/>
  <c r="V79" i="64"/>
  <c r="V78" i="64"/>
  <c r="AU77" i="64" s="1"/>
  <c r="AX77" i="64"/>
  <c r="AN77" i="64"/>
  <c r="X77" i="64"/>
  <c r="AN79" i="64" s="1"/>
  <c r="V77" i="64"/>
  <c r="X76" i="64"/>
  <c r="V76" i="64"/>
  <c r="AT77" i="64" s="1"/>
  <c r="X75" i="64"/>
  <c r="V75" i="64"/>
  <c r="AH72" i="64" s="1"/>
  <c r="V74" i="64"/>
  <c r="AI73" i="64"/>
  <c r="V73" i="64"/>
  <c r="AX72" i="64"/>
  <c r="AU72" i="64"/>
  <c r="X72" i="64"/>
  <c r="V72" i="64"/>
  <c r="X71" i="64"/>
  <c r="V71" i="64"/>
  <c r="X74" i="64" s="1"/>
  <c r="X70" i="64"/>
  <c r="AX67" i="64" s="1"/>
  <c r="V70" i="64"/>
  <c r="V69" i="64"/>
  <c r="V68" i="64"/>
  <c r="X67" i="64"/>
  <c r="AN69" i="64" s="1"/>
  <c r="V67" i="64"/>
  <c r="X66" i="64"/>
  <c r="V66" i="64"/>
  <c r="X65" i="64"/>
  <c r="AX62" i="64" s="1"/>
  <c r="V65" i="64"/>
  <c r="AH64" i="64"/>
  <c r="V64" i="64"/>
  <c r="AI63" i="64"/>
  <c r="V63" i="64"/>
  <c r="AN62" i="64"/>
  <c r="AH62" i="64"/>
  <c r="X62" i="64"/>
  <c r="AN64" i="64" s="1"/>
  <c r="V62" i="64"/>
  <c r="X61" i="64"/>
  <c r="V61" i="64"/>
  <c r="AT62" i="64" s="1"/>
  <c r="X60" i="64"/>
  <c r="V60" i="64"/>
  <c r="AI58" i="64" s="1"/>
  <c r="V59" i="64"/>
  <c r="V58" i="64"/>
  <c r="AU57" i="64" s="1"/>
  <c r="AX57" i="64"/>
  <c r="AT57" i="64"/>
  <c r="X57" i="64"/>
  <c r="V57" i="64"/>
  <c r="X56" i="64"/>
  <c r="V56" i="64"/>
  <c r="X59" i="64" s="1"/>
  <c r="X55" i="64"/>
  <c r="AX52" i="64" s="1"/>
  <c r="V55" i="64"/>
  <c r="V54" i="64"/>
  <c r="V53" i="64"/>
  <c r="X52" i="64"/>
  <c r="AN54" i="64" s="1"/>
  <c r="V52" i="64"/>
  <c r="X51" i="64"/>
  <c r="V51" i="64"/>
  <c r="X50" i="64"/>
  <c r="AX47" i="64" s="1"/>
  <c r="V50" i="64"/>
  <c r="AH47" i="64" s="1"/>
  <c r="AH49" i="64"/>
  <c r="V49" i="64"/>
  <c r="AI48" i="64"/>
  <c r="V48" i="64"/>
  <c r="AN47" i="64"/>
  <c r="X47" i="64"/>
  <c r="AN49" i="64" s="1"/>
  <c r="V47" i="64"/>
  <c r="X46" i="64"/>
  <c r="V46" i="64"/>
  <c r="AT47" i="64" s="1"/>
  <c r="X45" i="64"/>
  <c r="V45" i="64"/>
  <c r="AH42" i="64" s="1"/>
  <c r="AN44" i="64"/>
  <c r="V44" i="64"/>
  <c r="V43" i="64"/>
  <c r="AX42" i="64"/>
  <c r="AU42" i="64"/>
  <c r="X42" i="64"/>
  <c r="AN42" i="64" s="1"/>
  <c r="V42" i="64"/>
  <c r="X41" i="64"/>
  <c r="V41" i="64"/>
  <c r="X40" i="64"/>
  <c r="AX37" i="64" s="1"/>
  <c r="V40" i="64"/>
  <c r="AH39" i="64" s="1"/>
  <c r="X39" i="64"/>
  <c r="AC38" i="64" s="1"/>
  <c r="V39" i="64"/>
  <c r="AU37" i="64" s="1"/>
  <c r="AI38" i="64"/>
  <c r="V38" i="64"/>
  <c r="AH37" i="64"/>
  <c r="X37" i="64"/>
  <c r="AN39" i="64" s="1"/>
  <c r="V37" i="64"/>
  <c r="X36" i="64"/>
  <c r="V36" i="64"/>
  <c r="AT37" i="64" s="1"/>
  <c r="X35" i="64"/>
  <c r="AX32" i="64" s="1"/>
  <c r="V35" i="64"/>
  <c r="AH32" i="64" s="1"/>
  <c r="AH34" i="64"/>
  <c r="V34" i="64"/>
  <c r="AI33" i="64"/>
  <c r="V33" i="64"/>
  <c r="X32" i="64"/>
  <c r="V32" i="64"/>
  <c r="X31" i="64"/>
  <c r="V31" i="64"/>
  <c r="AT32" i="64" s="1"/>
  <c r="X30" i="64"/>
  <c r="AX27" i="64" s="1"/>
  <c r="V30" i="64"/>
  <c r="AH27" i="64" s="1"/>
  <c r="V29" i="64"/>
  <c r="V28" i="64"/>
  <c r="AU27" i="64"/>
  <c r="AN27" i="64"/>
  <c r="X27" i="64"/>
  <c r="AN29" i="64" s="1"/>
  <c r="V27" i="64"/>
  <c r="X26" i="64"/>
  <c r="V26" i="64"/>
  <c r="X25" i="64"/>
  <c r="AX22" i="64" s="1"/>
  <c r="V25" i="64"/>
  <c r="AH24" i="64"/>
  <c r="V24" i="64"/>
  <c r="AI23" i="64"/>
  <c r="V23" i="64"/>
  <c r="AU22" i="64" s="1"/>
  <c r="AH22" i="64"/>
  <c r="AJ23" i="64" s="1"/>
  <c r="X22" i="64"/>
  <c r="AN22" i="64" s="1"/>
  <c r="V22" i="64"/>
  <c r="X21" i="64"/>
  <c r="V21" i="64"/>
  <c r="X24" i="64" s="1"/>
  <c r="AC23" i="64" s="1"/>
  <c r="X20" i="64"/>
  <c r="AX17" i="64" s="1"/>
  <c r="V20" i="64"/>
  <c r="V19" i="64"/>
  <c r="V18" i="64"/>
  <c r="AU17" i="64" s="1"/>
  <c r="X17" i="64"/>
  <c r="AN19" i="64" s="1"/>
  <c r="V17" i="64"/>
  <c r="X16" i="64"/>
  <c r="V16" i="64"/>
  <c r="X15" i="64"/>
  <c r="AX12" i="64" s="1"/>
  <c r="V15" i="64"/>
  <c r="AH14" i="64" s="1"/>
  <c r="V14" i="64"/>
  <c r="AI13" i="64"/>
  <c r="V13" i="64"/>
  <c r="AU12" i="64"/>
  <c r="X12" i="64"/>
  <c r="V12" i="64"/>
  <c r="X11" i="64"/>
  <c r="V11" i="64"/>
  <c r="AX7" i="64"/>
  <c r="AI8" i="64"/>
  <c r="AH7" i="64"/>
  <c r="X10" i="64"/>
  <c r="X7" i="64"/>
  <c r="X6" i="64"/>
  <c r="V10" i="64"/>
  <c r="AH9" i="64" s="1"/>
  <c r="V9" i="64"/>
  <c r="V8" i="64"/>
  <c r="AU7" i="64" s="1"/>
  <c r="V7" i="64"/>
  <c r="V6" i="64"/>
  <c r="L34" i="13"/>
  <c r="AB34" i="13" s="1"/>
  <c r="I34" i="13"/>
  <c r="H34" i="13"/>
  <c r="G34" i="13"/>
  <c r="F34" i="13"/>
  <c r="J34" i="13" s="1"/>
  <c r="D34" i="13"/>
  <c r="T34" i="13" s="1"/>
  <c r="C34" i="13"/>
  <c r="L33" i="13"/>
  <c r="AB33" i="13" s="1"/>
  <c r="I33" i="13"/>
  <c r="H33" i="13"/>
  <c r="G33" i="13"/>
  <c r="F33" i="13"/>
  <c r="J33" i="13" s="1"/>
  <c r="D33" i="13"/>
  <c r="T33" i="13" s="1"/>
  <c r="C33" i="13"/>
  <c r="L32" i="13"/>
  <c r="AB32" i="13" s="1"/>
  <c r="I32" i="13"/>
  <c r="H32" i="13"/>
  <c r="G32" i="13"/>
  <c r="F32" i="13"/>
  <c r="J32" i="13" s="1"/>
  <c r="D32" i="13"/>
  <c r="T32" i="13" s="1"/>
  <c r="C32" i="13"/>
  <c r="L31" i="13"/>
  <c r="AB31" i="13" s="1"/>
  <c r="I31" i="13"/>
  <c r="H31" i="13"/>
  <c r="G31" i="13"/>
  <c r="F31" i="13"/>
  <c r="J31" i="13" s="1"/>
  <c r="D31" i="13"/>
  <c r="T31" i="13" s="1"/>
  <c r="C31" i="13"/>
  <c r="L30" i="13"/>
  <c r="AB30" i="13" s="1"/>
  <c r="I30" i="13"/>
  <c r="H30" i="13"/>
  <c r="G30" i="13"/>
  <c r="F30" i="13"/>
  <c r="J30" i="13" s="1"/>
  <c r="D30" i="13"/>
  <c r="T30" i="13" s="1"/>
  <c r="C30" i="13"/>
  <c r="L29" i="13"/>
  <c r="AB29" i="13" s="1"/>
  <c r="I29" i="13"/>
  <c r="H29" i="13"/>
  <c r="G29" i="13"/>
  <c r="F29" i="13"/>
  <c r="J29" i="13" s="1"/>
  <c r="D29" i="13"/>
  <c r="T29" i="13" s="1"/>
  <c r="C29" i="13"/>
  <c r="L28" i="13"/>
  <c r="AB28" i="13" s="1"/>
  <c r="I28" i="13"/>
  <c r="H28" i="13"/>
  <c r="G28" i="13"/>
  <c r="F28" i="13"/>
  <c r="J28" i="13" s="1"/>
  <c r="D28" i="13"/>
  <c r="T28" i="13" s="1"/>
  <c r="C28" i="13"/>
  <c r="L27" i="13"/>
  <c r="AB27" i="13" s="1"/>
  <c r="I27" i="13"/>
  <c r="H27" i="13"/>
  <c r="G27" i="13"/>
  <c r="F27" i="13"/>
  <c r="U27" i="13" s="1"/>
  <c r="V27" i="13" s="1"/>
  <c r="D27" i="13"/>
  <c r="T27" i="13" s="1"/>
  <c r="C27" i="13"/>
  <c r="L26" i="13"/>
  <c r="AB26" i="13" s="1"/>
  <c r="I26" i="13"/>
  <c r="H26" i="13"/>
  <c r="G26" i="13"/>
  <c r="F26" i="13"/>
  <c r="J26" i="13" s="1"/>
  <c r="D26" i="13"/>
  <c r="T26" i="13" s="1"/>
  <c r="C26" i="13"/>
  <c r="L25" i="13"/>
  <c r="AB25" i="13" s="1"/>
  <c r="I25" i="13"/>
  <c r="H25" i="13"/>
  <c r="G25" i="13"/>
  <c r="F25" i="13"/>
  <c r="J25" i="13" s="1"/>
  <c r="D25" i="13"/>
  <c r="T25" i="13" s="1"/>
  <c r="C25" i="13"/>
  <c r="L24" i="13"/>
  <c r="AB24" i="13" s="1"/>
  <c r="I24" i="13"/>
  <c r="H24" i="13"/>
  <c r="G24" i="13"/>
  <c r="F24" i="13"/>
  <c r="J24" i="13" s="1"/>
  <c r="D24" i="13"/>
  <c r="T24" i="13" s="1"/>
  <c r="C24" i="13"/>
  <c r="L23" i="13"/>
  <c r="AB23" i="13" s="1"/>
  <c r="I23" i="13"/>
  <c r="H23" i="13"/>
  <c r="G23" i="13"/>
  <c r="F23" i="13"/>
  <c r="J23" i="13" s="1"/>
  <c r="D23" i="13"/>
  <c r="T23" i="13" s="1"/>
  <c r="C23" i="13"/>
  <c r="L22" i="13"/>
  <c r="AB22" i="13" s="1"/>
  <c r="I22" i="13"/>
  <c r="H22" i="13"/>
  <c r="G22" i="13"/>
  <c r="F22" i="13"/>
  <c r="J22" i="13" s="1"/>
  <c r="D22" i="13"/>
  <c r="T22" i="13" s="1"/>
  <c r="C22" i="13"/>
  <c r="L21" i="13"/>
  <c r="AB21" i="13" s="1"/>
  <c r="I21" i="13"/>
  <c r="H21" i="13"/>
  <c r="G21" i="13"/>
  <c r="F21" i="13"/>
  <c r="U21" i="13" s="1"/>
  <c r="V21" i="13" s="1"/>
  <c r="D21" i="13"/>
  <c r="T21" i="13" s="1"/>
  <c r="C21" i="13"/>
  <c r="L20" i="13"/>
  <c r="AB20" i="13" s="1"/>
  <c r="I20" i="13"/>
  <c r="H20" i="13"/>
  <c r="G20" i="13"/>
  <c r="F20" i="13"/>
  <c r="J20" i="13" s="1"/>
  <c r="D20" i="13"/>
  <c r="T20" i="13" s="1"/>
  <c r="C20" i="13"/>
  <c r="L19" i="13"/>
  <c r="AB19" i="13" s="1"/>
  <c r="I19" i="13"/>
  <c r="H19" i="13"/>
  <c r="G19" i="13"/>
  <c r="F19" i="13"/>
  <c r="J19" i="13" s="1"/>
  <c r="D19" i="13"/>
  <c r="T19" i="13" s="1"/>
  <c r="C19" i="13"/>
  <c r="L18" i="13"/>
  <c r="AB18" i="13" s="1"/>
  <c r="I18" i="13"/>
  <c r="H18" i="13"/>
  <c r="G18" i="13"/>
  <c r="F18" i="13"/>
  <c r="J18" i="13" s="1"/>
  <c r="D18" i="13"/>
  <c r="T18" i="13" s="1"/>
  <c r="C18" i="13"/>
  <c r="L17" i="13"/>
  <c r="AB17" i="13" s="1"/>
  <c r="I17" i="13"/>
  <c r="H17" i="13"/>
  <c r="G17" i="13"/>
  <c r="F17" i="13"/>
  <c r="J17" i="13" s="1"/>
  <c r="D17" i="13"/>
  <c r="T17" i="13" s="1"/>
  <c r="C17" i="13"/>
  <c r="L16" i="13"/>
  <c r="AB16" i="13" s="1"/>
  <c r="I16" i="13"/>
  <c r="H16" i="13"/>
  <c r="G16" i="13"/>
  <c r="F16" i="13"/>
  <c r="U16" i="13" s="1"/>
  <c r="V16" i="13" s="1"/>
  <c r="D16" i="13"/>
  <c r="T16" i="13" s="1"/>
  <c r="C16" i="13"/>
  <c r="L15" i="13"/>
  <c r="AB15" i="13" s="1"/>
  <c r="I15" i="13"/>
  <c r="H15" i="13"/>
  <c r="G15" i="13"/>
  <c r="F15" i="13"/>
  <c r="J15" i="13" s="1"/>
  <c r="D15" i="13"/>
  <c r="T15" i="13" s="1"/>
  <c r="C15" i="13"/>
  <c r="L14" i="13"/>
  <c r="AB14" i="13" s="1"/>
  <c r="I14" i="13"/>
  <c r="H14" i="13"/>
  <c r="G14" i="13"/>
  <c r="F14" i="13"/>
  <c r="J14" i="13" s="1"/>
  <c r="D14" i="13"/>
  <c r="T14" i="13" s="1"/>
  <c r="C14" i="13"/>
  <c r="L13" i="13"/>
  <c r="AB13" i="13" s="1"/>
  <c r="I13" i="13"/>
  <c r="H13" i="13"/>
  <c r="G13" i="13"/>
  <c r="F13" i="13"/>
  <c r="J13" i="13" s="1"/>
  <c r="D13" i="13"/>
  <c r="T13" i="13" s="1"/>
  <c r="C13" i="13"/>
  <c r="L12" i="13"/>
  <c r="AB12" i="13" s="1"/>
  <c r="I12" i="13"/>
  <c r="H12" i="13"/>
  <c r="G12" i="13"/>
  <c r="F12" i="13"/>
  <c r="U12" i="13" s="1"/>
  <c r="V12" i="13" s="1"/>
  <c r="D12" i="13"/>
  <c r="T12" i="13" s="1"/>
  <c r="C12" i="13"/>
  <c r="L11" i="13"/>
  <c r="AB11" i="13" s="1"/>
  <c r="I11" i="13"/>
  <c r="H11" i="13"/>
  <c r="G11" i="13"/>
  <c r="F11" i="13"/>
  <c r="U11" i="13" s="1"/>
  <c r="V11" i="13" s="1"/>
  <c r="D11" i="13"/>
  <c r="T11" i="13" s="1"/>
  <c r="C11" i="13"/>
  <c r="L10" i="13"/>
  <c r="AB10" i="13" s="1"/>
  <c r="I10" i="13"/>
  <c r="H10" i="13"/>
  <c r="G10" i="13"/>
  <c r="F10" i="13"/>
  <c r="J10" i="13" s="1"/>
  <c r="D10" i="13"/>
  <c r="T10" i="13" s="1"/>
  <c r="C10" i="13"/>
  <c r="L9" i="13"/>
  <c r="AB9" i="13" s="1"/>
  <c r="I9" i="13"/>
  <c r="H9" i="13"/>
  <c r="G9" i="13"/>
  <c r="F9" i="13"/>
  <c r="J9" i="13" s="1"/>
  <c r="D9" i="13"/>
  <c r="T9" i="13" s="1"/>
  <c r="C9" i="13"/>
  <c r="L8" i="13"/>
  <c r="AB8" i="13" s="1"/>
  <c r="I8" i="13"/>
  <c r="H8" i="13"/>
  <c r="G8" i="13"/>
  <c r="F8" i="13"/>
  <c r="J8" i="13" s="1"/>
  <c r="D8" i="13"/>
  <c r="T8" i="13" s="1"/>
  <c r="C8" i="13"/>
  <c r="L7" i="13"/>
  <c r="AB7" i="13" s="1"/>
  <c r="I7" i="13"/>
  <c r="H7" i="13"/>
  <c r="G7" i="13"/>
  <c r="F7" i="13"/>
  <c r="U7" i="13" s="1"/>
  <c r="V7" i="13" s="1"/>
  <c r="D7" i="13"/>
  <c r="T7" i="13" s="1"/>
  <c r="C7" i="13"/>
  <c r="L6" i="13"/>
  <c r="AB6" i="13" s="1"/>
  <c r="I6" i="13"/>
  <c r="H6" i="13"/>
  <c r="G6" i="13"/>
  <c r="F6" i="13"/>
  <c r="J6" i="13" s="1"/>
  <c r="D6" i="13"/>
  <c r="T6" i="13" s="1"/>
  <c r="C6" i="13"/>
  <c r="L5" i="13"/>
  <c r="AB5" i="13" s="1"/>
  <c r="I5" i="13"/>
  <c r="H5" i="13"/>
  <c r="G5" i="13"/>
  <c r="F5" i="13"/>
  <c r="U5" i="13" s="1"/>
  <c r="V5" i="13" s="1"/>
  <c r="D5" i="13"/>
  <c r="T5" i="13" s="1"/>
  <c r="C5" i="13"/>
  <c r="L4" i="13"/>
  <c r="AB4" i="13" s="1"/>
  <c r="I4" i="13"/>
  <c r="H4" i="13"/>
  <c r="G4" i="13"/>
  <c r="F4" i="13"/>
  <c r="J4" i="13" s="1"/>
  <c r="D4" i="13"/>
  <c r="T4" i="13" s="1"/>
  <c r="C4" i="13"/>
  <c r="L3" i="13"/>
  <c r="AB3" i="13" s="1"/>
  <c r="I3" i="13"/>
  <c r="H3" i="13"/>
  <c r="G3" i="13"/>
  <c r="F3" i="13"/>
  <c r="J3" i="13" s="1"/>
  <c r="D3" i="13"/>
  <c r="T3" i="13" s="1"/>
  <c r="C3" i="13"/>
  <c r="D36" i="87"/>
  <c r="G36" i="87" s="1"/>
  <c r="D35" i="87"/>
  <c r="G35" i="87" s="1"/>
  <c r="D34" i="87"/>
  <c r="G34" i="87" s="1"/>
  <c r="D33" i="87"/>
  <c r="G33" i="87" s="1"/>
  <c r="D32" i="87"/>
  <c r="G32" i="87" s="1"/>
  <c r="D31" i="87"/>
  <c r="G31" i="87" s="1"/>
  <c r="D30" i="87"/>
  <c r="G30" i="87" s="1"/>
  <c r="D29" i="87"/>
  <c r="G29" i="87" s="1"/>
  <c r="D28" i="87"/>
  <c r="G28" i="87" s="1"/>
  <c r="D27" i="87"/>
  <c r="G27" i="87" s="1"/>
  <c r="D26" i="87"/>
  <c r="G26" i="87" s="1"/>
  <c r="D25" i="87"/>
  <c r="G25" i="87" s="1"/>
  <c r="D24" i="87"/>
  <c r="G24" i="87" s="1"/>
  <c r="D23" i="87"/>
  <c r="G23" i="87" s="1"/>
  <c r="D22" i="87"/>
  <c r="G22" i="87" s="1"/>
  <c r="D21" i="87"/>
  <c r="G21" i="87" s="1"/>
  <c r="D20" i="87"/>
  <c r="G20" i="87" s="1"/>
  <c r="D19" i="87"/>
  <c r="G19" i="87" s="1"/>
  <c r="D18" i="87"/>
  <c r="G18" i="87" s="1"/>
  <c r="D17" i="87"/>
  <c r="G17" i="87" s="1"/>
  <c r="D16" i="87"/>
  <c r="G16" i="87" s="1"/>
  <c r="D15" i="87"/>
  <c r="G15" i="87" s="1"/>
  <c r="D14" i="87"/>
  <c r="G14" i="87" s="1"/>
  <c r="D13" i="87"/>
  <c r="G13" i="87" s="1"/>
  <c r="D12" i="87"/>
  <c r="G12" i="87" s="1"/>
  <c r="D11" i="87"/>
  <c r="G11" i="87" s="1"/>
  <c r="D10" i="87"/>
  <c r="G10" i="87" s="1"/>
  <c r="D9" i="87"/>
  <c r="G9" i="87" s="1"/>
  <c r="D8" i="87"/>
  <c r="G8" i="87" s="1"/>
  <c r="D7" i="87"/>
  <c r="G7" i="87" s="1"/>
  <c r="D6" i="87"/>
  <c r="G6" i="87" s="1"/>
  <c r="D5" i="87"/>
  <c r="G5" i="87" s="1"/>
  <c r="AH69" i="64" l="1"/>
  <c r="AH67" i="64"/>
  <c r="AJ108" i="64"/>
  <c r="AV122" i="64"/>
  <c r="AS162" i="64"/>
  <c r="AV162" i="64" s="1"/>
  <c r="AJ38" i="64"/>
  <c r="AI68" i="64"/>
  <c r="X118" i="64"/>
  <c r="AH117" i="64"/>
  <c r="AI118" i="64"/>
  <c r="X124" i="64"/>
  <c r="AB122" i="64" s="1"/>
  <c r="AN159" i="64"/>
  <c r="AN157" i="64"/>
  <c r="AP158" i="64" s="1"/>
  <c r="AO158" i="64"/>
  <c r="AH77" i="64"/>
  <c r="AI78" i="64"/>
  <c r="AH54" i="64"/>
  <c r="AH52" i="64"/>
  <c r="X109" i="64"/>
  <c r="AB107" i="64" s="1"/>
  <c r="AT107" i="64"/>
  <c r="AS107" i="64"/>
  <c r="AV107" i="64" s="1"/>
  <c r="AN124" i="64"/>
  <c r="AO123" i="64"/>
  <c r="X9" i="64"/>
  <c r="AT7" i="64"/>
  <c r="X8" i="64"/>
  <c r="AS7" i="64"/>
  <c r="AO13" i="64"/>
  <c r="AN14" i="64"/>
  <c r="AP13" i="64" s="1"/>
  <c r="AN12" i="64"/>
  <c r="AI53" i="64"/>
  <c r="AV137" i="64"/>
  <c r="X164" i="64"/>
  <c r="X163" i="64"/>
  <c r="AS167" i="64"/>
  <c r="AV167" i="64" s="1"/>
  <c r="AN59" i="64"/>
  <c r="AN57" i="64"/>
  <c r="AN114" i="64"/>
  <c r="AN112" i="64"/>
  <c r="AP113" i="64" s="1"/>
  <c r="AJ63" i="64"/>
  <c r="AH17" i="64"/>
  <c r="AJ18" i="64" s="1"/>
  <c r="AH19" i="64"/>
  <c r="AI18" i="64"/>
  <c r="AO8" i="64"/>
  <c r="AN9" i="64"/>
  <c r="AN7" i="64"/>
  <c r="AN34" i="64"/>
  <c r="AP33" i="64" s="1"/>
  <c r="AN32" i="64"/>
  <c r="AO58" i="64"/>
  <c r="AN72" i="64"/>
  <c r="AN74" i="64"/>
  <c r="AO73" i="64"/>
  <c r="AH79" i="64"/>
  <c r="AT122" i="64"/>
  <c r="X134" i="64"/>
  <c r="AC133" i="64" s="1"/>
  <c r="X133" i="64"/>
  <c r="AU132" i="64"/>
  <c r="X154" i="64"/>
  <c r="AB152" i="64" s="1"/>
  <c r="AT152" i="64"/>
  <c r="AS152" i="64"/>
  <c r="X13" i="64"/>
  <c r="X18" i="64"/>
  <c r="AJ33" i="64"/>
  <c r="AJ48" i="64"/>
  <c r="AO53" i="64"/>
  <c r="AO68" i="64"/>
  <c r="AT72" i="64"/>
  <c r="X83" i="64"/>
  <c r="AH134" i="64"/>
  <c r="AJ163" i="64"/>
  <c r="X169" i="64"/>
  <c r="AB167" i="64" s="1"/>
  <c r="AT12" i="64"/>
  <c r="AT22" i="64"/>
  <c r="AO28" i="64"/>
  <c r="AU32" i="64"/>
  <c r="AU47" i="64"/>
  <c r="AS52" i="64"/>
  <c r="AV52" i="64" s="1"/>
  <c r="X63" i="64"/>
  <c r="AU62" i="64"/>
  <c r="X68" i="64"/>
  <c r="AS77" i="64"/>
  <c r="AT82" i="64"/>
  <c r="X84" i="64"/>
  <c r="AC83" i="64" s="1"/>
  <c r="X104" i="64"/>
  <c r="AB102" i="64" s="1"/>
  <c r="AS102" i="64"/>
  <c r="AT112" i="64"/>
  <c r="AJ123" i="64"/>
  <c r="X123" i="64"/>
  <c r="AO128" i="64"/>
  <c r="X149" i="64"/>
  <c r="AB149" i="64" s="1"/>
  <c r="AS147" i="64"/>
  <c r="AT157" i="64"/>
  <c r="AH169" i="64"/>
  <c r="AJ168" i="64" s="1"/>
  <c r="AO23" i="64"/>
  <c r="AP23" i="64" s="1"/>
  <c r="X29" i="64"/>
  <c r="AP28" i="64"/>
  <c r="X48" i="64"/>
  <c r="AT52" i="64"/>
  <c r="X54" i="64"/>
  <c r="AC53" i="64" s="1"/>
  <c r="AT67" i="64"/>
  <c r="X69" i="64"/>
  <c r="AC68" i="64" s="1"/>
  <c r="AT92" i="64"/>
  <c r="X168" i="64"/>
  <c r="AT17" i="64"/>
  <c r="AN17" i="64"/>
  <c r="AS22" i="64"/>
  <c r="AT27" i="64"/>
  <c r="X33" i="64"/>
  <c r="AO38" i="64"/>
  <c r="X44" i="64"/>
  <c r="AB44" i="64" s="1"/>
  <c r="AT42" i="64"/>
  <c r="AU67" i="64"/>
  <c r="AP88" i="64"/>
  <c r="AO88" i="64"/>
  <c r="AJ93" i="64"/>
  <c r="AO98" i="64"/>
  <c r="AJ103" i="64"/>
  <c r="X119" i="64"/>
  <c r="AS117" i="64"/>
  <c r="AT127" i="64"/>
  <c r="AN127" i="64"/>
  <c r="AP128" i="64" s="1"/>
  <c r="AI133" i="64"/>
  <c r="AJ133" i="64" s="1"/>
  <c r="AJ138" i="64"/>
  <c r="AO143" i="64"/>
  <c r="AJ148" i="64"/>
  <c r="AB147" i="64"/>
  <c r="AC148" i="64"/>
  <c r="AP143" i="64"/>
  <c r="AB104" i="64"/>
  <c r="AC103" i="64"/>
  <c r="AB119" i="64"/>
  <c r="AB117" i="64"/>
  <c r="AC118" i="64"/>
  <c r="AB164" i="64"/>
  <c r="AB162" i="64"/>
  <c r="AC163" i="64"/>
  <c r="AP98" i="64"/>
  <c r="AB134" i="64"/>
  <c r="AB132" i="64"/>
  <c r="AI128" i="64"/>
  <c r="AT102" i="64"/>
  <c r="AV102" i="64" s="1"/>
  <c r="AN104" i="64"/>
  <c r="AN107" i="64"/>
  <c r="AP108" i="64" s="1"/>
  <c r="AB109" i="64"/>
  <c r="AT117" i="64"/>
  <c r="AV117" i="64" s="1"/>
  <c r="AN119" i="64"/>
  <c r="AP118" i="64" s="1"/>
  <c r="AN122" i="64"/>
  <c r="AP123" i="64" s="1"/>
  <c r="AT132" i="64"/>
  <c r="AV132" i="64" s="1"/>
  <c r="AN134" i="64"/>
  <c r="AN137" i="64"/>
  <c r="AP138" i="64" s="1"/>
  <c r="AB139" i="64"/>
  <c r="AD137" i="64" s="1"/>
  <c r="AT147" i="64"/>
  <c r="AV147" i="64" s="1"/>
  <c r="AN149" i="64"/>
  <c r="AN152" i="64"/>
  <c r="AP153" i="64" s="1"/>
  <c r="AT162" i="64"/>
  <c r="AN164" i="64"/>
  <c r="AN167" i="64"/>
  <c r="AP168" i="64" s="1"/>
  <c r="AI98" i="64"/>
  <c r="AH97" i="64"/>
  <c r="X99" i="64"/>
  <c r="AH112" i="64"/>
  <c r="X114" i="64"/>
  <c r="AH127" i="64"/>
  <c r="X129" i="64"/>
  <c r="AH142" i="64"/>
  <c r="X144" i="64"/>
  <c r="AH157" i="64"/>
  <c r="AJ158" i="64" s="1"/>
  <c r="X159" i="64"/>
  <c r="AC108" i="64"/>
  <c r="AC138" i="64"/>
  <c r="AI143" i="64"/>
  <c r="AS97" i="64"/>
  <c r="AV97" i="64" s="1"/>
  <c r="X98" i="64"/>
  <c r="AO103" i="64"/>
  <c r="AS112" i="64"/>
  <c r="AV112" i="64" s="1"/>
  <c r="X113" i="64"/>
  <c r="AH114" i="64"/>
  <c r="AO118" i="64"/>
  <c r="AS127" i="64"/>
  <c r="AV127" i="64" s="1"/>
  <c r="X128" i="64"/>
  <c r="AO133" i="64"/>
  <c r="AP133" i="64" s="1"/>
  <c r="AS142" i="64"/>
  <c r="AV142" i="64" s="1"/>
  <c r="X143" i="64"/>
  <c r="AO148" i="64"/>
  <c r="AP148" i="64" s="1"/>
  <c r="AS157" i="64"/>
  <c r="AV157" i="64" s="1"/>
  <c r="X158" i="64"/>
  <c r="AO163" i="64"/>
  <c r="AP163" i="64" s="1"/>
  <c r="AB74" i="64"/>
  <c r="AB72" i="64"/>
  <c r="AD72" i="64" s="1"/>
  <c r="AC73" i="64"/>
  <c r="AV77" i="64"/>
  <c r="AB89" i="64"/>
  <c r="AC88" i="64"/>
  <c r="AB87" i="64"/>
  <c r="AV92" i="64"/>
  <c r="X78" i="64"/>
  <c r="X93" i="64"/>
  <c r="AB67" i="64"/>
  <c r="AS72" i="64"/>
  <c r="AV72" i="64" s="1"/>
  <c r="X73" i="64"/>
  <c r="AH74" i="64"/>
  <c r="AJ73" i="64" s="1"/>
  <c r="AO78" i="64"/>
  <c r="AP78" i="64" s="1"/>
  <c r="X79" i="64"/>
  <c r="AU82" i="64"/>
  <c r="AS87" i="64"/>
  <c r="AV87" i="64" s="1"/>
  <c r="X88" i="64"/>
  <c r="AH89" i="64"/>
  <c r="AO93" i="64"/>
  <c r="AP93" i="64" s="1"/>
  <c r="X94" i="64"/>
  <c r="AN67" i="64"/>
  <c r="AP68" i="64" s="1"/>
  <c r="AB69" i="64"/>
  <c r="AN82" i="64"/>
  <c r="AP83" i="64" s="1"/>
  <c r="AI88" i="64"/>
  <c r="AS67" i="64"/>
  <c r="AS82" i="64"/>
  <c r="AV82" i="64" s="1"/>
  <c r="AP48" i="64"/>
  <c r="AB59" i="64"/>
  <c r="AC58" i="64"/>
  <c r="AB57" i="64"/>
  <c r="AI43" i="64"/>
  <c r="AS47" i="64"/>
  <c r="AS62" i="64"/>
  <c r="AV62" i="64" s="1"/>
  <c r="AB37" i="64"/>
  <c r="AS42" i="64"/>
  <c r="X43" i="64"/>
  <c r="AH44" i="64"/>
  <c r="AO48" i="64"/>
  <c r="X49" i="64"/>
  <c r="AU52" i="64"/>
  <c r="AS57" i="64"/>
  <c r="AV57" i="64" s="1"/>
  <c r="X58" i="64"/>
  <c r="AH59" i="64"/>
  <c r="AO63" i="64"/>
  <c r="AP63" i="64" s="1"/>
  <c r="X64" i="64"/>
  <c r="AN37" i="64"/>
  <c r="AP38" i="64" s="1"/>
  <c r="AB39" i="64"/>
  <c r="AN52" i="64"/>
  <c r="AP53" i="64" s="1"/>
  <c r="AS37" i="64"/>
  <c r="AV37" i="64" s="1"/>
  <c r="X38" i="64"/>
  <c r="AO43" i="64"/>
  <c r="AP43" i="64" s="1"/>
  <c r="X53" i="64"/>
  <c r="AH57" i="64"/>
  <c r="AJ58" i="64" s="1"/>
  <c r="AB29" i="64"/>
  <c r="AB27" i="64"/>
  <c r="AC28" i="64"/>
  <c r="AV22" i="64"/>
  <c r="X23" i="64"/>
  <c r="AN24" i="64"/>
  <c r="AB22" i="64"/>
  <c r="AS27" i="64"/>
  <c r="AV27" i="64" s="1"/>
  <c r="X28" i="64"/>
  <c r="AH29" i="64"/>
  <c r="AO33" i="64"/>
  <c r="X34" i="64"/>
  <c r="AI28" i="64"/>
  <c r="AS32" i="64"/>
  <c r="AV32" i="64" s="1"/>
  <c r="AB24" i="64"/>
  <c r="AO18" i="64"/>
  <c r="X19" i="64"/>
  <c r="AS17" i="64"/>
  <c r="AH12" i="64"/>
  <c r="AJ13" i="64" s="1"/>
  <c r="X14" i="64"/>
  <c r="AS12" i="64"/>
  <c r="AV12" i="64" s="1"/>
  <c r="AJ8" i="64"/>
  <c r="AP8" i="64"/>
  <c r="U34" i="13"/>
  <c r="V34" i="13" s="1"/>
  <c r="U33" i="13"/>
  <c r="V33" i="13" s="1"/>
  <c r="U32" i="13"/>
  <c r="V32" i="13" s="1"/>
  <c r="U31" i="13"/>
  <c r="V31" i="13" s="1"/>
  <c r="U30" i="13"/>
  <c r="V30" i="13" s="1"/>
  <c r="U29" i="13"/>
  <c r="V29" i="13" s="1"/>
  <c r="U28" i="13"/>
  <c r="V28" i="13" s="1"/>
  <c r="J27" i="13"/>
  <c r="U26" i="13"/>
  <c r="V26" i="13" s="1"/>
  <c r="U25" i="13"/>
  <c r="V25" i="13" s="1"/>
  <c r="U24" i="13"/>
  <c r="V24" i="13" s="1"/>
  <c r="U23" i="13"/>
  <c r="V23" i="13" s="1"/>
  <c r="U22" i="13"/>
  <c r="V22" i="13" s="1"/>
  <c r="J21" i="13"/>
  <c r="U20" i="13"/>
  <c r="V20" i="13" s="1"/>
  <c r="U19" i="13"/>
  <c r="V19" i="13" s="1"/>
  <c r="U18" i="13"/>
  <c r="V18" i="13" s="1"/>
  <c r="U17" i="13"/>
  <c r="V17" i="13" s="1"/>
  <c r="J16" i="13"/>
  <c r="U15" i="13"/>
  <c r="V15" i="13" s="1"/>
  <c r="U14" i="13"/>
  <c r="V14" i="13" s="1"/>
  <c r="U13" i="13"/>
  <c r="V13" i="13" s="1"/>
  <c r="J12" i="13"/>
  <c r="J11" i="13"/>
  <c r="U10" i="13"/>
  <c r="V10" i="13" s="1"/>
  <c r="U9" i="13"/>
  <c r="V9" i="13" s="1"/>
  <c r="U8" i="13"/>
  <c r="V8" i="13" s="1"/>
  <c r="J7" i="13"/>
  <c r="U6" i="13"/>
  <c r="V6" i="13" s="1"/>
  <c r="J5" i="13"/>
  <c r="U4" i="13"/>
  <c r="V4" i="13" s="1"/>
  <c r="U3" i="13"/>
  <c r="V3" i="13" s="1"/>
  <c r="E5" i="87"/>
  <c r="H5" i="87" s="1"/>
  <c r="I5" i="87"/>
  <c r="E6" i="87"/>
  <c r="H6" i="87" s="1"/>
  <c r="I6" i="87"/>
  <c r="E7" i="87"/>
  <c r="H7" i="87" s="1"/>
  <c r="I7" i="87"/>
  <c r="E8" i="87"/>
  <c r="H8" i="87" s="1"/>
  <c r="I8" i="87"/>
  <c r="E9" i="87"/>
  <c r="H9" i="87" s="1"/>
  <c r="I9" i="87"/>
  <c r="E10" i="87"/>
  <c r="H10" i="87" s="1"/>
  <c r="I10" i="87"/>
  <c r="E11" i="87"/>
  <c r="H11" i="87" s="1"/>
  <c r="I11" i="87"/>
  <c r="E12" i="87"/>
  <c r="H12" i="87" s="1"/>
  <c r="I12" i="87"/>
  <c r="E13" i="87"/>
  <c r="H13" i="87" s="1"/>
  <c r="I13" i="87"/>
  <c r="E14" i="87"/>
  <c r="H14" i="87" s="1"/>
  <c r="I14" i="87"/>
  <c r="E15" i="87"/>
  <c r="H15" i="87" s="1"/>
  <c r="I15" i="87"/>
  <c r="E16" i="87"/>
  <c r="H16" i="87" s="1"/>
  <c r="I16" i="87"/>
  <c r="E17" i="87"/>
  <c r="H17" i="87" s="1"/>
  <c r="I17" i="87"/>
  <c r="E18" i="87"/>
  <c r="H18" i="87" s="1"/>
  <c r="I18" i="87"/>
  <c r="E19" i="87"/>
  <c r="H19" i="87" s="1"/>
  <c r="I19" i="87"/>
  <c r="E20" i="87"/>
  <c r="H20" i="87" s="1"/>
  <c r="I20" i="87"/>
  <c r="E21" i="87"/>
  <c r="H21" i="87" s="1"/>
  <c r="I21" i="87"/>
  <c r="E22" i="87"/>
  <c r="H22" i="87" s="1"/>
  <c r="I22" i="87"/>
  <c r="E23" i="87"/>
  <c r="H23" i="87" s="1"/>
  <c r="I23" i="87"/>
  <c r="E24" i="87"/>
  <c r="H24" i="87" s="1"/>
  <c r="I24" i="87"/>
  <c r="E25" i="87"/>
  <c r="H25" i="87" s="1"/>
  <c r="I25" i="87"/>
  <c r="E26" i="87"/>
  <c r="H26" i="87" s="1"/>
  <c r="I26" i="87"/>
  <c r="E27" i="87"/>
  <c r="H27" i="87" s="1"/>
  <c r="I27" i="87"/>
  <c r="E28" i="87"/>
  <c r="H28" i="87" s="1"/>
  <c r="I28" i="87"/>
  <c r="E29" i="87"/>
  <c r="H29" i="87" s="1"/>
  <c r="I29" i="87"/>
  <c r="E30" i="87"/>
  <c r="H30" i="87" s="1"/>
  <c r="I30" i="87"/>
  <c r="E31" i="87"/>
  <c r="H31" i="87" s="1"/>
  <c r="I31" i="87"/>
  <c r="E32" i="87"/>
  <c r="H32" i="87" s="1"/>
  <c r="I32" i="87"/>
  <c r="E33" i="87"/>
  <c r="H33" i="87" s="1"/>
  <c r="I33" i="87"/>
  <c r="E34" i="87"/>
  <c r="H34" i="87" s="1"/>
  <c r="I34" i="87"/>
  <c r="E35" i="87"/>
  <c r="H35" i="87" s="1"/>
  <c r="I35" i="87"/>
  <c r="E36" i="87"/>
  <c r="H36" i="87" s="1"/>
  <c r="I36" i="87"/>
  <c r="F5" i="87"/>
  <c r="F6" i="87"/>
  <c r="F7" i="87"/>
  <c r="F8" i="87"/>
  <c r="F9" i="87"/>
  <c r="F10" i="87"/>
  <c r="F11" i="87"/>
  <c r="F12" i="87"/>
  <c r="F13" i="87"/>
  <c r="F14" i="87"/>
  <c r="F15" i="87"/>
  <c r="F16" i="87"/>
  <c r="F17" i="87"/>
  <c r="F18" i="87"/>
  <c r="F19" i="87"/>
  <c r="F20" i="87"/>
  <c r="F21" i="87"/>
  <c r="F22" i="87"/>
  <c r="F23" i="87"/>
  <c r="F24" i="87"/>
  <c r="F25" i="87"/>
  <c r="F26" i="87"/>
  <c r="F27" i="87"/>
  <c r="F28" i="87"/>
  <c r="F29" i="87"/>
  <c r="F30" i="87"/>
  <c r="F31" i="87"/>
  <c r="F32" i="87"/>
  <c r="F33" i="87"/>
  <c r="F34" i="87"/>
  <c r="F35" i="87"/>
  <c r="F36" i="87"/>
  <c r="AB54" i="64" l="1"/>
  <c r="AV47" i="64"/>
  <c r="AD87" i="64"/>
  <c r="AJ128" i="64"/>
  <c r="AB169" i="64"/>
  <c r="AB124" i="64"/>
  <c r="AV152" i="64"/>
  <c r="AC8" i="64"/>
  <c r="AB9" i="64"/>
  <c r="AB7" i="64"/>
  <c r="AD7" i="64" s="1"/>
  <c r="AJ53" i="64"/>
  <c r="AV67" i="64"/>
  <c r="AC168" i="64"/>
  <c r="AV17" i="64"/>
  <c r="AV42" i="64"/>
  <c r="AB42" i="64"/>
  <c r="AC153" i="64"/>
  <c r="AD152" i="64" s="1"/>
  <c r="AV7" i="64"/>
  <c r="AJ78" i="64"/>
  <c r="AJ118" i="64"/>
  <c r="AJ43" i="64"/>
  <c r="AB82" i="64"/>
  <c r="AD27" i="64"/>
  <c r="AB52" i="64"/>
  <c r="AD37" i="64"/>
  <c r="AC43" i="64"/>
  <c r="AB84" i="64"/>
  <c r="AJ88" i="64"/>
  <c r="AP103" i="64"/>
  <c r="AB154" i="64"/>
  <c r="AD107" i="64"/>
  <c r="AP73" i="64"/>
  <c r="AJ68" i="64"/>
  <c r="AJ113" i="64"/>
  <c r="AP18" i="64"/>
  <c r="AJ28" i="64"/>
  <c r="AC123" i="64"/>
  <c r="AD122" i="64" s="1"/>
  <c r="AP58" i="64"/>
  <c r="AC128" i="64"/>
  <c r="AB129" i="64"/>
  <c r="AB127" i="64"/>
  <c r="AD127" i="64" s="1"/>
  <c r="AC113" i="64"/>
  <c r="AB114" i="64"/>
  <c r="AB112" i="64"/>
  <c r="AD112" i="64" s="1"/>
  <c r="AD162" i="64"/>
  <c r="AD117" i="64"/>
  <c r="AD147" i="64"/>
  <c r="AC143" i="64"/>
  <c r="AB144" i="64"/>
  <c r="AB142" i="64"/>
  <c r="AD142" i="64" s="1"/>
  <c r="AC98" i="64"/>
  <c r="AB99" i="64"/>
  <c r="AB97" i="64"/>
  <c r="AD97" i="64" s="1"/>
  <c r="AJ143" i="64"/>
  <c r="AJ98" i="64"/>
  <c r="AD132" i="64"/>
  <c r="AD102" i="64"/>
  <c r="AC158" i="64"/>
  <c r="AB159" i="64"/>
  <c r="AB157" i="64"/>
  <c r="AB94" i="64"/>
  <c r="AB92" i="64"/>
  <c r="AC93" i="64"/>
  <c r="AD82" i="64"/>
  <c r="AD67" i="64"/>
  <c r="AB77" i="64"/>
  <c r="AC78" i="64"/>
  <c r="AB79" i="64"/>
  <c r="AB47" i="64"/>
  <c r="AB49" i="64"/>
  <c r="AC48" i="64"/>
  <c r="AB62" i="64"/>
  <c r="AC63" i="64"/>
  <c r="AB64" i="64"/>
  <c r="AD57" i="64"/>
  <c r="AD42" i="64"/>
  <c r="AD22" i="64"/>
  <c r="AB34" i="64"/>
  <c r="AC33" i="64"/>
  <c r="AB32" i="64"/>
  <c r="AD32" i="64" s="1"/>
  <c r="AB17" i="64"/>
  <c r="AC18" i="64"/>
  <c r="AB19" i="64"/>
  <c r="AB14" i="64"/>
  <c r="AB12" i="64"/>
  <c r="AC13" i="64"/>
  <c r="J7" i="87"/>
  <c r="K8" i="87" s="1"/>
  <c r="J10" i="87"/>
  <c r="K11" i="87" s="1"/>
  <c r="J36" i="87"/>
  <c r="J20" i="87"/>
  <c r="K21" i="87" s="1"/>
  <c r="J17" i="87"/>
  <c r="K18" i="87" s="1"/>
  <c r="J29" i="87"/>
  <c r="K30" i="87" s="1"/>
  <c r="J26" i="87"/>
  <c r="K27" i="87" s="1"/>
  <c r="J23" i="87"/>
  <c r="K24" i="87" s="1"/>
  <c r="J32" i="87"/>
  <c r="K33" i="87" s="1"/>
  <c r="J16" i="87"/>
  <c r="K17" i="87" s="1"/>
  <c r="J35" i="87"/>
  <c r="K36" i="87" s="1"/>
  <c r="J19" i="87"/>
  <c r="K20" i="87" s="1"/>
  <c r="J25" i="87"/>
  <c r="K26" i="87" s="1"/>
  <c r="J22" i="87"/>
  <c r="K23" i="87" s="1"/>
  <c r="J6" i="87"/>
  <c r="K7" i="87" s="1"/>
  <c r="J13" i="87"/>
  <c r="K14" i="87" s="1"/>
  <c r="J28" i="87"/>
  <c r="K29" i="87" s="1"/>
  <c r="J12" i="87"/>
  <c r="K13" i="87" s="1"/>
  <c r="J31" i="87"/>
  <c r="K32" i="87" s="1"/>
  <c r="J15" i="87"/>
  <c r="K16" i="87" s="1"/>
  <c r="J34" i="87"/>
  <c r="K35" i="87" s="1"/>
  <c r="J18" i="87"/>
  <c r="K19" i="87" s="1"/>
  <c r="J33" i="87"/>
  <c r="K34" i="87" s="1"/>
  <c r="J9" i="87"/>
  <c r="K10" i="87" s="1"/>
  <c r="J24" i="87"/>
  <c r="K25" i="87" s="1"/>
  <c r="J8" i="87"/>
  <c r="K9" i="87" s="1"/>
  <c r="J27" i="87"/>
  <c r="K28" i="87" s="1"/>
  <c r="J11" i="87"/>
  <c r="K12" i="87" s="1"/>
  <c r="J30" i="87"/>
  <c r="K31" i="87" s="1"/>
  <c r="J14" i="87"/>
  <c r="K15" i="87" s="1"/>
  <c r="J21" i="87"/>
  <c r="K22" i="87" s="1"/>
  <c r="J5" i="87"/>
  <c r="K6" i="87" s="1"/>
  <c r="AD52" i="64" l="1"/>
  <c r="AD167" i="64"/>
  <c r="AD157" i="64"/>
  <c r="AD92" i="64"/>
  <c r="AD77" i="64"/>
  <c r="AD47" i="64"/>
  <c r="AD62" i="64"/>
  <c r="AD17" i="64"/>
  <c r="AD12" i="64"/>
  <c r="BU172" i="59"/>
  <c r="BT172" i="59"/>
  <c r="BS172" i="59"/>
  <c r="BR172" i="59"/>
  <c r="BQ172" i="59"/>
  <c r="BP172" i="59"/>
  <c r="BO172" i="59"/>
  <c r="BN172" i="59"/>
  <c r="BM172" i="59"/>
  <c r="BL172" i="59"/>
  <c r="BK172" i="59"/>
  <c r="BJ172" i="59"/>
  <c r="BI172" i="59"/>
  <c r="BH172" i="59"/>
  <c r="BG172" i="59"/>
  <c r="BF172" i="59"/>
  <c r="BE172" i="59"/>
  <c r="BD172" i="59"/>
  <c r="BC172" i="59"/>
  <c r="BB172" i="59"/>
  <c r="BA172" i="59"/>
  <c r="AZ172" i="59"/>
  <c r="AY172" i="59"/>
  <c r="AX172" i="59"/>
  <c r="AW172" i="59"/>
  <c r="AV172" i="59"/>
  <c r="AU172" i="59"/>
  <c r="AT172" i="59"/>
  <c r="AS172" i="59"/>
  <c r="AR172" i="59"/>
  <c r="AQ172" i="59"/>
  <c r="AP172" i="59"/>
  <c r="AO172" i="59"/>
  <c r="AN172" i="59"/>
  <c r="AM172" i="59"/>
  <c r="AL172" i="59"/>
  <c r="AK172" i="59"/>
  <c r="AJ172" i="59"/>
  <c r="AI172" i="59"/>
  <c r="AH172" i="59"/>
  <c r="AG172" i="59"/>
  <c r="AF172" i="59"/>
  <c r="AE172" i="59"/>
  <c r="AD172" i="59"/>
  <c r="AC172" i="59"/>
  <c r="AB172" i="59"/>
  <c r="AA172" i="59"/>
  <c r="Z172" i="59"/>
  <c r="Y172" i="59"/>
  <c r="X172" i="59"/>
  <c r="W172" i="59"/>
  <c r="V172" i="59"/>
  <c r="U172" i="59"/>
  <c r="T172" i="59"/>
  <c r="S172" i="59"/>
  <c r="R172" i="59"/>
  <c r="Q172" i="59"/>
  <c r="P172" i="59"/>
  <c r="O172" i="59"/>
  <c r="N172" i="59"/>
  <c r="M172" i="59"/>
  <c r="L172" i="59"/>
  <c r="BW170" i="59"/>
  <c r="BV170" i="59"/>
  <c r="BW169" i="59"/>
  <c r="BV169" i="59"/>
  <c r="L169" i="64" s="1"/>
  <c r="BW168" i="59"/>
  <c r="BV168" i="59"/>
  <c r="BW167" i="59"/>
  <c r="BV167" i="59"/>
  <c r="L167" i="64" s="1"/>
  <c r="BW166" i="59"/>
  <c r="BV166" i="59"/>
  <c r="BW165" i="59"/>
  <c r="BV165" i="59"/>
  <c r="BW164" i="59"/>
  <c r="BV164" i="59"/>
  <c r="BW163" i="59"/>
  <c r="BV163" i="59"/>
  <c r="BW162" i="59"/>
  <c r="BV162" i="59"/>
  <c r="BW161" i="59"/>
  <c r="BV161" i="59"/>
  <c r="BW160" i="59"/>
  <c r="BV160" i="59"/>
  <c r="BW159" i="59"/>
  <c r="M159" i="64" s="1"/>
  <c r="BV159" i="59"/>
  <c r="L159" i="64" s="1"/>
  <c r="BW158" i="59"/>
  <c r="BV158" i="59"/>
  <c r="BW157" i="59"/>
  <c r="M157" i="64" s="1"/>
  <c r="BV157" i="59"/>
  <c r="L157" i="64" s="1"/>
  <c r="BW156" i="59"/>
  <c r="BV156" i="59"/>
  <c r="BW155" i="59"/>
  <c r="BV155" i="59"/>
  <c r="BW154" i="59"/>
  <c r="BV154" i="59"/>
  <c r="L154" i="64" s="1"/>
  <c r="BW153" i="59"/>
  <c r="BV153" i="59"/>
  <c r="BW152" i="59"/>
  <c r="BV152" i="59"/>
  <c r="L152" i="64" s="1"/>
  <c r="BW151" i="59"/>
  <c r="BV151" i="59"/>
  <c r="BW150" i="59"/>
  <c r="BV150" i="59"/>
  <c r="BW149" i="59"/>
  <c r="BV149" i="59"/>
  <c r="BW148" i="59"/>
  <c r="BV148" i="59"/>
  <c r="BW147" i="59"/>
  <c r="BV147" i="59"/>
  <c r="BW146" i="59"/>
  <c r="BV146" i="59"/>
  <c r="BW145" i="59"/>
  <c r="BV145" i="59"/>
  <c r="BW144" i="59"/>
  <c r="BV144" i="59"/>
  <c r="L144" i="64" s="1"/>
  <c r="BW143" i="59"/>
  <c r="BV143" i="59"/>
  <c r="BW142" i="59"/>
  <c r="BV142" i="59"/>
  <c r="L142" i="64" s="1"/>
  <c r="BW141" i="59"/>
  <c r="BV141" i="59"/>
  <c r="BW140" i="59"/>
  <c r="BV140" i="59"/>
  <c r="BW139" i="59"/>
  <c r="BV139" i="59"/>
  <c r="L139" i="64" s="1"/>
  <c r="BW138" i="59"/>
  <c r="BV138" i="59"/>
  <c r="BW137" i="59"/>
  <c r="BV137" i="59"/>
  <c r="L137" i="64" s="1"/>
  <c r="BW136" i="59"/>
  <c r="BV136" i="59"/>
  <c r="BW135" i="59"/>
  <c r="BV135" i="59"/>
  <c r="L135" i="64" s="1"/>
  <c r="BW134" i="59"/>
  <c r="M134" i="64" s="1"/>
  <c r="BV134" i="59"/>
  <c r="L134" i="64" s="1"/>
  <c r="BW133" i="59"/>
  <c r="BV133" i="59"/>
  <c r="BW132" i="59"/>
  <c r="M132" i="64" s="1"/>
  <c r="BV132" i="59"/>
  <c r="L132" i="64" s="1"/>
  <c r="BW131" i="59"/>
  <c r="BV131" i="59"/>
  <c r="BW130" i="59"/>
  <c r="BV130" i="59"/>
  <c r="BW129" i="59"/>
  <c r="BV129" i="59"/>
  <c r="L129" i="64" s="1"/>
  <c r="BW128" i="59"/>
  <c r="BV128" i="59"/>
  <c r="BW127" i="59"/>
  <c r="BV127" i="59"/>
  <c r="L127" i="64" s="1"/>
  <c r="BW126" i="59"/>
  <c r="BV126" i="59"/>
  <c r="BW125" i="59"/>
  <c r="BV125" i="59"/>
  <c r="BW124" i="59"/>
  <c r="M124" i="64" s="1"/>
  <c r="BV124" i="59"/>
  <c r="L124" i="64" s="1"/>
  <c r="BW123" i="59"/>
  <c r="BV123" i="59"/>
  <c r="BW122" i="59"/>
  <c r="M122" i="64" s="1"/>
  <c r="BV122" i="59"/>
  <c r="L122" i="64" s="1"/>
  <c r="BW121" i="59"/>
  <c r="BV121" i="59"/>
  <c r="BW120" i="59"/>
  <c r="BV120" i="59"/>
  <c r="BW119" i="59"/>
  <c r="BV119" i="59"/>
  <c r="L119" i="64" s="1"/>
  <c r="BW118" i="59"/>
  <c r="BV118" i="59"/>
  <c r="BW117" i="59"/>
  <c r="BV117" i="59"/>
  <c r="L117" i="64" s="1"/>
  <c r="BW116" i="59"/>
  <c r="BV116" i="59"/>
  <c r="BW115" i="59"/>
  <c r="BV115" i="59"/>
  <c r="BW114" i="59"/>
  <c r="BV114" i="59"/>
  <c r="L114" i="64" s="1"/>
  <c r="BW113" i="59"/>
  <c r="BV113" i="59"/>
  <c r="BW112" i="59"/>
  <c r="BV112" i="59"/>
  <c r="L112" i="64" s="1"/>
  <c r="BW111" i="59"/>
  <c r="BV111" i="59"/>
  <c r="BW110" i="59"/>
  <c r="BV110" i="59"/>
  <c r="BW109" i="59"/>
  <c r="BV109" i="59"/>
  <c r="L109" i="64" s="1"/>
  <c r="BW108" i="59"/>
  <c r="BV108" i="59"/>
  <c r="BW107" i="59"/>
  <c r="BV107" i="59"/>
  <c r="L107" i="64" s="1"/>
  <c r="BW106" i="59"/>
  <c r="BV106" i="59"/>
  <c r="BW105" i="59"/>
  <c r="BV105" i="59"/>
  <c r="BW104" i="59"/>
  <c r="BV104" i="59"/>
  <c r="BW103" i="59"/>
  <c r="BV103" i="59"/>
  <c r="BW102" i="59"/>
  <c r="BV102" i="59"/>
  <c r="BW101" i="59"/>
  <c r="BV101" i="59"/>
  <c r="BW100" i="59"/>
  <c r="BV100" i="59"/>
  <c r="BW99" i="59"/>
  <c r="BV99" i="59"/>
  <c r="BW98" i="59"/>
  <c r="BV98" i="59"/>
  <c r="BW97" i="59"/>
  <c r="BV97" i="59"/>
  <c r="BW96" i="59"/>
  <c r="BV96" i="59"/>
  <c r="BW95" i="59"/>
  <c r="BV95" i="59"/>
  <c r="BW94" i="59"/>
  <c r="BV94" i="59"/>
  <c r="L94" i="64" s="1"/>
  <c r="BW93" i="59"/>
  <c r="BV93" i="59"/>
  <c r="BW92" i="59"/>
  <c r="BV92" i="59"/>
  <c r="L92" i="64" s="1"/>
  <c r="BW91" i="59"/>
  <c r="BV91" i="59"/>
  <c r="BW90" i="59"/>
  <c r="BV90" i="59"/>
  <c r="BW89" i="59"/>
  <c r="BV89" i="59"/>
  <c r="L89" i="64" s="1"/>
  <c r="BW88" i="59"/>
  <c r="BV88" i="59"/>
  <c r="BW87" i="59"/>
  <c r="BV87" i="59"/>
  <c r="L87" i="64" s="1"/>
  <c r="BW86" i="59"/>
  <c r="BV86" i="59"/>
  <c r="BW85" i="59"/>
  <c r="BV85" i="59"/>
  <c r="BW84" i="59"/>
  <c r="BV84" i="59"/>
  <c r="L84" i="64" s="1"/>
  <c r="BW83" i="59"/>
  <c r="BV83" i="59"/>
  <c r="BW82" i="59"/>
  <c r="BV82" i="59"/>
  <c r="L82" i="64" s="1"/>
  <c r="BW81" i="59"/>
  <c r="BV81" i="59"/>
  <c r="BW80" i="59"/>
  <c r="BV80" i="59"/>
  <c r="BW79" i="59"/>
  <c r="BV79" i="59"/>
  <c r="BW78" i="59"/>
  <c r="BV78" i="59"/>
  <c r="BW77" i="59"/>
  <c r="BV77" i="59"/>
  <c r="BW76" i="59"/>
  <c r="BV76" i="59"/>
  <c r="BW75" i="59"/>
  <c r="BV75" i="59"/>
  <c r="BW74" i="59"/>
  <c r="BV74" i="59"/>
  <c r="L74" i="64" s="1"/>
  <c r="BW73" i="59"/>
  <c r="BV73" i="59"/>
  <c r="BW72" i="59"/>
  <c r="BV72" i="59"/>
  <c r="L72" i="64" s="1"/>
  <c r="BW71" i="59"/>
  <c r="BV71" i="59"/>
  <c r="BW70" i="59"/>
  <c r="BV70" i="59"/>
  <c r="BW69" i="59"/>
  <c r="BV69" i="59"/>
  <c r="BW68" i="59"/>
  <c r="BV68" i="59"/>
  <c r="BW67" i="59"/>
  <c r="BV67" i="59"/>
  <c r="BW66" i="59"/>
  <c r="BV66" i="59"/>
  <c r="BW65" i="59"/>
  <c r="BV65" i="59"/>
  <c r="BW64" i="59"/>
  <c r="BV64" i="59"/>
  <c r="L64" i="64" s="1"/>
  <c r="BW63" i="59"/>
  <c r="BV63" i="59"/>
  <c r="BW62" i="59"/>
  <c r="BV62" i="59"/>
  <c r="L62" i="64" s="1"/>
  <c r="BW61" i="59"/>
  <c r="BV61" i="59"/>
  <c r="BW60" i="59"/>
  <c r="BV60" i="59"/>
  <c r="BW59" i="59"/>
  <c r="BV59" i="59"/>
  <c r="BW58" i="59"/>
  <c r="BV58" i="59"/>
  <c r="BW57" i="59"/>
  <c r="BV57" i="59"/>
  <c r="BW56" i="59"/>
  <c r="BV56" i="59"/>
  <c r="BW55" i="59"/>
  <c r="BV55" i="59"/>
  <c r="BW54" i="59"/>
  <c r="BV54" i="59"/>
  <c r="BW53" i="59"/>
  <c r="BV53" i="59"/>
  <c r="BW52" i="59"/>
  <c r="BV52" i="59"/>
  <c r="BW51" i="59"/>
  <c r="BV51" i="59"/>
  <c r="BW50" i="59"/>
  <c r="BV50" i="59"/>
  <c r="BW49" i="59"/>
  <c r="BV49" i="59"/>
  <c r="L49" i="64" s="1"/>
  <c r="BW48" i="59"/>
  <c r="BV48" i="59"/>
  <c r="BW47" i="59"/>
  <c r="BV47" i="59"/>
  <c r="L47" i="64" s="1"/>
  <c r="BW46" i="59"/>
  <c r="BV46" i="59"/>
  <c r="BW45" i="59"/>
  <c r="BV45" i="59"/>
  <c r="BW44" i="59"/>
  <c r="BV44" i="59"/>
  <c r="L44" i="64" s="1"/>
  <c r="BW43" i="59"/>
  <c r="BV43" i="59"/>
  <c r="BW42" i="59"/>
  <c r="BV42" i="59"/>
  <c r="L42" i="64" s="1"/>
  <c r="BW41" i="59"/>
  <c r="BV41" i="59"/>
  <c r="BW40" i="59"/>
  <c r="BV40" i="59"/>
  <c r="BW39" i="59"/>
  <c r="BV39" i="59"/>
  <c r="BW38" i="59"/>
  <c r="BV38" i="59"/>
  <c r="BW37" i="59"/>
  <c r="BV37" i="59"/>
  <c r="BW36" i="59"/>
  <c r="BV36" i="59"/>
  <c r="BW35" i="59"/>
  <c r="BV35" i="59"/>
  <c r="BW34" i="59"/>
  <c r="BV34" i="59"/>
  <c r="L34" i="64" s="1"/>
  <c r="BW33" i="59"/>
  <c r="BV33" i="59"/>
  <c r="BW32" i="59"/>
  <c r="BV32" i="59"/>
  <c r="L32" i="64" s="1"/>
  <c r="BW31" i="59"/>
  <c r="BV31" i="59"/>
  <c r="BW30" i="59"/>
  <c r="BV30" i="59"/>
  <c r="BW29" i="59"/>
  <c r="BV29" i="59"/>
  <c r="BW28" i="59"/>
  <c r="BV28" i="59"/>
  <c r="BW27" i="59"/>
  <c r="BV27" i="59"/>
  <c r="BW26" i="59"/>
  <c r="BV26" i="59"/>
  <c r="BW25" i="59"/>
  <c r="BV25" i="59"/>
  <c r="BW24" i="59"/>
  <c r="BV24" i="59"/>
  <c r="BW23" i="59"/>
  <c r="BV23" i="59"/>
  <c r="BW22" i="59"/>
  <c r="BV22" i="59"/>
  <c r="BW21" i="59"/>
  <c r="BV21" i="59"/>
  <c r="BW20" i="59"/>
  <c r="BV20" i="59"/>
  <c r="BW19" i="59"/>
  <c r="BV19" i="59"/>
  <c r="L19" i="64" s="1"/>
  <c r="BW18" i="59"/>
  <c r="BV18" i="59"/>
  <c r="BW17" i="59"/>
  <c r="BV17" i="59"/>
  <c r="L17" i="64" s="1"/>
  <c r="BW16" i="59"/>
  <c r="BV16" i="59"/>
  <c r="BW15" i="59"/>
  <c r="BV15" i="59"/>
  <c r="BW14" i="59"/>
  <c r="M14" i="64" s="1"/>
  <c r="BV14" i="59"/>
  <c r="L14" i="64" s="1"/>
  <c r="BW13" i="59"/>
  <c r="BV13" i="59"/>
  <c r="BW12" i="59"/>
  <c r="M12" i="64" s="1"/>
  <c r="BV12" i="59"/>
  <c r="L12" i="64" s="1"/>
  <c r="BW11" i="59"/>
  <c r="BV11" i="59"/>
  <c r="M170" i="64"/>
  <c r="L170" i="64"/>
  <c r="M169" i="64"/>
  <c r="M168" i="64"/>
  <c r="L168" i="64"/>
  <c r="M167" i="64"/>
  <c r="M166" i="64"/>
  <c r="L166" i="64"/>
  <c r="M165" i="64"/>
  <c r="L165" i="64"/>
  <c r="M164" i="64"/>
  <c r="L164" i="64"/>
  <c r="M163" i="64"/>
  <c r="L163" i="64"/>
  <c r="M162" i="64"/>
  <c r="L162" i="64"/>
  <c r="M161" i="64"/>
  <c r="L161" i="64"/>
  <c r="M160" i="64"/>
  <c r="L160" i="64"/>
  <c r="M158" i="64"/>
  <c r="L158" i="64"/>
  <c r="M156" i="64"/>
  <c r="L156" i="64"/>
  <c r="M155" i="64"/>
  <c r="L155" i="64"/>
  <c r="M154" i="64"/>
  <c r="M153" i="64"/>
  <c r="L153" i="64"/>
  <c r="M152" i="64"/>
  <c r="M151" i="64"/>
  <c r="L151" i="64"/>
  <c r="M150" i="64"/>
  <c r="L150" i="64"/>
  <c r="M149" i="64"/>
  <c r="L149" i="64"/>
  <c r="M148" i="64"/>
  <c r="L148" i="64"/>
  <c r="M147" i="64"/>
  <c r="L147" i="64"/>
  <c r="M146" i="64"/>
  <c r="L146" i="64"/>
  <c r="M145" i="64"/>
  <c r="L145" i="64"/>
  <c r="M144" i="64"/>
  <c r="M143" i="64"/>
  <c r="L143" i="64"/>
  <c r="M142" i="64"/>
  <c r="M141" i="64"/>
  <c r="L141" i="64"/>
  <c r="M140" i="64"/>
  <c r="L140" i="64"/>
  <c r="M139" i="64"/>
  <c r="M138" i="64"/>
  <c r="L138" i="64"/>
  <c r="M137" i="64"/>
  <c r="M136" i="64"/>
  <c r="Z137" i="64" s="1"/>
  <c r="BB138" i="64" s="1"/>
  <c r="L136" i="64"/>
  <c r="Z136" i="64" s="1"/>
  <c r="BA138" i="64" s="1"/>
  <c r="BC138" i="64" s="1"/>
  <c r="M135" i="64"/>
  <c r="M133" i="64"/>
  <c r="L133" i="64"/>
  <c r="M131" i="64"/>
  <c r="L131" i="64"/>
  <c r="M130" i="64"/>
  <c r="L130" i="64"/>
  <c r="M129" i="64"/>
  <c r="M128" i="64"/>
  <c r="L128" i="64"/>
  <c r="M127" i="64"/>
  <c r="M126" i="64"/>
  <c r="Z127" i="64" s="1"/>
  <c r="BB128" i="64" s="1"/>
  <c r="L126" i="64"/>
  <c r="M125" i="64"/>
  <c r="L125" i="64"/>
  <c r="M123" i="64"/>
  <c r="L123" i="64"/>
  <c r="M121" i="64"/>
  <c r="Z122" i="64" s="1"/>
  <c r="BB123" i="64" s="1"/>
  <c r="L121" i="64"/>
  <c r="M120" i="64"/>
  <c r="L120" i="64"/>
  <c r="M119" i="64"/>
  <c r="M118" i="64"/>
  <c r="L118" i="64"/>
  <c r="M117" i="64"/>
  <c r="M116" i="64"/>
  <c r="L116" i="64"/>
  <c r="M115" i="64"/>
  <c r="L115" i="64"/>
  <c r="M114" i="64"/>
  <c r="M113" i="64"/>
  <c r="L113" i="64"/>
  <c r="M112" i="64"/>
  <c r="M111" i="64"/>
  <c r="L111" i="64"/>
  <c r="M110" i="64"/>
  <c r="L110" i="64"/>
  <c r="M109" i="64"/>
  <c r="M108" i="64"/>
  <c r="L108" i="64"/>
  <c r="M107" i="64"/>
  <c r="M106" i="64"/>
  <c r="Z107" i="64" s="1"/>
  <c r="BB108" i="64" s="1"/>
  <c r="L106" i="64"/>
  <c r="M105" i="64"/>
  <c r="L105" i="64"/>
  <c r="M104" i="64"/>
  <c r="L104" i="64"/>
  <c r="M103" i="64"/>
  <c r="L103" i="64"/>
  <c r="M102" i="64"/>
  <c r="L102" i="64"/>
  <c r="M101" i="64"/>
  <c r="L101" i="64"/>
  <c r="M100" i="64"/>
  <c r="L100" i="64"/>
  <c r="M99" i="64"/>
  <c r="L99" i="64"/>
  <c r="M98" i="64"/>
  <c r="L98" i="64"/>
  <c r="M97" i="64"/>
  <c r="L97" i="64"/>
  <c r="M96" i="64"/>
  <c r="L96" i="64"/>
  <c r="Z96" i="64" s="1"/>
  <c r="BA98" i="64" s="1"/>
  <c r="M95" i="64"/>
  <c r="L95" i="64"/>
  <c r="M94" i="64"/>
  <c r="M93" i="64"/>
  <c r="L93" i="64"/>
  <c r="M92" i="64"/>
  <c r="M91" i="64"/>
  <c r="L91" i="64"/>
  <c r="Z91" i="64" s="1"/>
  <c r="BA93" i="64" s="1"/>
  <c r="M90" i="64"/>
  <c r="L90" i="64"/>
  <c r="M89" i="64"/>
  <c r="M88" i="64"/>
  <c r="L88" i="64"/>
  <c r="M87" i="64"/>
  <c r="M86" i="64"/>
  <c r="Z87" i="64" s="1"/>
  <c r="BB88" i="64" s="1"/>
  <c r="L86" i="64"/>
  <c r="M85" i="64"/>
  <c r="L85" i="64"/>
  <c r="M84" i="64"/>
  <c r="M83" i="64"/>
  <c r="L83" i="64"/>
  <c r="M82" i="64"/>
  <c r="M81" i="64"/>
  <c r="L81" i="64"/>
  <c r="M80" i="64"/>
  <c r="L80" i="64"/>
  <c r="M79" i="64"/>
  <c r="L79" i="64"/>
  <c r="M78" i="64"/>
  <c r="L78" i="64"/>
  <c r="M77" i="64"/>
  <c r="L77" i="64"/>
  <c r="M76" i="64"/>
  <c r="Z77" i="64" s="1"/>
  <c r="BB78" i="64" s="1"/>
  <c r="L76" i="64"/>
  <c r="M75" i="64"/>
  <c r="L75" i="64"/>
  <c r="M74" i="64"/>
  <c r="M73" i="64"/>
  <c r="L73" i="64"/>
  <c r="M72" i="64"/>
  <c r="M71" i="64"/>
  <c r="L71" i="64"/>
  <c r="M70" i="64"/>
  <c r="L70" i="64"/>
  <c r="M69" i="64"/>
  <c r="L69" i="64"/>
  <c r="M68" i="64"/>
  <c r="L68" i="64"/>
  <c r="M67" i="64"/>
  <c r="L67" i="64"/>
  <c r="M66" i="64"/>
  <c r="Z67" i="64" s="1"/>
  <c r="BB68" i="64" s="1"/>
  <c r="L66" i="64"/>
  <c r="M65" i="64"/>
  <c r="L65" i="64"/>
  <c r="M64" i="64"/>
  <c r="M63" i="64"/>
  <c r="L63" i="64"/>
  <c r="M62" i="64"/>
  <c r="M61" i="64"/>
  <c r="L61" i="64"/>
  <c r="M60" i="64"/>
  <c r="L60" i="64"/>
  <c r="M59" i="64"/>
  <c r="L59" i="64"/>
  <c r="M58" i="64"/>
  <c r="L58" i="64"/>
  <c r="M57" i="64"/>
  <c r="L57" i="64"/>
  <c r="M56" i="64"/>
  <c r="Z57" i="64" s="1"/>
  <c r="BB58" i="64" s="1"/>
  <c r="L56" i="64"/>
  <c r="M55" i="64"/>
  <c r="L55" i="64"/>
  <c r="M54" i="64"/>
  <c r="L54" i="64"/>
  <c r="M53" i="64"/>
  <c r="L53" i="64"/>
  <c r="M52" i="64"/>
  <c r="L52" i="64"/>
  <c r="M51" i="64"/>
  <c r="L51" i="64"/>
  <c r="M50" i="64"/>
  <c r="L50" i="64"/>
  <c r="M49" i="64"/>
  <c r="M48" i="64"/>
  <c r="L48" i="64"/>
  <c r="M47" i="64"/>
  <c r="M46" i="64"/>
  <c r="Z47" i="64" s="1"/>
  <c r="BB48" i="64" s="1"/>
  <c r="L46" i="64"/>
  <c r="M45" i="64"/>
  <c r="L45" i="64"/>
  <c r="M44" i="64"/>
  <c r="M43" i="64"/>
  <c r="L43" i="64"/>
  <c r="M42" i="64"/>
  <c r="M41" i="64"/>
  <c r="L41" i="64"/>
  <c r="M40" i="64"/>
  <c r="L40" i="64"/>
  <c r="M39" i="64"/>
  <c r="L39" i="64"/>
  <c r="M38" i="64"/>
  <c r="L38" i="64"/>
  <c r="M37" i="64"/>
  <c r="L37" i="64"/>
  <c r="M36" i="64"/>
  <c r="Z37" i="64" s="1"/>
  <c r="BB38" i="64" s="1"/>
  <c r="L36" i="64"/>
  <c r="M35" i="64"/>
  <c r="L35" i="64"/>
  <c r="M34" i="64"/>
  <c r="M33" i="64"/>
  <c r="L33" i="64"/>
  <c r="M32" i="64"/>
  <c r="M31" i="64"/>
  <c r="L31" i="64"/>
  <c r="M30" i="64"/>
  <c r="L30" i="64"/>
  <c r="M29" i="64"/>
  <c r="L29" i="64"/>
  <c r="M28" i="64"/>
  <c r="L28" i="64"/>
  <c r="M27" i="64"/>
  <c r="L27" i="64"/>
  <c r="M26" i="64"/>
  <c r="Z27" i="64" s="1"/>
  <c r="BB28" i="64" s="1"/>
  <c r="L26" i="64"/>
  <c r="M25" i="64"/>
  <c r="L25" i="64"/>
  <c r="M24" i="64"/>
  <c r="L24" i="64"/>
  <c r="M23" i="64"/>
  <c r="L23" i="64"/>
  <c r="M22" i="64"/>
  <c r="L22" i="64"/>
  <c r="M21" i="64"/>
  <c r="L21" i="64"/>
  <c r="M20" i="64"/>
  <c r="L20" i="64"/>
  <c r="M19" i="64"/>
  <c r="M18" i="64"/>
  <c r="L18" i="64"/>
  <c r="M17" i="64"/>
  <c r="M16" i="64"/>
  <c r="Z17" i="64" s="1"/>
  <c r="BB18" i="64" s="1"/>
  <c r="L16" i="64"/>
  <c r="M15" i="64"/>
  <c r="L15" i="64"/>
  <c r="M13" i="64"/>
  <c r="L13" i="64"/>
  <c r="M11" i="64"/>
  <c r="Z12" i="64" s="1"/>
  <c r="BB13" i="64" s="1"/>
  <c r="L11" i="64"/>
  <c r="Z31" i="64" l="1"/>
  <c r="BA33" i="64" s="1"/>
  <c r="Z41" i="64"/>
  <c r="BA43" i="64" s="1"/>
  <c r="BC43" i="64" s="1"/>
  <c r="Z71" i="64"/>
  <c r="BA73" i="64" s="1"/>
  <c r="Z81" i="64"/>
  <c r="BA83" i="64" s="1"/>
  <c r="Z116" i="64"/>
  <c r="BA118" i="64" s="1"/>
  <c r="BC118" i="64" s="1"/>
  <c r="Z167" i="64"/>
  <c r="BB168" i="64" s="1"/>
  <c r="Z42" i="64"/>
  <c r="BB43" i="64" s="1"/>
  <c r="Z82" i="64"/>
  <c r="BB83" i="64" s="1"/>
  <c r="Z97" i="64"/>
  <c r="BB98" i="64" s="1"/>
  <c r="Z146" i="64"/>
  <c r="BA148" i="64" s="1"/>
  <c r="BC148" i="64" s="1"/>
  <c r="Z156" i="64"/>
  <c r="BA158" i="64" s="1"/>
  <c r="BC158" i="64" s="1"/>
  <c r="Z11" i="64"/>
  <c r="BA13" i="64" s="1"/>
  <c r="BC13" i="64" s="1"/>
  <c r="Z16" i="64"/>
  <c r="BA18" i="64" s="1"/>
  <c r="BC18" i="64" s="1"/>
  <c r="Z26" i="64"/>
  <c r="BA28" i="64" s="1"/>
  <c r="BC28" i="64" s="1"/>
  <c r="Z36" i="64"/>
  <c r="BA38" i="64" s="1"/>
  <c r="BC38" i="64" s="1"/>
  <c r="Z46" i="64"/>
  <c r="BA48" i="64" s="1"/>
  <c r="BC48" i="64" s="1"/>
  <c r="Z56" i="64"/>
  <c r="BA58" i="64" s="1"/>
  <c r="BC58" i="64" s="1"/>
  <c r="Z66" i="64"/>
  <c r="BA68" i="64" s="1"/>
  <c r="BC68" i="64" s="1"/>
  <c r="Z76" i="64"/>
  <c r="BA78" i="64" s="1"/>
  <c r="BC78" i="64" s="1"/>
  <c r="Z86" i="64"/>
  <c r="BA88" i="64" s="1"/>
  <c r="BC88" i="64" s="1"/>
  <c r="Z106" i="64"/>
  <c r="BA108" i="64" s="1"/>
  <c r="BC108" i="64" s="1"/>
  <c r="Z121" i="64"/>
  <c r="BA123" i="64" s="1"/>
  <c r="BC123" i="64" s="1"/>
  <c r="Z126" i="64"/>
  <c r="BA128" i="64" s="1"/>
  <c r="BC128" i="64" s="1"/>
  <c r="Z147" i="64"/>
  <c r="BB148" i="64" s="1"/>
  <c r="Z157" i="64"/>
  <c r="BB158" i="64" s="1"/>
  <c r="Z162" i="64"/>
  <c r="BB163" i="64" s="1"/>
  <c r="Z21" i="64"/>
  <c r="BA23" i="64" s="1"/>
  <c r="Z51" i="64"/>
  <c r="BA53" i="64" s="1"/>
  <c r="Z101" i="64"/>
  <c r="BA103" i="64" s="1"/>
  <c r="Z111" i="64"/>
  <c r="BA113" i="64" s="1"/>
  <c r="Z131" i="64"/>
  <c r="BA133" i="64" s="1"/>
  <c r="Z22" i="64"/>
  <c r="BB23" i="64" s="1"/>
  <c r="Z52" i="64"/>
  <c r="BB53" i="64" s="1"/>
  <c r="Z92" i="64"/>
  <c r="BB93" i="64" s="1"/>
  <c r="BC93" i="64" s="1"/>
  <c r="Z102" i="64"/>
  <c r="BB103" i="64" s="1"/>
  <c r="Z112" i="64"/>
  <c r="BB113" i="64" s="1"/>
  <c r="Z132" i="64"/>
  <c r="BB133" i="64" s="1"/>
  <c r="Z141" i="64"/>
  <c r="BA143" i="64" s="1"/>
  <c r="Z151" i="64"/>
  <c r="BA153" i="64" s="1"/>
  <c r="BC153" i="64" s="1"/>
  <c r="Z166" i="64"/>
  <c r="BA168" i="64" s="1"/>
  <c r="BC168" i="64" s="1"/>
  <c r="Z152" i="64"/>
  <c r="BB153" i="64" s="1"/>
  <c r="Z61" i="64"/>
  <c r="BA63" i="64" s="1"/>
  <c r="BC98" i="64"/>
  <c r="Z142" i="64"/>
  <c r="BB143" i="64" s="1"/>
  <c r="Z32" i="64"/>
  <c r="BB33" i="64" s="1"/>
  <c r="Z62" i="64"/>
  <c r="BB63" i="64" s="1"/>
  <c r="Z72" i="64"/>
  <c r="BB73" i="64" s="1"/>
  <c r="Z117" i="64"/>
  <c r="BB118" i="64" s="1"/>
  <c r="Z161" i="64"/>
  <c r="BA163" i="64" s="1"/>
  <c r="BC163" i="64" s="1"/>
  <c r="H8" i="89"/>
  <c r="I18" i="90"/>
  <c r="I17" i="90"/>
  <c r="E14" i="90"/>
  <c r="D25" i="89"/>
  <c r="BC133" i="64" l="1"/>
  <c r="BC63" i="64"/>
  <c r="BC113" i="64"/>
  <c r="BC33" i="64"/>
  <c r="BC103" i="64"/>
  <c r="BC53" i="64"/>
  <c r="BC83" i="64"/>
  <c r="BC143" i="64"/>
  <c r="BC23" i="64"/>
  <c r="BC73" i="64"/>
  <c r="D11" i="89"/>
  <c r="D13" i="89" s="1"/>
  <c r="E16" i="91" s="1"/>
  <c r="D23" i="89"/>
  <c r="F10" i="91" s="1"/>
  <c r="F10" i="90" l="1"/>
  <c r="I15" i="90" s="1"/>
  <c r="B3" i="91"/>
  <c r="E14" i="91" s="1"/>
  <c r="B3" i="90"/>
  <c r="F20" i="91"/>
  <c r="F23" i="91"/>
  <c r="F22" i="91"/>
  <c r="F21" i="91"/>
  <c r="E16" i="90" l="1"/>
  <c r="F20" i="90" s="1"/>
  <c r="C34" i="91"/>
  <c r="C39" i="91"/>
  <c r="E39" i="91" s="1"/>
  <c r="C43" i="91" s="1"/>
  <c r="C34" i="90"/>
  <c r="C39" i="90" s="1"/>
  <c r="E39" i="90" s="1"/>
  <c r="C43" i="90" s="1"/>
  <c r="F24" i="91"/>
  <c r="C42" i="91" s="1"/>
  <c r="F26" i="91" l="1"/>
  <c r="F28" i="91" s="1"/>
  <c r="F21" i="90"/>
  <c r="F22" i="90"/>
  <c r="F23" i="90"/>
  <c r="C44" i="91"/>
  <c r="F24" i="90" l="1"/>
  <c r="F26" i="90" s="1"/>
  <c r="F30" i="91"/>
  <c r="F32" i="89" s="1"/>
  <c r="F33" i="89" s="1"/>
  <c r="F28" i="90" l="1"/>
  <c r="F30" i="90" s="1"/>
  <c r="D32" i="89" s="1"/>
  <c r="D37" i="89" s="1"/>
  <c r="C42" i="90"/>
  <c r="C44" i="90" s="1"/>
  <c r="D36" i="89" l="1"/>
  <c r="C36" i="89"/>
  <c r="D33" i="89"/>
  <c r="I34" i="86" s="1"/>
  <c r="A11" i="86" l="1"/>
  <c r="I26" i="86" l="1"/>
  <c r="I28" i="86"/>
  <c r="I27" i="86"/>
  <c r="B37" i="86"/>
  <c r="B39" i="86"/>
  <c r="D11" i="86"/>
  <c r="F11" i="86"/>
  <c r="I20" i="86"/>
  <c r="C11" i="86"/>
  <c r="A11" i="68"/>
  <c r="F15" i="68" l="1"/>
  <c r="B35" i="68"/>
  <c r="B37" i="68"/>
  <c r="J3" i="87"/>
  <c r="I3" i="87" l="1"/>
  <c r="K3" i="87" s="1"/>
  <c r="H15" i="86" l="1"/>
  <c r="F13" i="86" l="1"/>
  <c r="H15" i="68" l="1"/>
  <c r="G5" i="59" l="1"/>
  <c r="F5" i="59"/>
  <c r="B13" i="74"/>
  <c r="J10" i="6" l="1"/>
  <c r="A1" i="59" l="1"/>
  <c r="BW10" i="59"/>
  <c r="M10" i="64" s="1"/>
  <c r="BV10" i="59"/>
  <c r="L10" i="64" s="1"/>
  <c r="BW9" i="59"/>
  <c r="M9" i="64" s="1"/>
  <c r="BV9" i="59"/>
  <c r="L9" i="64" s="1"/>
  <c r="BW8" i="59"/>
  <c r="M8" i="64" s="1"/>
  <c r="BV8" i="59"/>
  <c r="L8" i="64" s="1"/>
  <c r="BW7" i="59"/>
  <c r="M7" i="64" s="1"/>
  <c r="BV7" i="59"/>
  <c r="L7" i="64" s="1"/>
  <c r="BW6" i="59"/>
  <c r="BV6" i="59"/>
  <c r="M6" i="64" l="1"/>
  <c r="BW172" i="59"/>
  <c r="L6" i="64"/>
  <c r="BV172" i="59"/>
  <c r="E29" i="86" l="1"/>
  <c r="Z6" i="64"/>
  <c r="BA8" i="64" s="1"/>
  <c r="BC8" i="64" s="1"/>
  <c r="G29" i="86"/>
  <c r="Z7" i="64"/>
  <c r="BB8" i="64" s="1"/>
  <c r="D2" i="13"/>
  <c r="L2" i="13"/>
  <c r="H2" i="13"/>
  <c r="G2" i="13"/>
  <c r="B3" i="64"/>
  <c r="C3" i="64" s="1"/>
  <c r="H9" i="66"/>
  <c r="H10" i="6"/>
  <c r="E14" i="66" s="1"/>
  <c r="G9" i="6"/>
  <c r="I10" i="6"/>
  <c r="N9" i="6"/>
  <c r="K9" i="6"/>
  <c r="F9" i="6"/>
  <c r="E9" i="6"/>
  <c r="D9" i="6"/>
  <c r="M9" i="6" s="1"/>
  <c r="K10" i="6"/>
  <c r="D2" i="6"/>
  <c r="I11" i="86" s="1"/>
  <c r="C2" i="6"/>
  <c r="F10" i="6"/>
  <c r="G10" i="6"/>
  <c r="AA11" i="13" l="1"/>
  <c r="AA5" i="13"/>
  <c r="AA33" i="13"/>
  <c r="AA27" i="13"/>
  <c r="AA24" i="13"/>
  <c r="AA21" i="13"/>
  <c r="AA15" i="13"/>
  <c r="AA3" i="13"/>
  <c r="AA26" i="13"/>
  <c r="AA30" i="13"/>
  <c r="AA18" i="13"/>
  <c r="AA12" i="13"/>
  <c r="AA9" i="13"/>
  <c r="AA6" i="13"/>
  <c r="AA20" i="13"/>
  <c r="AA17" i="13"/>
  <c r="AA14" i="13"/>
  <c r="AA29" i="13"/>
  <c r="AA32" i="13"/>
  <c r="AA34" i="13"/>
  <c r="AA31" i="13"/>
  <c r="AA28" i="13"/>
  <c r="AA25" i="13"/>
  <c r="AA22" i="13"/>
  <c r="AA19" i="13"/>
  <c r="AA16" i="13"/>
  <c r="AA13" i="13"/>
  <c r="AA10" i="13"/>
  <c r="AA7" i="13"/>
  <c r="AA4" i="13"/>
  <c r="AA23" i="13"/>
  <c r="AA8" i="13"/>
  <c r="A13" i="86"/>
  <c r="F15" i="86"/>
  <c r="E3" i="64"/>
  <c r="F3" i="64" s="1"/>
  <c r="G3" i="64" s="1"/>
  <c r="H3" i="64" s="1"/>
  <c r="I3" i="64" s="1"/>
  <c r="J3" i="64" s="1"/>
  <c r="K3" i="64" s="1"/>
  <c r="L3" i="64" s="1"/>
  <c r="M3" i="64" s="1"/>
  <c r="O3" i="64" s="1"/>
  <c r="Q3" i="64" s="1"/>
  <c r="R3" i="64" s="1"/>
  <c r="S3" i="64" s="1"/>
  <c r="T3" i="64" s="1"/>
  <c r="AA2" i="13"/>
  <c r="C18" i="67"/>
  <c r="N10" i="6"/>
  <c r="B7" i="6" s="1"/>
  <c r="L10" i="6"/>
  <c r="E10" i="6" l="1"/>
  <c r="D10" i="6"/>
  <c r="M10" i="6" l="1"/>
  <c r="G7" i="66"/>
  <c r="O3" i="6"/>
  <c r="N3" i="6"/>
  <c r="I25" i="86" l="1"/>
  <c r="H3" i="59"/>
  <c r="I3" i="59" s="1"/>
  <c r="J3" i="59" s="1"/>
  <c r="K3" i="59" s="1"/>
  <c r="F3" i="59"/>
  <c r="B3" i="59"/>
  <c r="I2" i="13" l="1"/>
  <c r="L4" i="59" l="1"/>
  <c r="N4" i="59" s="1"/>
  <c r="P4" i="59" s="1"/>
  <c r="R4" i="59" s="1"/>
  <c r="T4" i="59" s="1"/>
  <c r="V4" i="59" s="1"/>
  <c r="X4" i="59" s="1"/>
  <c r="Z4" i="59" s="1"/>
  <c r="AB4" i="59" s="1"/>
  <c r="AD4" i="59" s="1"/>
  <c r="AF4" i="59" s="1"/>
  <c r="AH4" i="59" s="1"/>
  <c r="AJ4" i="59" s="1"/>
  <c r="AL4" i="59" s="1"/>
  <c r="AN4" i="59" s="1"/>
  <c r="AP4" i="59" s="1"/>
  <c r="AR4" i="59" s="1"/>
  <c r="AT4" i="59" s="1"/>
  <c r="AV4" i="59" s="1"/>
  <c r="AX4" i="59" s="1"/>
  <c r="AZ4" i="59" s="1"/>
  <c r="BB4" i="59" s="1"/>
  <c r="BD4" i="59" s="1"/>
  <c r="BF4" i="59" s="1"/>
  <c r="BH4" i="59" s="1"/>
  <c r="BJ4" i="59" s="1"/>
  <c r="BL4" i="59" s="1"/>
  <c r="BN4" i="59" s="1"/>
  <c r="BP4" i="59" s="1"/>
  <c r="BR4" i="59" s="1"/>
  <c r="G45" i="86"/>
  <c r="E45" i="86"/>
  <c r="C45" i="86"/>
  <c r="A45" i="86"/>
  <c r="I45" i="86" l="1"/>
  <c r="Q4" i="64"/>
  <c r="I30" i="86" l="1"/>
  <c r="I29" i="86"/>
  <c r="B30" i="68" l="1"/>
  <c r="I21" i="86" l="1"/>
  <c r="I11" i="68" l="1"/>
  <c r="B29" i="68"/>
  <c r="B28" i="68"/>
  <c r="B27" i="68"/>
  <c r="B26" i="68"/>
  <c r="B23" i="68"/>
  <c r="B20" i="68"/>
  <c r="B18" i="67"/>
  <c r="M14" i="67"/>
  <c r="D14" i="66"/>
  <c r="T13" i="66"/>
  <c r="R13" i="66"/>
  <c r="B24" i="68" s="1"/>
  <c r="Q13" i="66"/>
  <c r="P13" i="66"/>
  <c r="B22" i="68" s="1"/>
  <c r="O13" i="66"/>
  <c r="B21" i="68" s="1"/>
  <c r="J10" i="66"/>
  <c r="H10" i="66"/>
  <c r="J14" i="67" s="1"/>
  <c r="V14" i="66" l="1"/>
  <c r="U14" i="66"/>
  <c r="W14" i="66"/>
  <c r="N14" i="66"/>
  <c r="H14" i="66"/>
  <c r="Y14" i="66"/>
  <c r="Y16" i="66" s="1"/>
  <c r="M14" i="66"/>
  <c r="G14" i="66"/>
  <c r="G16" i="66" s="1"/>
  <c r="X14" i="66"/>
  <c r="L14" i="66"/>
  <c r="A14" i="66"/>
  <c r="K14" i="66"/>
  <c r="C14" i="66"/>
  <c r="O14" i="66"/>
  <c r="I14" i="66"/>
  <c r="T14" i="66"/>
  <c r="P14" i="66"/>
  <c r="J14" i="66"/>
  <c r="B14" i="66"/>
  <c r="G18" i="67"/>
  <c r="L18" i="67"/>
  <c r="E18" i="67"/>
  <c r="J18" i="67"/>
  <c r="D18" i="67"/>
  <c r="I18" i="67"/>
  <c r="A18" i="67"/>
  <c r="F18" i="67"/>
  <c r="H18" i="67"/>
  <c r="S14" i="66"/>
  <c r="I22" i="86"/>
  <c r="R14" i="66" l="1"/>
  <c r="Q14" i="66"/>
  <c r="S16" i="66"/>
  <c r="Z14" i="66" l="1"/>
  <c r="D4" i="87"/>
  <c r="I24" i="86"/>
  <c r="I23" i="86"/>
  <c r="T16" i="66"/>
  <c r="V16" i="66"/>
  <c r="U16" i="66"/>
  <c r="X16" i="66"/>
  <c r="G4" i="87" l="1"/>
  <c r="E4" i="87"/>
  <c r="I4" i="87"/>
  <c r="I31" i="86"/>
  <c r="I16" i="66"/>
  <c r="M16" i="66"/>
  <c r="J16" i="66"/>
  <c r="L16" i="66"/>
  <c r="H16" i="66"/>
  <c r="K16" i="66"/>
  <c r="H30" i="68"/>
  <c r="H26" i="68"/>
  <c r="H27" i="68"/>
  <c r="H28" i="68"/>
  <c r="H4" i="87" l="1"/>
  <c r="K4" i="87"/>
  <c r="J4" i="87"/>
  <c r="K5" i="87" s="1"/>
  <c r="G11" i="86"/>
  <c r="W16" i="66"/>
  <c r="K18" i="67"/>
  <c r="G11" i="68"/>
  <c r="N16" i="66" l="1"/>
  <c r="O16" i="66" l="1"/>
  <c r="H20" i="68"/>
  <c r="H29" i="68"/>
  <c r="H21" i="68" l="1"/>
  <c r="C2" i="13" l="1"/>
  <c r="H31" i="68" l="1"/>
  <c r="H25" i="68" l="1"/>
  <c r="Q16" i="66"/>
  <c r="R16" i="66"/>
  <c r="H24" i="68" l="1"/>
  <c r="H23" i="68"/>
  <c r="P16" i="66" l="1"/>
  <c r="H22" i="68" l="1"/>
  <c r="Z16" i="66"/>
  <c r="H32" i="68" l="1"/>
  <c r="AA14" i="66"/>
  <c r="AA16" i="66" s="1"/>
  <c r="J3" i="6" l="1"/>
  <c r="I3" i="6"/>
  <c r="C4" i="6" l="1"/>
  <c r="I13" i="86" s="1"/>
  <c r="B4" i="6"/>
  <c r="E4" i="6" l="1"/>
  <c r="H11" i="86" s="1"/>
  <c r="H13" i="86"/>
  <c r="G53" i="86" s="1"/>
  <c r="H13" i="68"/>
  <c r="G49" i="68" s="1"/>
  <c r="I13" i="68"/>
  <c r="L14" i="67"/>
  <c r="H11" i="68" l="1"/>
  <c r="E14" i="67"/>
  <c r="E10" i="66"/>
  <c r="G1" i="64"/>
  <c r="G1" i="59"/>
  <c r="G54" i="86"/>
  <c r="G51" i="68"/>
  <c r="I50" i="68"/>
  <c r="D4" i="6"/>
  <c r="F1" i="6" s="1"/>
  <c r="B14" i="67" l="1"/>
  <c r="A13" i="68"/>
  <c r="D9" i="66"/>
  <c r="A14" i="67"/>
  <c r="Z1" i="67" s="1"/>
  <c r="F13" i="68" l="1"/>
  <c r="AB14" i="66" l="1"/>
  <c r="AB16" i="66" s="1"/>
  <c r="H33" i="68" l="1"/>
  <c r="H34" i="68" s="1"/>
  <c r="AC14" i="66"/>
  <c r="AC16" i="66" s="1"/>
  <c r="T2" i="13" l="1"/>
  <c r="AB2" i="13" l="1"/>
  <c r="F4" i="87" l="1"/>
  <c r="I33" i="86" s="1"/>
  <c r="F2" i="13"/>
  <c r="F11" i="68"/>
  <c r="I32" i="86" l="1"/>
  <c r="F36" i="13"/>
  <c r="J2" i="13"/>
  <c r="J36" i="13" s="1"/>
  <c r="U2" i="13"/>
  <c r="V2" i="13" s="1"/>
  <c r="I36" i="8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I15" authorId="0" shapeId="0" xr:uid="{7502E313-272F-4205-BA3D-21D079D7C757}">
      <text>
        <r>
          <rPr>
            <b/>
            <sz val="9"/>
            <color indexed="81"/>
            <rFont val="Segoe UI"/>
            <family val="2"/>
          </rPr>
          <t xml:space="preserve">Vantagem para o Empregado:
</t>
        </r>
        <r>
          <rPr>
            <sz val="9"/>
            <color indexed="81"/>
            <rFont val="Segoe UI"/>
            <family val="2"/>
          </rPr>
          <t>Somente quando as deduções forem superior a R$528,00 (dedução fixa do modo simpificado)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E15" authorId="0" shapeId="0" xr:uid="{7F256B6E-7EE3-4C18-8BE3-A086AB0A2F82}">
      <text>
        <r>
          <rPr>
            <b/>
            <sz val="9"/>
            <color indexed="81"/>
            <rFont val="Segoe UI"/>
            <family val="2"/>
          </rPr>
          <t xml:space="preserve">Dica: </t>
        </r>
        <r>
          <rPr>
            <sz val="9"/>
            <color indexed="81"/>
            <rFont val="Segoe UI"/>
            <family val="2"/>
          </rPr>
          <t xml:space="preserve">Quando as deduções legais forem superiores a R$528,00, a forma antiga é mais viável)
</t>
        </r>
      </text>
    </comment>
  </commentList>
</comments>
</file>

<file path=xl/sharedStrings.xml><?xml version="1.0" encoding="utf-8"?>
<sst xmlns="http://schemas.openxmlformats.org/spreadsheetml/2006/main" count="13621" uniqueCount="3408">
  <si>
    <t>DRE</t>
  </si>
  <si>
    <t>PERÍODO REALIZAÇÃO</t>
  </si>
  <si>
    <t>FERIADOS</t>
  </si>
  <si>
    <t>Obs: Digitar feriados apenas quando forem entre 2ª e 6ª feira</t>
  </si>
  <si>
    <t>Contrato</t>
  </si>
  <si>
    <t>Empresa:</t>
  </si>
  <si>
    <t>Período</t>
  </si>
  <si>
    <t>Crédito</t>
  </si>
  <si>
    <t>Tipo</t>
  </si>
  <si>
    <t>IR</t>
  </si>
  <si>
    <t>Apenas para Cooperativas (1,5%)</t>
  </si>
  <si>
    <t>CRMC</t>
  </si>
  <si>
    <t>EMPRESA</t>
  </si>
  <si>
    <t>PA</t>
  </si>
  <si>
    <t>CONTRATO</t>
  </si>
  <si>
    <t>EMPENHO</t>
  </si>
  <si>
    <t>PERÍODO</t>
  </si>
  <si>
    <t>OS</t>
  </si>
  <si>
    <t>VALOR</t>
  </si>
  <si>
    <t>Fixo</t>
  </si>
  <si>
    <t>LIQUIDAÇÃO</t>
  </si>
  <si>
    <t xml:space="preserve">EMPENHO </t>
  </si>
  <si>
    <t>NF</t>
  </si>
  <si>
    <t>PER. REALIZAÇÃO</t>
  </si>
  <si>
    <t>LIQUIDADO</t>
  </si>
  <si>
    <t>SOF</t>
  </si>
  <si>
    <t>CONF</t>
  </si>
  <si>
    <t>RESERVA</t>
  </si>
  <si>
    <t>SUB</t>
  </si>
  <si>
    <t>EL</t>
  </si>
  <si>
    <t>REFERÊNCIA</t>
  </si>
  <si>
    <t>TOTAL</t>
  </si>
  <si>
    <t>SETEMBRO</t>
  </si>
  <si>
    <t>HISTÓRICO / ANEXO</t>
  </si>
  <si>
    <t>NOME</t>
  </si>
  <si>
    <t>CONFERÊNCIA</t>
  </si>
  <si>
    <t>ANO</t>
  </si>
  <si>
    <t>APONTAMENTO CREDENCIAMENTO</t>
  </si>
  <si>
    <t xml:space="preserve"> </t>
  </si>
  <si>
    <t>DIAS LETIVOS</t>
  </si>
  <si>
    <t>PLACA</t>
  </si>
  <si>
    <t>NOME CONDUTOR</t>
  </si>
  <si>
    <t>TIPO DE VEÍCULO (NORMAL, ADAPTADO)</t>
  </si>
  <si>
    <t>TIPO DE ATENDIMENTO</t>
  </si>
  <si>
    <t>TOTAL CONT REG</t>
  </si>
  <si>
    <t>TOTAL CONT CAD</t>
  </si>
  <si>
    <t>KM ADICIONAL</t>
  </si>
  <si>
    <t>TOTAL ALUNOS N CAD PRESENCIAIS (30 DIAS)</t>
  </si>
  <si>
    <t>TOTAL ALUNOS ATIV.COMPL. N CAD</t>
  </si>
  <si>
    <t>TOTAL ALUNOS CAD PRESENCIAIS (30 DIAS)</t>
  </si>
  <si>
    <t>TOTAL ALUNOS ATIV.COMPL. CAD</t>
  </si>
  <si>
    <t>TOTAL GERAL</t>
  </si>
  <si>
    <t>Contratos Especiais (Valor fixo)</t>
  </si>
  <si>
    <t>CCA</t>
  </si>
  <si>
    <t>Ajuste positivo</t>
  </si>
  <si>
    <t>Ajuste negativo</t>
  </si>
  <si>
    <t>Desconto faltas</t>
  </si>
  <si>
    <t>DIAS</t>
  </si>
  <si>
    <t>N CAD presencial</t>
  </si>
  <si>
    <t xml:space="preserve">CAD </t>
  </si>
  <si>
    <t>AT. COMPL. N CAD</t>
  </si>
  <si>
    <t>AT. COMPL. CAD</t>
  </si>
  <si>
    <t>DADOS DO CONTRATO LICITADO</t>
  </si>
  <si>
    <t>CONTRATO Nº</t>
  </si>
  <si>
    <t>Tipo de Operação</t>
  </si>
  <si>
    <t>Km/dia</t>
  </si>
  <si>
    <t>Total Alunos</t>
  </si>
  <si>
    <t>Mês base</t>
  </si>
  <si>
    <t>D.R.E</t>
  </si>
  <si>
    <t>Nome do Contratado</t>
  </si>
  <si>
    <t>CNPJ</t>
  </si>
  <si>
    <t>Processo SEI!</t>
  </si>
  <si>
    <t>Previsão de Crédito</t>
  </si>
  <si>
    <t xml:space="preserve">                                    DEMONSTRATIVO DE PAGAMENTO</t>
  </si>
  <si>
    <t>Descrição</t>
  </si>
  <si>
    <t>Valor ( em Reais )</t>
  </si>
  <si>
    <t>( A )</t>
  </si>
  <si>
    <t>( B )</t>
  </si>
  <si>
    <t>( C )</t>
  </si>
  <si>
    <t>( D )</t>
  </si>
  <si>
    <t>( E )</t>
  </si>
  <si>
    <t>( F )</t>
  </si>
  <si>
    <t>( G )</t>
  </si>
  <si>
    <t>( H )</t>
  </si>
  <si>
    <t>( I )</t>
  </si>
  <si>
    <t>( J )</t>
  </si>
  <si>
    <t>( L )</t>
  </si>
  <si>
    <t>( M )</t>
  </si>
  <si>
    <t>Desconto por multa Contratual - Enquadramento</t>
  </si>
  <si>
    <t>( N )</t>
  </si>
  <si>
    <t>Remuneração Bruta  ( A+B+C+D+E+F+I+J) - (G+H )</t>
  </si>
  <si>
    <t>( O )</t>
  </si>
  <si>
    <t>Imposto de Renda Retido na Fonte</t>
  </si>
  <si>
    <t>( P )</t>
  </si>
  <si>
    <t>Remuneração Líquida  ( J-K-L )</t>
  </si>
  <si>
    <t>OBS FIN:</t>
  </si>
  <si>
    <t>OBS DRE:</t>
  </si>
  <si>
    <t>Declaro pelo presente, estar de acordo com as informações e valores aqui demonstrados, cujo crédito será efetuado na conta corrente por mim indicada, operando-se a quitação plena, geral e irrestrita, no ato da efetivação do crédito referenciado.</t>
  </si>
  <si>
    <t>São Paulo,______/______/______     Assinatura do Contratado__________________________________</t>
  </si>
  <si>
    <t>Documentos necessários para liquidação</t>
  </si>
  <si>
    <t>Informações importantes</t>
  </si>
  <si>
    <t>Link Cadin:</t>
  </si>
  <si>
    <t>http://www3.prefeitura.sp.gov.br/cadin/Pesq_Deb.aspx</t>
  </si>
  <si>
    <t>Link para consulta de pagamento:</t>
  </si>
  <si>
    <t>http://sfemp.prefeitura.sp.gov.br/cons_pagto.aspx</t>
  </si>
  <si>
    <t>Para declaração de IRRF, favor utilizarem este CNPJ - Secretaria Municipal da Fazenda (Fonte Pagadora)  46.392.130/0003-80</t>
  </si>
  <si>
    <t>Link Informe de rendimentos IR:</t>
  </si>
  <si>
    <t>https://sofconsulta.prefeitura.sp.gov.br/ir</t>
  </si>
  <si>
    <t>Para emissão das notas fiscais, favor utilizarem este CNPJ - Secretaria Municipal de Mobilidade e Transp. 46.392.155/0001-11</t>
  </si>
  <si>
    <t>Obs. O número do seu processo SEI! encontra-se na parte superior do demonstrativo</t>
  </si>
  <si>
    <t xml:space="preserve">Contrato : </t>
  </si>
  <si>
    <t xml:space="preserve">CE:    </t>
  </si>
  <si>
    <t xml:space="preserve">Mês:       </t>
  </si>
  <si>
    <t>à</t>
  </si>
  <si>
    <t>OPERAÇÃO DO CONDUTOR</t>
  </si>
  <si>
    <t>VEICULO</t>
  </si>
  <si>
    <t>Operação/ Mês</t>
  </si>
  <si>
    <t>Valores/Mês</t>
  </si>
  <si>
    <t>Valor Bruto</t>
  </si>
  <si>
    <t>Base de Cálculo IR</t>
  </si>
  <si>
    <t>Valor Liquido</t>
  </si>
  <si>
    <t>TOTAL ALUNOS N CAD PRESENCIAIS ( MENOS DE 30 DIAS)</t>
  </si>
  <si>
    <t>TOTAL ALUNOS CAD PRESENCIAIS (MENOS DE 30 DIAS</t>
  </si>
  <si>
    <t>Atestado pela CE através da planilha de compromisso a pagar - processo de pagamento</t>
  </si>
  <si>
    <t>ATESTADO DE PRESTAÇÃO DE SERVIÇOS</t>
  </si>
  <si>
    <t>C.E.</t>
  </si>
  <si>
    <t>a</t>
  </si>
  <si>
    <t>CREDENCIAMENTO</t>
  </si>
  <si>
    <t>OBSERVAÇÕES</t>
  </si>
  <si>
    <t>Diretor da DRE</t>
  </si>
  <si>
    <t>Responsável pelo Ateste do Serviço na DRE</t>
  </si>
  <si>
    <t>Responsável pelo TEG na DRE</t>
  </si>
  <si>
    <t>Nome:</t>
  </si>
  <si>
    <t>RF:</t>
  </si>
  <si>
    <t>Cargo:</t>
  </si>
  <si>
    <t>TOTAL GERAL REG</t>
  </si>
  <si>
    <t>TOTAL GERAL CAD</t>
  </si>
  <si>
    <t>Cont N CAD</t>
  </si>
  <si>
    <t xml:space="preserve">Cont CAD </t>
  </si>
  <si>
    <t>Cadeirante</t>
  </si>
  <si>
    <t>multa</t>
  </si>
  <si>
    <t>Recesso escolar desconto de 10 dias nas atividades complementares</t>
  </si>
  <si>
    <t>Enviar os documentos na ordem informada abaixo em um único arquivo PDF.</t>
  </si>
  <si>
    <t>1 - Demonstrativo assinado.</t>
  </si>
  <si>
    <t>2 - Nota fiscal referente ao valor bruto.</t>
  </si>
  <si>
    <t>5 - Relatório do FGTS digital.</t>
  </si>
  <si>
    <t>Atual</t>
  </si>
  <si>
    <t>Km</t>
  </si>
  <si>
    <t>2,5% Regular</t>
  </si>
  <si>
    <t>Anterior COM AUMENTO 4,91</t>
  </si>
  <si>
    <t>Anterior ANTES DO AUMENTO</t>
  </si>
  <si>
    <t>Percapita</t>
  </si>
  <si>
    <t>Crechee</t>
  </si>
  <si>
    <t>Especiall</t>
  </si>
  <si>
    <t>2,5% Cadeirantee</t>
  </si>
  <si>
    <t>01/06 a 30/06/2025</t>
  </si>
  <si>
    <t>SEI</t>
  </si>
  <si>
    <t>Tipo Optante</t>
  </si>
  <si>
    <t>Optante</t>
  </si>
  <si>
    <t>Cooperativa</t>
  </si>
  <si>
    <t>Outros</t>
  </si>
  <si>
    <t>Período Inicial</t>
  </si>
  <si>
    <t>Período Final</t>
  </si>
  <si>
    <t>Mês</t>
  </si>
  <si>
    <t>Base de Calculo para as Demais Planilhas</t>
  </si>
  <si>
    <t>Legenda</t>
  </si>
  <si>
    <t>Quantidade</t>
  </si>
  <si>
    <t>não  e processado por tipo segundo o thiago</t>
  </si>
  <si>
    <t>Periodo Operacional</t>
  </si>
  <si>
    <t>Veículo</t>
  </si>
  <si>
    <t>Placa</t>
  </si>
  <si>
    <t xml:space="preserve">Demonstrativo de Pagamento: </t>
  </si>
  <si>
    <t>pdf2</t>
  </si>
  <si>
    <t>limpeza de variaveis com erro</t>
  </si>
  <si>
    <t>PDF3</t>
  </si>
  <si>
    <t>mudança salar com wtemp</t>
  </si>
  <si>
    <t>mudança pasta gravacao pdf criando  o subdiretorio da dre</t>
  </si>
  <si>
    <t>mudança verificando se deve gerar pdf</t>
  </si>
  <si>
    <t>COOP DE TRANSP ESC DA Z SUL DE SP - COOPERTRES</t>
  </si>
  <si>
    <t>COOP DE TRANSP ESC NORTE SAO PAULO - COOPERNORTE</t>
  </si>
  <si>
    <t>COOP TRANSP ESC CAP SOC COOPERCAPS</t>
  </si>
  <si>
    <t>COOPER MAIS - COOPERATIVA DE TRANSPORTES</t>
  </si>
  <si>
    <t>COOPER SAO PAULO C T C P ESC E T DE SP</t>
  </si>
  <si>
    <t>COOPERARTE - COOPERATIVA DE TRANSPORTES DE SAO PAULO</t>
  </si>
  <si>
    <t>COOPERATIVA BRASILEIRA DE TRANSPORTE - COBRATE</t>
  </si>
  <si>
    <t>COOPERATIVA DE T. E. C. M. - COOTRECM</t>
  </si>
  <si>
    <t>COOPERVANS - COOP TRANS CAR DE PASS ESC E TUR</t>
  </si>
  <si>
    <t>COOPER-X - COOP. SERV. TRANSP. ESCOLAR SP</t>
  </si>
  <si>
    <t>COOTRECESP COOP DE TRANSP ROD ESC COL DO E DE SP</t>
  </si>
  <si>
    <t>DBL TRANSPORTES EIRELI</t>
  </si>
  <si>
    <t>HIGOR JOAO PAULO APARECIDO GOMES - ME</t>
  </si>
  <si>
    <t>LP TRANSPORTES LTDA</t>
  </si>
  <si>
    <t>SANS TRANSPORTES LTDA - ME</t>
  </si>
  <si>
    <t>TRANSPEVE TRANSPORTES LTDA</t>
  </si>
  <si>
    <t>pdf4</t>
  </si>
  <si>
    <t>mudou sai para xlsx</t>
  </si>
  <si>
    <t>muda a formula do contrato especial</t>
  </si>
  <si>
    <t>=especial/30 * (=SE(($G6-$F6)=($G$5-$F$5);30;($G6-$F6)+1))</t>
  </si>
  <si>
    <t>pdf5</t>
  </si>
  <si>
    <t>Dias Letivos</t>
  </si>
  <si>
    <t>Periodo de Operação</t>
  </si>
  <si>
    <t>a digitar</t>
  </si>
  <si>
    <t>A.C.G. TRANSPORTE ESCOLAR LTDA</t>
  </si>
  <si>
    <t>AME TRANSPORTE LTDA</t>
  </si>
  <si>
    <t>AMIGOS TRANS LTDA</t>
  </si>
  <si>
    <t>AMINADABE TRANSPORTES LTDA - ME</t>
  </si>
  <si>
    <t>ARCA ENCANTADA TRANSPORTES LTDA - ME</t>
  </si>
  <si>
    <t>CASSIO ALVES XAVIER 37856680822</t>
  </si>
  <si>
    <t>COOP DE TR DA CAP DE SP - COOPER CAPITAL</t>
  </si>
  <si>
    <t>COOPER MK - COOPERATIVA DE TRANSPORTES</t>
  </si>
  <si>
    <t>COOPER TRANS MOBILY - C DE T D E M URBANA</t>
  </si>
  <si>
    <t>COOPERBUTANTA - COOPERATIVA DE TRANSP ESC DO BUTANTA</t>
  </si>
  <si>
    <t>CRISTIANO DE OLIVEIRA BRITO 16619400809</t>
  </si>
  <si>
    <t>D.J.PORCINO TRANSPORTE ESCOLAR - ME</t>
  </si>
  <si>
    <t>DE &amp; DI TRANSPORTE LTDA</t>
  </si>
  <si>
    <t>DELUZ TRANSPORTES LTDA</t>
  </si>
  <si>
    <t>EDILSON DA LUZ CARVALHO - ME</t>
  </si>
  <si>
    <t>EDSON LUIZ FERNANDES 28310204841</t>
  </si>
  <si>
    <t>ELLOS TRANSPORTE ESCOLAR E LOCACAO DE VEICULOS LTDA - ME</t>
  </si>
  <si>
    <t>EVOLUTION TRANSPORTES LTDA - ME</t>
  </si>
  <si>
    <t>FERNANDO PEREIRA TRANSPORTE</t>
  </si>
  <si>
    <t>FF TRANSPORTE ESCOLAR LTDA - ME</t>
  </si>
  <si>
    <t>FM TRANSPORTE ESCOLAR LTDA</t>
  </si>
  <si>
    <t>GENA TRANSPORTE ESCOLAR LTDA - ME</t>
  </si>
  <si>
    <t>HOREBE TRANSPORTE E TURISMO LTDA - ME</t>
  </si>
  <si>
    <t>J.S. LOCADORA E TRANSPORTES LTDA - ME</t>
  </si>
  <si>
    <t>JULIEDRY TRANSPORTES LTDA - ME</t>
  </si>
  <si>
    <t>KATHIA HELENA SILVA - ME</t>
  </si>
  <si>
    <t>L.C.M DA SILVA - TRANSPORTES ESCOLAR -ME</t>
  </si>
  <si>
    <t>LAERCIO ALVES DA CUNHA TRANSPORTES ESCOLARES LTDA</t>
  </si>
  <si>
    <t>LUNI TRANSPORTES LTDA - ME</t>
  </si>
  <si>
    <t>LWG SERVICOS LTDA - ME</t>
  </si>
  <si>
    <t>MARCIA REGINA DE SOUZA TRANSPORTE - ME</t>
  </si>
  <si>
    <t>MARIA FERNANDA TRANSPORTES LTDA</t>
  </si>
  <si>
    <t>ONITUTAM - TRANSPORTE ESCOLAR LTDA - ME</t>
  </si>
  <si>
    <t>OSMAR ALVES JUNIOR TRANSPORTES - ME</t>
  </si>
  <si>
    <t>RBS TRANSPORTE ESCOLAR LTDA</t>
  </si>
  <si>
    <t>RP TRANSPORTE ESCOLAR LTDA</t>
  </si>
  <si>
    <t>SAPECA S TRANSPORTES E LOCACAO LTDA</t>
  </si>
  <si>
    <t>TIO MARCIO &amp; TIA ANA TRANSPORTES ESCOLAR LTDA - ME</t>
  </si>
  <si>
    <t>TRANSPAC TRANSPORTE ESCOLAR E TURISMO LTDA - ME</t>
  </si>
  <si>
    <t>TRANSPORTE ESCOLAR DANDALE LTDA - ME</t>
  </si>
  <si>
    <t>Termo_de_adesao</t>
  </si>
  <si>
    <t>CNPJ_CPF</t>
  </si>
  <si>
    <t>Previsao de Crédito</t>
  </si>
  <si>
    <t>IR ACUMULA</t>
  </si>
  <si>
    <t>IR NORMAL</t>
  </si>
  <si>
    <t>NOVA BASE</t>
  </si>
  <si>
    <t>IR Retido</t>
  </si>
  <si>
    <t xml:space="preserve">RetenCAo Sest/ Senat </t>
  </si>
  <si>
    <t>RetenCAo de INSS</t>
  </si>
  <si>
    <t>CPF</t>
  </si>
  <si>
    <t>Acima de 4.664,68</t>
  </si>
  <si>
    <t>De 3.751,06 até 4.664,68</t>
  </si>
  <si>
    <t>De 2.826,66 até 3.751,05</t>
  </si>
  <si>
    <t>De 2.428,81 até 2.826,65</t>
  </si>
  <si>
    <t>Até 2.428,80</t>
  </si>
  <si>
    <t>Desconto</t>
  </si>
  <si>
    <t>% Retenção</t>
  </si>
  <si>
    <t>Valor base</t>
  </si>
  <si>
    <t>Nova base de cálculo IRRF</t>
  </si>
  <si>
    <t>Remuneração Líquida  (L-M-N-O-P)</t>
  </si>
  <si>
    <t>Desconto por Multa Contratual - Enquadramento</t>
  </si>
  <si>
    <t>( Q )</t>
  </si>
  <si>
    <t>SEST/SENAT 2,5%</t>
  </si>
  <si>
    <t>INSS 11%</t>
  </si>
  <si>
    <t>Remuneração bruta (A+B+C+D+E+F+G+H+I) - (H-J)</t>
  </si>
  <si>
    <t>Outros Apontamentos</t>
  </si>
  <si>
    <t>( K )</t>
  </si>
  <si>
    <t>Atividade Complementar Continuada</t>
  </si>
  <si>
    <t xml:space="preserve">Descontos por Faltas </t>
  </si>
  <si>
    <t>Ajustes Negativos</t>
  </si>
  <si>
    <t>Remuneração Variável Medida  km adicional</t>
  </si>
  <si>
    <t>Saida de Alunos ao longo do mês</t>
  </si>
  <si>
    <t>Remuneração transporte alunos presenciais valor proporconial (menos de 30 dias)</t>
  </si>
  <si>
    <t>Remuneração CCA</t>
  </si>
  <si>
    <t>Remuneração transporte alunos presenciais</t>
  </si>
  <si>
    <t>Remuneração Fixa integral</t>
  </si>
  <si>
    <t>Alunos/Mês</t>
  </si>
  <si>
    <t>Placas</t>
  </si>
  <si>
    <t>Km/mês</t>
  </si>
  <si>
    <t>Retenção INSS</t>
  </si>
  <si>
    <t>indice A</t>
  </si>
  <si>
    <t>indice B</t>
  </si>
  <si>
    <t>retençao</t>
  </si>
  <si>
    <t>Nova Base</t>
  </si>
  <si>
    <t>ANDREIA PEREIRA DA SILVA</t>
  </si>
  <si>
    <t>MARCELO PEREIRA DA SILVA</t>
  </si>
  <si>
    <t>EDSON DE ARAUJO MOREIRA</t>
  </si>
  <si>
    <t>FERNANDO PEREIRA</t>
  </si>
  <si>
    <t>LAERCIO ALVES DA CUNHA</t>
  </si>
  <si>
    <t>JOSENILDO RODRIGUES DE SOUZA</t>
  </si>
  <si>
    <t>ROBSON MANOEL FERNANDES</t>
  </si>
  <si>
    <t>IVANILDO ALVES LIMA</t>
  </si>
  <si>
    <t>APELIDO:</t>
  </si>
  <si>
    <t>6 - Relatório do FGTS digital.</t>
  </si>
  <si>
    <t>N CAD PRES</t>
  </si>
  <si>
    <t>AT COMP N CAD PRES</t>
  </si>
  <si>
    <t>CAD PRES</t>
  </si>
  <si>
    <t>AT COMP CAD PRES</t>
  </si>
  <si>
    <t>São Paulo,______/______/______     Assinatura do Responsável na D.R.E__________________________________</t>
  </si>
  <si>
    <t>3 - Guia do INSS e comprovante de pagamento referente a competência:</t>
  </si>
  <si>
    <t>4 - Guia do ISS (ou DAS em caso de optante pelo SIMPLES) e comprovante de pagamento ref. a competência:</t>
  </si>
  <si>
    <t>5 - Guia do FGTS e comprovante de pagamento referente a competência:</t>
  </si>
  <si>
    <t>4 - Guia do FGTS e comprovante de pagamento referente a competência:</t>
  </si>
  <si>
    <t/>
  </si>
  <si>
    <t>Regular</t>
  </si>
  <si>
    <t>CREDENCIADO</t>
  </si>
  <si>
    <t>APELIDO</t>
  </si>
  <si>
    <t>COOPER CAPITAL</t>
  </si>
  <si>
    <t>COOPERTRES</t>
  </si>
  <si>
    <t>COOPERNORTE</t>
  </si>
  <si>
    <t>COOPERCAPS</t>
  </si>
  <si>
    <t>COOPER MAIS</t>
  </si>
  <si>
    <t>COOPER MK</t>
  </si>
  <si>
    <t>COOPER SAO PAULO</t>
  </si>
  <si>
    <t>COOPER MOBILY</t>
  </si>
  <si>
    <t>COOPERARTE</t>
  </si>
  <si>
    <t>COBRATE</t>
  </si>
  <si>
    <t>COOTRECM</t>
  </si>
  <si>
    <t>COOP BUTANTA</t>
  </si>
  <si>
    <t>COOPERVANS</t>
  </si>
  <si>
    <t>COOPERX</t>
  </si>
  <si>
    <t>COOTRECESP</t>
  </si>
  <si>
    <t>CARIVALDO DE JESUS</t>
  </si>
  <si>
    <t>DAVID LOPES BATISTA</t>
  </si>
  <si>
    <t>EDMILSON JOSE DE OLIVEIRA</t>
  </si>
  <si>
    <t>ELIENE ROCHA DE SANTANA</t>
  </si>
  <si>
    <t>FABIANO JACINTO SILVA</t>
  </si>
  <si>
    <t>FABIO DE FAUSTO FERREIRA</t>
  </si>
  <si>
    <t>GILDSLAINE CANUTO</t>
  </si>
  <si>
    <t>HELTON DE SOUZA LEITE</t>
  </si>
  <si>
    <t>HENRIQUE DA SILVA ALFERES</t>
  </si>
  <si>
    <t>JACYARA DOS SANTOS SILVA</t>
  </si>
  <si>
    <t>JOAO PAULO DA SILVA</t>
  </si>
  <si>
    <t>JOEL DE SOUZA FLORENCIO</t>
  </si>
  <si>
    <t>JOSE ANDRE DOS SANTOS</t>
  </si>
  <si>
    <t>LUCAS PEREIRA DO NASCIMENTO</t>
  </si>
  <si>
    <t>MARCIO JOSE SANTANA</t>
  </si>
  <si>
    <t>MARIA DA PAZ COELHO FEITOSA</t>
  </si>
  <si>
    <t>MAYKON WILKOVESKI FERREIRA</t>
  </si>
  <si>
    <t>NILSON SOUSA OLIVEIRA</t>
  </si>
  <si>
    <t>RAFAEL MARTINS DE LIMA</t>
  </si>
  <si>
    <t>REJANE MARIA DE SANTANA SANTOS</t>
  </si>
  <si>
    <t>ROGERIO SIQUEIRA DA SILVA</t>
  </si>
  <si>
    <t>TARCISIO DE ALMEIDA SANCHO</t>
  </si>
  <si>
    <t>VALDEMIR DE CARVALHO SANTOS</t>
  </si>
  <si>
    <t>VALDEMIR DE FAUSTO FERREIRA</t>
  </si>
  <si>
    <t>VARLEI ALMEIDA DOS SANTOS</t>
  </si>
  <si>
    <t>WILLIAN MACHADO DA SILVA</t>
  </si>
  <si>
    <t>ACG</t>
  </si>
  <si>
    <t>AME</t>
  </si>
  <si>
    <t>AMIGOS</t>
  </si>
  <si>
    <t>AMINADABE</t>
  </si>
  <si>
    <t>ARCA</t>
  </si>
  <si>
    <t>CASSIO ALVES</t>
  </si>
  <si>
    <t>CRISTIANO DE OLIVEIRA</t>
  </si>
  <si>
    <t>D.J.PORCINO</t>
  </si>
  <si>
    <t>DBL</t>
  </si>
  <si>
    <t>DE E DI</t>
  </si>
  <si>
    <t>DELUZ</t>
  </si>
  <si>
    <t>EDILSON DA LUZ</t>
  </si>
  <si>
    <t>EDSON LUIZ</t>
  </si>
  <si>
    <t>ELLOS</t>
  </si>
  <si>
    <t>EVOLUTION</t>
  </si>
  <si>
    <t>FF</t>
  </si>
  <si>
    <t>FM</t>
  </si>
  <si>
    <t>GENA</t>
  </si>
  <si>
    <t xml:space="preserve">HIGOR </t>
  </si>
  <si>
    <t>HOREBE</t>
  </si>
  <si>
    <t>JS</t>
  </si>
  <si>
    <t>JAIME VITORIO DOS SANTOS NETO - ME</t>
  </si>
  <si>
    <t>JAIME VITORIO</t>
  </si>
  <si>
    <t>JULIEDRY</t>
  </si>
  <si>
    <t>KATHIA</t>
  </si>
  <si>
    <t xml:space="preserve">LCM DA SILVA </t>
  </si>
  <si>
    <t>LAERCIO</t>
  </si>
  <si>
    <t>LP</t>
  </si>
  <si>
    <t>LUNI</t>
  </si>
  <si>
    <t>LWG</t>
  </si>
  <si>
    <t>MARCIA REGINA</t>
  </si>
  <si>
    <t xml:space="preserve">MARIA JOSE </t>
  </si>
  <si>
    <t>MILLA TRANSPORTE E TURISMO LTDA - EPP</t>
  </si>
  <si>
    <t>MILLA</t>
  </si>
  <si>
    <t>ONITUTAM</t>
  </si>
  <si>
    <t>OSMAR ALVES</t>
  </si>
  <si>
    <t>RBS</t>
  </si>
  <si>
    <t>RP</t>
  </si>
  <si>
    <t>SANS</t>
  </si>
  <si>
    <t>SAPECA</t>
  </si>
  <si>
    <t>TIO MARCIO E TIA ANA</t>
  </si>
  <si>
    <t xml:space="preserve">TRANSPAC </t>
  </si>
  <si>
    <t>TRANSPEVE</t>
  </si>
  <si>
    <t>DANDALE</t>
  </si>
  <si>
    <t>CL</t>
  </si>
  <si>
    <t>COOPER - CET COOP. C. E. TRANSP. GERAIS</t>
  </si>
  <si>
    <t>COOPER CET</t>
  </si>
  <si>
    <t>COOPER CAPAO COOPERATIVA DE TRANSPORTES</t>
  </si>
  <si>
    <t>COOPER CAPAO</t>
  </si>
  <si>
    <t>COOPER LIVRE - COOPERATIVA DE TRANSPORTE ESCOLAR</t>
  </si>
  <si>
    <t>COOPER LIVRE</t>
  </si>
  <si>
    <t>COOPERATIVA DE TRANSPORTE NOVA ERA</t>
  </si>
  <si>
    <t>COOPER NOVA ERA</t>
  </si>
  <si>
    <t>ACACIO AMORIM DA SILVA</t>
  </si>
  <si>
    <t>ADAIR JOSE COSTA</t>
  </si>
  <si>
    <t>ADALTON ANACLETO DE JESUS</t>
  </si>
  <si>
    <t>ADEILDA MARIA DOS REIS</t>
  </si>
  <si>
    <t>ADELITA PEREIRA DOS ANJOS</t>
  </si>
  <si>
    <t>ADEMIR PIMENTEL DA SILVA</t>
  </si>
  <si>
    <t>ADRIANA CONCEICAO DO NASCIMENTO LIRA</t>
  </si>
  <si>
    <t>AILTON HONORATO DE SOUSA</t>
  </si>
  <si>
    <t>ALBERTO YUKIO ITINO</t>
  </si>
  <si>
    <t>ALESSANDRA BRANDOLIN AVANSO</t>
  </si>
  <si>
    <t>ALEX CERQUEIRA DA SILVA</t>
  </si>
  <si>
    <t>ALEXANDRE ARANDAS FERREIRA</t>
  </si>
  <si>
    <t>ALINE APARECIDA GONCALVES DE OLIVEIRA</t>
  </si>
  <si>
    <t>ANA APARECIDA BITENCOURT LOPES</t>
  </si>
  <si>
    <t>ANA CLAUDIA MORIYAMA GAMBOA SANTOS</t>
  </si>
  <si>
    <t>ANA CRISTINA LEAL NERY DA SILVA</t>
  </si>
  <si>
    <t>ANDERSON ANTUNES RIBEIRO</t>
  </si>
  <si>
    <t>ANDERSON DE ANDRADE GOMES</t>
  </si>
  <si>
    <t>ANDERSON GONCALVES MONTEIRO</t>
  </si>
  <si>
    <t>ANDERSON MOREIRA GUEDES</t>
  </si>
  <si>
    <t>ANDERSON TALES E SILVA</t>
  </si>
  <si>
    <t>ANDRE APARECIDO FREIRE</t>
  </si>
  <si>
    <t>ANDRE DA FONSECA</t>
  </si>
  <si>
    <t>ANDREA CARDOSO</t>
  </si>
  <si>
    <t>ANTONIO COIMBRA DE SOUSA</t>
  </si>
  <si>
    <t>ANTONIO GONCALVES DE OLIVEIRA</t>
  </si>
  <si>
    <t>ANTONIO VIVALDO DA SILVA PEREIRA</t>
  </si>
  <si>
    <t>ARIOVALDO DE JESUS LUCIO</t>
  </si>
  <si>
    <t>BENEDITO CANDIDO DA SILVA FILHO</t>
  </si>
  <si>
    <t>BRUNO DE LIMA LOPES</t>
  </si>
  <si>
    <t>CARLOS ALBERTO DOS SANTOS</t>
  </si>
  <si>
    <t>CATIA DO CARMO NUNES</t>
  </si>
  <si>
    <t>CELSO JOSIAS DA SILVA</t>
  </si>
  <si>
    <t>CICERA CORREIA NERI FONSECA</t>
  </si>
  <si>
    <t>CICERA RODRIGUES DE SOUZA</t>
  </si>
  <si>
    <t>CLAUDIO AMAURY RIBEIRO HAHN</t>
  </si>
  <si>
    <t>CLAUDIO LUIS DA SILVA</t>
  </si>
  <si>
    <t>CRISTIANE ARAUJO DO CARMO ALMEIDA</t>
  </si>
  <si>
    <t>CRISTIANI RIGHI</t>
  </si>
  <si>
    <t>CRISTIANO DAMASCENO FERNANDES</t>
  </si>
  <si>
    <t>DANIEL INACIO DA SILVA</t>
  </si>
  <si>
    <t>DANIELA CRISTINA BASTOS</t>
  </si>
  <si>
    <t>DANIELA ROCHA DE ALMEIDA</t>
  </si>
  <si>
    <t>DAVID SOUZA DIAS</t>
  </si>
  <si>
    <t>DEGMAR SENA DE JESUS</t>
  </si>
  <si>
    <t>DJALMA DELFINO DA COSTA</t>
  </si>
  <si>
    <t>DOMINGOS NASCIMENTO DE JESUS</t>
  </si>
  <si>
    <t>DOMINICIO ROSENDO DE FREITAS</t>
  </si>
  <si>
    <t>EDERSON SOARES FERREIRA</t>
  </si>
  <si>
    <t>EDICLAUDIO COSTA DA SILVA</t>
  </si>
  <si>
    <t>EDINEIA ROCHA LIMA</t>
  </si>
  <si>
    <t>EDMILSON MONTEIRO CAVALCANTE</t>
  </si>
  <si>
    <t>EDMILSON TAVARES DE OLIVEIRA</t>
  </si>
  <si>
    <t>EDNA PEREIRA DA SILVA SERPA</t>
  </si>
  <si>
    <t>EDSON AMORIM DA SILVA</t>
  </si>
  <si>
    <t>EDSON FERNANDES DA FONSECA</t>
  </si>
  <si>
    <t>EDSON FERREIRA DA ROCHA</t>
  </si>
  <si>
    <t>EDVALDO JOSE NOGUEIRA</t>
  </si>
  <si>
    <t>ELIANA BARBOSA DA SILVA</t>
  </si>
  <si>
    <t>ELIAS CALIXTO SAMORA</t>
  </si>
  <si>
    <t>ELIZABETE VARGAS ALVES</t>
  </si>
  <si>
    <t>ELIZANGELA GONCALVES DANIEL</t>
  </si>
  <si>
    <t>FABIANA D AVILA OLIVEIRA</t>
  </si>
  <si>
    <t>FABIO ALVES DA CRUZ</t>
  </si>
  <si>
    <t>FABIO JACINTO</t>
  </si>
  <si>
    <t>FELIPE CASSIM DE FRANCA</t>
  </si>
  <si>
    <t>FELIPE LIMA LOPES</t>
  </si>
  <si>
    <t>FERNANDA MARTA GONCALVES DO NASCIMENTO</t>
  </si>
  <si>
    <t>FERNANDO DA SILVA DE ABREU</t>
  </si>
  <si>
    <t>FRANCISCO LOPES DA SILVA</t>
  </si>
  <si>
    <t>FRANCISCO VILBERLANIO ALMEIDA FELIX</t>
  </si>
  <si>
    <t>GERSIONILO NUNES AMORIM</t>
  </si>
  <si>
    <t>GERSON CIRILO DE LIRA</t>
  </si>
  <si>
    <t>GERSON RODRIGUES DE ARAUJO</t>
  </si>
  <si>
    <t>GICELIA MINERVINO GERING</t>
  </si>
  <si>
    <t>GILBERTO VIEIRA DA ROCHA</t>
  </si>
  <si>
    <t>GIOVANI NORBERTO PEREIRA</t>
  </si>
  <si>
    <t>GUILHERME JOSE DE SANTANA</t>
  </si>
  <si>
    <t>HUGO RODRIGUES DE FREITAS</t>
  </si>
  <si>
    <t>IVALDO MENDONCA DO NASCIMENTO</t>
  </si>
  <si>
    <t>IVONALDO FERREIRA ESTIMA</t>
  </si>
  <si>
    <t>JAIME DOS REIS GOULART</t>
  </si>
  <si>
    <t>JAQUES DANIEL PEREIRA DE SOUZA</t>
  </si>
  <si>
    <t>JEFERSON ROBERTO MOTA MONTEIRO</t>
  </si>
  <si>
    <t>JEFFERSON APARECIDO MELO DE OLIVEIRA</t>
  </si>
  <si>
    <t>JEFFERSON FIGUEIREDO CABRAL</t>
  </si>
  <si>
    <t>JOAO BATISTA DA SILVA GOMES</t>
  </si>
  <si>
    <t>JOAO DA CRUZ MERCES</t>
  </si>
  <si>
    <t>JOAO RAIMUNDO DE SOUSA</t>
  </si>
  <si>
    <t>JOAO ROBERTO DE ALMEIDA ALVES</t>
  </si>
  <si>
    <t>JOEL GAUDENCIO DE SOUZA</t>
  </si>
  <si>
    <t>JOEL SILVA DE SOUZA</t>
  </si>
  <si>
    <t>JOSE AUGUSTO DE JESUS FERREIRA</t>
  </si>
  <si>
    <t>JOSE CARLOS MATOS DA SILVA</t>
  </si>
  <si>
    <t>JOSE CARLOS OLIVEIRA FERREIRA</t>
  </si>
  <si>
    <t>JOSE CLAUDIO DE ALMEIDA</t>
  </si>
  <si>
    <t>JOSE DE OLIVEIRA GOMES RIBEIRO</t>
  </si>
  <si>
    <t>JOSE DO CARMO SANTANA</t>
  </si>
  <si>
    <t>JOSE DOS ANJOS ASSIS</t>
  </si>
  <si>
    <t>JOSE EDIVALDO BEZERRA</t>
  </si>
  <si>
    <t>JOSE LUIZ DA CONCEICAO TEIXEIRA</t>
  </si>
  <si>
    <t>JOSE NILDO DE JESUS OLIVEIRA DIAS</t>
  </si>
  <si>
    <t>JOSE SILMAR FERREIRA DE SOUSA</t>
  </si>
  <si>
    <t>JOSIANO JOSE DOS SANTOS</t>
  </si>
  <si>
    <t>JOSIAS BARBOSA DE ALMEIDA</t>
  </si>
  <si>
    <t>JUSSARA THEODORO KUGUYAMA</t>
  </si>
  <si>
    <t>JUSSELMA DOS SANTOS</t>
  </si>
  <si>
    <t>KARIN PEREIRA DE SOUZA</t>
  </si>
  <si>
    <t>KELLY APARECIDA ALVES CAETANO</t>
  </si>
  <si>
    <t>LILIAN APARECIDA COSTA SAMORA</t>
  </si>
  <si>
    <t>LUCIA HELENA CONSTANTINO</t>
  </si>
  <si>
    <t>LUIZ ANTONIO DOS SANTOS</t>
  </si>
  <si>
    <t>LUIZ RODRIGUES MOREIRA</t>
  </si>
  <si>
    <t>MANUEL CARLOS FONSECA NORMANDIA</t>
  </si>
  <si>
    <t>MARA ALESSANDRA BARBOSA RODRIGUES</t>
  </si>
  <si>
    <t>MARCEL PAULINO</t>
  </si>
  <si>
    <t>MARCELO BRANDI</t>
  </si>
  <si>
    <t>MARCELO BRITO RODRIGUES</t>
  </si>
  <si>
    <t>MARCELO ROSA DA ROCHA</t>
  </si>
  <si>
    <t>MARCOS GOMES DOS REIS</t>
  </si>
  <si>
    <t>MARCOS PAULO DA SILVA SANTOS</t>
  </si>
  <si>
    <t>MARCOS PEREIRA DE OLIVEIRA</t>
  </si>
  <si>
    <t>MARIA APARECIDA GOMES VIDAL</t>
  </si>
  <si>
    <t>MARIA CRISTINA DA CRUZ CINTRA SANTOS</t>
  </si>
  <si>
    <t>MARIA DE FATIMA DE SOUZA SILVA</t>
  </si>
  <si>
    <t>MARIA DEUSA DE SANTANA SANTOS</t>
  </si>
  <si>
    <t>MARIA DO CARMO RAULINO LOPES</t>
  </si>
  <si>
    <t>MAURICIO ALVES DE SOUZA</t>
  </si>
  <si>
    <t>MAURICIO APARECIDO CAETANO</t>
  </si>
  <si>
    <t>MAURICIO APARECIDO RODRIGUES</t>
  </si>
  <si>
    <t>MAURINO AMBROSIO DO NASCIMENTO</t>
  </si>
  <si>
    <t>MAURIZA VIEIRA MACHADO MAGALHAES</t>
  </si>
  <si>
    <t>MILTON DE ARRUDA BRITO</t>
  </si>
  <si>
    <t>MIRALDA DUTRA FAGUNDES DA SILVA</t>
  </si>
  <si>
    <t>NARCISO LUCIANO DOS SANTOS</t>
  </si>
  <si>
    <t>NELSON AZEVEDO OLIVEIRA</t>
  </si>
  <si>
    <t>NIVALDO SATURNINO</t>
  </si>
  <si>
    <t>OLAVO RODRIGUES DA SILVA</t>
  </si>
  <si>
    <t>OSMAR NASCIMENTO DE JESUS</t>
  </si>
  <si>
    <t>PATRICIA DE LIMA CANGUCU</t>
  </si>
  <si>
    <t>PAULINO PEREIRA DE MORAIS</t>
  </si>
  <si>
    <t>PAULO ALEXANDRE FERREIRA DOS SANTOS</t>
  </si>
  <si>
    <t>PAULO CELSO ZABARELLI</t>
  </si>
  <si>
    <t>PAULO CEZAR BONFIM BARBOSA</t>
  </si>
  <si>
    <t>PAULO JOSE DA SILVA</t>
  </si>
  <si>
    <t>PAULO ROGERIO DE SOUZA</t>
  </si>
  <si>
    <t>RAIMUNDO NONATO PEREIRA LIMA</t>
  </si>
  <si>
    <t>RAQUEL DANTAS BARRETO DA SILVA</t>
  </si>
  <si>
    <t>RENATO SIMPLICIO DA SILVA</t>
  </si>
  <si>
    <t>RICARDO ALVES</t>
  </si>
  <si>
    <t>RICARDO HENRIQUE DA CONCEICAO</t>
  </si>
  <si>
    <t>RITA DE CASSIA REIS</t>
  </si>
  <si>
    <t>ROBERTO DE CAMPOS</t>
  </si>
  <si>
    <t>ROBERTO MILAN GONCALVES CORREA</t>
  </si>
  <si>
    <t>ROBERTO MORORO DO NASCIMENTO</t>
  </si>
  <si>
    <t>ROBSON DE SOUSA SILVA</t>
  </si>
  <si>
    <t>RODNEY FERREIRA SILVA</t>
  </si>
  <si>
    <t>RODRIGO FERREIRA MORAES</t>
  </si>
  <si>
    <t>RODRIGO SIMPLICIO DE OLIVEIRA MARTINS</t>
  </si>
  <si>
    <t>ROGERIO JOSE DOS SANTOS</t>
  </si>
  <si>
    <t>RONALDO BATISTA COSTA</t>
  </si>
  <si>
    <t>RONALDO FERREIRA COSTA</t>
  </si>
  <si>
    <t>ROSA APARECIDA GUIMARAES</t>
  </si>
  <si>
    <t>ROSANA RAMOS DA SILVA</t>
  </si>
  <si>
    <t>RUI BARBOSA DE LIMA SANTOS</t>
  </si>
  <si>
    <t>SALVELINA LELES DE OLIVEIRA SILVA</t>
  </si>
  <si>
    <t>SAMUEL SANTOS MIRANDA</t>
  </si>
  <si>
    <t>SANDRA MARIA RIBAS GOMES</t>
  </si>
  <si>
    <t>SEBASTIAO DE SOUZA SERPA</t>
  </si>
  <si>
    <t>SERGIO NOGUEIRA DA SILVA</t>
  </si>
  <si>
    <t>SEVERINA DE ANDRADE MEDEIROS MIRANDA</t>
  </si>
  <si>
    <t>SHIRLEY DE SOUZA FRANCISCO VELHO</t>
  </si>
  <si>
    <t>SILVIA REGINA DE SOUZA</t>
  </si>
  <si>
    <t>SILVIO VIANA DE OLIVEIRA</t>
  </si>
  <si>
    <t>SIMEIRE CAMARA ASCANHO</t>
  </si>
  <si>
    <t>SIMONE CAMARA ASCANHO DE JESUS</t>
  </si>
  <si>
    <t>SOLIMAR FERREIRA DOS SANTOS</t>
  </si>
  <si>
    <t>SORAIA MARIA MOUTA</t>
  </si>
  <si>
    <t>SUELEN MARIA HEMERICH</t>
  </si>
  <si>
    <t>TADEU VIEIRA BRANCO</t>
  </si>
  <si>
    <t>TANIA MARIA DOS SANTOS</t>
  </si>
  <si>
    <t>TIAGO DOS SANTOS FERREIRA</t>
  </si>
  <si>
    <t>VALTER NUNES DOS SANTOS</t>
  </si>
  <si>
    <t>WAGNER SILVA RAMOS</t>
  </si>
  <si>
    <t>WALTER DA MOTTA</t>
  </si>
  <si>
    <t>WELTON DE SOUZA ALVES</t>
  </si>
  <si>
    <t>1000K TRANSPORTES EIRELI - ME</t>
  </si>
  <si>
    <t>1000K</t>
  </si>
  <si>
    <t>17.893.846 SAMUEL GOES DA SILVA</t>
  </si>
  <si>
    <t>SAMUEL GOES</t>
  </si>
  <si>
    <t>3RI TRANSPORTES LTDA</t>
  </si>
  <si>
    <t>3RI</t>
  </si>
  <si>
    <t>52.277.422 CICERA CORREIA NERI FONSECA</t>
  </si>
  <si>
    <t>CICERA CORREIA</t>
  </si>
  <si>
    <t>AC DA SILVA - ME</t>
  </si>
  <si>
    <t>AC DA SILVA</t>
  </si>
  <si>
    <t>ADEILDA REIS TRANSPORTES LTDA</t>
  </si>
  <si>
    <t>ADEILDA REIS</t>
  </si>
  <si>
    <t>AF TRANSPORTE ESCOLAR LTDA</t>
  </si>
  <si>
    <t>AF</t>
  </si>
  <si>
    <t>AFS TRANSPORTE ESCOLAR LTDA ME</t>
  </si>
  <si>
    <t>AFS</t>
  </si>
  <si>
    <t>AGAPE TRANSPORTES LTDA</t>
  </si>
  <si>
    <t>AGAPE</t>
  </si>
  <si>
    <t>AK TRANSPORTES LTDA</t>
  </si>
  <si>
    <t>AK</t>
  </si>
  <si>
    <t>ALFHA TRANSPORTES ESCOLAR E FRETAMENTOS EIRELI - ME</t>
  </si>
  <si>
    <t>ALFHA</t>
  </si>
  <si>
    <t>ALLISON EDUARDO DIAS 35166841867</t>
  </si>
  <si>
    <t>ALLISON EDUARDO DIAS</t>
  </si>
  <si>
    <t>AMG D AVILA TRANSPORTES LTDA</t>
  </si>
  <si>
    <t>AMG D AVILA</t>
  </si>
  <si>
    <t>ANA LUCIA FERREIRA DA SILVA 33021717810</t>
  </si>
  <si>
    <t>ANA LUCIA FERREIRA</t>
  </si>
  <si>
    <t>ANGI TRANSPORTE ESCOLAR LTDA</t>
  </si>
  <si>
    <t>ANGI</t>
  </si>
  <si>
    <t>ARTFRAN TRANSPORTES LTDA - ME</t>
  </si>
  <si>
    <t>ARTFRAN</t>
  </si>
  <si>
    <t>AUREO ALVES TEIXEIRA - ME</t>
  </si>
  <si>
    <t>AUREO ALVES</t>
  </si>
  <si>
    <t>BELLA TRANSPORTES LTDA - ME</t>
  </si>
  <si>
    <t>BELLA TRANSPORTES</t>
  </si>
  <si>
    <t>BETO NATHY TRANSPORTES LTDA</t>
  </si>
  <si>
    <t>BETO NATHY</t>
  </si>
  <si>
    <t>BRUNO &amp; CARLA TRANSP. ESCOLAR E TUR. LTDA</t>
  </si>
  <si>
    <t>BRUNO &amp; CARLA</t>
  </si>
  <si>
    <t>CAETANO´S TRANSPORTE ESCOLAR</t>
  </si>
  <si>
    <t>CAETANO´S</t>
  </si>
  <si>
    <t>CALIXTO BACCO TRANSPORTES LTDA</t>
  </si>
  <si>
    <t>CALIXTO BACCO</t>
  </si>
  <si>
    <t>CANAA TRANSPORTE ESCOLAR LTDA - ME</t>
  </si>
  <si>
    <t>CANAA</t>
  </si>
  <si>
    <t>CARDOSO OLIVEIRA TRANSPORTES LTDA</t>
  </si>
  <si>
    <t>CARDOSO OLIVEIRA</t>
  </si>
  <si>
    <t>CASSIM TRANSPORTE ESCOLAR LTDA</t>
  </si>
  <si>
    <t>CASSIM</t>
  </si>
  <si>
    <t>CELSO JOSIAS DA SILVA JJM TRANSPORTES ESCOLARES - ME</t>
  </si>
  <si>
    <t>CELSO JOSIAS</t>
  </si>
  <si>
    <t>CENTRAL DO TRANSPORTE - EIRELI - ME</t>
  </si>
  <si>
    <t>CENTRAL DO TRANSPORTE</t>
  </si>
  <si>
    <t>CHSI BRASIL TRANSPORTES LTDA</t>
  </si>
  <si>
    <t>CHSI</t>
  </si>
  <si>
    <t>COIMBRA TRANSPORTE LTDA</t>
  </si>
  <si>
    <t>COIMBRA</t>
  </si>
  <si>
    <t>CRISTIANE ARAUJO DO CARMO ALMEIDA 32526324890</t>
  </si>
  <si>
    <t>CRISTIANE ARAUJO</t>
  </si>
  <si>
    <t>DAMASCENO FERNANDES TRANSPORTES LTDA</t>
  </si>
  <si>
    <t>DAMASCENO</t>
  </si>
  <si>
    <t>DAVI TRANSPORTES ESCOLAR E FRETAMENTOS EIRELI</t>
  </si>
  <si>
    <t>DAVI TRANSPORTES</t>
  </si>
  <si>
    <t>DENAVANS TRANSPORTES - ME</t>
  </si>
  <si>
    <t>DENAVANS</t>
  </si>
  <si>
    <t>DNC VANS TRANSPORTES LTDA</t>
  </si>
  <si>
    <t>DNC</t>
  </si>
  <si>
    <t>EDGAR VIEIRA DA SILVA 28246947850</t>
  </si>
  <si>
    <t>EDGAR VIEIRA</t>
  </si>
  <si>
    <t>EDIVALDO TRANSPORTES LTDA</t>
  </si>
  <si>
    <t>EDIVALDO TRANSP</t>
  </si>
  <si>
    <t>EDMILSON B. DO NASCIMENTO 94492360549</t>
  </si>
  <si>
    <t>EDMILSON B.</t>
  </si>
  <si>
    <t>EDUARDO DE AMORIM OLIVEIRA - ME</t>
  </si>
  <si>
    <t>EDUARDO DE AMORIM</t>
  </si>
  <si>
    <t>EL GADIL TRANSPORTES LTDA - ME</t>
  </si>
  <si>
    <t>EL GADIL</t>
  </si>
  <si>
    <t>ELIAS DOS SANTOS VIANA TRANSPORTES</t>
  </si>
  <si>
    <t>ELIAS VIANA</t>
  </si>
  <si>
    <t>EMC TRANSPORTES E LOCACAO LTDA</t>
  </si>
  <si>
    <t>EMC</t>
  </si>
  <si>
    <t>F&amp;J TRANSPORTE LTDA</t>
  </si>
  <si>
    <t>F&amp;J</t>
  </si>
  <si>
    <t>F.A.S.E TRANSPORTE ESCOLAR LTDA</t>
  </si>
  <si>
    <t>FASE</t>
  </si>
  <si>
    <t>FABI TRANSPORTES LTDA</t>
  </si>
  <si>
    <t>FABI TRANSPORTES</t>
  </si>
  <si>
    <t>FAISCA TRANSPORTE ESCOLAR LTDA - ME</t>
  </si>
  <si>
    <t>FAISCA</t>
  </si>
  <si>
    <t>FELIPE E INGRID TRANSPORTE ESCOLAR E TURISMO LTDA</t>
  </si>
  <si>
    <t>FELIPE E INGRID</t>
  </si>
  <si>
    <t>FELIPE TRANSPORTES EIRELI - ME</t>
  </si>
  <si>
    <t>FELIPE TRANSPORTES</t>
  </si>
  <si>
    <t>FJ TRANSPORTES LTDA</t>
  </si>
  <si>
    <t>FJ</t>
  </si>
  <si>
    <t>G T DE MACEDO TRANSPORTES LTDA - ME</t>
  </si>
  <si>
    <t xml:space="preserve">G T DE MACEDO </t>
  </si>
  <si>
    <t>GAJETHI TRANSPORTES LTDA</t>
  </si>
  <si>
    <t>GAJETHI</t>
  </si>
  <si>
    <t>GARA TRANSPORTES LTDA</t>
  </si>
  <si>
    <t>GARA</t>
  </si>
  <si>
    <t>GILBERTO VIEIRA DA ROCHA 96143657491</t>
  </si>
  <si>
    <t>GILBERTO VIEIRA</t>
  </si>
  <si>
    <t>H.C. RIBEIRO - TRANSPORTES - ME</t>
  </si>
  <si>
    <t>H.C. RIBEIRO</t>
  </si>
  <si>
    <t>HERON PELEGRINI FELICIANO DA SILVA - ME</t>
  </si>
  <si>
    <t>HERON PELEGRINI</t>
  </si>
  <si>
    <t>HIDEKI TRANSPORTES E TURISMO LTDA - ME</t>
  </si>
  <si>
    <t>HIDEKI</t>
  </si>
  <si>
    <t>IFE TRANSPORTES LTDA</t>
  </si>
  <si>
    <t>IFE</t>
  </si>
  <si>
    <t>INGRYD DO CARMO CONCEICAO SARAIVA 45013464854</t>
  </si>
  <si>
    <t>INGRYD DO CARMO</t>
  </si>
  <si>
    <t>IRMAOS MENDES TRANSPORTE ESCOLAR LTDA - ME</t>
  </si>
  <si>
    <t>IRMAOS MENDES</t>
  </si>
  <si>
    <t>J&amp;N TRANSPORTES LTDA</t>
  </si>
  <si>
    <t>J&amp;N</t>
  </si>
  <si>
    <t>JACA VANS TRANSPORTE ESCOLAR LTDA</t>
  </si>
  <si>
    <t>JACA VANS</t>
  </si>
  <si>
    <t>JC TRANSPORTES LTDA - ME</t>
  </si>
  <si>
    <t xml:space="preserve">JC TRANS </t>
  </si>
  <si>
    <t>JESSICA TUR TRANSPORTES LTDA - ME</t>
  </si>
  <si>
    <t>JESSICA TUR</t>
  </si>
  <si>
    <t>JTI TRANSPORTES LTDA - ME</t>
  </si>
  <si>
    <t>JTI</t>
  </si>
  <si>
    <t>KL TRANSPORTE PAIS E FILHOS LTDA</t>
  </si>
  <si>
    <t>KL</t>
  </si>
  <si>
    <t>L. F. DO NASCIMENTO - ME</t>
  </si>
  <si>
    <t>L. F. DO NASCIMENTO</t>
  </si>
  <si>
    <t>LBW TRANSPORTES LTDA</t>
  </si>
  <si>
    <t>LBW</t>
  </si>
  <si>
    <t>LMP DE SOUZA TRANSPORTES - ME</t>
  </si>
  <si>
    <t>LMP DE SOUZA</t>
  </si>
  <si>
    <t>LTB TRANSPORTES LTDA - ME</t>
  </si>
  <si>
    <t>LTB</t>
  </si>
  <si>
    <t>LUCIANO FERREIRA DA SILVA 95482962504</t>
  </si>
  <si>
    <t>LUCIANO FERREIRA</t>
  </si>
  <si>
    <t>LUPRECINA MARIA DE OLIVEIRA ARAUJO - ME</t>
  </si>
  <si>
    <t>LUPRECINA</t>
  </si>
  <si>
    <t>M &amp; R TRANSPORTES LTDA - ME</t>
  </si>
  <si>
    <t>M &amp; R</t>
  </si>
  <si>
    <t>M3 TRANSPORTE ESCOLAR LTDA</t>
  </si>
  <si>
    <t>M3</t>
  </si>
  <si>
    <t>MAMUAN TRANSPORTES LTDA</t>
  </si>
  <si>
    <t>MAMUAN</t>
  </si>
  <si>
    <t>MARCOS PAULO TRANSPORTES LTDA</t>
  </si>
  <si>
    <t>MARCOS PAULO</t>
  </si>
  <si>
    <t>MAURICIO ALVES DE SOUZA TRANSPORTES</t>
  </si>
  <si>
    <t>MAURICIO ALVES</t>
  </si>
  <si>
    <t>MBR3 TRANSPORTES LTDA</t>
  </si>
  <si>
    <t>MBR3</t>
  </si>
  <si>
    <t>MCC FRET TRANSP E LOC DE VEICULOS LTDA</t>
  </si>
  <si>
    <t>MCC FRET</t>
  </si>
  <si>
    <t>MFL TRANSPORTE ESCOLAR LTDA</t>
  </si>
  <si>
    <t>MFL</t>
  </si>
  <si>
    <t>MGD TRANSPORTES LTDA</t>
  </si>
  <si>
    <t>MGD</t>
  </si>
  <si>
    <t>MICRO E VANS TRANSPORTES LTDA - ME</t>
  </si>
  <si>
    <t>MICRO E VANS</t>
  </si>
  <si>
    <t>MKS REIS TRANSPORTES LTDA</t>
  </si>
  <si>
    <t>MKS REIS</t>
  </si>
  <si>
    <t>MORORO TRANSPORTE ESCOLAR LTDA</t>
  </si>
  <si>
    <t>MORORO</t>
  </si>
  <si>
    <t>MR2 TRANSPORTE ESCOLAR LTDA</t>
  </si>
  <si>
    <t>MR2</t>
  </si>
  <si>
    <t>MR3 TRANSPORTE ESCOLAR LTDA</t>
  </si>
  <si>
    <t>MR3</t>
  </si>
  <si>
    <t>MURANGA TRANSPORTES LTDA</t>
  </si>
  <si>
    <t>MURANGA</t>
  </si>
  <si>
    <t>NATALIA AP A DE BORBA MOURA 32803726823</t>
  </si>
  <si>
    <t>NATALIA AP</t>
  </si>
  <si>
    <t>NICA TRANSPORTES LTDA</t>
  </si>
  <si>
    <t>NICA</t>
  </si>
  <si>
    <t>NILO TRANSPORTES LTDA</t>
  </si>
  <si>
    <t>NILO</t>
  </si>
  <si>
    <t>NORMANDIA TRANSPORTES LTDA</t>
  </si>
  <si>
    <t>NORMANDIA</t>
  </si>
  <si>
    <t>OCEANTUR TRANSPORTES E LOCADORA LTDA</t>
  </si>
  <si>
    <t>OCEANTUR</t>
  </si>
  <si>
    <t>ODETE DA SILVA MEIRA 03519232847</t>
  </si>
  <si>
    <t>ODETE DA SILVA</t>
  </si>
  <si>
    <t>ODETE MEIRA TRANSPORTE ESCOLAR LTDA</t>
  </si>
  <si>
    <t>ODETE MEIRA</t>
  </si>
  <si>
    <t>OLHOS DE AGUIA LOCADORA DE VEICULOS LTDA - ME</t>
  </si>
  <si>
    <t>OLHOS DE AGUIA</t>
  </si>
  <si>
    <t>OPG TRANSPORTES LTDA</t>
  </si>
  <si>
    <t>OPG</t>
  </si>
  <si>
    <t>PARIS TRANSPORTE ESCOLAR LTDA</t>
  </si>
  <si>
    <t>PARIS</t>
  </si>
  <si>
    <t>PCBB ESCOLAR TRANSPORTES PASSAGEIROS LTDA</t>
  </si>
  <si>
    <t>PCBB</t>
  </si>
  <si>
    <t>PONTUAL ESCOLAR E LOC EM TRANSP LTDA - ME</t>
  </si>
  <si>
    <t>PONTUAL</t>
  </si>
  <si>
    <t>REINALDO SANTOS CERQUEIRA 01116048507</t>
  </si>
  <si>
    <t>REINALDO SANTOS CERQUEIRA</t>
  </si>
  <si>
    <t>RENATO APARECIDO COSTA SANTOS 2597881989</t>
  </si>
  <si>
    <t>RENATO APARECIDO</t>
  </si>
  <si>
    <t>RM TRANSPORTE ESCOLAR E SERVICOS LTDA</t>
  </si>
  <si>
    <t>RM</t>
  </si>
  <si>
    <t>RMS TRANSPORTES LTDA</t>
  </si>
  <si>
    <t xml:space="preserve">RMS TRANS </t>
  </si>
  <si>
    <t>RODA LEGAL W. A. T. TRANSPORTES LTDA - ME</t>
  </si>
  <si>
    <t>RODA LEGAL</t>
  </si>
  <si>
    <t>RODASIL TRANSPORTES LTDA</t>
  </si>
  <si>
    <t>RODASIL</t>
  </si>
  <si>
    <t>ROSCHEL R.V. TRANSPORTES LTDA - ME</t>
  </si>
  <si>
    <t>ROSCHEL</t>
  </si>
  <si>
    <t>ROZANA DALVA DE MELO 32023198844</t>
  </si>
  <si>
    <t>ROZANA DALVA</t>
  </si>
  <si>
    <t>RTM DA HORA TRANSPORTE ESCOLAR LTDA</t>
  </si>
  <si>
    <t>RTM</t>
  </si>
  <si>
    <t>RUI BARBOSA TRANSPORTES LTDA</t>
  </si>
  <si>
    <t>RUI BARBOSA</t>
  </si>
  <si>
    <t>S. G. DA SILVA - TRANSPORTES</t>
  </si>
  <si>
    <t>S. G. DA SILVA</t>
  </si>
  <si>
    <t>SANPIN TRANSPORTES LTDA</t>
  </si>
  <si>
    <t>SAPIN</t>
  </si>
  <si>
    <t>SATUR TRANSPORTE E TURISMO LTDA - ME</t>
  </si>
  <si>
    <t>SATUR</t>
  </si>
  <si>
    <t>SERGIO NOGUEIRA DA SILVA ESCOLAR</t>
  </si>
  <si>
    <t>SERGIO NOGUEIRA</t>
  </si>
  <si>
    <t>SHIRLEY DE SOUZA VELHO - ME</t>
  </si>
  <si>
    <t>SHIRLEY DE SOUZA</t>
  </si>
  <si>
    <t>SILIGUI-VANS LOCACAO E TRANSPORTES EIRELI - ME</t>
  </si>
  <si>
    <t>SILIGUI-VANS</t>
  </si>
  <si>
    <t>SPEEDBUS TUR LTDA - ME</t>
  </si>
  <si>
    <t>SPEEDBUS</t>
  </si>
  <si>
    <t>SR TRANSPORTES LTDA</t>
  </si>
  <si>
    <t>SR</t>
  </si>
  <si>
    <t>SRP DE SOUZA TRANSPORTES - ME</t>
  </si>
  <si>
    <t>SRP DE SOUZA</t>
  </si>
  <si>
    <t>TALES TRANSPORTES LTDA</t>
  </si>
  <si>
    <t>TALES TRANSPORTES</t>
  </si>
  <si>
    <t>TRANS TIO´S TRANSPORTE RODOVIÁRIO DE PASSAGEIROS LTDA - ME</t>
  </si>
  <si>
    <t>TRANS TIOS</t>
  </si>
  <si>
    <t>TRANSGRILO TRANSPORTES LTDA - ME</t>
  </si>
  <si>
    <t>TRANSGRILO</t>
  </si>
  <si>
    <t>TRANSPORTE ESCOLAR - TRANSPORTANDO O FUTURO LTDA</t>
  </si>
  <si>
    <t>TRANSPORTANDO O FUTURO</t>
  </si>
  <si>
    <t>TRANSPORTE ESCOLAR KUGUYAMA LTDA</t>
  </si>
  <si>
    <t>KUGUYAMA</t>
  </si>
  <si>
    <t>TRANSPORTES NORMANDIA LTDA - ME</t>
  </si>
  <si>
    <t>TRANSPORTES TRES IRMAOS LTDA</t>
  </si>
  <si>
    <t>TRES IRMAOS</t>
  </si>
  <si>
    <t>V C ALVES TRANSPORTE</t>
  </si>
  <si>
    <t>V C ALVES</t>
  </si>
  <si>
    <t>V.N. TRANSPORTES ESCOLAR LTDA</t>
  </si>
  <si>
    <t>V.N.</t>
  </si>
  <si>
    <t>VALMIR ALVES DE ASSIS 06210197809</t>
  </si>
  <si>
    <t>VALMIR ALVES</t>
  </si>
  <si>
    <t>VINICAR TRANSPORTES LTDA</t>
  </si>
  <si>
    <t>VINICAR</t>
  </si>
  <si>
    <t>VS TRANSPORTE ESCOLAR LTDA</t>
  </si>
  <si>
    <t>VS</t>
  </si>
  <si>
    <t>W.E SOUSA TRANSPORTES LTDA</t>
  </si>
  <si>
    <t>W.E SOUZA</t>
  </si>
  <si>
    <t>WANDERSON G. ALVES DE SOUZA TRANSPORTES - ME</t>
  </si>
  <si>
    <t>WANDERSON G. ALVES</t>
  </si>
  <si>
    <t>WBL TRANSPORTES LTDA</t>
  </si>
  <si>
    <t>WBL</t>
  </si>
  <si>
    <t>WEST VANS LOCADORA DE VEICULOS LTDA - ME</t>
  </si>
  <si>
    <t>WEST VANS</t>
  </si>
  <si>
    <t>ZABARELLI TRANSPORTES LTDA</t>
  </si>
  <si>
    <t>ZABARELLI</t>
  </si>
  <si>
    <t>COOPERATIVA DE TRAB EM TRANSP DE PASS - UNISEL</t>
  </si>
  <si>
    <t>COOP UNISEL</t>
  </si>
  <si>
    <t>COOPERATIVA DE TRANSPORTE PARA TODOS - COOPERTODOS</t>
  </si>
  <si>
    <t>COOPERTODOS</t>
  </si>
  <si>
    <t>ADAIL JOSE GUIMARAES</t>
  </si>
  <si>
    <t>ADEMICIO LINS DE ARAUJO</t>
  </si>
  <si>
    <t>AGNALDO COSMO DA SILVA</t>
  </si>
  <si>
    <t>AILTON ANTONIO DO NASCIMENTO</t>
  </si>
  <si>
    <t>ALAN KARDEC DAMASCENO DE OLIVEIRA</t>
  </si>
  <si>
    <t>ALESSANDRO ANTONIO DA SILVA</t>
  </si>
  <si>
    <t>ALEX SANDRO DE SOUSA BRAGA</t>
  </si>
  <si>
    <t>ALEX SANDRO PEREIRA</t>
  </si>
  <si>
    <t>ALVERI JOSE DE FRANCA</t>
  </si>
  <si>
    <t>ALVIMAR BATISTA DE SOUSA</t>
  </si>
  <si>
    <t>AMANDA EVA DA SILVA ESTEVES</t>
  </si>
  <si>
    <t>ANDERSON DOS SANTOS HENRIQUE</t>
  </si>
  <si>
    <t>ANGELA KELLY GUIMARAES ALVES</t>
  </si>
  <si>
    <t>ANGELA MARIA SANTANA DE LIMA BASILIO</t>
  </si>
  <si>
    <t>ANTONIO CARLOS CAVALCANTE</t>
  </si>
  <si>
    <t>ANTONIO CARLOS DE PAULA</t>
  </si>
  <si>
    <t>ANTONIO FERREIRA DOS ANJOS</t>
  </si>
  <si>
    <t>ANTONIO MARIA DE SOUZA</t>
  </si>
  <si>
    <t>ANTONIO RIBEIRO MONTEIRO</t>
  </si>
  <si>
    <t>APARECIDA DE LOURDES DOS SANTOS</t>
  </si>
  <si>
    <t>AVELINO SAMPAIO DE SOUZA FILHO</t>
  </si>
  <si>
    <t>BENEDITO ROMAO PARIS FILHO</t>
  </si>
  <si>
    <t>CARLITO SANTANA SOUZA NETO</t>
  </si>
  <si>
    <t>CARLOS ALBERTO GOMES</t>
  </si>
  <si>
    <t>CARLOS ALBERTO LEAL</t>
  </si>
  <si>
    <t>CARLOS ROBERTO DA SILVA OLIVEIRA</t>
  </si>
  <si>
    <t>CARLOS ROBERTO PIERRE</t>
  </si>
  <si>
    <t>CELSO ALVES BATISTA</t>
  </si>
  <si>
    <t>CELSO FERNANDES TRINDADE</t>
  </si>
  <si>
    <t>CLAUDIA ARAUJO DE ALMEIDA</t>
  </si>
  <si>
    <t>CLAUDINEI ALBERTO CALIXTO</t>
  </si>
  <si>
    <t>CLAUDINEI APARECIDO DOS REIS</t>
  </si>
  <si>
    <t>CLAUDIO ALEXANDRE SILVA</t>
  </si>
  <si>
    <t>CLAYTON CHARLES HONORIO</t>
  </si>
  <si>
    <t>CLAYTON RIBEIRO</t>
  </si>
  <si>
    <t>CLEUSA MARIA DE MORAIS</t>
  </si>
  <si>
    <t>CLOVES JOSE DE ALMEIDA</t>
  </si>
  <si>
    <t>CRISTIANO MARTINIANO DE OLIVEIRA</t>
  </si>
  <si>
    <t>DALVA ISILDA UDINAL DOS SANTOS</t>
  </si>
  <si>
    <t>DANIEL DE SOUSA RODRIGUES</t>
  </si>
  <si>
    <t>DAVID HESSEL PONTES</t>
  </si>
  <si>
    <t>DELVAI CANGUSSU DA SILVA</t>
  </si>
  <si>
    <t>DENIVALDO ALVES DE ARAUJO</t>
  </si>
  <si>
    <t>EDIELSON JOSE DO NASCIMENTO</t>
  </si>
  <si>
    <t>EDIGAR BENEVIDES DA COSTA</t>
  </si>
  <si>
    <t>EDILEUZA SOUZA DA PAZ</t>
  </si>
  <si>
    <t>EDILSON DE AGUIAR SANTOS</t>
  </si>
  <si>
    <t>EDMILSON DOS SANTOS GOIS</t>
  </si>
  <si>
    <t>EDSON BATISTA DE LIMA</t>
  </si>
  <si>
    <t>EDSON MOREIRA DE CASTRO</t>
  </si>
  <si>
    <t>EDUARDO APARECIDO DE ALBUQUERQUE</t>
  </si>
  <si>
    <t>EDUARDO BASTOS CERQUEIRA</t>
  </si>
  <si>
    <t>ELAINE CRISTINA GUTIERRES ESTREMERA GONCALVES</t>
  </si>
  <si>
    <t>ELIAS BISPO DA SILVA NETO</t>
  </si>
  <si>
    <t>EMERVAL DE BRITO GOMES</t>
  </si>
  <si>
    <t>EVANDRO GOMES SOARES</t>
  </si>
  <si>
    <t>FABIANO ALVES DOS SANTOS</t>
  </si>
  <si>
    <t>FABIO DA COSTA FARIA</t>
  </si>
  <si>
    <t>FLAVIA MARIA DELFINO DOS SANTOS</t>
  </si>
  <si>
    <t>FLAVIO ARAUJO MARQUES</t>
  </si>
  <si>
    <t>FLAVIO MILTON PRADO</t>
  </si>
  <si>
    <t>FRANCIMAR LEANDRO</t>
  </si>
  <si>
    <t>FRANCISCO ERIVANDO VIANA BRAZ</t>
  </si>
  <si>
    <t>FRANCISCO WENDELL SOUSA VIANA</t>
  </si>
  <si>
    <t>FRANK SANTOS DE MIRANDA</t>
  </si>
  <si>
    <t>GERALDO ADMAR DA SILVEIRA</t>
  </si>
  <si>
    <t>GERALDO CORREA DE MELO</t>
  </si>
  <si>
    <t>GERALDO DE FREITAS SILVA</t>
  </si>
  <si>
    <t>GERMANO LOURENCO SIQUEIRA</t>
  </si>
  <si>
    <t>GILBERTO DO CARMO SANTOS</t>
  </si>
  <si>
    <t>GILBERTO JOSE GOMES</t>
  </si>
  <si>
    <t>GILENO SIMAO DOS SANTOS</t>
  </si>
  <si>
    <t>GILVANETE ROQUE DA CRUZ</t>
  </si>
  <si>
    <t>HERINALDO JOAQUIM DE SANTANA</t>
  </si>
  <si>
    <t>IRACILDO FRANCISCO DA SILVA</t>
  </si>
  <si>
    <t>IVAN DE ANDRADE GOUVEIA</t>
  </si>
  <si>
    <t>IVANILDO DE ANDRADE</t>
  </si>
  <si>
    <t>IVONALDO CAVALCANTI DE OLIVEIRA</t>
  </si>
  <si>
    <t>JACINTA MARIA DA CONCEICAO</t>
  </si>
  <si>
    <t>JEFERSON ALVES</t>
  </si>
  <si>
    <t>JEFFERSON PEREIRA SANTOS FEITOSA</t>
  </si>
  <si>
    <t>JESSICA OLIVEIRA DOS SANTOS SILVA</t>
  </si>
  <si>
    <t>JOAO CESAR DOS SANTOS</t>
  </si>
  <si>
    <t>JOAO DANTAS DE MENDONCA</t>
  </si>
  <si>
    <t>JOAO ELIEZER DA SILVA</t>
  </si>
  <si>
    <t>JOAO EVANGELISTA PIRES</t>
  </si>
  <si>
    <t>JOAO VELOSO COSTA</t>
  </si>
  <si>
    <t>JOEL FERREIRA DA SILVA</t>
  </si>
  <si>
    <t>JOHNNY DOS SANTOS TAVARES</t>
  </si>
  <si>
    <t>JONES HONORIO DA CUNHA</t>
  </si>
  <si>
    <t>JOSE ALBERTO SANTANA DE LIMA</t>
  </si>
  <si>
    <t>JOSE AMORIM NOVAIS</t>
  </si>
  <si>
    <t>JOSE CARDOSO DE ARAUJO</t>
  </si>
  <si>
    <t>JOSE CRISTIANO FILHO</t>
  </si>
  <si>
    <t>JOSE FERREIRA DA SILVA FILHO</t>
  </si>
  <si>
    <t>JOSE GILMAR ROSCHEL LOPES</t>
  </si>
  <si>
    <t>JOSE LINO DOS REIS</t>
  </si>
  <si>
    <t>JOSE LOPES LIMA</t>
  </si>
  <si>
    <t>JOSE MANOEL BARBOSA DOS SANTOS</t>
  </si>
  <si>
    <t>JOSE MARIVALDO DA SILVA REIS</t>
  </si>
  <si>
    <t>JOSE MILTON FERNANDES DA SILVA</t>
  </si>
  <si>
    <t>JOSE MOREIRA DA SILVA</t>
  </si>
  <si>
    <t>JOSE RODRIGUES DE PAULA NETO</t>
  </si>
  <si>
    <t>JOSEMAR BATISTA NUNES</t>
  </si>
  <si>
    <t>JOSUE PEDRO LIMA</t>
  </si>
  <si>
    <t>JUSTINO BATISTA REIS</t>
  </si>
  <si>
    <t>KATIA SOARES DE ASSIS</t>
  </si>
  <si>
    <t>KATIANE DE PAULA CRUZ NUNES</t>
  </si>
  <si>
    <t>LEDA MARIA COELHO SARAIVA</t>
  </si>
  <si>
    <t>LIDIMAR CLARO DA SILVA</t>
  </si>
  <si>
    <t>LOURIVAL POLIDORO RAIMUNDO</t>
  </si>
  <si>
    <t>LUIS CARLOS MATIAS</t>
  </si>
  <si>
    <t>LUIZ ALBERTO SANTOS BESERRA</t>
  </si>
  <si>
    <t>LUIZ CARLOS DE SOUZA OLIVEIRA</t>
  </si>
  <si>
    <t>MANOEL LINS DE ASSUNPCAO</t>
  </si>
  <si>
    <t>MARCELO APARECIDO DA MOTA</t>
  </si>
  <si>
    <t>MARCELO LEDO DA SILVA</t>
  </si>
  <si>
    <t>MARCELO MARTINS VIEIRA</t>
  </si>
  <si>
    <t>MARCELO SANTOS</t>
  </si>
  <si>
    <t>MARCIO APARECIDO SIQUEIRA</t>
  </si>
  <si>
    <t>MARCIO MARTINS DA SILVA</t>
  </si>
  <si>
    <t>MARCOS AURELIO DA CONCEICAO</t>
  </si>
  <si>
    <t>MARCOS LOPES DE ARAUJO</t>
  </si>
  <si>
    <t>MARGARETE CRISTINA FERREIRA BEZERRA</t>
  </si>
  <si>
    <t>MARIA APARECIDA DA COSTA SERNA</t>
  </si>
  <si>
    <t>MARIA APARECIDA DOS SANTOS BARROS</t>
  </si>
  <si>
    <t>MARIA CARSILENE DE FREITAS OLIVEIRA</t>
  </si>
  <si>
    <t>MARIA DE FATIMA DA SILVEIRA CRISTIANO</t>
  </si>
  <si>
    <t>MARIA JOSE REIS COSTA</t>
  </si>
  <si>
    <t>MARIA LUCIA ANTAO DA SILVA</t>
  </si>
  <si>
    <t>MARIA LUCIANA CARVALHO</t>
  </si>
  <si>
    <t>MARIA RAIMUNDA DE JESUS</t>
  </si>
  <si>
    <t>MARIA SIRLEY FERNANDES DA SILVA</t>
  </si>
  <si>
    <t>MARIANA FRANCISCA DA SILVA</t>
  </si>
  <si>
    <t>MARILENE JOSE DA SILVA</t>
  </si>
  <si>
    <t>MARIO LUCIO ALVES</t>
  </si>
  <si>
    <t>MARLI DA SILVA REIS</t>
  </si>
  <si>
    <t>MARLON FERREIRA GOMES</t>
  </si>
  <si>
    <t>MIGUEL TITARA DOS SANTOS</t>
  </si>
  <si>
    <t>MIRIAN TEIXEIRA DA SILVA GARCIA</t>
  </si>
  <si>
    <t>MOACIR DA COSTA LOURES</t>
  </si>
  <si>
    <t>MOISES PEDRO LIMA</t>
  </si>
  <si>
    <t>NAIR DELFINO DE JESUS CERQUEIRA</t>
  </si>
  <si>
    <t>NELSON DIAS DE OLIVEIRA</t>
  </si>
  <si>
    <t>NILTON CESAR SOARES DE OLIVEIRA</t>
  </si>
  <si>
    <t>NIVALDO FERREIRA PREXEDES</t>
  </si>
  <si>
    <t>NIVALDO NUNES CRUZ</t>
  </si>
  <si>
    <t>NOELSON SANTOS DE SOUSA</t>
  </si>
  <si>
    <t>ORLANDO CARMO DA ROSA</t>
  </si>
  <si>
    <t>OSMAR DOS SANTOS SOUSA</t>
  </si>
  <si>
    <t>PABLO GOES PINHEIRO</t>
  </si>
  <si>
    <t>PAULO SERGIO VICENTE</t>
  </si>
  <si>
    <t>PEDRO CESAR ZILLISG</t>
  </si>
  <si>
    <t>PEDRO LUIZ RIBEIRO</t>
  </si>
  <si>
    <t>PEDRO MANOEL DE MACEDO</t>
  </si>
  <si>
    <t>PEDRO ROCHA DA SILVA</t>
  </si>
  <si>
    <t>RAFAEL CAMARGO LIMA</t>
  </si>
  <si>
    <t>RAFAEL DO NASCIMENTO SANTOS</t>
  </si>
  <si>
    <t>RAIMUNDO MENDES DE SOUZA</t>
  </si>
  <si>
    <t>REGINALDO ESMERALDO</t>
  </si>
  <si>
    <t>RICARDO BEZERRA DA SILVA</t>
  </si>
  <si>
    <t>RICARDO GOMES DE PONTES</t>
  </si>
  <si>
    <t>RICARDO SAMURAY DA SILVA</t>
  </si>
  <si>
    <t>RICARDO VIEIRA SILVA</t>
  </si>
  <si>
    <t>ROBERTO CARLOS DA GAMA</t>
  </si>
  <si>
    <t>ROBERTO GONCALVES DA SILVA</t>
  </si>
  <si>
    <t>ROBERTO SILVA DE PAULA</t>
  </si>
  <si>
    <t>ROBSON SANTOS CAMPOS</t>
  </si>
  <si>
    <t>RODRIGO DA SILVA FALCAO</t>
  </si>
  <si>
    <t>RODRIGO NOBRE DE SOUSA</t>
  </si>
  <si>
    <t>ROGERIO SOARES DA SILVA</t>
  </si>
  <si>
    <t>RONALDO GUIMARAES DOS SANTOS</t>
  </si>
  <si>
    <t>RONALDO PEREIRA MACHADO</t>
  </si>
  <si>
    <t>ROSANA BRAGA DOS SANTOS</t>
  </si>
  <si>
    <t>ROSELI DE MELLO GALDINO DA SILVA</t>
  </si>
  <si>
    <t>ROSEMARY CRISTINA SANTOS</t>
  </si>
  <si>
    <t>ROSILDA ARAUJO DOS SANTOS</t>
  </si>
  <si>
    <t>ROSINALDO JOSE COSTA</t>
  </si>
  <si>
    <t>SAMUEL ALVES FERREIRA</t>
  </si>
  <si>
    <t>SELMA GOMES DE OLIVEIRA</t>
  </si>
  <si>
    <t>SERGIO LUIZ DOS SANTOS</t>
  </si>
  <si>
    <t>SERGIO ROBERTO DE OLIVEIRA</t>
  </si>
  <si>
    <t>SEVERINO AVELINO BATISTA FILHO</t>
  </si>
  <si>
    <t>SILVANA DA SILVA BRAZ</t>
  </si>
  <si>
    <t>SILVANO HENRIQUE DE LIMA</t>
  </si>
  <si>
    <t>SILVIA VALERIA CASSER</t>
  </si>
  <si>
    <t>SILVIO VIANA DA SILVA</t>
  </si>
  <si>
    <t>SIMONE GOMES DE OLIVEIRA</t>
  </si>
  <si>
    <t>SIMONE PIERRE MARIANO DE OLIVEIRA</t>
  </si>
  <si>
    <t>SINVAL FERREIRA DOS SANTOS</t>
  </si>
  <si>
    <t>SUELI SILVA PALES</t>
  </si>
  <si>
    <t>UBIRAJARA RODRIGUES PAIXAO</t>
  </si>
  <si>
    <t>VAGNER CRISTIANO SPIGARIOL</t>
  </si>
  <si>
    <t>VALDEMIR SANTIAGO FARIAS</t>
  </si>
  <si>
    <t>VALDETE FRANCISCA DE OLIVEIRA GUERRA</t>
  </si>
  <si>
    <t>VALDIK SANTOS DO NASCIMENTO</t>
  </si>
  <si>
    <t>VALDIR LEITE PEREIRA</t>
  </si>
  <si>
    <t>VALDIRENE DA SILVA</t>
  </si>
  <si>
    <t>VALERIA ALVES BARAUNA</t>
  </si>
  <si>
    <t>VALTECIO SOUZA PEREIRA</t>
  </si>
  <si>
    <t>VANDERLIN PEREIRA SANTIAGO</t>
  </si>
  <si>
    <t>VANILDA COELHO DE OLIVEIRA DA SILVA</t>
  </si>
  <si>
    <t>VICENTE ANTONIO FRANCISCO DE OLIVEIRA</t>
  </si>
  <si>
    <t>WILIAN DA SILVA FALCAO NASCIMENTO</t>
  </si>
  <si>
    <t>WILLIAM SOUZA DE OLIVEIRA</t>
  </si>
  <si>
    <t>WILLIAN RODRIGUES DE ANDRADE</t>
  </si>
  <si>
    <t>4.AZAS TRASNPORTES LTDA - ME</t>
  </si>
  <si>
    <t>4.AZAS</t>
  </si>
  <si>
    <t>50.187.034 JOAO VELOSO COSTA</t>
  </si>
  <si>
    <t>JOAO VELOSO</t>
  </si>
  <si>
    <t>A DE P MOREIRA TRANSPORTES - ME</t>
  </si>
  <si>
    <t>A DE P MOREIRA</t>
  </si>
  <si>
    <t>ADEMICIO LINS DE ARAUJO TRANSPORTES</t>
  </si>
  <si>
    <t>ADEMICIO LINS</t>
  </si>
  <si>
    <t>AEVW TRANSPORTES LTDA</t>
  </si>
  <si>
    <t>AEVW</t>
  </si>
  <si>
    <t>ANTONIO FRANCISCO ARAUJO DE OLIVEIRA - ME</t>
  </si>
  <si>
    <t>ANTONIO FRANCISCO</t>
  </si>
  <si>
    <t>ASA TOUR TRANSPORTES LTDA - ME</t>
  </si>
  <si>
    <t>ASA TOUR</t>
  </si>
  <si>
    <t>AV CUNHA TRANSPORTES - ME</t>
  </si>
  <si>
    <t>AV CUNHA TRANSPORTES</t>
  </si>
  <si>
    <t>AZUL TRANSPORTES E TURISMO LTDA - EPP</t>
  </si>
  <si>
    <t>AZUL</t>
  </si>
  <si>
    <t>BIKUDO TRANSPORTES LTDA - EIRELI</t>
  </si>
  <si>
    <t>BIKUDO</t>
  </si>
  <si>
    <t>DASF - TRANSPORTES ESCOLAR E FRETAMENTOS LTDA - ME</t>
  </si>
  <si>
    <t>DASF - TRANSPORTES ESCOLAR</t>
  </si>
  <si>
    <t>DONALDO TRANSPORTES LTDA - ME</t>
  </si>
  <si>
    <t>DONALDO TRANSPORTES</t>
  </si>
  <si>
    <t>DYP LOCADORA E TRANSPORTES LTDA - ME</t>
  </si>
  <si>
    <t>DYP LOCADORA E TRANSPORTES</t>
  </si>
  <si>
    <t>E C R LOCACAO E TRANSPORTES LTDA - ME</t>
  </si>
  <si>
    <t>E C R LOCACAO</t>
  </si>
  <si>
    <t>E.S. DA PAZ TRANSPORTES</t>
  </si>
  <si>
    <t>E.S.</t>
  </si>
  <si>
    <t>ELIANA TRANSPORTES LTDA</t>
  </si>
  <si>
    <t>ELIANA TRANS</t>
  </si>
  <si>
    <t>ELIEZER TRANSPORTES LTDA</t>
  </si>
  <si>
    <t>ELIEZER</t>
  </si>
  <si>
    <t>EMANNUEL TRANSPORTES LTDA - ME</t>
  </si>
  <si>
    <t>EMANNUEL TRANS</t>
  </si>
  <si>
    <t>EXPRESSO ALVES - EIRELI</t>
  </si>
  <si>
    <t>EXPRESSO ALVES</t>
  </si>
  <si>
    <t>FALCOES TRANSPORTES LTDA - ME</t>
  </si>
  <si>
    <t>FALCOES</t>
  </si>
  <si>
    <t>FELIPE HENRIQUE DA SILVA BEZERRA 41125477814</t>
  </si>
  <si>
    <t>FELIPE HENRIQUE</t>
  </si>
  <si>
    <t>FENIX ESTRELAR TRANSPORTES LTDA</t>
  </si>
  <si>
    <t>FENIX ESTRELAR</t>
  </si>
  <si>
    <t>FH DA SILVA BEZERRA TRANSPORTE</t>
  </si>
  <si>
    <t>FH</t>
  </si>
  <si>
    <t>FLAVIO DE ARAUJO MARQUES - TRANSPORTES</t>
  </si>
  <si>
    <t>FLAVIO ARAUJO</t>
  </si>
  <si>
    <t>FMATOS TRANSPORTES EIRELI - ME</t>
  </si>
  <si>
    <t>FMATOS</t>
  </si>
  <si>
    <t>FREDERICO E SILVA TRANSPORTES LTDA - ME</t>
  </si>
  <si>
    <t xml:space="preserve">FREDERICO E SILVA </t>
  </si>
  <si>
    <t>FREEDOM TRANSPORTES E LOCACAO LTDA - ME</t>
  </si>
  <si>
    <t xml:space="preserve">FREEDOM </t>
  </si>
  <si>
    <t>GPKG TRANSPORTES DE CARGAS E PASSAGEIROS LTDA - ME</t>
  </si>
  <si>
    <t>GPKG</t>
  </si>
  <si>
    <t>GRINGO TRANSPORTES LTDA - ME</t>
  </si>
  <si>
    <t>GRINGO</t>
  </si>
  <si>
    <t>GS VICTORIA COMERCIO E SERVICOS LTDA - ME</t>
  </si>
  <si>
    <t xml:space="preserve">GS VICTORIA </t>
  </si>
  <si>
    <t>HJ DE SANTANA TRANSPORTES - ME</t>
  </si>
  <si>
    <t xml:space="preserve">HJ DE SANTANA </t>
  </si>
  <si>
    <t>IRA TRANSPORTES LTDA</t>
  </si>
  <si>
    <t>IRA TRANSPORTES</t>
  </si>
  <si>
    <t>J A - TRANSPORTES ESCOLAR E TURISMO LTDA</t>
  </si>
  <si>
    <t>J A TRANS</t>
  </si>
  <si>
    <t>J.A TRANSPORTE E TURISMO LTDA</t>
  </si>
  <si>
    <t>J.C.N. TRANSPORTES E LOCADORA DE VEÍCULOS LTDA - ME</t>
  </si>
  <si>
    <t>J.C.N. TRANS</t>
  </si>
  <si>
    <t>JAB DE ALMEIDA TRANSPORTES E LOCACAO - ME</t>
  </si>
  <si>
    <t xml:space="preserve">JAB </t>
  </si>
  <si>
    <t>JACINTA MARIA DA CONCEICAO 32691831353</t>
  </si>
  <si>
    <t xml:space="preserve">JACINTA </t>
  </si>
  <si>
    <t>JANSIL LOCADORA DE VEICULOS E TRANSPORTES LTDA - ME</t>
  </si>
  <si>
    <t>JANSIL</t>
  </si>
  <si>
    <t>JIREH TRANSPORTES E LOCACAO LTDA - ME</t>
  </si>
  <si>
    <t>JIREH</t>
  </si>
  <si>
    <t>JMA TRANSPORTES LTDA - ME</t>
  </si>
  <si>
    <t>JMA</t>
  </si>
  <si>
    <t>JOAO MARCOS LIMA CRUZ - TRANSPORTES - ME</t>
  </si>
  <si>
    <t>JOAO MARCOS</t>
  </si>
  <si>
    <t>JOSEFA MARIA BATISTA DE ARAUJO - ME</t>
  </si>
  <si>
    <t>JOSEFA</t>
  </si>
  <si>
    <t>LERENO TRANSPORTES LTDA - ME</t>
  </si>
  <si>
    <t>LERENO</t>
  </si>
  <si>
    <t>LIU TRANSPORTES LTDA - ME</t>
  </si>
  <si>
    <t>LIU</t>
  </si>
  <si>
    <t>LOCAL SUL TRANSPORTES E LOCACAO LTDA - EPP</t>
  </si>
  <si>
    <t xml:space="preserve">LOCAL SUL </t>
  </si>
  <si>
    <t>LOCATRANSELIAS LOCADORA DE TRANSPORTE ESCOLAR LTDA - ME</t>
  </si>
  <si>
    <t>LOCATRANSELIAS</t>
  </si>
  <si>
    <t>M. DE MIRANDA SILVA TRANSPORTES - ME</t>
  </si>
  <si>
    <t xml:space="preserve">M. DE MIRANDA </t>
  </si>
  <si>
    <t>M. TITARA DOS SANTOS TRANSPORTES</t>
  </si>
  <si>
    <t>M. TITARA</t>
  </si>
  <si>
    <t>MARCELO MARTINS VIEIRA - TRANSPORTES</t>
  </si>
  <si>
    <t xml:space="preserve">MARCELO MARTINS </t>
  </si>
  <si>
    <t>MARCELO S. TAMEIRAO - TRANSPORTES - ME</t>
  </si>
  <si>
    <t xml:space="preserve">MARCELO S. </t>
  </si>
  <si>
    <t>MARCIO PRETES - TRANSPORTE - ME</t>
  </si>
  <si>
    <t>MARCIO PRETES</t>
  </si>
  <si>
    <t>MOLINA TRANSPORTES LTDA - ME</t>
  </si>
  <si>
    <t xml:space="preserve">MOLINA </t>
  </si>
  <si>
    <t>NCS DE OLIVEIRA TRANSPORTES E LOCACAO</t>
  </si>
  <si>
    <t>NCS</t>
  </si>
  <si>
    <t>NEW FUTURE TRANSPORTES E TURISMO LTDA</t>
  </si>
  <si>
    <t>NEW FUTURE</t>
  </si>
  <si>
    <t>NS TRANSPORTES LTDA</t>
  </si>
  <si>
    <t xml:space="preserve">NS TRANS </t>
  </si>
  <si>
    <t>P W GOMES TRANSPORTES - ME</t>
  </si>
  <si>
    <t>P W GOMES</t>
  </si>
  <si>
    <t>P&amp;L TRANSPORTES ESCOLAR EIRELI - ME</t>
  </si>
  <si>
    <t>P&amp;L</t>
  </si>
  <si>
    <t>P. S. V - TRANSPORTES LTDA - ME</t>
  </si>
  <si>
    <t>P.S.V TRANS</t>
  </si>
  <si>
    <t>P. S. V</t>
  </si>
  <si>
    <t>PEREIRA - TRANSPORTES E LOCADORA DE VEICULOS LTDA - ME</t>
  </si>
  <si>
    <t xml:space="preserve">PEREIRA TRANS </t>
  </si>
  <si>
    <t>PIERRE TRANSPORTE ESCOLAR LTDA - ME</t>
  </si>
  <si>
    <t xml:space="preserve">PIERRE TRANS </t>
  </si>
  <si>
    <t>POLAKO E FEITOSA TRANSPORTES LTDA - ME</t>
  </si>
  <si>
    <t>POLAKO E FEITOSA</t>
  </si>
  <si>
    <t>R C LIMA TRANSPORTES - ME</t>
  </si>
  <si>
    <t xml:space="preserve">R C LIMA </t>
  </si>
  <si>
    <t>R S DA SILVA MELO TRANSPORTES LTDA - ME</t>
  </si>
  <si>
    <t xml:space="preserve">R S DA SILVA </t>
  </si>
  <si>
    <t>R. M - TRANSPORTES E TURISMO LTDA - ME</t>
  </si>
  <si>
    <t xml:space="preserve">R. M TRANS </t>
  </si>
  <si>
    <t>RE TRANSFACIL LTDA</t>
  </si>
  <si>
    <t>RE TRANSFACIL</t>
  </si>
  <si>
    <t>RENATO BRASIL TRANSPORTES LTDA - ME</t>
  </si>
  <si>
    <t>RENATO BRASIL</t>
  </si>
  <si>
    <t>RICKLU TUR TRANSPORTES LTDA</t>
  </si>
  <si>
    <t>RICKLU TUR</t>
  </si>
  <si>
    <t>RODRIGUES &amp; SOUZA TRANSPORTES LTDA</t>
  </si>
  <si>
    <t>RODRIGUES &amp; SOUZA</t>
  </si>
  <si>
    <t>ROGERIO FRANCISCO DA SILVA - TRANSPORTES</t>
  </si>
  <si>
    <t xml:space="preserve">RODRIGO FRANCISCO </t>
  </si>
  <si>
    <t>ROGERTRANS TRANSPORTES LTDA - ME</t>
  </si>
  <si>
    <t>ROGRTRANS</t>
  </si>
  <si>
    <t>S M TRANSPORTES LTDA</t>
  </si>
  <si>
    <t xml:space="preserve">S M TRANS </t>
  </si>
  <si>
    <t>SALES TOUR TRANSPORTES E LOCACAO LTDA - ME</t>
  </si>
  <si>
    <t xml:space="preserve">SALES </t>
  </si>
  <si>
    <t>SEMPRE JUNTOS TRANSPORTES LTDA</t>
  </si>
  <si>
    <t>SEMPRE JUNTOS</t>
  </si>
  <si>
    <t>SILVANO HENRIQUE DE LIMA TRANSPORTES</t>
  </si>
  <si>
    <t xml:space="preserve">SILVANO </t>
  </si>
  <si>
    <t>SILVIO PEREIRA DE OLIVEIRA TRANSPORTES</t>
  </si>
  <si>
    <t xml:space="preserve">SILVIO PEREIRA </t>
  </si>
  <si>
    <t>SR SERVICOS LTDA</t>
  </si>
  <si>
    <t>STATUS VIP TRANSPORTES EIRELE</t>
  </si>
  <si>
    <t>STATUS VIP TRANSPORTES</t>
  </si>
  <si>
    <t>SUN COSTA TRANSPORTES LTDA - ME</t>
  </si>
  <si>
    <t>SUN COSTA TRANSPORTES</t>
  </si>
  <si>
    <t>TIA LU TRANSPORTES LTDA - ME</t>
  </si>
  <si>
    <t>TIA LU</t>
  </si>
  <si>
    <t>TON TRANSPORTES ESCOLARES LTDA - ME</t>
  </si>
  <si>
    <t>TON TRANSPORTES ESCOLARES</t>
  </si>
  <si>
    <t>TRANSALGE TRANSPORTES LTDA - ME</t>
  </si>
  <si>
    <t xml:space="preserve">TRANSALG TRANSPORTES </t>
  </si>
  <si>
    <t>TRANSMEL E TURISMO LTDA - ME</t>
  </si>
  <si>
    <t>TRANSMEL</t>
  </si>
  <si>
    <t>TRANSPORTE ESCOLAR E LOCADORA DE VEICULOS ARAUJO LTDA</t>
  </si>
  <si>
    <t>ARAUJO</t>
  </si>
  <si>
    <t>TRANSPORTE ESCOLAR E TURISMO MENINO JESUS LTDA</t>
  </si>
  <si>
    <t>MENINO JESUS</t>
  </si>
  <si>
    <t>TRANSPORTE ESCOLAR NOSSA SENHORA DE FATIMA EIRELI - ME</t>
  </si>
  <si>
    <t>NOSSA SENHORA DE FATIMA EIRELI</t>
  </si>
  <si>
    <t>TRANSPORTE ESCOLAR TIO LEAL LTDA - ME</t>
  </si>
  <si>
    <t>TRANSPORTE ESCOLAR TIO LEAL</t>
  </si>
  <si>
    <t>UNITED KIDS TRANSPORTE EIRELLI</t>
  </si>
  <si>
    <t>UNITED KIDS</t>
  </si>
  <si>
    <t>V C SPIGARIOL TRANSPORTE ESCOLAR - ME</t>
  </si>
  <si>
    <t xml:space="preserve">V C SPIGARIOL </t>
  </si>
  <si>
    <t>V.S.M. TRANSPORTES ESCOLAR E TURISMO LTDA</t>
  </si>
  <si>
    <t>V.S.M.</t>
  </si>
  <si>
    <t>VALDERLANDIA ARAUJO DE OLIVEIRA - ME</t>
  </si>
  <si>
    <t xml:space="preserve">VALDERLANDIA </t>
  </si>
  <si>
    <t>VALEDUTRA TRANSPORTES LTDA - ME</t>
  </si>
  <si>
    <t xml:space="preserve">VALEDUTRA TRANSPORTES </t>
  </si>
  <si>
    <t>VANUZA DOS SANTOS PAULA 16568348805</t>
  </si>
  <si>
    <t xml:space="preserve">VANUZA DOS SANTOS </t>
  </si>
  <si>
    <t>VCK TRANSPORTE ESCOLAR LTDA</t>
  </si>
  <si>
    <t>VCK</t>
  </si>
  <si>
    <t>VELOSO TRANSPORTES E LOCADORA LTDA - ME</t>
  </si>
  <si>
    <t>VELOSO TRANSPORTES</t>
  </si>
  <si>
    <t>VERDE MAR LOCACAO, TRANSPORTES E TURISMO LTDA</t>
  </si>
  <si>
    <t>VERDE MAR LOCACAO</t>
  </si>
  <si>
    <t>VIA MARI TRANSPORTE ESCOLAR LTDA</t>
  </si>
  <si>
    <t>VIA MARI</t>
  </si>
  <si>
    <t>VVT TRANSPORTES EIRELI - ME</t>
  </si>
  <si>
    <t>VVT TRANSPORTES EIRELI</t>
  </si>
  <si>
    <t>WMW TOUR TRANSPORTES LTDA - ME</t>
  </si>
  <si>
    <t>WMW</t>
  </si>
  <si>
    <t>WRR OLIVEIRA TRANSPORTE ESCOLAR LTDA</t>
  </si>
  <si>
    <t xml:space="preserve">WRR OLIVEIRA TRANSPORTE </t>
  </si>
  <si>
    <t>COOPER FO COOPERATIVA DE TRANSPORTE ESCOLAR</t>
  </si>
  <si>
    <t>COOPER FO</t>
  </si>
  <si>
    <t>COOPERCITYSP - COOPERATIVA DE TRANSPORTES</t>
  </si>
  <si>
    <t>COOPERCITY</t>
  </si>
  <si>
    <t>COOPEROESTE COOPERATIVA DE TRANSPORTES</t>
  </si>
  <si>
    <t>COOPEROESTE</t>
  </si>
  <si>
    <t>COOPERTAIPAS COOPERATIVA DE TRANSPORTE</t>
  </si>
  <si>
    <t>COOPERTAIPAS</t>
  </si>
  <si>
    <t>COOTRELUZ COOP DE TRANS DE PAS E ESC LUZ</t>
  </si>
  <si>
    <t>COOTRELUZ</t>
  </si>
  <si>
    <t>ADILSON RIBEIRO ALEIXO</t>
  </si>
  <si>
    <t>ADILSON TOLEDO</t>
  </si>
  <si>
    <t>AGENOR GARCIA LEME</t>
  </si>
  <si>
    <t>ALBERTO DE VITO</t>
  </si>
  <si>
    <t>ALEXANDRO CIRINO VIEIRA</t>
  </si>
  <si>
    <t>ANA CRISTINA FABRI DE LIMA</t>
  </si>
  <si>
    <t>ANDREIA NOEMIA PEREIRA</t>
  </si>
  <si>
    <t>ANTONIO CARLOS GOMES</t>
  </si>
  <si>
    <t>CARLOS ALBERTO DE VITO</t>
  </si>
  <si>
    <t>CARLOS DE ALMEIDA FERNANDES</t>
  </si>
  <si>
    <t>CARLOS FERNANDES RODRIGUES</t>
  </si>
  <si>
    <t>CARLOS OMAR ALVES</t>
  </si>
  <si>
    <t>CLAUDIA COSTA BORCA</t>
  </si>
  <si>
    <t>CLAUDIO CESAR PEDRASSANI</t>
  </si>
  <si>
    <t>CLAUDIO FABIO RUDOLF GONCALVES</t>
  </si>
  <si>
    <t>CLAUDIO SANTIAGO</t>
  </si>
  <si>
    <t>CLEUBER DE SOUZA GOMES</t>
  </si>
  <si>
    <t>CLODOALDO PORTEL CABRERA</t>
  </si>
  <si>
    <t>CRISTIANE ROSIMEIRE DIAS</t>
  </si>
  <si>
    <t>DANIEL CLIMACO</t>
  </si>
  <si>
    <t>DANUZA LEE FRAGA</t>
  </si>
  <si>
    <t>DIONISIO SCARPONE</t>
  </si>
  <si>
    <t>DORIS MARIA DA SILVA</t>
  </si>
  <si>
    <t>EDILAINE APARECIDA DOS SANTOS PIMENTEL</t>
  </si>
  <si>
    <t>EDSON ANISIO DA SILVA</t>
  </si>
  <si>
    <t>EDUARDO TADEU BRAGA</t>
  </si>
  <si>
    <t>ERICK CORDEIRO DE VASCONCELOS</t>
  </si>
  <si>
    <t>FABIO ILIA COVANZI</t>
  </si>
  <si>
    <t>FRANCISCO JORGE HOLLANDA ROCHA</t>
  </si>
  <si>
    <t>GABRIEL ANTONIO ALMEIDA SOUZA</t>
  </si>
  <si>
    <t>GERALDO ROGERIO DA SILVA</t>
  </si>
  <si>
    <t>GILBERTO BRAULIO DUARTE</t>
  </si>
  <si>
    <t>ISABEL MENDES RODRIGUES</t>
  </si>
  <si>
    <t>IVO MAURICIO ANDRE</t>
  </si>
  <si>
    <t>JACO FELISARDO DE SOUZA FILHO</t>
  </si>
  <si>
    <t>JOSE ANTONIO DA SILVA</t>
  </si>
  <si>
    <t>JOSE CARLOS DE OLIVEIRA SIMOES</t>
  </si>
  <si>
    <t>JOSE FIRMINO BATISTA</t>
  </si>
  <si>
    <t>JOSE LUCAS ANSELMO</t>
  </si>
  <si>
    <t>JOSE MARTINS LIBERATO</t>
  </si>
  <si>
    <t>JOSE MILTON DE ANDRADE</t>
  </si>
  <si>
    <t>JOSE RICARDO FERREIRA DOS SANTOS</t>
  </si>
  <si>
    <t>JOSENILDA FREIRE DA CUNHA</t>
  </si>
  <si>
    <t>JUCINEIDE MOSSIN</t>
  </si>
  <si>
    <t>LENILDO MANOEL DO NASCIMENTO</t>
  </si>
  <si>
    <t>LUCIA MARIZ RAMOS CONTELI</t>
  </si>
  <si>
    <t>LUCIA TOMAZINI TAGLIABOA</t>
  </si>
  <si>
    <t>LUCIANA ALINE SILVEIRA PAIVA</t>
  </si>
  <si>
    <t>LUZIA BERNARDO BEARARI</t>
  </si>
  <si>
    <t>MARCEL LUIZ TOCANTINS DA SILVA</t>
  </si>
  <si>
    <t>MARCELO AGUADO LOURENCO</t>
  </si>
  <si>
    <t>MARCIA CRISTINA DA SILVA ABBADE DUCA</t>
  </si>
  <si>
    <t>MARIA AUXILIADORA ALVES MACHADO</t>
  </si>
  <si>
    <t>MARIA REGINA LEME MOLINA</t>
  </si>
  <si>
    <t>MARILEIDE MARIA DA SILVA MOURAO</t>
  </si>
  <si>
    <t>MARIO AUGUSTO DA SILVA</t>
  </si>
  <si>
    <t>MARIO MORENO</t>
  </si>
  <si>
    <t>MARLI PEREIRA DA SILVA</t>
  </si>
  <si>
    <t>MEIRE MEDEIRAS SANTOS</t>
  </si>
  <si>
    <t>NEIDE SATIN MIQUELINO</t>
  </si>
  <si>
    <t>NEUSA MARIA DA ESTRELA SANTOS ANDRE</t>
  </si>
  <si>
    <t>ODAIR ANTONIO MARTINS</t>
  </si>
  <si>
    <t>OSMAR BISPO DOS SANTOS</t>
  </si>
  <si>
    <t>REGINALDO DOS SANTOS FREITAS</t>
  </si>
  <si>
    <t>REGIS TADEU FOGACA BATISTA</t>
  </si>
  <si>
    <t>REGIVALDO DE SOUZA VASCONCELOS</t>
  </si>
  <si>
    <t>REINALDO DOS SANTOS PEREIRA</t>
  </si>
  <si>
    <t>ROBERTO SOUZA DE AZEVEDO</t>
  </si>
  <si>
    <t>ROMULO ALKMIN</t>
  </si>
  <si>
    <t>RONALDO LUIZ REQUENA</t>
  </si>
  <si>
    <t>RONALDO NAPOLITANO</t>
  </si>
  <si>
    <t>ROSANGELA BERNARDO DE LIMA BARBOSA</t>
  </si>
  <si>
    <t>SILVANA SOARES DA SILVA</t>
  </si>
  <si>
    <t>SILVIA DE OLIVEIRA DOS SANTOS SILVA</t>
  </si>
  <si>
    <t>SOLANGE ALVES</t>
  </si>
  <si>
    <t>VALDEMIR DO NASCIMENTO SILVA</t>
  </si>
  <si>
    <t>VALTER DOS SANTOS</t>
  </si>
  <si>
    <t>VIVIANE GOBBER DOS SANTOS</t>
  </si>
  <si>
    <t>VIVIANE SANTANA DA SILVA</t>
  </si>
  <si>
    <t>WALMIR PEREIRA DE FREITAS</t>
  </si>
  <si>
    <t>WALTER WILLIAM COBO</t>
  </si>
  <si>
    <t>25.292.508 CLAUDIA COSTA BORCA</t>
  </si>
  <si>
    <t>CLAUDIA BORCA</t>
  </si>
  <si>
    <t>60.676.117 MARILEIDE MARIA DA SILVA MOURAO</t>
  </si>
  <si>
    <t>MARILEIDE MARIA</t>
  </si>
  <si>
    <t>61.246.494 RONALDO LUIZ REQUENA</t>
  </si>
  <si>
    <t>A &amp; A TRANSPORTE ESCOLAR</t>
  </si>
  <si>
    <t>A &amp; A</t>
  </si>
  <si>
    <t>A&amp;J SIMOES TRANSPORTES ESCOLARES LTDA</t>
  </si>
  <si>
    <t>A&amp;J SIMOES</t>
  </si>
  <si>
    <t>ABELARDO N L JUNIOR TRANSPORTE ESCOLAR - EIRELI</t>
  </si>
  <si>
    <t>ABELARDO</t>
  </si>
  <si>
    <t>AGALES TRANSTECH LTDA</t>
  </si>
  <si>
    <t>AGALES TRANSTECH</t>
  </si>
  <si>
    <t>AIRTON GOMES DA SILVA 09366366880</t>
  </si>
  <si>
    <t>AIRTON</t>
  </si>
  <si>
    <t>AMEDEO TORTORA FILHO TRANSPORTES - ME</t>
  </si>
  <si>
    <t>AMEDEO</t>
  </si>
  <si>
    <t>ANDREZA APARECIDA OKAWARA - ME</t>
  </si>
  <si>
    <t>ANDREZA</t>
  </si>
  <si>
    <t>ANTOGRA TRANSPORTE E LOGISTICA EIRELI - ME</t>
  </si>
  <si>
    <t>ANTOGRA</t>
  </si>
  <si>
    <t>ARILSON NUNES DE LIRA - ME</t>
  </si>
  <si>
    <t>ARILSON</t>
  </si>
  <si>
    <t>CCP TRANS TRANSPORTE E LOGISTICA LTDA</t>
  </si>
  <si>
    <t>CCP TRANS</t>
  </si>
  <si>
    <t>CLAUDIA GOMES FREITAS TOLEDO EIRELI - ME</t>
  </si>
  <si>
    <t xml:space="preserve">CLAUDIA </t>
  </si>
  <si>
    <t>CM TRANSPORTES LTDA</t>
  </si>
  <si>
    <t>CM</t>
  </si>
  <si>
    <t>DORGIVAL TRANSPORTE ESCOLAR LTDA</t>
  </si>
  <si>
    <t>DORGIVAL</t>
  </si>
  <si>
    <t>E.B.B TRANSPORTES LTDA</t>
  </si>
  <si>
    <t>E.B.B</t>
  </si>
  <si>
    <t>ESCOLA DE EDUCACAO INFANTIL TURMA SAPECA S/C LTDA - ME</t>
  </si>
  <si>
    <t>TURMA SAPECA</t>
  </si>
  <si>
    <t>F.A.C.E TRANSPORTES ESCOLARES LTDA - ME</t>
  </si>
  <si>
    <t>FACE</t>
  </si>
  <si>
    <t>F3 TRANSPORTES LTDA</t>
  </si>
  <si>
    <t>CLODOALDO</t>
  </si>
  <si>
    <t>FABIO &amp; KARINA TRANSPORTE ESCOLAR LTDA - ME</t>
  </si>
  <si>
    <t>FABIO E KARINA</t>
  </si>
  <si>
    <t>GILBERTO BRAULIO DUARTE TRANSPORTES  ME</t>
  </si>
  <si>
    <t>GILBERTO BRAULIO</t>
  </si>
  <si>
    <t>IVONE RODRIGUES FREDERICO TRANSPORTES - ME</t>
  </si>
  <si>
    <t>IVONE</t>
  </si>
  <si>
    <t>JOSE ALVES DO CARMO TRANSPORTES - ME</t>
  </si>
  <si>
    <t>JOSE ALVES</t>
  </si>
  <si>
    <t>JOSE MILTON DE ANDRADE - ME</t>
  </si>
  <si>
    <t>JOSE MILTON</t>
  </si>
  <si>
    <t>KAUA TRANSPORTE ESCOLAR S/S LTDA - ME</t>
  </si>
  <si>
    <t>KAUA</t>
  </si>
  <si>
    <t>L &amp; M TUR LTDA - ME</t>
  </si>
  <si>
    <t>LM TUR</t>
  </si>
  <si>
    <t>L.C. PEREIRA DA SILVA TRANSPORTES - ME</t>
  </si>
  <si>
    <t>LC PEREIRA</t>
  </si>
  <si>
    <t>LUCIA TOMAZINI TRANSPORTE ESCOLAR LTDA</t>
  </si>
  <si>
    <t>LUCIA</t>
  </si>
  <si>
    <t>LUIGI TRANSPORTES ESCOLARES LTDA - ME</t>
  </si>
  <si>
    <t>LUIGI</t>
  </si>
  <si>
    <t>LUIZ ADALBERTO RIBEIRO DOS SANTOS - ME</t>
  </si>
  <si>
    <t>LUIZ ADALBERTO</t>
  </si>
  <si>
    <t>M.M.M TRANSPORTE ESCOLAR LTDA - ME</t>
  </si>
  <si>
    <t>MMM</t>
  </si>
  <si>
    <t>M.T.D. TRANSPORTE ESCOLAR LTDA - ME</t>
  </si>
  <si>
    <t>MTD</t>
  </si>
  <si>
    <t>MAITE GOMES TRANSPORTES LTDA</t>
  </si>
  <si>
    <t>MAITE GOMES</t>
  </si>
  <si>
    <t>MANDRE TRANSPORTES ESCOLARES LTDA</t>
  </si>
  <si>
    <t>MANDRE</t>
  </si>
  <si>
    <t>MARIA AUXILIADORA ALVES MACHADO TRANSPORTE</t>
  </si>
  <si>
    <t>MOREIRA ROCHA TRANSPORTE EIRELI - ME</t>
  </si>
  <si>
    <t>MOREIRA ROCHA</t>
  </si>
  <si>
    <t>N&amp;M. TRANSPORTES ESCOLARES LTDA</t>
  </si>
  <si>
    <t>N&amp;M.</t>
  </si>
  <si>
    <t>RDLF TRANSPORTES LTDA - ME</t>
  </si>
  <si>
    <t>RDLF</t>
  </si>
  <si>
    <t>RF VASCONCELOS TRANSPORTES LTDA</t>
  </si>
  <si>
    <t>RF</t>
  </si>
  <si>
    <t>RM TRANSTECH LTDA</t>
  </si>
  <si>
    <t>ROBERTO HERNANDES TRANSPORTES LTDA</t>
  </si>
  <si>
    <t>ROBERTO</t>
  </si>
  <si>
    <t>ROSANGELA BERNARDO DE LIMA BARBOSA 16641136817</t>
  </si>
  <si>
    <t>ROSANGELA</t>
  </si>
  <si>
    <t>SERGIO SILVIO TRANSPORTES - ME</t>
  </si>
  <si>
    <t>SERGIO</t>
  </si>
  <si>
    <t>SOBRUSS TRANSPORTE ESCOLAR LTDA - ME</t>
  </si>
  <si>
    <t>SOBRUSS</t>
  </si>
  <si>
    <t>TOPAZIO TRANSPORTE ESCOLAR LTDA</t>
  </si>
  <si>
    <t>TOPAZIO</t>
  </si>
  <si>
    <t>TRANSESCOLAR LOPES COELHO LTDA - ME</t>
  </si>
  <si>
    <t>TRANSESCOLAR</t>
  </si>
  <si>
    <t>TRANSPORTE ESCOLAR MARTINS LTDA - ME</t>
  </si>
  <si>
    <t>MARTINS</t>
  </si>
  <si>
    <t>TURMA DO SOL TRANSPORTE ESCOLAR LTDA</t>
  </si>
  <si>
    <t>TURMA DO SOL</t>
  </si>
  <si>
    <t>VITO TRANSPORTE ESCOLAR LTDA</t>
  </si>
  <si>
    <t>VITO</t>
  </si>
  <si>
    <t>WAGNER ROBERTO DA SILVA TRANSPORTES - ME</t>
  </si>
  <si>
    <t>WAGNER ROBERTO</t>
  </si>
  <si>
    <t>WELL TRANSPORTE ESCOLAR LTDA - ME</t>
  </si>
  <si>
    <t>WELL</t>
  </si>
  <si>
    <t>YAMANAKA TRANSPORTES LTDA - ME</t>
  </si>
  <si>
    <t>YAMANAKA</t>
  </si>
  <si>
    <t>COOPER DIAS - COOPERATIVA DE TRANSPORTES</t>
  </si>
  <si>
    <t>COOPER DIAS</t>
  </si>
  <si>
    <t>COOPSP COOPERATIVA DE TRANSPORTES EM GERAL</t>
  </si>
  <si>
    <t>COOPSP</t>
  </si>
  <si>
    <t>COOPTEG - COOP DE TRANS ESC E TRANS EM GERAL</t>
  </si>
  <si>
    <t>COOPTEG</t>
  </si>
  <si>
    <t>ADEIR RODRIGUES DE MORAES</t>
  </si>
  <si>
    <t>ADRIANO CLAYTON ANTONIO</t>
  </si>
  <si>
    <t>AJENIAS PEREIRA</t>
  </si>
  <si>
    <t>ALECIO ARNALDO DA SILVA</t>
  </si>
  <si>
    <t>ALEXANDRE MARSURA DOS SANTOS</t>
  </si>
  <si>
    <t>ALTAIR ELIAS CARNEIRO</t>
  </si>
  <si>
    <t>ANDERSON MARCOS ANTONIO</t>
  </si>
  <si>
    <t>ANGELICA SILVA YAMAGUTI</t>
  </si>
  <si>
    <t>ANTONIO HONORATO PINHEIRO</t>
  </si>
  <si>
    <t>ANTONIO ROBERTO GOMES</t>
  </si>
  <si>
    <t>BRUNO EDUARDO BARBOSA</t>
  </si>
  <si>
    <t>CAIO RODRIGO DE ARAUJO</t>
  </si>
  <si>
    <t>CARLOS ALBERTO DE ARAUJO</t>
  </si>
  <si>
    <t>CARLOS ALBERTO LOPES</t>
  </si>
  <si>
    <t>CARLOS EDUARDO SOARES DA SILVA</t>
  </si>
  <si>
    <t>CARLOS GONCALVES DOS SANTOS</t>
  </si>
  <si>
    <t>CARLOS VITORINO FIGUEIREDO</t>
  </si>
  <si>
    <t>CLAUDEMIR CORREIA E SILVA</t>
  </si>
  <si>
    <t>CRISTIANE FERREIRA SILVA</t>
  </si>
  <si>
    <t>DAVID CAMINI</t>
  </si>
  <si>
    <t>EDILENE SALES FEITOZA</t>
  </si>
  <si>
    <t>EDIVALDO FRANCISCO DO CARMO</t>
  </si>
  <si>
    <t>EDNA LUCIA DE OLIVEIRA MELO</t>
  </si>
  <si>
    <t>EDUARDO MARSURA DOS SANTOS</t>
  </si>
  <si>
    <t>EDUARDO ROMUALDO</t>
  </si>
  <si>
    <t>ELIANA PEREIRA SILVA DE FARIA</t>
  </si>
  <si>
    <t>ELISABETE NASCIMENTO</t>
  </si>
  <si>
    <t>ERIK BRASIL DE VASCONCELOS</t>
  </si>
  <si>
    <t>FABIO CAETANO SANTOS DA SILVA</t>
  </si>
  <si>
    <t>FRANCISCO CARLOS RIBEIRO</t>
  </si>
  <si>
    <t>GERALDO CONCEICAO DA SILVA</t>
  </si>
  <si>
    <t>GETRAN SANTOS</t>
  </si>
  <si>
    <t>GILMAR RIBEIRO LEAL</t>
  </si>
  <si>
    <t>GISELE BRITO DE MATOS MALAQUIAS</t>
  </si>
  <si>
    <t>JACQUES BARRETO NASCIMENTO JUNIOR</t>
  </si>
  <si>
    <t>JANICE ARAUJO VIEIRA</t>
  </si>
  <si>
    <t>JOANA D ARC SIQUEIRA GOMES</t>
  </si>
  <si>
    <t>JOAO ISIDORO NETO</t>
  </si>
  <si>
    <t>JOAO MOREIRA DE LUCENA</t>
  </si>
  <si>
    <t>JONAS CARDOSO</t>
  </si>
  <si>
    <t>JOSE ANDRADE CUNHA JUNIOR</t>
  </si>
  <si>
    <t>JOSE LEANDRO DE MELO</t>
  </si>
  <si>
    <t>JOSE VALBERTO LOPES PIRES</t>
  </si>
  <si>
    <t>LOURINALDO PONTES DE OLIVEIRA</t>
  </si>
  <si>
    <t>MARCELO BISPO DA SILVA</t>
  </si>
  <si>
    <t>MARCELO CLARA FERREIRA</t>
  </si>
  <si>
    <t>MARCELO DE CARVALHO BARBOSA</t>
  </si>
  <si>
    <t>MARCELO FRANCISCO DA CRUZ ROZENDO</t>
  </si>
  <si>
    <t>MARCOS ANTONIO SANTOS DA SILVA</t>
  </si>
  <si>
    <t>MARCOS DA SILVA CORDEIRO</t>
  </si>
  <si>
    <t>MARCOS DUARTE BRITO</t>
  </si>
  <si>
    <t>MARCOS PAULO SANTOS</t>
  </si>
  <si>
    <t>MARIA JOSE COSTA CRUZ</t>
  </si>
  <si>
    <t>NOEL DA SILVA LEME</t>
  </si>
  <si>
    <t>NORMA DOS SANTOS DA SILVA</t>
  </si>
  <si>
    <t>ORLANDO MENDES DO NASCIMENTO</t>
  </si>
  <si>
    <t>PAULO ROBERTO SANTOS</t>
  </si>
  <si>
    <t>PAULO SERGIO DO NASCIMENTO</t>
  </si>
  <si>
    <t>RAIMUNDO JOAO DA ROCHA</t>
  </si>
  <si>
    <t>RENATO CROZARA DA SILVA</t>
  </si>
  <si>
    <t>ROBERTO SANTIAGO</t>
  </si>
  <si>
    <t>ROBSON JORGE ALVES DA SILVA</t>
  </si>
  <si>
    <t>SEVIRINO ALBINO CARDOSO JUNIOR</t>
  </si>
  <si>
    <t>SIDNEIA APARECIDA DE ARRUDA POZZETI</t>
  </si>
  <si>
    <t>TAINARA CRISTINA CARVALHO CASTRO</t>
  </si>
  <si>
    <t>VANDERLI DE OLIVEIRA COELHO</t>
  </si>
  <si>
    <t>WANDERLEY MARTINIANO DA MATA</t>
  </si>
  <si>
    <t>WELLINGTON HENRIQUE RIBEIRO BRITO</t>
  </si>
  <si>
    <t>55.822.822 JANICE ARAUJO VIEIRA</t>
  </si>
  <si>
    <t>JANICE</t>
  </si>
  <si>
    <t>A.R. SOUZA TRANSPORTE LTDA - ME</t>
  </si>
  <si>
    <t>A.R. SOUZA</t>
  </si>
  <si>
    <t>ANCAR TRANSPORTE ESCOLAR LTDA - ME</t>
  </si>
  <si>
    <t>ANCAR</t>
  </si>
  <si>
    <t>AY TRANSPORTE ESCOLAR E LOCACOES LTDA</t>
  </si>
  <si>
    <t>AY TRANSPORTE</t>
  </si>
  <si>
    <t>CHS TRANSPORTES DE PASSAGEIROS E LOCAÇÃO DE VEICULOS EIRELLI - ME</t>
  </si>
  <si>
    <t>CHS</t>
  </si>
  <si>
    <t>CRISTIANE FERREIRA SILVA 14291441819</t>
  </si>
  <si>
    <t>CVS TRANSPORTES DE PASSAGEIRO E LOCACAO DE VEICULOS LTDA</t>
  </si>
  <si>
    <t>CVS</t>
  </si>
  <si>
    <t>DIAS TRANSPORTE ESCOLAR LTDA - ME</t>
  </si>
  <si>
    <t>E G LOPES TRANSPORTES LTDA - ME</t>
  </si>
  <si>
    <t>EG LOPES</t>
  </si>
  <si>
    <t>EDI VANS TRANSPORTES LTDA - ME</t>
  </si>
  <si>
    <t>EDI VANS</t>
  </si>
  <si>
    <t>EDNO PIERRE DOS SANTOS 01271621860</t>
  </si>
  <si>
    <t>EDNO</t>
  </si>
  <si>
    <t>ESCOLA DE EDUCACAO INFANTIL E ENSINO FUNDAMENTAL VISAO GLOBAL S/S LTDA - ME</t>
  </si>
  <si>
    <t>VISAO</t>
  </si>
  <si>
    <t>J. &amp; CARVALHO TRANSPORTE ESCOLAR E TURISMO LTDA - ME</t>
  </si>
  <si>
    <t>J E CARVALHO</t>
  </si>
  <si>
    <t>J. PORTO - TRANSPORTES ESCOLARES LTDA - ME</t>
  </si>
  <si>
    <t>J PORTO</t>
  </si>
  <si>
    <t>JANAINA APARECIDA RIBEIRO DA CRUZ ROZENDO - ME</t>
  </si>
  <si>
    <t>JANAINA</t>
  </si>
  <si>
    <t>JAQUELINE APARECIDA RODRIGUES DOS SANTOS 44202618890</t>
  </si>
  <si>
    <t>JAQUELINE</t>
  </si>
  <si>
    <t>JOSE OSTACIO BARBOSA DOS SANTOS TRANSPORTES - ME</t>
  </si>
  <si>
    <t>JOSE OSTACIO</t>
  </si>
  <si>
    <t>L.V.A. TRANSPORTE ESCOLAR LTDA - ME</t>
  </si>
  <si>
    <t>LVA</t>
  </si>
  <si>
    <t>LUCENA TRANSPORTES LTDA</t>
  </si>
  <si>
    <t>LUCENA</t>
  </si>
  <si>
    <t>LULU TRANS LTDA</t>
  </si>
  <si>
    <t>LULU</t>
  </si>
  <si>
    <t>M. G. SILVA TRANSPORTES EIRELI - ME</t>
  </si>
  <si>
    <t>MG SILVA</t>
  </si>
  <si>
    <t>MIRO &amp; NEIDE TRANSPORTES LTDA - ME</t>
  </si>
  <si>
    <t>MIRO</t>
  </si>
  <si>
    <t>MS TRANSPORTE ESCOLAR LTDA</t>
  </si>
  <si>
    <t>MS</t>
  </si>
  <si>
    <t>NEVR TRANSPORTES LTDA - ME</t>
  </si>
  <si>
    <t>NEVR</t>
  </si>
  <si>
    <t>NOEL LEME TRANSPORTE ESCOLAR LTDA</t>
  </si>
  <si>
    <t>NOEL</t>
  </si>
  <si>
    <t>O.L. TRANSPORTE ESCOLAR E DISTRIBUIDORA DE JORNAIS LTDA - ME</t>
  </si>
  <si>
    <t>O.L.</t>
  </si>
  <si>
    <t>PASCOAL DOS SANTOS SILVA - ME</t>
  </si>
  <si>
    <t>PASCOAL</t>
  </si>
  <si>
    <t>PEPTUR TRANSPORTES E LOCADORA LTDA - ME</t>
  </si>
  <si>
    <t>PEPTUR</t>
  </si>
  <si>
    <t>PEREIRA SILVA TRANSPORTES DE ESCOLARES LTDA - ME</t>
  </si>
  <si>
    <t>PEREIRA</t>
  </si>
  <si>
    <t>PESSET TRANSPORTES - EIRELI - ME</t>
  </si>
  <si>
    <t>PESSET</t>
  </si>
  <si>
    <t>PIERRE &amp; ARAUJO TRANSPORTES LTDA - ME</t>
  </si>
  <si>
    <t>PIERRE</t>
  </si>
  <si>
    <t>R.A.P. &amp; LEMOS TRANSPORTES LTDA - ME</t>
  </si>
  <si>
    <t>RAP</t>
  </si>
  <si>
    <t>RENALUZ TRANSPORTES LTDA - ME</t>
  </si>
  <si>
    <t>RENALUZ</t>
  </si>
  <si>
    <t>RMD TRANSPORTES DE PASSAGEIROS E LOCACAO DE VEICULOS EIRELI-ME</t>
  </si>
  <si>
    <t>RMD</t>
  </si>
  <si>
    <t>RONILDO JOSE DE MELO - ME</t>
  </si>
  <si>
    <t>RONILDO JOSE</t>
  </si>
  <si>
    <t>S.S.J. TRANSPORTES LTDA - ME</t>
  </si>
  <si>
    <t>SSJ</t>
  </si>
  <si>
    <t>SOUZA MENDES TRANSPORTE EIRELI - ME</t>
  </si>
  <si>
    <t>SOUZA MENDES</t>
  </si>
  <si>
    <t>TIA NEIA TRANSPORTES EIRELI - ME</t>
  </si>
  <si>
    <t>TIA NEIA</t>
  </si>
  <si>
    <t>TRANSLESTE TRANSPORTE ESCOLAR E TURISMO LTDA - ME</t>
  </si>
  <si>
    <t>TRANSLESTE</t>
  </si>
  <si>
    <t>TRANSPORTE PITHY LTDA - ME</t>
  </si>
  <si>
    <t>PITHY</t>
  </si>
  <si>
    <t>TRANSRESENDE TRANSPORTES LTDA</t>
  </si>
  <si>
    <t>TRANSRESENDE</t>
  </si>
  <si>
    <t>V M &amp; A TRANSPORTES LTDA</t>
  </si>
  <si>
    <t>VM E A</t>
  </si>
  <si>
    <t>VALCY TRANSPORTES LTDA</t>
  </si>
  <si>
    <t>VALCY</t>
  </si>
  <si>
    <t>VEVE TRANS LTDA - ME</t>
  </si>
  <si>
    <t>VEVE</t>
  </si>
  <si>
    <t>WM DIAS TRANSPORTE ESCOLAR LTDA - ME</t>
  </si>
  <si>
    <t>WM DIAS</t>
  </si>
  <si>
    <t>COOP DE TRANSP. AUTONOMOS DE SP - COOPERTESP</t>
  </si>
  <si>
    <t>COOPERTESP</t>
  </si>
  <si>
    <t>COOPER CENTRAL - COOPERATIVA DE TRANSPORTES</t>
  </si>
  <si>
    <t>COOPER CENTRAL</t>
  </si>
  <si>
    <t>COOPERATIVA DE TRANSPORTE PAULISTA - COOPER PAULISTA</t>
  </si>
  <si>
    <t>COOPER PAULISTA</t>
  </si>
  <si>
    <t>ADRIANO DAMASCENO FERNANDES</t>
  </si>
  <si>
    <t>ANDRE LUIS SANTOS PEREIRA</t>
  </si>
  <si>
    <t>ANTONIO CARLOS SARAIVA</t>
  </si>
  <si>
    <t>CARLOS LINZMEYER NETO</t>
  </si>
  <si>
    <t>DANIELA OLIVEIRA BRAGA</t>
  </si>
  <si>
    <t>EDES VALDECIR DOS SANTOS</t>
  </si>
  <si>
    <t>EVERSON CARLOS COSTA</t>
  </si>
  <si>
    <t>EZIO COELHO DE MORAES</t>
  </si>
  <si>
    <t>HUGO RENER VERAS SILVA</t>
  </si>
  <si>
    <t>JOSE APARECIDO RAMOS</t>
  </si>
  <si>
    <t>JOSE JESUS DE MELO</t>
  </si>
  <si>
    <t>KATIA CRISTINA RODRIGUES DE LIMA</t>
  </si>
  <si>
    <t>LUCIANE FERRARI</t>
  </si>
  <si>
    <t>LUIZ CARLOS DA FONSECA MARQUES</t>
  </si>
  <si>
    <t>LUIZ OCTAVIO VELLA</t>
  </si>
  <si>
    <t>MARCIA MARIA DA SILVA</t>
  </si>
  <si>
    <t>MARIANA FERREIRA BARRETO RIBEIRO</t>
  </si>
  <si>
    <t>NEIDE PAGLIUCO</t>
  </si>
  <si>
    <t>NELSON DOS SANTOS</t>
  </si>
  <si>
    <t>NELSON RIBEIRO DE SOUZA</t>
  </si>
  <si>
    <t>NILTON DA ROCHA MEIRELES</t>
  </si>
  <si>
    <t>PEDRO BISPO DE SOUZA</t>
  </si>
  <si>
    <t>RAMON CASTRO DO PRADO</t>
  </si>
  <si>
    <t>RENATA MORENA BORIN COSTA</t>
  </si>
  <si>
    <t>ROSEMEIRE BASSANI GONCALVES</t>
  </si>
  <si>
    <t>SILVANA CRISTINA TRANI</t>
  </si>
  <si>
    <t>SILVERIO OCTAVIANO JUNIOR</t>
  </si>
  <si>
    <t>SOLANGE SALOMAO RODRIGUES</t>
  </si>
  <si>
    <t>VALERIA PEREIRA DO VALE GARCEZ</t>
  </si>
  <si>
    <t>VANDERLEI BATISTA</t>
  </si>
  <si>
    <t>WAGNER DAMASCENO FERNANDES</t>
  </si>
  <si>
    <t>18.517.437 LUCIANE FERRARI</t>
  </si>
  <si>
    <t>ADELAIDE ALMEIDA NARCIZO LTDA</t>
  </si>
  <si>
    <t xml:space="preserve">ADELAIDE ALMEIDA </t>
  </si>
  <si>
    <t>AQUARELA TRANSPORTES ESCOLARES - ME</t>
  </si>
  <si>
    <t>AQUARELA</t>
  </si>
  <si>
    <t>CREMASCO TERCEIRIZACAO - EIRELI - ME</t>
  </si>
  <si>
    <t>CREMASCO</t>
  </si>
  <si>
    <t>CREMASCO TRANSPORTES E TERCEIRIZACAO LTDA - ME</t>
  </si>
  <si>
    <t>CREMASCO TRANSPORTES</t>
  </si>
  <si>
    <t>DANIELA OLIVEIRA BRAGA 29379637810</t>
  </si>
  <si>
    <t>DANIELA OLIVEIRA</t>
  </si>
  <si>
    <t>EL DE SANTANA TRANSPORTES - ME</t>
  </si>
  <si>
    <t>EL DE SANTANA</t>
  </si>
  <si>
    <t>ELOCAR TRANSPORTES LTDA - ME</t>
  </si>
  <si>
    <t>ELOCAR</t>
  </si>
  <si>
    <t>G &amp; C TRANSPORTES LTDA - ME</t>
  </si>
  <si>
    <t>G C</t>
  </si>
  <si>
    <t>HELUMA TRANSPORTES LTDA</t>
  </si>
  <si>
    <t>HELUMA</t>
  </si>
  <si>
    <t>IBN TRANSPORTES LTDA - ME</t>
  </si>
  <si>
    <t>IBN</t>
  </si>
  <si>
    <t>J.L.2Y TRANSPORTES LTDA - ME</t>
  </si>
  <si>
    <t>J.L.2Y</t>
  </si>
  <si>
    <t>JACICAR TRANSPORTES LTDA</t>
  </si>
  <si>
    <t>JACICR</t>
  </si>
  <si>
    <t>JOAO DE JESUS SILVA TRANSPORTES - ME</t>
  </si>
  <si>
    <t>JOAO DE JESUS</t>
  </si>
  <si>
    <t>JOSE &amp; CELIA AUTO PECAS LTDA - ME</t>
  </si>
  <si>
    <t xml:space="preserve">JOSE &amp; CELIA </t>
  </si>
  <si>
    <t>L A R TRANSPORTE ESCOLAR LTDA</t>
  </si>
  <si>
    <t>L A R TRANSPORTE</t>
  </si>
  <si>
    <t>LEAO TUR TRANSPORTES E LOCADORA LTDA - ME</t>
  </si>
  <si>
    <t>LEAO TUR</t>
  </si>
  <si>
    <t>LEIZIENE COUTRIM SILVA DE OLIVEIRA - ME</t>
  </si>
  <si>
    <t>LEIZIENE</t>
  </si>
  <si>
    <t>LFH EMPREENDIMENTOS LTDA</t>
  </si>
  <si>
    <t xml:space="preserve">LFH </t>
  </si>
  <si>
    <t>LUIZ LIMA FLOR TRANSPORTES - ME</t>
  </si>
  <si>
    <t>LUIZ LIMA FLOR</t>
  </si>
  <si>
    <t>MORAES E ROCHA TRANSPORTES LTDA - ME</t>
  </si>
  <si>
    <t>MORAES E ROCHA</t>
  </si>
  <si>
    <t>NEYFLA LOCADORA DE VEICULOS LTDA - ME</t>
  </si>
  <si>
    <t>NEYFLA</t>
  </si>
  <si>
    <t>QUALI SERVICE TRANSPORTES LTDA - ME</t>
  </si>
  <si>
    <t>QUALI</t>
  </si>
  <si>
    <t>TRANSFRETUR TRANSPORTE ESCOLAR E FRETAMENTO LTDA - ME</t>
  </si>
  <si>
    <t>TRANSFRETUR</t>
  </si>
  <si>
    <t>VIRTUDE LOCADORA DE VEICULOS LTDA - ME</t>
  </si>
  <si>
    <t>VIRTUDE</t>
  </si>
  <si>
    <t>W. DAMASCENO FERNANDES TRANSPORTE LTDA</t>
  </si>
  <si>
    <t>W. DAMASCENO</t>
  </si>
  <si>
    <t>ADEILDO ANTONIO DE OLIVEIRA</t>
  </si>
  <si>
    <t>ALBERTO MENDES AREIAS</t>
  </si>
  <si>
    <t>ALDEMICIO AUDALIO DOS SANTOS</t>
  </si>
  <si>
    <t>ALESSANDRA VIANA ROCHA DE SOUZA</t>
  </si>
  <si>
    <t>ANTONIO JOSE DE OLIVEIRA</t>
  </si>
  <si>
    <t>BENEDITO WILSON VIDAL</t>
  </si>
  <si>
    <t>DIEGO BAPTISTA DOS SANTOS SOUZA</t>
  </si>
  <si>
    <t>ECIEL XAVIER DE LIMA</t>
  </si>
  <si>
    <t>ED CARLOS DOS SANTOS</t>
  </si>
  <si>
    <t>EDERSON AUGUSTO VIEIRA</t>
  </si>
  <si>
    <t>EDVALDO DANTAS DE AZEVEDO</t>
  </si>
  <si>
    <t>ELIELSON FERNANDES</t>
  </si>
  <si>
    <t>ELVIO EDUARDO FUZATTI</t>
  </si>
  <si>
    <t>ENEIAS BATISTA FERREIRA</t>
  </si>
  <si>
    <t>FABIANO LEONARDO OSHIRO GONCALVES</t>
  </si>
  <si>
    <t>FABIO ANTONIO RIBEIRO DE SOUSA</t>
  </si>
  <si>
    <t>FABIO RODRIGUES DE SOUZA</t>
  </si>
  <si>
    <t>GEILZA TORRE CAVALCANTE</t>
  </si>
  <si>
    <t>GERALDO PEREIRA FILHO</t>
  </si>
  <si>
    <t>GILBERTO LEITE MEDEIROS</t>
  </si>
  <si>
    <t>HUGO MUNHOZ TEIXEIRA</t>
  </si>
  <si>
    <t>IVALDICE BARBOSA VIEIRA</t>
  </si>
  <si>
    <t>IVANEIDE SIQUEIRA DE ASSIS</t>
  </si>
  <si>
    <t>JONATAS CAVALCANTE FERNANDES</t>
  </si>
  <si>
    <t>JOSILDO DE ALMEIDA SANTANA</t>
  </si>
  <si>
    <t>JURACI RODRIGUES</t>
  </si>
  <si>
    <t>LAERTE SANTOS</t>
  </si>
  <si>
    <t>LUCIANA NASCIMENTO TAGLIARI</t>
  </si>
  <si>
    <t>LUIZ CARLOS MODESTO</t>
  </si>
  <si>
    <t>LUIZ MARIO BRASILIENSE</t>
  </si>
  <si>
    <t>MARCEL JOSUE DA SILVA</t>
  </si>
  <si>
    <t>MARCELO BERNARDO DOS SANTOS</t>
  </si>
  <si>
    <t>MARCIO ROBERTO DE SANTANA</t>
  </si>
  <si>
    <t>MARCOS DONIZETE DEMINCIANA</t>
  </si>
  <si>
    <t>MARIA APARECIDA LEAO DE ANDRADE SILVA</t>
  </si>
  <si>
    <t>MARIA CONCEICAO GOMES LUZ</t>
  </si>
  <si>
    <t>MARIO PAIXAO DO NASCIMENTO</t>
  </si>
  <si>
    <t>MAURILIO OLIVEIRA DE LACERDA</t>
  </si>
  <si>
    <t>MAURO AFFONSO DE SOUZA</t>
  </si>
  <si>
    <t>NILTON VIANA DE ALCANTARA</t>
  </si>
  <si>
    <t>ODAIR DONIZETTI DE SOUZA</t>
  </si>
  <si>
    <t>PATRICIA DE CASSIA ANDRADE DE SOUSA</t>
  </si>
  <si>
    <t>PAULO SERGIO DOS SANTOS</t>
  </si>
  <si>
    <t>PAULO SERGIO GOMES VIANA</t>
  </si>
  <si>
    <t>RAIMUNDO DE SOUZA PAULA</t>
  </si>
  <si>
    <t>ROBERTO GARCIA FERNANDES</t>
  </si>
  <si>
    <t>RODRIGO AGOSTINHO ANDRE</t>
  </si>
  <si>
    <t>ROGERIO VICENTINI JOAO</t>
  </si>
  <si>
    <t>ROMUALDO RODRIGUES ALVES</t>
  </si>
  <si>
    <t>RUBENS RAMOS</t>
  </si>
  <si>
    <t>SIDNEY PEDRO MERELES</t>
  </si>
  <si>
    <t>SILVIO ITIZO TAKEDA</t>
  </si>
  <si>
    <t>SOLANGE SOARES DE PAULA LIMA</t>
  </si>
  <si>
    <t>VALDIRENE APARECIDA PACHECO</t>
  </si>
  <si>
    <t>VERONICE AMBROZIO DA SILVA</t>
  </si>
  <si>
    <t>20.755.156 CAMILA STEPHANIE VIEIRA COVO</t>
  </si>
  <si>
    <t>CAMILA STEPHANIE</t>
  </si>
  <si>
    <t>A. M. TRANSPORTES LTDA</t>
  </si>
  <si>
    <t>ANDREIA DE AMORIM</t>
  </si>
  <si>
    <t>ALEX CALVO PANES TRANSPORTE - ME</t>
  </si>
  <si>
    <t>ALEX CALVO</t>
  </si>
  <si>
    <t>ALEXSANDRA MARIA DE ASSIS TRANSPORTES - ME</t>
  </si>
  <si>
    <t>ALEXSANDRA</t>
  </si>
  <si>
    <t>ALTRUISTA TOUR LTDA - ME</t>
  </si>
  <si>
    <t>ALTRUISTA TOUR</t>
  </si>
  <si>
    <t>BEATRIZ KENICKEL NUNES 44527407821</t>
  </si>
  <si>
    <t>BEATRIZ KENICKEL</t>
  </si>
  <si>
    <t>CARMEM LUCIA DE CARVALHO - TRANSPORTE ESCOLAR - ME</t>
  </si>
  <si>
    <t>CARMEM</t>
  </si>
  <si>
    <t>CARVALHO COUTO TRANSPORTES LTDA</t>
  </si>
  <si>
    <t>CARVALHO COUTO</t>
  </si>
  <si>
    <t>COSTA &amp; CAMPOS TRANSPORTES LTDA - ME</t>
  </si>
  <si>
    <t>COSTA CAMPOS</t>
  </si>
  <si>
    <t>FABIO E PATRICIA TRANSPORTE ESCOLAR LTDA</t>
  </si>
  <si>
    <t>FABIO E PATRICIA</t>
  </si>
  <si>
    <t>HEJUANTUR LOCADORA E TRANSPORTE LTDA - ME</t>
  </si>
  <si>
    <t>HEJUANTUR</t>
  </si>
  <si>
    <t>JAIR CAETANO DA SILVA 19473299877</t>
  </si>
  <si>
    <t>JAIR</t>
  </si>
  <si>
    <t>JUSSARA DE SOUZA MARQUES FERREIRA - ME</t>
  </si>
  <si>
    <t>JUSSARA</t>
  </si>
  <si>
    <t>LIGIA CRISTINA DE OLIVEIRA TRANSPORTE ESCOLAR - ME</t>
  </si>
  <si>
    <t>LIGIA</t>
  </si>
  <si>
    <t>LUIZ MODESTO TRANSPORTES LTDA</t>
  </si>
  <si>
    <t>LUIZ MODESTO</t>
  </si>
  <si>
    <t>PACMAN TRANSPORTE LTDA - ME</t>
  </si>
  <si>
    <t>PACMAN</t>
  </si>
  <si>
    <t>PINTER TRANS ESCOLAR LTDA</t>
  </si>
  <si>
    <t>PINTER TRANS</t>
  </si>
  <si>
    <t>PINTER TRANSPORTE E LOCADORA DE VEICULOS LTDA - ME</t>
  </si>
  <si>
    <t>PINTER</t>
  </si>
  <si>
    <t>RAFAEL APARECIDO ALCASSER 317840032808</t>
  </si>
  <si>
    <t>RAFAEL</t>
  </si>
  <si>
    <t>RAFAEL BORINI TRANSPORTES - ME</t>
  </si>
  <si>
    <t>RAFAEL BORINI</t>
  </si>
  <si>
    <t>RF COSTA TRANSPORTE - ME</t>
  </si>
  <si>
    <t>RF COSTA</t>
  </si>
  <si>
    <t>ROBERTO ALVES PEREIRA 01274637805</t>
  </si>
  <si>
    <t>ROBERTO ALVES</t>
  </si>
  <si>
    <t>RONALDO BISPO DOS SANTOS 29287003823</t>
  </si>
  <si>
    <t>RONALDO BISPO</t>
  </si>
  <si>
    <t>RUBENS RAMOS - ME</t>
  </si>
  <si>
    <t>SO ALEGRIA TRANSPORTES LTDA - ME</t>
  </si>
  <si>
    <t>SO ALEGRIA</t>
  </si>
  <si>
    <t>STYLO PRIME TRANSPORTES E LOCADORA DE VEICULOS LTDA - ME</t>
  </si>
  <si>
    <t>STYLO</t>
  </si>
  <si>
    <t>TORRE FORTE TRANSPORTE ESCOLAR E LOCADORA EIRELLI - ME</t>
  </si>
  <si>
    <t>TORRE FORTE</t>
  </si>
  <si>
    <t>TRANSLUCY TRANSPORTES LTDA - ME</t>
  </si>
  <si>
    <t>TRANSLUCY</t>
  </si>
  <si>
    <t>TRANSOUZA TRANSPORTES SAO PAULO LTDA - ME</t>
  </si>
  <si>
    <t>TRANSOUZA</t>
  </si>
  <si>
    <t>TRANSPORTE ESCOLAR TIA ELAINE E TIO WILLIANS LTDA</t>
  </si>
  <si>
    <t>TRANS WILLIANS</t>
  </si>
  <si>
    <t>TRANSPORTE ESCOLAR TIO LE E TIA LU LTDA</t>
  </si>
  <si>
    <t>TRANS LE LU</t>
  </si>
  <si>
    <t>TRANSPORTES TIOS RO LTDA - ME</t>
  </si>
  <si>
    <t>TIOS RO</t>
  </si>
  <si>
    <t>VALDIRENE APARECIDA PACHECO 26082778880</t>
  </si>
  <si>
    <t>VALDIRENE APARECIDA</t>
  </si>
  <si>
    <t>VIANA TRANSPORTES ESCOLARES</t>
  </si>
  <si>
    <t>VIANA</t>
  </si>
  <si>
    <t>VINI TRANSPORTES LTDA - ME</t>
  </si>
  <si>
    <t>VINI</t>
  </si>
  <si>
    <t>WANUMAR TRANSPORTES RODOVIARIOS LTDA - ME</t>
  </si>
  <si>
    <t>WANUMAR</t>
  </si>
  <si>
    <t>WELL TRANSPORTES LTDA - ME</t>
  </si>
  <si>
    <t>WELL TRANS</t>
  </si>
  <si>
    <t>WGS TRANSPORTES LTDA - ME</t>
  </si>
  <si>
    <t>WGS</t>
  </si>
  <si>
    <t>WILSIL TRANSPORTE ESCOLAR LTDA - ME</t>
  </si>
  <si>
    <t>WILSIL</t>
  </si>
  <si>
    <t>ADRIANA ROBERTA PINTI</t>
  </si>
  <si>
    <t>ALCIDES GOMES PEREIRA</t>
  </si>
  <si>
    <t>ALESSANDRA DE CARVALHO FERNANDES</t>
  </si>
  <si>
    <t>AMAURI FURLANIS</t>
  </si>
  <si>
    <t>ANDERSON GOMES TORRES</t>
  </si>
  <si>
    <t>ANDRINE THALITA DOMINGUES PEREIRA</t>
  </si>
  <si>
    <t>ANTONIO MARCELO ARMANDO SAVERINO</t>
  </si>
  <si>
    <t>ANTONIO MARCOS MACHADO</t>
  </si>
  <si>
    <t>ATILA PIMENTA DOURADO</t>
  </si>
  <si>
    <t>AUDA DOS SANTOS PASSOS GALIANO</t>
  </si>
  <si>
    <t>AUGUSTO SILVA FACONI JEREMIAS</t>
  </si>
  <si>
    <t>BENEDITO JOSE TARGINO DO NASCIMENTO</t>
  </si>
  <si>
    <t>CELINA RIBEIRO GHILARDI</t>
  </si>
  <si>
    <t>CELIO CECONI</t>
  </si>
  <si>
    <t>CICERO JOSE DA SILVA</t>
  </si>
  <si>
    <t>CLAUDIO MANSO DA CONCEICAO</t>
  </si>
  <si>
    <t>CLAUDIOMIRO GONCALVES</t>
  </si>
  <si>
    <t>CLECIA CABRAL DOS SANTOS</t>
  </si>
  <si>
    <t>DANILO BERTOLANI</t>
  </si>
  <si>
    <t>DANILO DOS SANTOS</t>
  </si>
  <si>
    <t>DENISE APARECIDA AFONSO</t>
  </si>
  <si>
    <t>DOMINGOS FERRARI</t>
  </si>
  <si>
    <t>EDSON DO CARMO SANTOS</t>
  </si>
  <si>
    <t>EDUARDO MOREIRA DOS SANTOS</t>
  </si>
  <si>
    <t>EDUARDO RAFAEL ALVES ANDRADE</t>
  </si>
  <si>
    <t>ELAINE PORCINIA MACHADO</t>
  </si>
  <si>
    <t>ELIVALDO PIRES SANTOS</t>
  </si>
  <si>
    <t>ERASTO IRIO VASCONCELOS FROES</t>
  </si>
  <si>
    <t>ERICK CESAR SANTOS</t>
  </si>
  <si>
    <t>EVANDRO CABRAL DANTAS</t>
  </si>
  <si>
    <t>FABIANO PELOUSO DE ANDRADE</t>
  </si>
  <si>
    <t>FABIO ROGERIO DE LIMA</t>
  </si>
  <si>
    <t>FABIO SHOGI ARAKAKI</t>
  </si>
  <si>
    <t>FERNANDO RODRIGUES LOURENCO</t>
  </si>
  <si>
    <t>FRANCINALDA BARBOSA FARIAS</t>
  </si>
  <si>
    <t>FRANCINEIDE BARBOSA DA SILVA</t>
  </si>
  <si>
    <t>FRANCISCA NILDALIA ROLIM DE SOUZA</t>
  </si>
  <si>
    <t>FRANCISCO CARLOS DE OLIVEIRA</t>
  </si>
  <si>
    <t>FRANCISCO MARCILIO OLIVEIRA BARROS</t>
  </si>
  <si>
    <t>GABRIEL EDUARDO DA SILVA</t>
  </si>
  <si>
    <t>GARDELMIR PARADA JUNIOR</t>
  </si>
  <si>
    <t>GENILDO ESPINDOLA PEREIRA</t>
  </si>
  <si>
    <t>HELLEN CRISTINA DE SOUZA LEITE</t>
  </si>
  <si>
    <t>HENRIQUE PARREIRA DE SOUZA</t>
  </si>
  <si>
    <t>INES FERREIRA DE MELO</t>
  </si>
  <si>
    <t>IRETE DONIZETE RANGEL GARCIA</t>
  </si>
  <si>
    <t>IRETE DONIZETE RANGEL GARCIA VENTRICE</t>
  </si>
  <si>
    <t>IVAN ROGERIO CUEVAS GUTIERREZ</t>
  </si>
  <si>
    <t>IVANIL ANTONIO DE MORAES</t>
  </si>
  <si>
    <t>IVONETE DA SILVA MATHEUS</t>
  </si>
  <si>
    <t>IZABEL MARIZA CASONATO</t>
  </si>
  <si>
    <t>JACKSON DA SILVA PEDRO</t>
  </si>
  <si>
    <t>JAIRO BATISTA CASAL</t>
  </si>
  <si>
    <t>JANE DA CONCEICAO ESCOBAR</t>
  </si>
  <si>
    <t>JOSE ANTONIO DA CRUZ SOBRINHO</t>
  </si>
  <si>
    <t>JOSE CARMO DE MENDONCA</t>
  </si>
  <si>
    <t>JOSE VALDEMAR DE LIMA ARAUJO</t>
  </si>
  <si>
    <t>JUREMA APARECIDA NASCIMENTO ROMUALDO PAIXAO</t>
  </si>
  <si>
    <t>KATIA CILENE PARREIRA DE SOUZA</t>
  </si>
  <si>
    <t>KATIA FERNANDEZ VAZQUEZ MAMEDE DINIZ</t>
  </si>
  <si>
    <t>LAERTE TADEU PACHECO</t>
  </si>
  <si>
    <t>LAUER FLAVIUS DOS ANJOS LOPES</t>
  </si>
  <si>
    <t>LEANDRO LEITE MENDES</t>
  </si>
  <si>
    <t>LUCIO APARECIDO CARNEIRO</t>
  </si>
  <si>
    <t>LUIZ ALBERTO BAPTISTA</t>
  </si>
  <si>
    <t>LUIZ HONORIO DOS SANTOS</t>
  </si>
  <si>
    <t>LUIZ NUNES PONTES</t>
  </si>
  <si>
    <t>MAGNO DA SILVA PEDRO</t>
  </si>
  <si>
    <t>MANOEL FERNANDES DE MELO</t>
  </si>
  <si>
    <t>MANOEL VICENTE DA CUNHA FILHO</t>
  </si>
  <si>
    <t>MARCELO TAVARES DE SOUZA</t>
  </si>
  <si>
    <t>MARCIA SCODELARIO DE LIMA</t>
  </si>
  <si>
    <t>MARCOS ANTONIO BRUNO</t>
  </si>
  <si>
    <t>MARGARETH TEIXEIRA CALANDRINO</t>
  </si>
  <si>
    <t>MARIA DE JESUS GOMES DE MOURA</t>
  </si>
  <si>
    <t>MARIA DE LOURDES BARBOSA DE LIMA BONILLA</t>
  </si>
  <si>
    <t>MARIA GRAZIELA OSANE CARVALHO</t>
  </si>
  <si>
    <t>MARIA GRAZIELA OSANE CARVALHO ANDREOSI</t>
  </si>
  <si>
    <t>MARIA ROSIMEIRE DE OLIVEIRA CRUZ</t>
  </si>
  <si>
    <t>MARILENE BARROS DE OLIVEIRA</t>
  </si>
  <si>
    <t>MARISA ALVES VIEIRA</t>
  </si>
  <si>
    <t>MAURICIO MAXIMO DA SILVA</t>
  </si>
  <si>
    <t>MAURO DE MORAIS SANTIAGO</t>
  </si>
  <si>
    <t>REGINALDA MARCELA FREIRES</t>
  </si>
  <si>
    <t>RICARDO HOSSO</t>
  </si>
  <si>
    <t>RODRIGO RODRIGUES</t>
  </si>
  <si>
    <t>ROGERIO BOCCIA</t>
  </si>
  <si>
    <t>ROGERIO FRANCO DE SA</t>
  </si>
  <si>
    <t>RONIELY BENTO VILACIO</t>
  </si>
  <si>
    <t>ROSANA TONETTI</t>
  </si>
  <si>
    <t>ROSANGELA RODRIGUES PARADA</t>
  </si>
  <si>
    <t>ROSELENE BERNARDO DE LIMA SOUZA</t>
  </si>
  <si>
    <t>ROSIETE DE MACEDO CARDOSO</t>
  </si>
  <si>
    <t>SIDNEY DELFINO DE OLIVEIRA</t>
  </si>
  <si>
    <t>SONIA APARECIDA DOS SANTOS OLIVEIRA</t>
  </si>
  <si>
    <t>VALTER VICENTE DA SILVA JUNIOR</t>
  </si>
  <si>
    <t>VANDERLEIA EDITE DA SILVA</t>
  </si>
  <si>
    <t>VANUZIA ALVES PINHEIRO DA SILVA</t>
  </si>
  <si>
    <t>VICTOR HUGO MACEDO SILVA</t>
  </si>
  <si>
    <t>WALDOMIRO ANDRE DO NASCIMENTO</t>
  </si>
  <si>
    <t>WANDERLEY PEREIRA WESTHOFER</t>
  </si>
  <si>
    <t>WELLINGTON DO NASCIMENTO JUNIOR</t>
  </si>
  <si>
    <t>WILLIAMS ROBERTO LIMA</t>
  </si>
  <si>
    <t>53.850.427 ELIVALDO PIRES SANTOS</t>
  </si>
  <si>
    <t>ELIVALDO PIRES</t>
  </si>
  <si>
    <t>A. BOCCIA JUNIOR TRANSPORTES - ME</t>
  </si>
  <si>
    <t>A BOCCIA</t>
  </si>
  <si>
    <t>AMC TRANSPORTES ESCOLARES LTDA - ME</t>
  </si>
  <si>
    <t>AMC</t>
  </si>
  <si>
    <t>APARECIDO PEREIRA DIAS TRANSPORTES ESCOLARES - ME</t>
  </si>
  <si>
    <t>APARECIDO PEREIRA</t>
  </si>
  <si>
    <t>ATILA &amp; PAULA TRANSPORTES LTDA</t>
  </si>
  <si>
    <t>ATILA E PAULA</t>
  </si>
  <si>
    <t>AUDA TRANSPORTES LTDA</t>
  </si>
  <si>
    <t>AUDA TRANSPORTES</t>
  </si>
  <si>
    <t>BELLA TRANSPORTES ESCOLARES LTDA</t>
  </si>
  <si>
    <t>BELLA TRANSPORTES ESCOLARE</t>
  </si>
  <si>
    <t>BERTOLANI TRANSPORTES LTDA</t>
  </si>
  <si>
    <t>BERTOLANI</t>
  </si>
  <si>
    <t>BIG TRANSPORTE ESCOLAR LTDA</t>
  </si>
  <si>
    <t>BIG</t>
  </si>
  <si>
    <t>CARLA &amp; RAFAEL TRANSPORTE ESCOLAR LTDA - ME</t>
  </si>
  <si>
    <t>CARLA E RAFAEL</t>
  </si>
  <si>
    <t>CHINTIA MOREIRA DE O. SOUZA 34517299899</t>
  </si>
  <si>
    <t>CHINTIA</t>
  </si>
  <si>
    <t>CL TRANSPORTE ESCOLAR LTDA - ME</t>
  </si>
  <si>
    <t>EDINA MARIA ARAUJO TRANSPORTES ESCOLARES - ME</t>
  </si>
  <si>
    <t>EDINA MARIA</t>
  </si>
  <si>
    <t>EDSON &amp; SIMONE TRANSPORTES LTDA - ME</t>
  </si>
  <si>
    <t>EDSON &amp; SIMONE</t>
  </si>
  <si>
    <t>EDSON &amp; VITOR TRANSPORTES LTDA</t>
  </si>
  <si>
    <t>EDSON E VITOR</t>
  </si>
  <si>
    <t>ERJ TRANSPORTES LTDA - ME</t>
  </si>
  <si>
    <t>ERJ</t>
  </si>
  <si>
    <t>ESCRIDELLI TRANSPORTE ESCOLAR LTDA ME</t>
  </si>
  <si>
    <t>ESCRIDELLI</t>
  </si>
  <si>
    <t>EXCELENCIA TRANSPORTE LTDA</t>
  </si>
  <si>
    <t>PL DE OLIVEIRA</t>
  </si>
  <si>
    <t>FATIMA C B SHIRAIVA 921.023.448-00</t>
  </si>
  <si>
    <t>FATIMA CB</t>
  </si>
  <si>
    <t>FAUMIR TRANSPORTE E LOCACAO LTDA - ME</t>
  </si>
  <si>
    <t>FAUMIR</t>
  </si>
  <si>
    <t>FOREVER TRANSPORTES LTDA</t>
  </si>
  <si>
    <t>FOREVER</t>
  </si>
  <si>
    <t>GPA-TRANSPORTE E LOCACAO EIRELI</t>
  </si>
  <si>
    <t>GPA</t>
  </si>
  <si>
    <t>HENNESSY TRANSPORTES ESCOLARES LTDA</t>
  </si>
  <si>
    <t>HENNESSY</t>
  </si>
  <si>
    <t>HP - TRANS TRANSPORTE ESCOLAR LTDA - ME</t>
  </si>
  <si>
    <t>HP</t>
  </si>
  <si>
    <t>JOSE CARLOS DA ROSA TRANSPORTE ESCOLAR - ME</t>
  </si>
  <si>
    <t>JOSE CARLOS</t>
  </si>
  <si>
    <t>JOSE VITORINO DA SILVA IRMAO TRANSPORTE - ME</t>
  </si>
  <si>
    <t>JOSE VITORIANO</t>
  </si>
  <si>
    <t>L&amp;C TRANSPORTE LTDA - ME</t>
  </si>
  <si>
    <t>LC</t>
  </si>
  <si>
    <t>LE SOARES TRANSPORTE ESCOLAR E FRETAMENTO LTDA</t>
  </si>
  <si>
    <t>LE SOARES</t>
  </si>
  <si>
    <t>MARCELA TRANSPORTES LTDA</t>
  </si>
  <si>
    <t>MARCELA</t>
  </si>
  <si>
    <t>MARIA APARECIDA NUNES DE OLIVEIRA - TRANSPORTES - ME</t>
  </si>
  <si>
    <t>MARIA APARECIDA</t>
  </si>
  <si>
    <t>MARIA ROSIMEIRE DE O. CRUZ 09140904881</t>
  </si>
  <si>
    <t>MARIA ROSIMEIRE</t>
  </si>
  <si>
    <t>MEGLU TRANSPORTE ESCOLAR LTDA</t>
  </si>
  <si>
    <t>MEGLU</t>
  </si>
  <si>
    <t>NA&amp;LU TRANSPORTES LTDA</t>
  </si>
  <si>
    <t>NAELU</t>
  </si>
  <si>
    <t>NUNES E BAPTISTA TRANSPORTE ESCOLAR LTDA - ME</t>
  </si>
  <si>
    <t>NUBES E BAPTISTA</t>
  </si>
  <si>
    <t>PL DE OLIVEIRA TRANSPORTES - ME</t>
  </si>
  <si>
    <t>PRESTATUR TRANSPORTE E LOCACAO LTDA</t>
  </si>
  <si>
    <t>PRESTATUR</t>
  </si>
  <si>
    <t>QUALITY TRANSPORTE LTDA</t>
  </si>
  <si>
    <t>QUALITY</t>
  </si>
  <si>
    <t>REGINA DE FATIMA FAJAN PEREIRA - ME</t>
  </si>
  <si>
    <t xml:space="preserve">REGINA DE FATIMA </t>
  </si>
  <si>
    <t>RIGK TRANSPORTES LTDA</t>
  </si>
  <si>
    <t>RIGK</t>
  </si>
  <si>
    <t>RIVANS TRANSPORTES LTDA - ME</t>
  </si>
  <si>
    <t>RIVANS</t>
  </si>
  <si>
    <t>ROSELENE BERNARDO</t>
  </si>
  <si>
    <t>SANVILE TRANSPORTES LTDA - ME</t>
  </si>
  <si>
    <t>SANVILE</t>
  </si>
  <si>
    <t>SILVIA MARIA DE FREITAS TRANSPORTES - ME</t>
  </si>
  <si>
    <t>SILVIA MARIA</t>
  </si>
  <si>
    <t>SONIA APARECIDA DOS SANTOS OLIVEIRA - ME</t>
  </si>
  <si>
    <t>SONIA APARECIDA</t>
  </si>
  <si>
    <t>TRANS 2A TRANSPORTES &amp; LOCACAO LTDA - ME</t>
  </si>
  <si>
    <t>TRANS 2A</t>
  </si>
  <si>
    <t>VERISSIMO TRANSPORTE ESCOLAR LTDA - ME</t>
  </si>
  <si>
    <t>VERISSIMO</t>
  </si>
  <si>
    <t>VM TRANSPORTE ESCOLAR LTDA</t>
  </si>
  <si>
    <t>VM</t>
  </si>
  <si>
    <t>WLFM TRANSPORTE ESCOLAR LTDA - ME</t>
  </si>
  <si>
    <t>WLFM</t>
  </si>
  <si>
    <t>YVONE RODRIGUES TRANSPORTE ESCOLAR LTDA</t>
  </si>
  <si>
    <t>YVONE</t>
  </si>
  <si>
    <t>COOP. DE TRANSP. ROD. E ESC. - COTERLESTE</t>
  </si>
  <si>
    <t>COTERLESTE</t>
  </si>
  <si>
    <t>ADELITH GOMES GUIMARAES</t>
  </si>
  <si>
    <t>ADERBAL DORIGAN ALVES DA SILVA</t>
  </si>
  <si>
    <t>AGUINALDO SILVEIRA SOUZA JUNIOR</t>
  </si>
  <si>
    <t>AILTON DAVID MEIRA</t>
  </si>
  <si>
    <t>ALDEMIR MANOEL SANTANA</t>
  </si>
  <si>
    <t>ALEXANDRE MARCOS GONCALVES DE OLIVEIRA</t>
  </si>
  <si>
    <t>ALEXANDRO MARTINS DOS REIS</t>
  </si>
  <si>
    <t>ANA PAULA DOS SANTOS SILVA</t>
  </si>
  <si>
    <t>ANDERSON DA SILVA FELIZARDO</t>
  </si>
  <si>
    <t>ANDERSON MARTINS BARBOSA</t>
  </si>
  <si>
    <t>ANTONIO CARLOS DIAS BEZERRA</t>
  </si>
  <si>
    <t>ANTONIO LUIZ DA SILVA</t>
  </si>
  <si>
    <t>ANTONIO SOARES DA SILVA</t>
  </si>
  <si>
    <t>APARECIDA DE ALMEIDA DA SILVA</t>
  </si>
  <si>
    <t>APARECIDA ROSIANE RIBEIRO DA SILVA</t>
  </si>
  <si>
    <t>ARLETE DE VILMA DA LUZ</t>
  </si>
  <si>
    <t>CARLOS ALBERTO DE MATOS</t>
  </si>
  <si>
    <t>CICERO DE LIMA LINS</t>
  </si>
  <si>
    <t>CLAUDIA VERONICA DOS SANTOS</t>
  </si>
  <si>
    <t>DAIANE SOARES LOPES</t>
  </si>
  <si>
    <t>DEBORA CRISTINA DOS SANTOS</t>
  </si>
  <si>
    <t>DIEGO ANDRADE DA SILVA</t>
  </si>
  <si>
    <t>EDNILSON LOPES DOS SANTOS</t>
  </si>
  <si>
    <t>EDSON RONIE GOMES DE SOUSA</t>
  </si>
  <si>
    <t>EDSON VIEIRA DE OLIVEIRA</t>
  </si>
  <si>
    <t>EDUARDO ARCANJO DO AMARAL</t>
  </si>
  <si>
    <t>EDUARDO MOURA DA SILVA</t>
  </si>
  <si>
    <t>EVANDRO CARLOS FARIA</t>
  </si>
  <si>
    <t>EVERTON SEVERO DA SILVA</t>
  </si>
  <si>
    <t>FABIO GOMES DA SILVA</t>
  </si>
  <si>
    <t>FABIO JOSE DA SILVA</t>
  </si>
  <si>
    <t>FABIO SILVA DAS NEVES</t>
  </si>
  <si>
    <t>FABRICIO RORIZ ZIROLDO</t>
  </si>
  <si>
    <t>FLAVIA DA SILVA</t>
  </si>
  <si>
    <t>FRANCILINO SOARES DE SANTANA</t>
  </si>
  <si>
    <t>GILBERTO DE ANDRADE</t>
  </si>
  <si>
    <t>GILDEON RODRIGUES SANTOS</t>
  </si>
  <si>
    <t>GIVANILDE NUNES DOS SANTOS</t>
  </si>
  <si>
    <t>IRENE CHAVIER DE AQUINO DE MELO</t>
  </si>
  <si>
    <t>ISRAEL HIRAOKA MARQUES</t>
  </si>
  <si>
    <t>IVANILDO ESCARRANARO DOS SANTOS</t>
  </si>
  <si>
    <t>JAILSON MASCARENHAS PEREIRA</t>
  </si>
  <si>
    <t>JAIR PORTELA RODRIGUES</t>
  </si>
  <si>
    <t>JAZILMA FAGUNDES CERQUEIRA SILVA</t>
  </si>
  <si>
    <t>JOANA DAS DORES MORAIS PINHEIRO</t>
  </si>
  <si>
    <t>JOSE ANDRADE CUNHA</t>
  </si>
  <si>
    <t>JOSE ANTONIO DA SILVA SANTOS</t>
  </si>
  <si>
    <t>JOSE EUDES MENEZES PINHEIRO</t>
  </si>
  <si>
    <t>JOSE ROBERTO DA SILVA</t>
  </si>
  <si>
    <t>JOSE SOARES NETO</t>
  </si>
  <si>
    <t>JOSENILTON FELIX DOS ANJOS</t>
  </si>
  <si>
    <t>LUCIANA DA SILVA SANTOS</t>
  </si>
  <si>
    <t>LUIZ CARLOS DE SANTANA</t>
  </si>
  <si>
    <t>MANOEL FRANCISCO DE ASSIS</t>
  </si>
  <si>
    <t>MARCELO APARECIDO CATAO</t>
  </si>
  <si>
    <t>MARCELO DOS SANTOS PRADO</t>
  </si>
  <si>
    <t>MARCELO INACIO DA LUZ</t>
  </si>
  <si>
    <t>MARCIA LOVITTO</t>
  </si>
  <si>
    <t>MARCIO CARLOS DE FRANCA FERREIRA DA SILVA</t>
  </si>
  <si>
    <t>MARCOS ALVES DA SILVA</t>
  </si>
  <si>
    <t>MARIA CLAUDIA GOMES PINHEIRO</t>
  </si>
  <si>
    <t>MARIA DELFINA DOS SANTOS</t>
  </si>
  <si>
    <t>MARIVALDO DE OLIVEIRA</t>
  </si>
  <si>
    <t>NATERCIO OLIVA DE QUEIROZ</t>
  </si>
  <si>
    <t>NORMA ANGELICA DE OLIVEIRA</t>
  </si>
  <si>
    <t>ORANI SOLANGE DE SOUZA CAIRES</t>
  </si>
  <si>
    <t>PAULO CAETANO DA SILVA JUNIOR</t>
  </si>
  <si>
    <t>PAULO GOMES DA SILVA</t>
  </si>
  <si>
    <t>PEDRO RAFAEL</t>
  </si>
  <si>
    <t>RAFAEL CADAMURO DE OLIVEIRA</t>
  </si>
  <si>
    <t>RAPHAEL GOMES PARANHOS</t>
  </si>
  <si>
    <t>RICARDO MATEUS AMBROZIO</t>
  </si>
  <si>
    <t>ROBERTO AUGUSTO DA SILVA</t>
  </si>
  <si>
    <t>ROBERTO CORREA</t>
  </si>
  <si>
    <t>ROBERTO DA SILVA SANTANA</t>
  </si>
  <si>
    <t>ROBERTO HIRAOKA MARQUES</t>
  </si>
  <si>
    <t>ROBERTO JARDIM SILVESTRE</t>
  </si>
  <si>
    <t>ROGERIO APARECIDO MIRIANI</t>
  </si>
  <si>
    <t>ROSANGELA DE FATIMA SANTOS</t>
  </si>
  <si>
    <t>ROSARIO ISAIAS CATANANTE MARTINS</t>
  </si>
  <si>
    <t>SAMES BAPTISTA DE SOUZA</t>
  </si>
  <si>
    <t>SAMUEL ALVES DOS SANTOS</t>
  </si>
  <si>
    <t>SEBASTIAO DE BRITO FERREIRA</t>
  </si>
  <si>
    <t>SIDNEI NOGUEIRA CORREA</t>
  </si>
  <si>
    <t>SIDNEY RODRIGO DE SOUSA</t>
  </si>
  <si>
    <t>SILVIO SALES</t>
  </si>
  <si>
    <t>SIRLENE BARRETO AZEVEDO</t>
  </si>
  <si>
    <t>SUELI APARECIDA DE SANT ANA VERONA</t>
  </si>
  <si>
    <t>TALIZIA RAMOS DOS SANTOS</t>
  </si>
  <si>
    <t>THYAGO NUNES DA ROSA</t>
  </si>
  <si>
    <t>VAGNER ALVES BONFIM</t>
  </si>
  <si>
    <t>VANESSA ALVES BONFIM</t>
  </si>
  <si>
    <t>WELLINGTON PERES DA SILVA</t>
  </si>
  <si>
    <t>WILSON PEREIRA DA CRUZ</t>
  </si>
  <si>
    <t>55.409.807 MARIVALDO DE OLIVEIRA</t>
  </si>
  <si>
    <t>MARIVALDO</t>
  </si>
  <si>
    <t>55.950.303 ROBERTO DA SILVA SANTANA</t>
  </si>
  <si>
    <t>ROBERTO DA SILVA</t>
  </si>
  <si>
    <t>57.679.324 JESSIKA MARTINS DE OLIVEIRA SANTOS</t>
  </si>
  <si>
    <t>JESSIKA</t>
  </si>
  <si>
    <t>59.941.884 ORANI SOLANGE DE SOUZA CAIRES</t>
  </si>
  <si>
    <t>ORANI SOLANGE</t>
  </si>
  <si>
    <t>61.303.428 EDNILSON LOPES DOS SANTOS</t>
  </si>
  <si>
    <t>ANA MARIA GILSOGAMO TRANSPORTE ESCOLAR - ME</t>
  </si>
  <si>
    <t>ANA GILSOGAMO</t>
  </si>
  <si>
    <t>ANA PAULA ALEXANDRE TRANSPORTE ESCOLAR - ME</t>
  </si>
  <si>
    <t>ANA ALEXANDRE</t>
  </si>
  <si>
    <t>ANTONIO ROBERTO JORGE - EPP</t>
  </si>
  <si>
    <t>ANTONIO ROBERTO</t>
  </si>
  <si>
    <t>CDG COMERCIO DE EPIS E TRANSPORTES EIRELI</t>
  </si>
  <si>
    <t>CDG COMERCIO</t>
  </si>
  <si>
    <t>CLAUDEMIR CAVALCANTE TRANSPORTES - ME</t>
  </si>
  <si>
    <t>CLAUDEMIR</t>
  </si>
  <si>
    <t>DELTA TRANSPORTE ESCOLAR LTDA - ME</t>
  </si>
  <si>
    <t>DELTA</t>
  </si>
  <si>
    <t>DEVELOPMENT TRANSPORTES LTDA - ME</t>
  </si>
  <si>
    <t>DEVELOPMENT</t>
  </si>
  <si>
    <t>ESTER MARIA TEIXEIRA SARILHO TRANSPORTES - ME</t>
  </si>
  <si>
    <t>ESTER</t>
  </si>
  <si>
    <t>FABIO MANSUETO DA SILVA - ME</t>
  </si>
  <si>
    <t>FABIO MANSUETO</t>
  </si>
  <si>
    <t>GILSON VIEIRA DA SILVA TRANSPORTES</t>
  </si>
  <si>
    <t>GILSON VIEIRA</t>
  </si>
  <si>
    <t>HIRAMAR TRANSPORTES LTDA - ME</t>
  </si>
  <si>
    <t>HIRAMAR</t>
  </si>
  <si>
    <t>J &amp; Q MARTINS TRANSPORTES LTDA - ME</t>
  </si>
  <si>
    <t>J Q</t>
  </si>
  <si>
    <t>J FREITAS TRANS ESCOLAR LTDA - ME</t>
  </si>
  <si>
    <t>J FREITAS TRANS</t>
  </si>
  <si>
    <t>JOANA DAS DORES MORAIS PINHEIRO 17308947</t>
  </si>
  <si>
    <t>JOANA</t>
  </si>
  <si>
    <t>MAGAVI TRANSPORTE LTDA - ME</t>
  </si>
  <si>
    <t>MAGAVI</t>
  </si>
  <si>
    <t>MAIKON FREITAS GONCALVES LTDA</t>
  </si>
  <si>
    <t>MAIKON</t>
  </si>
  <si>
    <t>PACOTRANS TRANSPORTES LTDA - ME</t>
  </si>
  <si>
    <t>PACOTRANS</t>
  </si>
  <si>
    <t>RAFAEL CADAMURO TRANSPORTES LTDA</t>
  </si>
  <si>
    <t>RAFAEL CADAMURO</t>
  </si>
  <si>
    <t>ROGERIO CUNHA VICTOR LTDA</t>
  </si>
  <si>
    <t>ROGERIO CUNHA</t>
  </si>
  <si>
    <t>ROMILDA ARAUJO DE QUEIROZ TRANSPORTES - ME</t>
  </si>
  <si>
    <t>ROMILDA</t>
  </si>
  <si>
    <t>RONALDO DE JESUS MATOS - ME</t>
  </si>
  <si>
    <t>RONALDO JESUS</t>
  </si>
  <si>
    <t>S &amp; TA TRANSPORTES LTDA - ME</t>
  </si>
  <si>
    <t>S TA</t>
  </si>
  <si>
    <t>SERGIO ADRIANO LOBO - TRANSPORTE ESCOLAR - ME</t>
  </si>
  <si>
    <t>SERGIO LOBO</t>
  </si>
  <si>
    <t>T. B. DE JESUS TRANSPORTES - ME</t>
  </si>
  <si>
    <t>T B</t>
  </si>
  <si>
    <t>TRANS HELLOS TRANSPORTES LTDA - ME</t>
  </si>
  <si>
    <t>TRANS HELLOS</t>
  </si>
  <si>
    <t>TRANSKIDS TRANSPORTE ESCOLAR LTDA</t>
  </si>
  <si>
    <t>TRANSKIDS</t>
  </si>
  <si>
    <t>TRANSMEL TRANSPORTES LTDA - ME</t>
  </si>
  <si>
    <t>TRANSREIS TRANSPORTE ESCOLAR LTDA</t>
  </si>
  <si>
    <t>TRANSREIS</t>
  </si>
  <si>
    <t>TRANSVIVO TRANSPORTE E TURISMO LTDA - ME</t>
  </si>
  <si>
    <t>TRANSVIVO</t>
  </si>
  <si>
    <t>VALTER MENDONCA 28854800848</t>
  </si>
  <si>
    <t>VALTER MENDONCA</t>
  </si>
  <si>
    <t>WENDEL FARIAS DOS SANTOS 35063488846</t>
  </si>
  <si>
    <t>WENDEL</t>
  </si>
  <si>
    <t>XAVIER &amp; MATOS TRANSPORTE LTDA - ME</t>
  </si>
  <si>
    <t>XAVIER MATOS</t>
  </si>
  <si>
    <t>AGNALDO DONIZETTI CARDOSO</t>
  </si>
  <si>
    <t>AGUSTINHO ANDRADE BARBOSA</t>
  </si>
  <si>
    <t>ALAM PETERSON FERREIRA DA SILVA</t>
  </si>
  <si>
    <t>ALBERTO DA SILVA DE JESUS</t>
  </si>
  <si>
    <t>ANTONIO DE ARRUDA CAMARA</t>
  </si>
  <si>
    <t>ANTONIO DOS SANTOS</t>
  </si>
  <si>
    <t>ANTONIO RODRIGUES MACIEL</t>
  </si>
  <si>
    <t>APARECIDO LUCAS</t>
  </si>
  <si>
    <t>ARLENE BURIOLA</t>
  </si>
  <si>
    <t>ARMANDO DA SILVA</t>
  </si>
  <si>
    <t>CAMILA IAROSSI OLIVEIRA</t>
  </si>
  <si>
    <t>CARLOS FERREIRA DA SILVA</t>
  </si>
  <si>
    <t>CELIA REGINA DA SILVA PEREIRA</t>
  </si>
  <si>
    <t>CELIMARY DA ROSA PAZ</t>
  </si>
  <si>
    <t>CLEIDE MARIA DE BRITO BARRETO</t>
  </si>
  <si>
    <t>CRISTIANE ROSA MARQUES DA SILVA</t>
  </si>
  <si>
    <t>DEISE APARECIDA FAZANI CICON</t>
  </si>
  <si>
    <t>EMERSON ROGERIO ELOI</t>
  </si>
  <si>
    <t>EVANDRO MARTINS GAMES</t>
  </si>
  <si>
    <t>EVANILDO GONCALVES DA CRUZ</t>
  </si>
  <si>
    <t>EZEQUIEL PICARELLI DE CAMPOS</t>
  </si>
  <si>
    <t>FELIPE ROBERTO CODESSEIRA</t>
  </si>
  <si>
    <t>FRANCISCO GUIMARAES PANDELOT</t>
  </si>
  <si>
    <t>FRANCISCO SOLONESIO PINHEIRO DE QUEIROS</t>
  </si>
  <si>
    <t>GENIVAL FERREIRA DA SILVA</t>
  </si>
  <si>
    <t>GERALDO LOPES FERREIRA</t>
  </si>
  <si>
    <t>GILBERTO MENDES</t>
  </si>
  <si>
    <t>GLAUCE GATTI</t>
  </si>
  <si>
    <t>HELIO ROMERA CERVILLA</t>
  </si>
  <si>
    <t>HERBERT DE SIQUEIRA CAMPOS</t>
  </si>
  <si>
    <t>INES BARRETO XAVIER DE BARROS</t>
  </si>
  <si>
    <t>IZABEL APARECIDA ANTUNES DE ALMEIDA</t>
  </si>
  <si>
    <t>JOAO BATISTA HONORATO</t>
  </si>
  <si>
    <t>JOAO BATISTA MAIA</t>
  </si>
  <si>
    <t>JOAO PAULO RESENDE DE LIMA</t>
  </si>
  <si>
    <t>JOSE CAMILO DE SOUZA JUNIOR</t>
  </si>
  <si>
    <t>JOSE CARLOS DE OLIVEIRA</t>
  </si>
  <si>
    <t>MARCIA MARTINS LARA</t>
  </si>
  <si>
    <t>MARIA ELENA DOS SANTOS BIANCHI</t>
  </si>
  <si>
    <t>MARIA GILVANIA DA SILVA</t>
  </si>
  <si>
    <t>MARIA GRACINETE SOARES BENTO</t>
  </si>
  <si>
    <t>MARIA IZILDA MENEZES</t>
  </si>
  <si>
    <t>MARIA NEUSA DE LIMA</t>
  </si>
  <si>
    <t>MARIA VERONICA DA SILVA</t>
  </si>
  <si>
    <t>MAURICIO DE MORAES QUIRINO FILHO</t>
  </si>
  <si>
    <t>NANCI LIRA YAMADA</t>
  </si>
  <si>
    <t>NELSON LOPES PINHEIRO FILHO</t>
  </si>
  <si>
    <t>NIVALDO LOURENCATO</t>
  </si>
  <si>
    <t>OSMAR CICON</t>
  </si>
  <si>
    <t>PATRICIA SERAFIM CORTESI</t>
  </si>
  <si>
    <t>PAULO LOPES DO NASCIMENTO</t>
  </si>
  <si>
    <t>PLINIO MONTEIRO DA SILVA</t>
  </si>
  <si>
    <t>RENATO FLORES QUEVEDO</t>
  </si>
  <si>
    <t>RITA DE CASSIA FARIA</t>
  </si>
  <si>
    <t>ROSEMEIRE APARECIDA SANTOS MONBELLI</t>
  </si>
  <si>
    <t>ROSEMEIRE CLARINDO DE MELO</t>
  </si>
  <si>
    <t>ROSEMEIRE DE ANDRADE COELHO OLIVEIRA</t>
  </si>
  <si>
    <t>SIDNEI BIANCHI</t>
  </si>
  <si>
    <t>SIMONE MENDES BASSI DE JESUS</t>
  </si>
  <si>
    <t>SONIA DE OLIVEIRA PARDINI</t>
  </si>
  <si>
    <t>SONIA MARIA DE ARAUJO</t>
  </si>
  <si>
    <t>UBIRAJARA CARDOSO DE ARAUJO JUNIOR</t>
  </si>
  <si>
    <t>VALDIR SILVERIO DE LIMA</t>
  </si>
  <si>
    <t>VANDERLEI DA SILVA DIAS</t>
  </si>
  <si>
    <t>55.952.151 NANCI LIRA YAMADA</t>
  </si>
  <si>
    <t>56.052.934 ANTONIO DE ARRUDA CAMARA</t>
  </si>
  <si>
    <t>ANTONIO DE ARRUDA</t>
  </si>
  <si>
    <t>A&amp;F TRANSPORTES LTDA</t>
  </si>
  <si>
    <t>A&amp;F TRANSPORTES</t>
  </si>
  <si>
    <t>BARESI TRANSPORTES E TURISMO LTDA - ME</t>
  </si>
  <si>
    <t>BARESI TRANSPORTES</t>
  </si>
  <si>
    <t>BIANCHI TRANSPORTE ESCOLAR LTDA</t>
  </si>
  <si>
    <t>BIANCHI TRANSPORTE</t>
  </si>
  <si>
    <t>CAMILA IAROSSI OLIVEIRA - ME</t>
  </si>
  <si>
    <t xml:space="preserve">CAMILA IAROSSI </t>
  </si>
  <si>
    <t>CARMEM LUCIA DE CARVALHO</t>
  </si>
  <si>
    <t>CAVALCANTE TRANSPORTES ESCOLARES E FRETAMENTO LTDA - ME</t>
  </si>
  <si>
    <t>CAVALCANTE TRANSPORTES ESCOLARES</t>
  </si>
  <si>
    <t>DANILO ROBERTO DONINI - ME</t>
  </si>
  <si>
    <t>DANILO ROBERTO DONINI</t>
  </si>
  <si>
    <t>ERNESTO DA COSTA FILHO TRANSPORTE - ME</t>
  </si>
  <si>
    <t>ERNESTO</t>
  </si>
  <si>
    <t>FATIMA ACEDO DE SOUZA 05593331880</t>
  </si>
  <si>
    <t>FATIMA ACEDO</t>
  </si>
  <si>
    <t>FLAVIA CIPRIANO PINHEIRO TRANSPORTE ESCOLAR</t>
  </si>
  <si>
    <t>FLAVIA CIPRIANO</t>
  </si>
  <si>
    <t>FOLHA DE PRATA SERVICOS DE TRANSPORTE LTDA - ME</t>
  </si>
  <si>
    <t>FOLHAS DE PRATA</t>
  </si>
  <si>
    <t>GALERINHA DO FUTURO LTDA</t>
  </si>
  <si>
    <t>GALERINHA DO FUTURO</t>
  </si>
  <si>
    <t>JCLIRA TRANSPORTE ESCOLAR LTDA</t>
  </si>
  <si>
    <t>JCLIRA</t>
  </si>
  <si>
    <t>JCT TRANSPORTES ESCOLARES LTDA</t>
  </si>
  <si>
    <t>JCT</t>
  </si>
  <si>
    <t>JESSENIO CIPRIANO DA SILVA JUNIOR TRANSPORTES - ME</t>
  </si>
  <si>
    <t>JESSENIO</t>
  </si>
  <si>
    <t>JULYZE TRANSPORTES LTDA - ME</t>
  </si>
  <si>
    <t>JULYZE</t>
  </si>
  <si>
    <t>JUNIOR CARDOSO TRANSPORTE LTDA</t>
  </si>
  <si>
    <t>JUNIOR CARDOSO</t>
  </si>
  <si>
    <t xml:space="preserve">LE SOARES </t>
  </si>
  <si>
    <t>LE SOUZA TRANSPORTES ESCOLARES LTDA - ME</t>
  </si>
  <si>
    <t xml:space="preserve">LE SOIUZA </t>
  </si>
  <si>
    <t>MALC TRANS ESTRELAR GOLD LTDA</t>
  </si>
  <si>
    <t>MALC TRANS</t>
  </si>
  <si>
    <t>MARCIA MARTINS LARA TRANSPORTES</t>
  </si>
  <si>
    <t>MARCIA MARTINS</t>
  </si>
  <si>
    <t>MARIA A. SILVEIRA TRANSPORTE ESCOLAR - ME</t>
  </si>
  <si>
    <t>MARIA A. SILVEIRA</t>
  </si>
  <si>
    <t>MARIANA ROCIGNO BARBOSA - ME</t>
  </si>
  <si>
    <t>MARIANA ROCIGNO</t>
  </si>
  <si>
    <t>MARIO BARBOSA TRANSPORTES - ME</t>
  </si>
  <si>
    <t xml:space="preserve">MARIO BARBOSA </t>
  </si>
  <si>
    <t>MSA TRANSPORTE ESCOLAR LTDA</t>
  </si>
  <si>
    <t xml:space="preserve">MSA TRANS </t>
  </si>
  <si>
    <t>MSL TRANSPORTE ESCOLAR LTDA</t>
  </si>
  <si>
    <t xml:space="preserve">MSL TRANS </t>
  </si>
  <si>
    <t>PACIFIC BUS TRANSPORTES LTDA</t>
  </si>
  <si>
    <t>PACIFIC BUS</t>
  </si>
  <si>
    <t>PIERRE S OLIVEIRA TRANSPORTES LTDA</t>
  </si>
  <si>
    <t xml:space="preserve">PIERRE S OLIVEIRA </t>
  </si>
  <si>
    <t>RENATA CARLA NASCIMENTO TRANSPORTES - ME</t>
  </si>
  <si>
    <t xml:space="preserve">RENATA CARLA </t>
  </si>
  <si>
    <t>ROSA DE SARON TRANSPORTES LTDA - ME</t>
  </si>
  <si>
    <t xml:space="preserve">ROSA DE SARON </t>
  </si>
  <si>
    <t>ROSELI ALVES DE ALMEIDA - ME</t>
  </si>
  <si>
    <t>ROSELI ALVES</t>
  </si>
  <si>
    <t>ROSEMARY DE ABREU COSTA TRANSPORTES - ME</t>
  </si>
  <si>
    <t>ROSEMARY</t>
  </si>
  <si>
    <t>SAMEKY TRANSPORTE ESCOLAR LTDA - ME</t>
  </si>
  <si>
    <t>SAMEKY</t>
  </si>
  <si>
    <t>TIA KATIA TRANSPORTES LTDA - ME</t>
  </si>
  <si>
    <t xml:space="preserve">TIA KATIA TRANSPORTES </t>
  </si>
  <si>
    <t>TRANS OLIVER LTDA</t>
  </si>
  <si>
    <t>TRANS OLIVER</t>
  </si>
  <si>
    <t>TRANS PENHA - EPP</t>
  </si>
  <si>
    <t>TRANS PENHA</t>
  </si>
  <si>
    <t>TRANSFAZANI - TRANSPORTE ESCOLAR FAMILIA FAZANI LTDA</t>
  </si>
  <si>
    <t xml:space="preserve">TRANSFAZANI - TRANSPORTE </t>
  </si>
  <si>
    <t>TRANSFIISA TRANSPORTES LTDA - ME</t>
  </si>
  <si>
    <t>TRANSFIISA TRANSPORTES</t>
  </si>
  <si>
    <t>TRANSLEVITA TRANSPORTE LTDA - EPP</t>
  </si>
  <si>
    <t xml:space="preserve">TRANSLEVITA TRANSPORTE </t>
  </si>
  <si>
    <t>TRANSPORTE RR MONBELLI LTDA</t>
  </si>
  <si>
    <t>RR MONBELLI</t>
  </si>
  <si>
    <t>TRANSPORTES COROA REAL LTDA</t>
  </si>
  <si>
    <t>COROA REAL</t>
  </si>
  <si>
    <t xml:space="preserve">TRANSVIVO TRANSPORTE </t>
  </si>
  <si>
    <t>U.P DE SOUSA SILVA TRANSPORTE E TURISMO - ME</t>
  </si>
  <si>
    <t>U.P DE SOUSA</t>
  </si>
  <si>
    <t>VIMAC TRANSPORTES LTDA - ME</t>
  </si>
  <si>
    <t>VIMAC</t>
  </si>
  <si>
    <t>WG SOUZA TRANSPORTES E SERVICOS LTDA - ME</t>
  </si>
  <si>
    <t>WG SOUZA</t>
  </si>
  <si>
    <t>ADELSON DE CARVALHO SILVA</t>
  </si>
  <si>
    <t>ADEMIR SOARES DE OLIVEIRA</t>
  </si>
  <si>
    <t>ADINOEL LUIS ALVES</t>
  </si>
  <si>
    <t>ADRIANA AIOLFI DA SILVA</t>
  </si>
  <si>
    <t>ADRIANA FAGUNDES DE CARVALHO</t>
  </si>
  <si>
    <t>ADRIANA TEIXEIRA CAMILIO</t>
  </si>
  <si>
    <t>AGUINALDO BATISTA ALVES</t>
  </si>
  <si>
    <t>AGUINALDO MARQUES DA SILVA</t>
  </si>
  <si>
    <t>ALDIVIO MIRANDA DE SOUZA</t>
  </si>
  <si>
    <t>ALESSANDRA DOS SANTOS UKSTIN CRUZ</t>
  </si>
  <si>
    <t>ALEXANDRE DA SILVA BASTOS</t>
  </si>
  <si>
    <t>ALEXANDRE FERNANDES DA SILVA</t>
  </si>
  <si>
    <t>ALEXANDRE ROBERTO CENTELO</t>
  </si>
  <si>
    <t>ALICE SETSUKO MIYAZAKI</t>
  </si>
  <si>
    <t>ALUIZIO NUNES DOS SANTOS</t>
  </si>
  <si>
    <t>ANA CARLA CARDOSO COSMO DA SILVA</t>
  </si>
  <si>
    <t>ANA ELISA FREITAS DA SILVA</t>
  </si>
  <si>
    <t>ANA JOSMARA PEREIRA DE TOLEDO SECCO</t>
  </si>
  <si>
    <t>ANA LUCIA DO NASCIMENTO ROCHA</t>
  </si>
  <si>
    <t>ANA MARIA DA CONCEICAO</t>
  </si>
  <si>
    <t>ANA MARIA MARCONDES DOS SANTOS</t>
  </si>
  <si>
    <t>ANA PAULA MATUTINO DOS SANTOS</t>
  </si>
  <si>
    <t>ANDERSON GERALDO BARBOSA</t>
  </si>
  <si>
    <t>ANDERSON LUIZ DOS SANTOS VERSUTTI</t>
  </si>
  <si>
    <t>ANDRE MACHADO DA SILVA</t>
  </si>
  <si>
    <t>ANDREA FAGUNDES</t>
  </si>
  <si>
    <t>ANDREIA CONCEICAO SERRA MACIEL</t>
  </si>
  <si>
    <t>ANTONIO BELIZARIO LEITE</t>
  </si>
  <si>
    <t>ANTONIO CARLOS ARAUJO DA SILVA</t>
  </si>
  <si>
    <t>ANTONIO PEREIRA DE ANDRADE</t>
  </si>
  <si>
    <t>ANTONIO PEREIRA DOS SANTOS</t>
  </si>
  <si>
    <t>ARNALDO ANSELMO DA SILVA</t>
  </si>
  <si>
    <t>ARTHUR JOSE TOLEDO SECCO</t>
  </si>
  <si>
    <t>AVAILTON MEDEIROS DOS SANTOS</t>
  </si>
  <si>
    <t>BRUNO SOARES DA SILVA</t>
  </si>
  <si>
    <t>CAMILA CARDOSO MAVIGNIER</t>
  </si>
  <si>
    <t>CARLA CRISTINA DE ABREU OLIVEIRA</t>
  </si>
  <si>
    <t>CARLOS ALBERTO FERREIRA DE TOLEDO</t>
  </si>
  <si>
    <t>CARLOS ALEXANDRE CAVALCANTI</t>
  </si>
  <si>
    <t>CASSIO DOS SANTOS</t>
  </si>
  <si>
    <t>CASTRO APARECIDO MARCONDES DOS SANTOS</t>
  </si>
  <si>
    <t>CECILIA FRUGOLI</t>
  </si>
  <si>
    <t>CECILIA GALLO</t>
  </si>
  <si>
    <t>CLAUDIA AMORIM PESSOA</t>
  </si>
  <si>
    <t>CLAUDIO CELSO CANHOTO</t>
  </si>
  <si>
    <t>CLAUDIO NILSON DA SILVA</t>
  </si>
  <si>
    <t>CLEANDERSON DA SILVA OLIVEIRA</t>
  </si>
  <si>
    <t>COSMO PEQUENO DO NASCIMENTO</t>
  </si>
  <si>
    <t>DAQUIMAR PORTELA CAVALHEIRO DA SILVA</t>
  </si>
  <si>
    <t>DIONE BRITO DA ROCHA</t>
  </si>
  <si>
    <t>DORACI DOS SANTOS PESSOA FROES</t>
  </si>
  <si>
    <t>DORGIVAL DA SILVA NASCIMENTO</t>
  </si>
  <si>
    <t>DOUGLAS RODRIGUES PESTANA</t>
  </si>
  <si>
    <t>EDIMILSON MONTEIRO</t>
  </si>
  <si>
    <t>EDNA MARIA MACHADO</t>
  </si>
  <si>
    <t>EDUARDO DE SOUZA</t>
  </si>
  <si>
    <t>EDUARDO FIM</t>
  </si>
  <si>
    <t>EDVALDO DA SILVA ASSIS</t>
  </si>
  <si>
    <t>ELIANE MARQUES EMILIANO DE JESUS</t>
  </si>
  <si>
    <t>ELISANDRA GISONDI</t>
  </si>
  <si>
    <t>ELVIS DOMINGUES MERISSI</t>
  </si>
  <si>
    <t>ERRIVALDO GRANJA DE SOUZA</t>
  </si>
  <si>
    <t>EWERTON FONTES DO PRADO SOUZA</t>
  </si>
  <si>
    <t>FABIANE FILLVOCK NOGUEIRA</t>
  </si>
  <si>
    <t>FERNANDA ALINE DE SALES</t>
  </si>
  <si>
    <t>FERNANDA SILVA</t>
  </si>
  <si>
    <t>FERNANDO APARECIDO HONORIO</t>
  </si>
  <si>
    <t>FERNANDO CORDEIRO LUIZ</t>
  </si>
  <si>
    <t>FERNANDO DOS SANTOS LIMA</t>
  </si>
  <si>
    <t>FRANCISCO ABDIAS DE CARVALHO</t>
  </si>
  <si>
    <t>FRANCISCO SILVA FILHO</t>
  </si>
  <si>
    <t>GABRIEL DA MATA</t>
  </si>
  <si>
    <t>GERSON FERREIRA DA SILVA</t>
  </si>
  <si>
    <t>GILBERTO ANTONIO ROSA</t>
  </si>
  <si>
    <t>GILSON DA SILVA</t>
  </si>
  <si>
    <t>GILSON TELES DE SOUZA</t>
  </si>
  <si>
    <t>GILVAN DE OLIVEIRA COURAS</t>
  </si>
  <si>
    <t>GIOVANI APARECIDO DA SILVA</t>
  </si>
  <si>
    <t>GRACILIANO LIMA</t>
  </si>
  <si>
    <t>GUILHERME COELHO MACEDO</t>
  </si>
  <si>
    <t>GUTEMBERG RUFINO DE LIMA</t>
  </si>
  <si>
    <t>GUTEN HERLY RUFINO DE LIMA</t>
  </si>
  <si>
    <t>HELIO SOARES</t>
  </si>
  <si>
    <t>IONE APARECIDA DE SOUZA E SOUZA</t>
  </si>
  <si>
    <t>IRINEU PEREIRA DE LACERDA</t>
  </si>
  <si>
    <t>ISABEL SILVA PINHEIRO DIAS</t>
  </si>
  <si>
    <t>IZAIAS MEIRA NOVAES</t>
  </si>
  <si>
    <t>JAIRO COUTINHO DE FRANCA</t>
  </si>
  <si>
    <t>JENIFFER ANSELMO RODRIGUES</t>
  </si>
  <si>
    <t>JOAO ALVES DE AZEVEDO</t>
  </si>
  <si>
    <t>JOAQUIM RODRIGUES CALDEIRA</t>
  </si>
  <si>
    <t>JOILSON NASCIMENTO CERQUEIRA</t>
  </si>
  <si>
    <t>JOSE CARLOS DA SILVA</t>
  </si>
  <si>
    <t>JOSE CARLOS RODRIGUES DE SOUZA</t>
  </si>
  <si>
    <t>JOSE CICERO PEREIRA DA SILVA</t>
  </si>
  <si>
    <t>JOSE DOMINGOS DE JESUS</t>
  </si>
  <si>
    <t>JOSE GILBERTO VIEIRA PEDROZA</t>
  </si>
  <si>
    <t>JOSE JUVENAL DE OLIVEIRA SOBRINHO</t>
  </si>
  <si>
    <t>JOSE PAULO DOS SANTOS</t>
  </si>
  <si>
    <t>JOSE PINHEIRO DA SILVA</t>
  </si>
  <si>
    <t>JOSE ROBERTO DE LIMA</t>
  </si>
  <si>
    <t>JOSE ROBERTO RODRIGUES</t>
  </si>
  <si>
    <t>JOSE WILSON LOPES</t>
  </si>
  <si>
    <t>JOSEFA ALVES DE SALES GALANTE</t>
  </si>
  <si>
    <t>JULIANA GOMES DE SOUZA</t>
  </si>
  <si>
    <t>JULIANA RIBEIRO</t>
  </si>
  <si>
    <t>JUVENAL SOARES DO NASCIMENTO</t>
  </si>
  <si>
    <t>KARINA DE LIMA MAGALHAES</t>
  </si>
  <si>
    <t>KARINE APARECIDA GOIS</t>
  </si>
  <si>
    <t>KATIA DA SILVA</t>
  </si>
  <si>
    <t>KELI CRISTINA VAZ DA AFRICA SILVA</t>
  </si>
  <si>
    <t>LAUDEMIR PIRES</t>
  </si>
  <si>
    <t>LEANDRO ALMEIDA DIAS</t>
  </si>
  <si>
    <t>LUCAS DIOGENES CAVALHEIRO DA SILVA</t>
  </si>
  <si>
    <t>LUIS AUGUSTO DOS SANTOS</t>
  </si>
  <si>
    <t>LUIS PAULO DA SILVA FAVA</t>
  </si>
  <si>
    <t>LUIZ GUSTAVO ALMEIDA DE OLIVEIRA</t>
  </si>
  <si>
    <t>MARCEL GONCALVES DA SILVA</t>
  </si>
  <si>
    <t>MARCELO DA SILVA</t>
  </si>
  <si>
    <t>MARCELO EVANGELISTA VIEIRA</t>
  </si>
  <si>
    <t>MARCIO PAULO MATHIAS</t>
  </si>
  <si>
    <t>MARCO ANTONIO MISSIAS</t>
  </si>
  <si>
    <t>MARCO AURELIO SANGLARD GESSI</t>
  </si>
  <si>
    <t>MARCOS ANTONIO DO NASCIMENTO</t>
  </si>
  <si>
    <t>MARCOS ANTONIO RAMOS</t>
  </si>
  <si>
    <t>MARCOS GONCALVES DIAS</t>
  </si>
  <si>
    <t>MARCOS JOSE DOS SANTOS</t>
  </si>
  <si>
    <t>MARCOS TADEU LINO DE ANDRADE</t>
  </si>
  <si>
    <t>MARIA ALICE DA SILVA ROCHA</t>
  </si>
  <si>
    <t>MARIA DAS DORES FERREIRA SHIZUNO</t>
  </si>
  <si>
    <t>MARIA DAS GRACAS OLIVEIRA NASCIMENTO</t>
  </si>
  <si>
    <t>MARIA DAS MERCES DE JESUS DA COSTA</t>
  </si>
  <si>
    <t>MARIA DO CARMO LIMA SOUZA</t>
  </si>
  <si>
    <t>MARIA HELENA DE SOUZA BORGES</t>
  </si>
  <si>
    <t>MARIA IGNEZ BALDIN FISCHER</t>
  </si>
  <si>
    <t>MARIA INEZ DE PAULA</t>
  </si>
  <si>
    <t>MARIA INEZ RIBEIRO DE SOUZA SA</t>
  </si>
  <si>
    <t>MARILUCE GALVAO DA SILVA</t>
  </si>
  <si>
    <t>MARINA GOMES MIAKAU</t>
  </si>
  <si>
    <t>MARIO LUIZ LEANDRO DO NASCIMENTO</t>
  </si>
  <si>
    <t>MARISA NUNES DE SOUZA</t>
  </si>
  <si>
    <t>MARIZIA ANTONIO DA SILVA</t>
  </si>
  <si>
    <t>MARLI BRITO DA ROCHA</t>
  </si>
  <si>
    <t>MAURICIO DE FARIA</t>
  </si>
  <si>
    <t>MAURICIO HOUCK DE FREITAS</t>
  </si>
  <si>
    <t>MEIRE ELIZA DE FREITAS MAXIMO</t>
  </si>
  <si>
    <t>MEIRE HELEN SALICIO</t>
  </si>
  <si>
    <t>MIRIAN KELLI PRADO BATISTA</t>
  </si>
  <si>
    <t>MONICA KAZUE HASHIMOTO</t>
  </si>
  <si>
    <t>MONICA MORAIS PEREIRA RODRIGUES</t>
  </si>
  <si>
    <t>NADIA CRISTINA DE PAULA SILVA</t>
  </si>
  <si>
    <t>NAIR TRINDADE BULHOES DA COSTA</t>
  </si>
  <si>
    <t>NEIVA DA SILVA SOARES</t>
  </si>
  <si>
    <t>NELCINEIA OLIVEIRA DE JESUS</t>
  </si>
  <si>
    <t>NILAINE FERREIRA VIANNA</t>
  </si>
  <si>
    <t>NILSA DE PAULA</t>
  </si>
  <si>
    <t>NORBERTO VAZ</t>
  </si>
  <si>
    <t>ORLANDO BEARARI</t>
  </si>
  <si>
    <t>ORLANDO SOUTO</t>
  </si>
  <si>
    <t>PATRICIA FIM</t>
  </si>
  <si>
    <t>PAULO JOAO DA SILVA</t>
  </si>
  <si>
    <t>PAULO SERGIO GOMES MINEIRO</t>
  </si>
  <si>
    <t>PRISCILA MELO VAZ</t>
  </si>
  <si>
    <t>RAIMUNDO ALVES DE ARAUJO</t>
  </si>
  <si>
    <t>RALPH ALKMIN</t>
  </si>
  <si>
    <t>RENATA GONCALVES DE FREITAS SILVA</t>
  </si>
  <si>
    <t>RENATO TADEU DE CHICO</t>
  </si>
  <si>
    <t>RICARDO DO NASCIMENTO</t>
  </si>
  <si>
    <t>RICARDO DOS SANTOS NOGUEIRA</t>
  </si>
  <si>
    <t>ROBERTO CARLOS RODRIGUES</t>
  </si>
  <si>
    <t>ROBERTO MANOEL RAMOS</t>
  </si>
  <si>
    <t>ROBINSON SOARES RIBEIRO</t>
  </si>
  <si>
    <t>ROBSON CARLOS RODRIGUES IGUERA</t>
  </si>
  <si>
    <t>ROBSON ZANDONA</t>
  </si>
  <si>
    <t>ROSA APARECIDA DOS SANTOS MARTINHO</t>
  </si>
  <si>
    <t>RUBENS CALISTA DA SILVA</t>
  </si>
  <si>
    <t>RUTH MOURA MAIKLICI</t>
  </si>
  <si>
    <t>SANDREANE RODRIGUES DE SOUZA</t>
  </si>
  <si>
    <t>SANDRO PEREIRA DA SILVA</t>
  </si>
  <si>
    <t>SERGIO PAULO PEREIRA DE JESUS</t>
  </si>
  <si>
    <t>SERGIO RICARDO CREMONEZI</t>
  </si>
  <si>
    <t>SHEILA ROBERTA DE MACEDO DAMACENO</t>
  </si>
  <si>
    <t>SIDINEI DA GLORIA DIAS CARDOSO</t>
  </si>
  <si>
    <t>SIDNEI RAMOS SOARES</t>
  </si>
  <si>
    <t>SIDNEY FAHR</t>
  </si>
  <si>
    <t>SILVANA DA SILVA COELHO</t>
  </si>
  <si>
    <t>SILVANE RODRIGUES BARBOZA ALVES</t>
  </si>
  <si>
    <t>SIMONE SICKO DE OLIVEIRA PAULINO</t>
  </si>
  <si>
    <t>SONIA APARECIDA SERAFIM</t>
  </si>
  <si>
    <t>SUSI GONCALVES GALVANI</t>
  </si>
  <si>
    <t>TALITA JESUS DE SOUZA</t>
  </si>
  <si>
    <t>TARCISIO BRITO DA ROCHA</t>
  </si>
  <si>
    <t>TATIANA CRUZ ABREU</t>
  </si>
  <si>
    <t>THAIS DE OLIVEIRA</t>
  </si>
  <si>
    <t>UBIRAJARA CARDOSO DE ARAUJO</t>
  </si>
  <si>
    <t>VALDECI JOSE SALICIO</t>
  </si>
  <si>
    <t>VALDEMIR GERALDO COSTA</t>
  </si>
  <si>
    <t>VALERIA APARECIDA DOS SANTOS</t>
  </si>
  <si>
    <t>VALMIR JOSE DOS SANTOS</t>
  </si>
  <si>
    <t>VALQUIRIA DE OLIVEIRA</t>
  </si>
  <si>
    <t>VANDA SABINO LISERRA</t>
  </si>
  <si>
    <t>VANDERLEIA MARQUES DE GOIS HORVAT</t>
  </si>
  <si>
    <t>VANESSA DA SILVA FEITOSA VIANA</t>
  </si>
  <si>
    <t>VANESSA REGINA DE VASCONCELOS</t>
  </si>
  <si>
    <t>VANESSA ROSA VERSUTTI</t>
  </si>
  <si>
    <t>VERA LUCIA DE OLIVEIRA BARBOSA</t>
  </si>
  <si>
    <t>VICENTE FRANCO NETO</t>
  </si>
  <si>
    <t>VITOR BATISTA LOPES</t>
  </si>
  <si>
    <t>WALDIR VIVIAN CAGNE</t>
  </si>
  <si>
    <t>WASHINGTON DO NASCIMENTO</t>
  </si>
  <si>
    <t>WILLIAM DIAS LIMA</t>
  </si>
  <si>
    <t>WILLIAM SALLA RAMOS</t>
  </si>
  <si>
    <t>WILLIAN PAULINO DE MELLO</t>
  </si>
  <si>
    <t>WILSON JOSE DA SILVA JUNIOR</t>
  </si>
  <si>
    <t>WILSON ROBERTO DOS SANTOS</t>
  </si>
  <si>
    <t>61.217.826 GRACILIANO LIMA</t>
  </si>
  <si>
    <t>A M DA SILVA TRANSPORTES - ME</t>
  </si>
  <si>
    <t>AM DA SILVA</t>
  </si>
  <si>
    <t>A.FAGUNDES TRANSPORTES</t>
  </si>
  <si>
    <t>A.FAGUNDES</t>
  </si>
  <si>
    <t>A.N.S. TRANSPORTE ESCOLAR LTDA</t>
  </si>
  <si>
    <t>A.N.S.</t>
  </si>
  <si>
    <t>ADAUTO PERPETUO MENDES TRANSPORTES - EPP</t>
  </si>
  <si>
    <t>ADAUTO</t>
  </si>
  <si>
    <t>ADEL &amp; VAL TRANSPORTE LTDA</t>
  </si>
  <si>
    <t>ADEL &amp; VAL</t>
  </si>
  <si>
    <t>ADNELSON MENDES DA SILVA EIRELI - ME</t>
  </si>
  <si>
    <t>ADNELSON</t>
  </si>
  <si>
    <t>ALICE SETSUKO MIYAZAKI TRANSPORTES - ME</t>
  </si>
  <si>
    <t>ALICE SETSUKO</t>
  </si>
  <si>
    <t>ANDERSON DE ALENCAR CARVALHO EIRELI - ME</t>
  </si>
  <si>
    <t>ANDERSON</t>
  </si>
  <si>
    <t>ANTONIO ARAUJO DE OLIVEIRA TRANSPORTES - ME</t>
  </si>
  <si>
    <t>ANTONIO ARAUJO</t>
  </si>
  <si>
    <t>ANTONIO AUGUSTO CITRARO - ME</t>
  </si>
  <si>
    <t>ANTONIO AUGUSTO</t>
  </si>
  <si>
    <t>ARTHUR JOSE TOLEDO SECCO 35821822823</t>
  </si>
  <si>
    <t>ARTHUR</t>
  </si>
  <si>
    <t>C. C. BOMFIM - ME</t>
  </si>
  <si>
    <t>C. C. BOMFIM</t>
  </si>
  <si>
    <t>CLEANDERSON DA SILVA OLIVEIRA TRANSPORTE ESCOLAR</t>
  </si>
  <si>
    <t>CLEANDERSON DA SILVA</t>
  </si>
  <si>
    <t>CMHP TRANSPORTES LTDA - ME</t>
  </si>
  <si>
    <t>CMHP</t>
  </si>
  <si>
    <t>CS FERREIRA TRANSPORTES - ME</t>
  </si>
  <si>
    <t>CS FERREIRA</t>
  </si>
  <si>
    <t>DIRERE TRANSPORTE ESCOLAR LTDA - ME</t>
  </si>
  <si>
    <t>DIRERE</t>
  </si>
  <si>
    <t>E DE CASTRO TRANSPORTES - ME</t>
  </si>
  <si>
    <t>E DE CASTRO</t>
  </si>
  <si>
    <t>E. P. CARDOSO TRANSPORTE ESCOLAR - ME</t>
  </si>
  <si>
    <t>EP CARDOSO</t>
  </si>
  <si>
    <t>EDMAIS TRANSPORTE LTDA</t>
  </si>
  <si>
    <t>EDMAIS</t>
  </si>
  <si>
    <t>ELAINE MARIA DE SOUZA GUT 04381358813</t>
  </si>
  <si>
    <t>ELAINE</t>
  </si>
  <si>
    <t>ELISABETE GOMES DA SILVA - ME</t>
  </si>
  <si>
    <t>ELISABETE</t>
  </si>
  <si>
    <t>ELITHE TRANSPORTES LTDA</t>
  </si>
  <si>
    <t>ELITHE</t>
  </si>
  <si>
    <t>EXPRESSO A D J LTDA</t>
  </si>
  <si>
    <t>EXPRESSO</t>
  </si>
  <si>
    <t>EXPRESSO ELITE TRANSPORTE E TURISMO LTDA</t>
  </si>
  <si>
    <t>EXPRESSO ELITE</t>
  </si>
  <si>
    <t>FAVA TRANSPORTE ESCOLAR LTDA - ME</t>
  </si>
  <si>
    <t>FAVA</t>
  </si>
  <si>
    <t>FERNANDA A. S. BELLIME TRANSPORTES LTDA</t>
  </si>
  <si>
    <t>FERNANDA</t>
  </si>
  <si>
    <t>FERNANDA SILVA 25541481805</t>
  </si>
  <si>
    <t>FRANCRIS TRANSPORTE E LOGISTICA LTDA ME</t>
  </si>
  <si>
    <t>FRANCIS</t>
  </si>
  <si>
    <t>GILBERTO CANGUCU OLIVEIRA EIRELI - ME</t>
  </si>
  <si>
    <t>GILBERTO CANGUCU</t>
  </si>
  <si>
    <t>GUIMAR TRANSPORTES LTDA - ME</t>
  </si>
  <si>
    <t>GUIMAR</t>
  </si>
  <si>
    <t>GUINA TRANSPORTES ESCOLARES LTDA</t>
  </si>
  <si>
    <t>GUINA</t>
  </si>
  <si>
    <t>HASHIMOTO TRANSPORTES LTDA</t>
  </si>
  <si>
    <t>HASHIMOTO</t>
  </si>
  <si>
    <t>HELIO SOARES TRANSPORTE ESCOLAR - ME</t>
  </si>
  <si>
    <t>HERNANDES TRANSPORTES LTDA - ME</t>
  </si>
  <si>
    <t>HERNANDES</t>
  </si>
  <si>
    <t>ISABEL SILVA PINHEIRO DIAS - ME</t>
  </si>
  <si>
    <t>ISABEL SILVA</t>
  </si>
  <si>
    <t>J &amp; P TRANSPORTES LTDA - ME</t>
  </si>
  <si>
    <t>JEP</t>
  </si>
  <si>
    <t>J.A. SERAFIM TRANSPORTES - ME</t>
  </si>
  <si>
    <t>JA SERAFIM</t>
  </si>
  <si>
    <t>J.E.A. SIMOES TRANSPORTES - EPP</t>
  </si>
  <si>
    <t>JEA</t>
  </si>
  <si>
    <t>JBN TRANSPORTES LTDA</t>
  </si>
  <si>
    <t>JBN</t>
  </si>
  <si>
    <t>JDF TRANSPORTES LTDA - ME</t>
  </si>
  <si>
    <t>JDF</t>
  </si>
  <si>
    <t>JENIFFER ANSELMO RODRIGUES TRANSPORTE ESCOLAR - ME</t>
  </si>
  <si>
    <t>JENIFER</t>
  </si>
  <si>
    <t>JOSE EDUARDO FERREIRA TAVARES TRANSPORTES - ME</t>
  </si>
  <si>
    <t>JOSE EDUARDO</t>
  </si>
  <si>
    <t>K.R SUCESSO TRANSORTES LTDA - ME</t>
  </si>
  <si>
    <t>KR SUCESSO</t>
  </si>
  <si>
    <t>L.P.A.M TRANSPORTES LTDA</t>
  </si>
  <si>
    <t>L.P.A.M</t>
  </si>
  <si>
    <t>LUGUS TRANSPORTE ESCOLAR LTDA - ME</t>
  </si>
  <si>
    <t>LUGUS</t>
  </si>
  <si>
    <t>LURIANJO TRANSPORTES LTDA</t>
  </si>
  <si>
    <t>LURIANJO</t>
  </si>
  <si>
    <t>M&amp;R BARUCH TRANSPORTE ESCOLAR E TURISMO LTDA</t>
  </si>
  <si>
    <t>M&amp;R BARUCH</t>
  </si>
  <si>
    <t>M.R.S EBENEZER TRANSPORTES ESCOLAR LTDA</t>
  </si>
  <si>
    <t>M.R.S EBENEZER</t>
  </si>
  <si>
    <t>MARCELO AMARO DA SILVA TRANSPORTES - ME</t>
  </si>
  <si>
    <t>MARCELO AMARO</t>
  </si>
  <si>
    <t>MARCELO SOARES SILVA - ME</t>
  </si>
  <si>
    <t>MARCELO SOARES</t>
  </si>
  <si>
    <t>MARIA JOSE ALVES LUZ TRANSPORTES - ME</t>
  </si>
  <si>
    <t>MARIA JOSE</t>
  </si>
  <si>
    <t>MARIVANS TRANSPORTES LTDA - ME</t>
  </si>
  <si>
    <t>MARIVANS</t>
  </si>
  <si>
    <t>MARIZETE SANTOS DIAS - ME</t>
  </si>
  <si>
    <t>MARIZETE</t>
  </si>
  <si>
    <t>MICHELI AP. DE S. SAMPAIO 30290702801</t>
  </si>
  <si>
    <t>MICHELI</t>
  </si>
  <si>
    <t>MIRIAM SILVA PINHEIRO GONCALVES 33124420870</t>
  </si>
  <si>
    <t>MIRIAM</t>
  </si>
  <si>
    <t>MIYAZ TRANSPORTES LTDA</t>
  </si>
  <si>
    <t>ALICE</t>
  </si>
  <si>
    <t>MPKA TRANSPORTES EIRELI - EPP</t>
  </si>
  <si>
    <t>MPKA</t>
  </si>
  <si>
    <t>MQS TRANSPORTE LTDA</t>
  </si>
  <si>
    <t>MQS</t>
  </si>
  <si>
    <t>NIVEL LOCACAO DE VEICULOS AUTOMOTORES LTDA - ME</t>
  </si>
  <si>
    <t>NIVEL</t>
  </si>
  <si>
    <t>ORLANDO BEARARI 57179298891</t>
  </si>
  <si>
    <t>PAULO JOAO DA SILVA TRANSPORTE ESCOLAR</t>
  </si>
  <si>
    <t>PEDRO GALDINO DA SILVA 50145240606</t>
  </si>
  <si>
    <t>PEDRO GALDINO</t>
  </si>
  <si>
    <t>PEGAZU'S TRANSPORTE ESCOLAR E FRETAMENTO LTDA - ME</t>
  </si>
  <si>
    <t>PEGAZUS</t>
  </si>
  <si>
    <t>RAGAFARO TRANSPORTES &amp; TURISMO LTDA - ME</t>
  </si>
  <si>
    <t>RAGAFARO</t>
  </si>
  <si>
    <t>RAMOTA TRANSPORTE E COMERCIO LTDA - EPP</t>
  </si>
  <si>
    <t>RAMOTA</t>
  </si>
  <si>
    <t>REOBOTE SERVICO DE TRANSPORTE E TURISMO LTDA</t>
  </si>
  <si>
    <t>REOBOTE</t>
  </si>
  <si>
    <t>RESGATE TRANSPORTES MC LTDA - ME</t>
  </si>
  <si>
    <t>RESGATE</t>
  </si>
  <si>
    <t>RG ROCHA TRANSPORTES LTDA</t>
  </si>
  <si>
    <t>RG ROCHA</t>
  </si>
  <si>
    <t>RMF COELHO TRANSPORTES - ME</t>
  </si>
  <si>
    <t>RMF</t>
  </si>
  <si>
    <t>RN RED TRANSPORTES LTDA</t>
  </si>
  <si>
    <t>RN RED</t>
  </si>
  <si>
    <t>ROBERTO CARLOS RODRIGUES TRANSPORTE ESCOLAR</t>
  </si>
  <si>
    <t>ROBSON ZANDONA 18902619800</t>
  </si>
  <si>
    <t>ROSA DO CARMO DE BASTOS - ME</t>
  </si>
  <si>
    <t>ROSA DO CARMO</t>
  </si>
  <si>
    <t>ROSALIA DE JESUS SANTOS - ME</t>
  </si>
  <si>
    <t>ROSALIA</t>
  </si>
  <si>
    <t>S C MIGLIORANZA TRANSPORTES - ME</t>
  </si>
  <si>
    <t>S C MIGLIORANZA</t>
  </si>
  <si>
    <t>S. DA SILVA LEME TRANSPORTES - ME</t>
  </si>
  <si>
    <t>S. DA SILVA</t>
  </si>
  <si>
    <t>SALICIOS TRANSPORTES LTDA</t>
  </si>
  <si>
    <t>SALICIOS</t>
  </si>
  <si>
    <t>SANTIAGO &amp; ALTEMAR TRANSPORTES LTDA - ME</t>
  </si>
  <si>
    <t>SANTIAGO &amp; ALTEMAR</t>
  </si>
  <si>
    <t>SBRAUMER TRANSPORTES LTDA - ME</t>
  </si>
  <si>
    <t>SBRAUMER</t>
  </si>
  <si>
    <t>SILVANA DA SILVA COELHO - ME</t>
  </si>
  <si>
    <t>SILVANA</t>
  </si>
  <si>
    <t>SONIA MARIA DE GOUVEIA BONTEMPO - ME</t>
  </si>
  <si>
    <t>SONIA MARIA DE GOUVEIA</t>
  </si>
  <si>
    <t>SRB TRANSPORTE LTDA</t>
  </si>
  <si>
    <t>SRB</t>
  </si>
  <si>
    <t>TRANS COELHO TRANSPORTES ESCOLARES LTDA - ME</t>
  </si>
  <si>
    <t>TRANS COELHO</t>
  </si>
  <si>
    <t>TRANSBEJA LOCADORA E TRANSPORTE ESCOLAR E RODOVIARIO LTDA - ME</t>
  </si>
  <si>
    <t>TRANSBEJA</t>
  </si>
  <si>
    <t>TRANSLUC TRANSPORTE ESCOLAR LTDA</t>
  </si>
  <si>
    <t>TRANSLUC</t>
  </si>
  <si>
    <t>TRANSPORTE ARB ESCOLAR LTDA</t>
  </si>
  <si>
    <t>ARB ESCOLAR</t>
  </si>
  <si>
    <t>TRANSPORTE ESCOLAR D B R LTDA</t>
  </si>
  <si>
    <t>ESCOLAR D B R</t>
  </si>
  <si>
    <t>TRANSPORTE GOUVEIA LTDA</t>
  </si>
  <si>
    <t>GOUVEIA</t>
  </si>
  <si>
    <t>TRANSRUMAR TRANSPORTES LTDA</t>
  </si>
  <si>
    <t>TRANSRUMAR</t>
  </si>
  <si>
    <t>TRANSTOTTA TRANSPORTES LTDA</t>
  </si>
  <si>
    <t>TRANSTOTTA</t>
  </si>
  <si>
    <t>TRINDADE TRANSPORTE ESOLAR LTDA</t>
  </si>
  <si>
    <t>TRINDADE</t>
  </si>
  <si>
    <t>V M DE GOIS HORVAT TRANSPORTE ESCOLAR</t>
  </si>
  <si>
    <t>V M DE GOIS</t>
  </si>
  <si>
    <t>VANDA SABINO LISERRA TRANSPORTES</t>
  </si>
  <si>
    <t>VANDA SABINO</t>
  </si>
  <si>
    <t>VANDERLEI DA SILVA LOPES LTDA - ME</t>
  </si>
  <si>
    <t>VANDERLEI</t>
  </si>
  <si>
    <t>VANESSA ALVES DOS SANTOS 37235075813</t>
  </si>
  <si>
    <t>VANESSA</t>
  </si>
  <si>
    <t>VERA LUCIA DE OLIVEIRA BARBOSA TRANSPORTE</t>
  </si>
  <si>
    <t>VERA LUCIA DE OLIVEIRA</t>
  </si>
  <si>
    <t>VFN TRANSPORTE LTDA</t>
  </si>
  <si>
    <t>VFN</t>
  </si>
  <si>
    <t>VICENTE GOMES DA SILVA NETO TRANSPORTE - ME</t>
  </si>
  <si>
    <t>VICENTE</t>
  </si>
  <si>
    <t>VSE TRANSPORTES EIRELI - ME</t>
  </si>
  <si>
    <t>VSE</t>
  </si>
  <si>
    <t>WILSON DOS SANTOS ARAUJO - ME</t>
  </si>
  <si>
    <t>WILSON SANTOS</t>
  </si>
  <si>
    <t>ZELMAR TRANSPORTE ESCOLAR LTDA-ME</t>
  </si>
  <si>
    <t>ZELMAR</t>
  </si>
  <si>
    <t>ADILSON FRANCISCO DE SOUZA</t>
  </si>
  <si>
    <t>ADRIANA HILARIO ALVES</t>
  </si>
  <si>
    <t>ALEXANDRE BARBOSA DE LIMA</t>
  </si>
  <si>
    <t>ANDERSON LUIZ DE MORAES</t>
  </si>
  <si>
    <t>ANDREA RODRIGUES DE ARAUJO</t>
  </si>
  <si>
    <t>ANTONIO NETUNE HENRIQUE DE LIMA</t>
  </si>
  <si>
    <t>ARIONALDO RODRIGUES DE LIMA</t>
  </si>
  <si>
    <t>ARMANDO FERRAZ DA ROCHA</t>
  </si>
  <si>
    <t>AUDENI ALVES DO NASCIMENTO</t>
  </si>
  <si>
    <t>BRUNO CANDIANI PARIS</t>
  </si>
  <si>
    <t>BRUNO FERREIRA DE ARAUJO</t>
  </si>
  <si>
    <t>CARLOS ALBERTO ARANA</t>
  </si>
  <si>
    <t>EDILSON COSTA</t>
  </si>
  <si>
    <t>EDNA NEVES DA SILVA ROSA</t>
  </si>
  <si>
    <t>EDSON DOS SANTOS</t>
  </si>
  <si>
    <t>ELCIO JOSE DE AZEVEDO</t>
  </si>
  <si>
    <t>FABIANA APARECIDA RIBEIRO GONZAGA</t>
  </si>
  <si>
    <t>FABIO DE SANTANA PATROCINIO DA SILVA</t>
  </si>
  <si>
    <t>FRANCISCO DE ASSIS DA SILVA</t>
  </si>
  <si>
    <t>FRANCISCO ELTON TEIXEIRA ROCHA</t>
  </si>
  <si>
    <t>GERLUCE BATISTA ARAUJO</t>
  </si>
  <si>
    <t>GILDOVAL PEDRO CAVALCANTE</t>
  </si>
  <si>
    <t>HELIO DE JESUS MACEDO</t>
  </si>
  <si>
    <t>HELIO JOSE SILVA</t>
  </si>
  <si>
    <t>JAIME HERCULANO DE ARAUJO NETTO</t>
  </si>
  <si>
    <t>JAIR ANDRADE DA SILVA ALMEIDA</t>
  </si>
  <si>
    <t>JANE RODRIGUES ROCHA</t>
  </si>
  <si>
    <t>JANETE APARECIDA DA SILVA GAUNA</t>
  </si>
  <si>
    <t>JESUSNILDO SILVA SACRAMENTO</t>
  </si>
  <si>
    <t>JONAS ANTONIO DA SILVA</t>
  </si>
  <si>
    <t>JOSE BORGES DA SILVA NETO</t>
  </si>
  <si>
    <t>JOSE CARLOS FERREIRA DE HUNGRIA</t>
  </si>
  <si>
    <t>JOSE HERACLITO DE SOUZA LEAO</t>
  </si>
  <si>
    <t>JOSE MARIO DE OLIVEIRA</t>
  </si>
  <si>
    <t>JOSE MARQUES LINS</t>
  </si>
  <si>
    <t>JOSE MAURICIO DE PAULA</t>
  </si>
  <si>
    <t>JURANDIR FLORENCIO DE SOUZA JUNIOR</t>
  </si>
  <si>
    <t>JUSCILENE CANDIDA DA SILVA ALEXANDRE</t>
  </si>
  <si>
    <t>JUVENILSON SILVA SACRAMENTO</t>
  </si>
  <si>
    <t>LUCIMAR DE FREITAS MATOS</t>
  </si>
  <si>
    <t>LUCIVAL MACIEL BORGES</t>
  </si>
  <si>
    <t>LUIS GUSTAVO SANTOS DE OLIVEIRA</t>
  </si>
  <si>
    <t>MANUEL MESSIAS PEREIRA PINTO</t>
  </si>
  <si>
    <t>MARCELO GIL SALES PEREIRA</t>
  </si>
  <si>
    <t>MARCELO SANTANA</t>
  </si>
  <si>
    <t>MARCIA COUTINHO PEREIRA</t>
  </si>
  <si>
    <t>MARCIO JOSE MARQUES LINS</t>
  </si>
  <si>
    <t>MARCO ANTONIO PRAIS</t>
  </si>
  <si>
    <t>MARCOS TADEU MARQUES</t>
  </si>
  <si>
    <t>MARIA ALBERTINA DE OLIVEIRA DE LIMA</t>
  </si>
  <si>
    <t>MARIA DE FATIMA DA SILVA NASCIMENTO</t>
  </si>
  <si>
    <t>MARIA DEMETRO DE MORAIS</t>
  </si>
  <si>
    <t>MARIA VILANI DA SILVA RODRIGUES</t>
  </si>
  <si>
    <t>MARIO CESAR SOUZA MATOS</t>
  </si>
  <si>
    <t>MILSON APARECIDO FERREIRA</t>
  </si>
  <si>
    <t>MILTON MIGUEL DA ROCHA</t>
  </si>
  <si>
    <t>MIRIAM ROSA DE BRITO</t>
  </si>
  <si>
    <t>NICOMEDES DA CUNHA TORRES</t>
  </si>
  <si>
    <t>OSVALDO DOS SANTOS ROCHA</t>
  </si>
  <si>
    <t>PEDRO DA SILVA</t>
  </si>
  <si>
    <t>PEDRO JOSE DE JESUS AGAPITO</t>
  </si>
  <si>
    <t>RAQUEL SARDI DUTRA</t>
  </si>
  <si>
    <t>REGINALDO MATIAS ALVES</t>
  </si>
  <si>
    <t>REINALDO RAMOS DE ARAUJO</t>
  </si>
  <si>
    <t>RENIANDER POZATI CORREA</t>
  </si>
  <si>
    <t>RICARDO MASSAYUKI OTSUKA</t>
  </si>
  <si>
    <t>RITA DE CASSIA CARVALHO MACHADO</t>
  </si>
  <si>
    <t>ROBERTO COELHO DA SILVA</t>
  </si>
  <si>
    <t>ROGERIO VIEIRA DOS SANTOS</t>
  </si>
  <si>
    <t>SANDRA GRADIZ AFONSO</t>
  </si>
  <si>
    <t>SERGIO MARCOS BARBOSA</t>
  </si>
  <si>
    <t>SHEILA CARLA DE MACEDO</t>
  </si>
  <si>
    <t>SONIA DE JESUS PEREIRA NEVES</t>
  </si>
  <si>
    <t>SONIA MARIA BARBOSA CORREA</t>
  </si>
  <si>
    <t>SUELI CONDE</t>
  </si>
  <si>
    <t>SUZI CRISTINA DE OLIVEIRA FRISCIO</t>
  </si>
  <si>
    <t>SUZI PAULA MOREIRA MEDINA</t>
  </si>
  <si>
    <t>VAGNER RODRIGUES DE LIMA</t>
  </si>
  <si>
    <t>VALDIR ALVES DOS SANTOS</t>
  </si>
  <si>
    <t>VANESSA SANTOS SOUSA PEREIRA</t>
  </si>
  <si>
    <t>WELLINGTON DE OLIVEIRA BENICIO</t>
  </si>
  <si>
    <t>WILSON PEDRO FIRMINO</t>
  </si>
  <si>
    <t>55.674.546 WILSON PEDRO FIRMINO</t>
  </si>
  <si>
    <t>WILSON PEDRO</t>
  </si>
  <si>
    <t>A. V. SILVA TRANSPORTES LTDA - ME</t>
  </si>
  <si>
    <t>AV SILVA</t>
  </si>
  <si>
    <t>A.F.G. GONZAGA TRANSPORTES LTDA</t>
  </si>
  <si>
    <t>AFG</t>
  </si>
  <si>
    <t>ALESSANDRO RODRIGUES SILVA - TRANSPORTES</t>
  </si>
  <si>
    <t>ALESSANDRO</t>
  </si>
  <si>
    <t>ALEXANDRE DE ARAUJO CIPRIANO - ME</t>
  </si>
  <si>
    <t>ALEXANDRE</t>
  </si>
  <si>
    <t>ANDERSON LUIZ DE MORAES - ME</t>
  </si>
  <si>
    <t>ANDERSON LUIZ</t>
  </si>
  <si>
    <t>ANDERSON MORAES TRANSPORTES E LOCACOES LTDA</t>
  </si>
  <si>
    <t>ANDERSON MORAES</t>
  </si>
  <si>
    <t>C A PEREIRA VENDAS E SER DE EQUIP DE INFO - ME</t>
  </si>
  <si>
    <t>CA PEREIRA</t>
  </si>
  <si>
    <t>CA PIRILLO TRANSPORTES E LOCACOES LTDA - ME</t>
  </si>
  <si>
    <t>CA PIRILLO</t>
  </si>
  <si>
    <t>CS GRADIZ TRANSPORTE E LOCADORA LTDA</t>
  </si>
  <si>
    <t>CS GRADIZ</t>
  </si>
  <si>
    <t>CTE TURISMO LTDA</t>
  </si>
  <si>
    <t>CTE</t>
  </si>
  <si>
    <t>DAN RM TRANSPORTES EIRELI - ME</t>
  </si>
  <si>
    <t>DAN RM</t>
  </si>
  <si>
    <t>DMM DOS SANTOS TRANSPORTES - ME</t>
  </si>
  <si>
    <t>DMM</t>
  </si>
  <si>
    <t>DOUGLAS SOUZA VILELA LTDA</t>
  </si>
  <si>
    <t>DOUGLAS</t>
  </si>
  <si>
    <t>E DE FREITAS MATOS TRANSPORTES - ME</t>
  </si>
  <si>
    <t>E DE FREITAS</t>
  </si>
  <si>
    <t>EDSON DA SILVA CRUZ TRANSPORTES - ME</t>
  </si>
  <si>
    <t>EDSON DA SILVA</t>
  </si>
  <si>
    <t>ESPLENDOR TURISMO LTDA - ME</t>
  </si>
  <si>
    <t>ESPLENDOR</t>
  </si>
  <si>
    <t>FLAVIO S BOSCACHI TRANSPORTES LTDA - ME</t>
  </si>
  <si>
    <t xml:space="preserve">FLAVIO S </t>
  </si>
  <si>
    <t>FRANCISCO DE ASSIS DA SILVA 49063626487</t>
  </si>
  <si>
    <t>FRANCISCO DE ASSIS</t>
  </si>
  <si>
    <t>FRANCISCO NASCIMENTO DE OLIVEIRA BARRETO 01032072369</t>
  </si>
  <si>
    <t>FRANCISCO NASCIMENTO</t>
  </si>
  <si>
    <t>G L M - TRANSPORTES DE PASSAGEIROS LTDA - ME</t>
  </si>
  <si>
    <t>GLM</t>
  </si>
  <si>
    <t>GRAHN TOUR TRANSPORTES EIRELI - ME</t>
  </si>
  <si>
    <t>GRAHN</t>
  </si>
  <si>
    <t>IRMAOS SANTANA TRANSPORTE ESCOLAR LTDA - ME</t>
  </si>
  <si>
    <t>IRMAOS SANTANA</t>
  </si>
  <si>
    <t>J.M.M TRANSPORTE LTDA - ME</t>
  </si>
  <si>
    <t>JMM</t>
  </si>
  <si>
    <t>JMB TRANSPORTE ESCOLAR LTDA</t>
  </si>
  <si>
    <t>JMB</t>
  </si>
  <si>
    <t>JOSE E CELIA</t>
  </si>
  <si>
    <t>JOSE ELIAS LOPES DE ABREU</t>
  </si>
  <si>
    <t>JOSE ELIAS</t>
  </si>
  <si>
    <t>LAUTON TRANSPORTES LTDA - ME</t>
  </si>
  <si>
    <t>LAUTON</t>
  </si>
  <si>
    <t>MARI CARMEM BERNAL DOMINGUES CRECHE - ME</t>
  </si>
  <si>
    <t>MARI CARMEM</t>
  </si>
  <si>
    <t>MARIA AUXILIADORA PINTO TRANSPORTE ESCOLAR - ME</t>
  </si>
  <si>
    <t>MARIA AUXILIADORA</t>
  </si>
  <si>
    <t>MAYFRAN LOCACAO DE VEICULOS E TRANSPORTES LTDA</t>
  </si>
  <si>
    <t>MAYFRAN</t>
  </si>
  <si>
    <t>PAIVA TRANSPORTES LTDA - ME</t>
  </si>
  <si>
    <t>PAIVA</t>
  </si>
  <si>
    <t>PANDATUR TRANSPORTES E LOCADORA LTDA - ME</t>
  </si>
  <si>
    <t>PANDATUR</t>
  </si>
  <si>
    <t>PJV JATOBA TRANSPORTES LTDA - ME</t>
  </si>
  <si>
    <t>PJV</t>
  </si>
  <si>
    <t>R.M.N. TRANSPORTES &amp; NEGOCIOS LTDA</t>
  </si>
  <si>
    <t>RMN</t>
  </si>
  <si>
    <t>ROBSON ROBERTO FAGUNDES TRANSPORTES - ME</t>
  </si>
  <si>
    <t>ROBSON</t>
  </si>
  <si>
    <t>RRTRANS TRANSPORTES E LOCADORA LTDA - ME</t>
  </si>
  <si>
    <t>RRTRANS</t>
  </si>
  <si>
    <t>RVS TRANSPORTE TERCEIRIZACAO E LOGISTICA LTDA - ME</t>
  </si>
  <si>
    <t>RVS</t>
  </si>
  <si>
    <t>SAYONARA MARIA DA SILVA SANTOS RIBEIRO TRANSPORTE - ME</t>
  </si>
  <si>
    <t>SAYONARA</t>
  </si>
  <si>
    <t>SEVERINO ANTONIO SOARES - ME</t>
  </si>
  <si>
    <t>SEVERINO</t>
  </si>
  <si>
    <t>SODRE TRANSPORTES LTDA - ME</t>
  </si>
  <si>
    <t>SODRE</t>
  </si>
  <si>
    <t>SORAYA APARECIDA MACIEL 19577526888</t>
  </si>
  <si>
    <t>SORAYA</t>
  </si>
  <si>
    <t>STEFANNY TUR TRANSPORTE ESCOLAR LTDA</t>
  </si>
  <si>
    <t>STEFANNY</t>
  </si>
  <si>
    <t>STYLE CAR LOCADORA DE VEICULOS LTDA - ME</t>
  </si>
  <si>
    <t>STYLE CAR</t>
  </si>
  <si>
    <t>STYLLUS CAR SERVICOS AUTOMOTIVOS E TRANSPORTES LTDA - ME</t>
  </si>
  <si>
    <t>STYLLUS CAR</t>
  </si>
  <si>
    <t>TAC SERVICOS E LOCACAO LTDA</t>
  </si>
  <si>
    <t>TAC</t>
  </si>
  <si>
    <t>TIA MARIA &amp; TIA BETE TRANSPORTES LTDA - ME</t>
  </si>
  <si>
    <t>TIA MARIA E TIA BETE</t>
  </si>
  <si>
    <t>TRANSGILO TRANSPORTES E LOCADORA LTDA - ME</t>
  </si>
  <si>
    <t>TRANSGILO</t>
  </si>
  <si>
    <t>TRANSPORTADORA RAPIDO NOVA ESPERANCA LTDA - ME</t>
  </si>
  <si>
    <t>RAPIDO NOVA ESPERANÇA</t>
  </si>
  <si>
    <t>TRANSPORTE ESCOLAR GAUNA LTDA - ME</t>
  </si>
  <si>
    <t>GAUNA</t>
  </si>
  <si>
    <t>TRANSPORTES CRUZ &amp; MARQUES LTDA - ME</t>
  </si>
  <si>
    <t>CRUZ &amp; MARQUES</t>
  </si>
  <si>
    <t>TRANSPORTES FAMILIA ROSA LTDA - ME</t>
  </si>
  <si>
    <t>FAMILIA ROSA</t>
  </si>
  <si>
    <t>TRANSVARIANTE LOCADORA LTDA - ME</t>
  </si>
  <si>
    <t>TRANSVARIANTE</t>
  </si>
  <si>
    <t>VL DE OLIVEIRA ABREU TRANSPORTES - ME</t>
  </si>
  <si>
    <t>VL</t>
  </si>
  <si>
    <t>VTEC TRANSPORTADORA ESCOLAR LTDA - ME</t>
  </si>
  <si>
    <t>VTEC</t>
  </si>
  <si>
    <t>W.A.S. TRANSPORTES E VIAGENS LTDA - ME</t>
  </si>
  <si>
    <t>WAS</t>
  </si>
  <si>
    <t>WASDEIA TRANSPORTES LTDA - ME</t>
  </si>
  <si>
    <t>WASDEIA</t>
  </si>
  <si>
    <t>ADEMIR CAROLINO</t>
  </si>
  <si>
    <t>ALEXANDRO MONTEIRO DE ANDRADE</t>
  </si>
  <si>
    <t>ANDRE CARVALHO DA SILVA</t>
  </si>
  <si>
    <t>ANGELINA PAULINO RODRIGUES</t>
  </si>
  <si>
    <t>ANTONIO ANICETO FERNANDES</t>
  </si>
  <si>
    <t>ANTONIO CARLOS DOS SANTOS</t>
  </si>
  <si>
    <t>ANTONIO MIGUEL DA SILVA</t>
  </si>
  <si>
    <t>ATAIDE INACIO FERREIRA</t>
  </si>
  <si>
    <t>CARLOS EDUARDO DA SILVA SANTANA</t>
  </si>
  <si>
    <t>CELIA REGINA DA SILVA IVO</t>
  </si>
  <si>
    <t>CHEILA SANTOS DE LIMA</t>
  </si>
  <si>
    <t>CLAUDIA APARECIDA DE CARVALHO OLIVEIRA</t>
  </si>
  <si>
    <t>CLAUDIO DE OLIVEIRA LEOPOLDO JUNIOR</t>
  </si>
  <si>
    <t>CLAUDIO SIMOES RIBEIRO</t>
  </si>
  <si>
    <t>CLAYTON MAXIMO DA SILVA</t>
  </si>
  <si>
    <t>CLEIR MANGUEIRA ANDRIOLA</t>
  </si>
  <si>
    <t>CRISTIANO CONCEICAO DA CRUZ</t>
  </si>
  <si>
    <t>DAIANE CRISTINA MANOEL</t>
  </si>
  <si>
    <t>DAVID ALEXANDRE GONCALVES</t>
  </si>
  <si>
    <t>DEJAILTON JESUS DA SILVA</t>
  </si>
  <si>
    <t>DOUGLAS GARBELINI CAVALCANTE</t>
  </si>
  <si>
    <t>EDUARDO COSTA DE MENDONCA</t>
  </si>
  <si>
    <t>EDUARDO VALENTIM TAVEIROS</t>
  </si>
  <si>
    <t>ELIZANDRA AQUINO DE OLIVEIRA</t>
  </si>
  <si>
    <t>EMERSON COSTA</t>
  </si>
  <si>
    <t>ERIC DE SOUZA</t>
  </si>
  <si>
    <t>FERNANDO MARTINS DE ARAUJO</t>
  </si>
  <si>
    <t>FLORISVAL SOUZA CRUZ</t>
  </si>
  <si>
    <t>GILFREDO COELHO ROCHA</t>
  </si>
  <si>
    <t>GILVAN ROMUALDO DE SOUZA</t>
  </si>
  <si>
    <t>HAMILTON MARTINS LEITE</t>
  </si>
  <si>
    <t>IGOR BARBOSA DA SILVA</t>
  </si>
  <si>
    <t>ISAIAS DA SILVA PIMENTEL</t>
  </si>
  <si>
    <t>JOEFRAN PEREIRA DE OLIVEIRA</t>
  </si>
  <si>
    <t>JOSE FRANCISCO ROSSIN</t>
  </si>
  <si>
    <t>JOSE JUAREZ DE SOUZA</t>
  </si>
  <si>
    <t>JOSE LENILDO MACIEL</t>
  </si>
  <si>
    <t>JOSE NOBRE DE ALMEIDA</t>
  </si>
  <si>
    <t>JUCIANA DE OLIVEIRA DE ARAUJO GUIMARAES</t>
  </si>
  <si>
    <t>KATY OBLESRCZUK GUIMARAES</t>
  </si>
  <si>
    <t>LEANDRO GOMES ROQUE</t>
  </si>
  <si>
    <t>LUZINETE APARECIDA RODRIGUES DA SILVA</t>
  </si>
  <si>
    <t>MARCELO DA SILVA RODRIGUES</t>
  </si>
  <si>
    <t>MARCELO TEIXEIRA</t>
  </si>
  <si>
    <t>MARIA IVONE APARECIDA ROCHA</t>
  </si>
  <si>
    <t>OSVALDO MASSATOSHI YAMADA</t>
  </si>
  <si>
    <t>RAFAEL PRUDENTE DE OLIVEIRA</t>
  </si>
  <si>
    <t>RENILDO DA SILVA BATISTA</t>
  </si>
  <si>
    <t>ROGERIO BARBOSA BORGES</t>
  </si>
  <si>
    <t>ROGERIO MANZATTO</t>
  </si>
  <si>
    <t>RONALDO PAULO DA SILVA</t>
  </si>
  <si>
    <t>ROSELI DE CARVALHO COUTO</t>
  </si>
  <si>
    <t>ROSIETE OLIVEIRA DA SILVA BATISTA</t>
  </si>
  <si>
    <t>SOLANGE IZABEL DE LIMA</t>
  </si>
  <si>
    <t>SONIA MARIA COSTA DO NASCIMENTO</t>
  </si>
  <si>
    <t>TONI LAZARO DA SILVA</t>
  </si>
  <si>
    <t>ULISSES GOMES BASTOS</t>
  </si>
  <si>
    <t>VOLNEI NUNES DE BARROS</t>
  </si>
  <si>
    <t>WELTON RIBEIRO BARBOSA</t>
  </si>
  <si>
    <t>WILSON VALENTIM TAVEIROS</t>
  </si>
  <si>
    <t>WILTON FERNANDES</t>
  </si>
  <si>
    <t>WILTON LEANDRO FERREIRA</t>
  </si>
  <si>
    <t>52.391.092 KATY OBLESRCZUK GUIMARAES</t>
  </si>
  <si>
    <t>KATY OBLESRCZUK</t>
  </si>
  <si>
    <t>54.828.451 EDNALDO DA SILVA RODRIGUES</t>
  </si>
  <si>
    <t>EDNALDO</t>
  </si>
  <si>
    <t>ACER TRANSPORTES LTDA - ME</t>
  </si>
  <si>
    <t>ACER</t>
  </si>
  <si>
    <t>ACESSA TRANSPORTES LTDA - ME</t>
  </si>
  <si>
    <t>ACESSA</t>
  </si>
  <si>
    <t>ALTRUISTA</t>
  </si>
  <si>
    <t>ANDS TRANSPORTES ESCOLARES LTDA - ME</t>
  </si>
  <si>
    <t>ANDS</t>
  </si>
  <si>
    <t>ASSISTENCIAL TRANSPORTES ESCOLARES E FRETAMENTOS LTDA - ME</t>
  </si>
  <si>
    <t>ASSISTENCIAL</t>
  </si>
  <si>
    <t>BRYANTUR TRANSPORTES LTDA - ME</t>
  </si>
  <si>
    <t>BRYANTUR</t>
  </si>
  <si>
    <t>C. RUIZ AMAD ENNES ESCOLAR E CIA LTDA - ME</t>
  </si>
  <si>
    <t>C. RUIZ AMAD</t>
  </si>
  <si>
    <t>CAVALCANTE</t>
  </si>
  <si>
    <t>CELEBRA TRANSPORTES LTDA - ME</t>
  </si>
  <si>
    <t>CELEBRA</t>
  </si>
  <si>
    <t>CRISTIANO ALVES LIMA TRANSPORTES - ME</t>
  </si>
  <si>
    <t>CRISTIANO ALVES</t>
  </si>
  <si>
    <t>DC TRANSPORTES LTDA</t>
  </si>
  <si>
    <t>DC</t>
  </si>
  <si>
    <t>FORMITUR TRANSPORTES LTDA - ME</t>
  </si>
  <si>
    <t>FORMITUR</t>
  </si>
  <si>
    <t>GIMENEZ E LATERI TRANSPORTES DE ESCOLAR E DE PASSAGEIROS LTDA - EPP</t>
  </si>
  <si>
    <t>GIMENEZ</t>
  </si>
  <si>
    <t>MARCIA JOAO NASCIMENTO TRANSPORTES LTDA</t>
  </si>
  <si>
    <t>MARCIA JOAO</t>
  </si>
  <si>
    <t>MARCIO DE SOUSA PINHEIRO - ME</t>
  </si>
  <si>
    <t>MARCIO SOUSA</t>
  </si>
  <si>
    <t>MARIA DA PENHA CARVALHO LLONA TRANSPORTES - ME</t>
  </si>
  <si>
    <t>MARIA DA PENHA</t>
  </si>
  <si>
    <t>MONICA SMORIGO DE OLIVEIRA - ME</t>
  </si>
  <si>
    <t>MONICA</t>
  </si>
  <si>
    <t>Q &amp; J TRANSPORTES LTDA - ME</t>
  </si>
  <si>
    <t>Q&amp;J</t>
  </si>
  <si>
    <t>RJC TRANSPORTES E LOCACAO DE VEICULOS LTDA - ME</t>
  </si>
  <si>
    <t>RJC</t>
  </si>
  <si>
    <t>SHIRLEI &amp; ALAUR TRANSPORTES VALE LTDA - ME</t>
  </si>
  <si>
    <t>SHIRLEI</t>
  </si>
  <si>
    <t>SOLANGE PEDROSO DE CAMPOS - ME</t>
  </si>
  <si>
    <t>SOLANGE PEDROSO</t>
  </si>
  <si>
    <t>TRANS SALES TRANSPORTES LTDA - ME</t>
  </si>
  <si>
    <t>TRANS SALES</t>
  </si>
  <si>
    <t>TRANSOLIVEIRA TRANSPORTE ESCOLAR LTDA - ME</t>
  </si>
  <si>
    <t>TRANSOLIVEIRA</t>
  </si>
  <si>
    <t>VBS TRANSPORTES LTDA - ME</t>
  </si>
  <si>
    <t>VBS</t>
  </si>
  <si>
    <t>VIA LUZ TRANSPORTES DE PASSAGEIROS LTDA - EPP</t>
  </si>
  <si>
    <t>VIA LUZ</t>
  </si>
  <si>
    <t>corrige erro - não encontrou apelido</t>
  </si>
  <si>
    <t>checagem antecipada se tem alguma planilha com problema ou não encontrada</t>
  </si>
  <si>
    <t>01/dez/ processamento por pf e pj e colocar filtro na emissão de demonstrativo</t>
  </si>
  <si>
    <t>Base de CAlculo IR 2026</t>
  </si>
  <si>
    <t>Faixa 1</t>
  </si>
  <si>
    <t>Faixa 2</t>
  </si>
  <si>
    <t>Faixa 3</t>
  </si>
  <si>
    <t>Faixa 4</t>
  </si>
  <si>
    <t>Faixa 5</t>
  </si>
  <si>
    <t>IR 2026</t>
  </si>
  <si>
    <t>SUBSECRETARIA DO TESOURO MUNICIPAL
DEPARTAMENTO DE CONTADORIA
DIVISAO DE CONTABILIDADE DE RECEITAS E DE IMPOSTO DE RENDA</t>
  </si>
  <si>
    <t xml:space="preserve">PLANILHA PARA SIMULAÇÃO DE CÁLCULO DO IRRF </t>
  </si>
  <si>
    <t xml:space="preserve">VIGÊNCIA A PARTIR DE 1º DE JANEIRO/2026 </t>
  </si>
  <si>
    <t>São editáveis apenas os campos destacados em cinza</t>
  </si>
  <si>
    <t xml:space="preserve">Rendimentos tributáveis </t>
  </si>
  <si>
    <t>Pagamentos anteriores</t>
  </si>
  <si>
    <t>Pagamento da NLP atual</t>
  </si>
  <si>
    <t>Rendimentos tributáveis Acumulado¹</t>
  </si>
  <si>
    <t xml:space="preserve">¹ O fato gerador do IR é o pagamento. O cálculo deve considerar os valores com base na previsão de pagamento dentro de um mesmo mês. </t>
  </si>
  <si>
    <t>Retenção anterior</t>
  </si>
  <si>
    <t>Valor(es) retido(s) em NLP(s) anterior(es)</t>
  </si>
  <si>
    <t>Informações para simulação do cálculo do IRRF</t>
  </si>
  <si>
    <t>Deduções Legais</t>
  </si>
  <si>
    <t xml:space="preserve"> Previdência oficial</t>
  </si>
  <si>
    <t>Dependentes (quantidade)</t>
  </si>
  <si>
    <t>Pensão alimentícia</t>
  </si>
  <si>
    <t>Outras Deduções Previdência Privada, Funpresp, FAPI e Parcela isenta de aposentadoria, reserva remunerada, reforma e pensão para declarante com 65 anos ou mais, caso não tenha sido deduzida dos rendimentos tributáveis. Carne-Leão: Livro Caixa.</t>
  </si>
  <si>
    <t>Desconto simplicado (Dedução 25% s/ 1ª Faixa)</t>
  </si>
  <si>
    <t>Por Deduções Legais</t>
  </si>
  <si>
    <t>Por Desconto Simplificado ²</t>
  </si>
  <si>
    <t>Valor da retencão acumulada</t>
  </si>
  <si>
    <t>Valor a reter na NLP atual</t>
  </si>
  <si>
    <t>Melhor opção para o IRRF</t>
  </si>
  <si>
    <t>Observações:</t>
  </si>
  <si>
    <t>• A apuração do imposto é realizada com base na opção entre as deduções legais ou o desconto simplificado, adotando-se a alternativa mais vantajosa ao contribuinte.</t>
  </si>
  <si>
    <t>• O cálculo já contempla a isenção e a redução do Imposto de Renda estabelecidas na Lei nº 15.270, de 26 de novembro de 2025.</t>
  </si>
  <si>
    <t>RENDIMENTOS TRIBUTÁVEIS SUJEITOS AO AJUSTE MENSAL</t>
  </si>
  <si>
    <t>REDUÇÃO DO IMPOSTO DE RENDA</t>
  </si>
  <si>
    <t>De</t>
  </si>
  <si>
    <t>Até</t>
  </si>
  <si>
    <t>Regra</t>
  </si>
  <si>
    <t>até R$ 312,89 (de modo que o imposto devido seja zero)</t>
  </si>
  <si>
    <t>R$ 978,62 - (0,133145 x rendimentos tributáveis sujeitos à incidência mensal)
(de modo que a redução do imposto seja decrescente linearmente até zerar para rendimentos a partir de R$ 7.350,00)</t>
  </si>
  <si>
    <t>Vigente a partir do mês de janeiro do ano-calendário de 2026. Lei nº 15.270, de 26 de novembro de 2025</t>
  </si>
  <si>
    <t xml:space="preserve">Acima de R$ 7.350,00 não haverá redução no imposto devido. </t>
  </si>
  <si>
    <t>Tabela Progressiva</t>
  </si>
  <si>
    <t>Base de Cálculo (R$)</t>
  </si>
  <si>
    <t>Alíquota (%)</t>
  </si>
  <si>
    <t>Parcela a Deduzir do IR (R$)</t>
  </si>
  <si>
    <t>Até 2.428,80</t>
  </si>
  <si>
    <t>De 2.428,81 até 2.826,65</t>
  </si>
  <si>
    <t>De 2.826,66 até 3.751,05</t>
  </si>
  <si>
    <t>De 3.751,06 até 4.664,68</t>
  </si>
  <si>
    <t>Acima de 4.664,68</t>
  </si>
  <si>
    <t>Vigente a partir do mês de maio do ano-calendário de 2025 (Lei nº 11.482, de 31 de maio de 2007)</t>
  </si>
  <si>
    <t>Base Contribuição Previdenciária:</t>
  </si>
  <si>
    <t>Total de Contribuição</t>
  </si>
  <si>
    <t>Base Imposto de Renda</t>
  </si>
  <si>
    <t>Quantidade de Dependentes</t>
  </si>
  <si>
    <t>Dedução por dependente</t>
  </si>
  <si>
    <t>Total das Deduções:</t>
  </si>
  <si>
    <t>Valor da Base</t>
  </si>
  <si>
    <t>Pensão</t>
  </si>
  <si>
    <t>Inicial</t>
  </si>
  <si>
    <t>Final</t>
  </si>
  <si>
    <t>Alíquota</t>
  </si>
  <si>
    <t>Dedução</t>
  </si>
  <si>
    <t>Valor</t>
  </si>
  <si>
    <t>Outras Deduções</t>
  </si>
  <si>
    <t>Total Desconto de IR</t>
  </si>
  <si>
    <t>Calculo considerando a regra de Isenção até R$ 5.000,00</t>
  </si>
  <si>
    <t>Calculo do imposto considerando a redução sobre rendimentos tributaveis entre R$ 5.000,01 e R$ 7.350,00</t>
  </si>
  <si>
    <t>Valor do IR apurado a ser retido considerando isenção e redução</t>
  </si>
  <si>
    <t>CÁLCULO REDUÇÃO DE IR</t>
  </si>
  <si>
    <t>Rendimento tributavel acumulado</t>
  </si>
  <si>
    <t xml:space="preserve">Fator Multiplicador do Rendimento Tributável </t>
  </si>
  <si>
    <t>Valor Fixo de redução</t>
  </si>
  <si>
    <r>
      <t xml:space="preserve">rendimentos tributáveis sujeitos à incidência mensal </t>
    </r>
    <r>
      <rPr>
        <b/>
        <sz val="11"/>
        <color rgb="FFEE0000"/>
        <rFont val="Calibri"/>
        <family val="2"/>
        <scheme val="minor"/>
      </rPr>
      <t>(bruto)</t>
    </r>
  </si>
  <si>
    <t xml:space="preserve">Fator Multiplicador </t>
  </si>
  <si>
    <t>Valor da reduçao</t>
  </si>
  <si>
    <t>Valor do IR aplicando a tabela progressiva</t>
  </si>
  <si>
    <t>Valor da reduçao do IR</t>
  </si>
  <si>
    <t>Valor da retençao do IR acumulada Faixa de redução R$ 5.000,01 a R$ 7.350,00</t>
  </si>
  <si>
    <t> LEI Nº 15.270, DE 26 DE NOVEMBRO DE 2025</t>
  </si>
  <si>
    <t>Base Imposto de Renda (MODO SIMPLIFICADO)</t>
  </si>
  <si>
    <t>Remuneração</t>
  </si>
  <si>
    <t>Dedução 25% s/ 1ª Faixa</t>
  </si>
  <si>
    <t>01/04/2026</t>
  </si>
  <si>
    <t>30/04/2026</t>
  </si>
  <si>
    <t>NORMAL</t>
  </si>
  <si>
    <t>EMEI</t>
  </si>
  <si>
    <t>EMEF</t>
  </si>
  <si>
    <t>EMEE</t>
  </si>
  <si>
    <t>CEI</t>
  </si>
  <si>
    <t>CRECHE</t>
  </si>
  <si>
    <t>ADAPTADO</t>
  </si>
  <si>
    <t>Freguesia / Brasilândia</t>
  </si>
  <si>
    <t>FB</t>
  </si>
  <si>
    <t>FBE</t>
  </si>
  <si>
    <t>FBC</t>
  </si>
  <si>
    <t>020.708-00</t>
  </si>
  <si>
    <t>2022/0026670-001</t>
  </si>
  <si>
    <t>2022/0026670</t>
  </si>
  <si>
    <t>DJE9491</t>
  </si>
  <si>
    <t>015.733-00</t>
  </si>
  <si>
    <t>2022/0027713-001B</t>
  </si>
  <si>
    <t>2022/0027713</t>
  </si>
  <si>
    <t>ECM4497</t>
  </si>
  <si>
    <t>015.812-00</t>
  </si>
  <si>
    <t>2022/0033780-001D</t>
  </si>
  <si>
    <t>2022/0033780</t>
  </si>
  <si>
    <t>CLU1093</t>
  </si>
  <si>
    <t>025.892-00</t>
  </si>
  <si>
    <t>2022/0027355-001</t>
  </si>
  <si>
    <t>2022/0027355</t>
  </si>
  <si>
    <t>EFU6103</t>
  </si>
  <si>
    <t>022.524-00</t>
  </si>
  <si>
    <t>2022/0026000-001</t>
  </si>
  <si>
    <t>2022/0026000</t>
  </si>
  <si>
    <t>DTD7389</t>
  </si>
  <si>
    <t>005.388-00</t>
  </si>
  <si>
    <t>2022/0028814-001</t>
  </si>
  <si>
    <t>2022/0028814</t>
  </si>
  <si>
    <t>DTC6900</t>
  </si>
  <si>
    <t>019.284-00</t>
  </si>
  <si>
    <t>2022/0031991-001</t>
  </si>
  <si>
    <t>2022/0031991</t>
  </si>
  <si>
    <t>DTA8459</t>
  </si>
  <si>
    <t>016.845-00</t>
  </si>
  <si>
    <t>2022/0026174-001</t>
  </si>
  <si>
    <t>2022/0026174</t>
  </si>
  <si>
    <t>CXA5755</t>
  </si>
  <si>
    <t>011.460-00</t>
  </si>
  <si>
    <t>2022/0031239-001D</t>
  </si>
  <si>
    <t>2022/0031239</t>
  </si>
  <si>
    <t>EGK6C37</t>
  </si>
  <si>
    <t>031.558-00</t>
  </si>
  <si>
    <t>2022/0033816-001B</t>
  </si>
  <si>
    <t>2022/0033816</t>
  </si>
  <si>
    <t>FXO4860</t>
  </si>
  <si>
    <t>022.771-00</t>
  </si>
  <si>
    <t>2023/0039607-001</t>
  </si>
  <si>
    <t>2023/0039607</t>
  </si>
  <si>
    <t>ELW1444</t>
  </si>
  <si>
    <t>014.409-00</t>
  </si>
  <si>
    <t>2022/0032145-001B</t>
  </si>
  <si>
    <t>2022/0032145</t>
  </si>
  <si>
    <t>DTC4582</t>
  </si>
  <si>
    <t>022.608-00</t>
  </si>
  <si>
    <t>2022/0030845-001A</t>
  </si>
  <si>
    <t>2022/0030845</t>
  </si>
  <si>
    <t>ELQ8250</t>
  </si>
  <si>
    <t>029.004-00</t>
  </si>
  <si>
    <t>2022/0027707-001</t>
  </si>
  <si>
    <t>2022/0027707</t>
  </si>
  <si>
    <t>FFN2680</t>
  </si>
  <si>
    <t>017.058-00</t>
  </si>
  <si>
    <t>2022/0034092-001</t>
  </si>
  <si>
    <t>2022/0034092</t>
  </si>
  <si>
    <t>GIB7756</t>
  </si>
  <si>
    <t>021.878-00</t>
  </si>
  <si>
    <t>2022/0025123-001C</t>
  </si>
  <si>
    <t>2022/0025123</t>
  </si>
  <si>
    <t>DTA8749</t>
  </si>
  <si>
    <t>023.311-00</t>
  </si>
  <si>
    <t>2022/0028906-001C</t>
  </si>
  <si>
    <t>2022/0028906</t>
  </si>
  <si>
    <t>UDX3C07</t>
  </si>
  <si>
    <t>046.270-00</t>
  </si>
  <si>
    <t>2024/0016319-001A</t>
  </si>
  <si>
    <t>2024/0016319</t>
  </si>
  <si>
    <t>TJK7J20</t>
  </si>
  <si>
    <t>014.199-00</t>
  </si>
  <si>
    <t>2022/0029312-001</t>
  </si>
  <si>
    <t>2022/0029312</t>
  </si>
  <si>
    <t>CZZ1758</t>
  </si>
  <si>
    <t>007.659-00</t>
  </si>
  <si>
    <t>2024/0058937-001</t>
  </si>
  <si>
    <t>2024/0058937</t>
  </si>
  <si>
    <t>ELQ7434</t>
  </si>
  <si>
    <t>042.779-00</t>
  </si>
  <si>
    <t>2022/0033653-001</t>
  </si>
  <si>
    <t>2022/0033653</t>
  </si>
  <si>
    <t>EZT9H58</t>
  </si>
  <si>
    <t>018.203-00</t>
  </si>
  <si>
    <t>2022/0030526-001A</t>
  </si>
  <si>
    <t>2022/0030526</t>
  </si>
  <si>
    <t>CZX6231</t>
  </si>
  <si>
    <t>022.804-00</t>
  </si>
  <si>
    <t>2023/0020998-001</t>
  </si>
  <si>
    <t>2023/0020998</t>
  </si>
  <si>
    <t>FIK1F88</t>
  </si>
  <si>
    <t>027.227-00</t>
  </si>
  <si>
    <t>2022/0028422-001A</t>
  </si>
  <si>
    <t>2022/0028422</t>
  </si>
  <si>
    <t>DTE8333</t>
  </si>
  <si>
    <t>040.419-00</t>
  </si>
  <si>
    <t>2022/0036090-001F</t>
  </si>
  <si>
    <t>2022/0036090</t>
  </si>
  <si>
    <t>TKK2H26</t>
  </si>
  <si>
    <t>048.889-00</t>
  </si>
  <si>
    <t>2023/0012714-001B</t>
  </si>
  <si>
    <t>2023/0012714</t>
  </si>
  <si>
    <t>EUG6E49</t>
  </si>
  <si>
    <t>028.577-00</t>
  </si>
  <si>
    <t>2023/0029267-001</t>
  </si>
  <si>
    <t>2023/0029267</t>
  </si>
  <si>
    <t>DTE9297</t>
  </si>
  <si>
    <t>018.609-00</t>
  </si>
  <si>
    <t>2022/0027626-001B</t>
  </si>
  <si>
    <t>2022/0027626</t>
  </si>
  <si>
    <t>EFV2C35</t>
  </si>
  <si>
    <t>017.810-00</t>
  </si>
  <si>
    <t>2022/0025591-001</t>
  </si>
  <si>
    <t>2022/0025591</t>
  </si>
  <si>
    <t>DPC4330</t>
  </si>
  <si>
    <t>031.625-00</t>
  </si>
  <si>
    <t>2022/0035206-001B</t>
  </si>
  <si>
    <t>2022/0035206</t>
  </si>
  <si>
    <t>LLJ2554</t>
  </si>
  <si>
    <t>023.474-00</t>
  </si>
  <si>
    <t>2022/0031275-001B</t>
  </si>
  <si>
    <t>2022/0031275</t>
  </si>
  <si>
    <t>EFU9J52</t>
  </si>
  <si>
    <t>037.175-00</t>
  </si>
  <si>
    <t>2023/0021897-001B</t>
  </si>
  <si>
    <t>2023/0021897</t>
  </si>
  <si>
    <t>FFN2480</t>
  </si>
  <si>
    <t>019.114-00</t>
  </si>
  <si>
    <t>2022/0029526-001</t>
  </si>
  <si>
    <t>2022/0029526</t>
  </si>
  <si>
    <t>CZZ2567</t>
  </si>
  <si>
    <t>6020.2022/0026670-0</t>
  </si>
  <si>
    <t>6020.2022/0027713-2</t>
  </si>
  <si>
    <t>6020.2022/0033780-1</t>
  </si>
  <si>
    <t>6020.2022/0027355-2</t>
  </si>
  <si>
    <t>6020.2022/0026000-0</t>
  </si>
  <si>
    <t>6020.2022/0028814-2</t>
  </si>
  <si>
    <t>6020.2022/0031991-9</t>
  </si>
  <si>
    <t>6020.2022/0026174-0</t>
  </si>
  <si>
    <t>6020.2022/0031239-6</t>
  </si>
  <si>
    <t>6020.2022/0033816-6</t>
  </si>
  <si>
    <t>6020.2023/0039607-9</t>
  </si>
  <si>
    <t>6020.2022/0032145-0</t>
  </si>
  <si>
    <t>6020.2022/0030845-3</t>
  </si>
  <si>
    <t>6020.2022/0027707-8</t>
  </si>
  <si>
    <t>6020.2022/0034092-6</t>
  </si>
  <si>
    <t>6020.2022/0025123-0</t>
  </si>
  <si>
    <t>6020.2022/0028906-8</t>
  </si>
  <si>
    <t>6020.2024/0016319-0</t>
  </si>
  <si>
    <t>6020.2022/0029312-0</t>
  </si>
  <si>
    <t>6020.2024/0058937-5</t>
  </si>
  <si>
    <t>6020.2022/0033653-8</t>
  </si>
  <si>
    <t>6020.2022/0030526-8</t>
  </si>
  <si>
    <t>6020.2023/0020998-8</t>
  </si>
  <si>
    <t>6020.2022/0028422-8</t>
  </si>
  <si>
    <t>6020.2022/0036090-0</t>
  </si>
  <si>
    <t>6020.2023/0012714-0</t>
  </si>
  <si>
    <t>6020.2023/0029267-2</t>
  </si>
  <si>
    <t>6020.2022/0027626-8</t>
  </si>
  <si>
    <t>6020.2022/0025591-0</t>
  </si>
  <si>
    <t>6020.2022/0035206-1</t>
  </si>
  <si>
    <t>6020.2022/0031275-2</t>
  </si>
  <si>
    <t>6020.2023/0021897-9</t>
  </si>
  <si>
    <t>6020.2022/0029526-2</t>
  </si>
  <si>
    <t>157.064.558-21</t>
  </si>
  <si>
    <t>279.621.408-79</t>
  </si>
  <si>
    <t>116.731.748-33</t>
  </si>
  <si>
    <t>218.551.398-20</t>
  </si>
  <si>
    <t>082.984.578-03</t>
  </si>
  <si>
    <t>859.240.918-72</t>
  </si>
  <si>
    <t>261.883.798-30</t>
  </si>
  <si>
    <t>592.649.938-00</t>
  </si>
  <si>
    <t>064.365.378-30</t>
  </si>
  <si>
    <t>340.484.098-40</t>
  </si>
  <si>
    <t>053.211.528-70</t>
  </si>
  <si>
    <t>012.760.258-58</t>
  </si>
  <si>
    <t>663.774.558-87</t>
  </si>
  <si>
    <t>213.218.998-66</t>
  </si>
  <si>
    <t>280.947.418-48</t>
  </si>
  <si>
    <t>113.931.448-37</t>
  </si>
  <si>
    <t>248.058.438-02</t>
  </si>
  <si>
    <t>331.554.628-25</t>
  </si>
  <si>
    <t>065.986.948-92</t>
  </si>
  <si>
    <t>809.179.258-15</t>
  </si>
  <si>
    <t>178.133.188-03</t>
  </si>
  <si>
    <t>083.539.738-63</t>
  </si>
  <si>
    <t>221.706.568-80</t>
  </si>
  <si>
    <t>099.400.558-03</t>
  </si>
  <si>
    <t>393.015.098-06</t>
  </si>
  <si>
    <t>152.241.578-54</t>
  </si>
  <si>
    <t>085.560.538-31</t>
  </si>
  <si>
    <t>090.499.178-44</t>
  </si>
  <si>
    <t>089.357.108-30</t>
  </si>
  <si>
    <t>288.160.208-81</t>
  </si>
  <si>
    <t>213.296.148-44</t>
  </si>
  <si>
    <t>035.019.518-84</t>
  </si>
  <si>
    <t>008.248.418-08</t>
  </si>
  <si>
    <t>Não cadeirante presencial (EMEI, EMEF,EMEE)</t>
  </si>
  <si>
    <t>Não cadeirante at compl (EMEI, EMEF,EMEE)</t>
  </si>
  <si>
    <t>cadeirante (EMEI, EMEF, EMEE)</t>
  </si>
  <si>
    <t>Cadeirante Atendimento compl (EMEI, EMEF, EMEE)</t>
  </si>
  <si>
    <t>cadeirante  (EMEI, EMEF,EMEE, CEI) + Cadeirante Atendimento compl (EMEI, EMEF, EMEE, CEi)</t>
  </si>
  <si>
    <t>cadeirante (EMEI, EMEF, EMEE) + Cadeirante Atendimento compl (EMEI, EMEF, EMEE)</t>
  </si>
  <si>
    <t>Não cadeirante presencial (CEI) + Não cadeirante at compl (CEI)</t>
  </si>
  <si>
    <t>Não cadeirante presencial e at compl (EMEI, EMEF,EMEE) + cadeirante presencial e at compl (EMEI, EMEF,EMEE)</t>
  </si>
  <si>
    <t>Não cadeirante presencial + at compl (EMEI, EMEF,EMEE)</t>
  </si>
  <si>
    <t>km</t>
  </si>
  <si>
    <t>Continua não cadeirante</t>
  </si>
  <si>
    <t>Continua Cadeirante</t>
  </si>
  <si>
    <t>Pecapta</t>
  </si>
  <si>
    <t>Tabela Modalidade x Bancada x Pagamento x Condicao</t>
  </si>
  <si>
    <t>&lt;=15</t>
  </si>
  <si>
    <t>=16</t>
  </si>
  <si>
    <t>&gt;16</t>
  </si>
  <si>
    <t>Acessivel</t>
  </si>
  <si>
    <t>1 aluno</t>
  </si>
  <si>
    <t>2 alunos</t>
  </si>
  <si>
    <t>+3 alunos</t>
  </si>
  <si>
    <t>ate 9 alunos</t>
  </si>
  <si>
    <t>10 alunos</t>
  </si>
  <si>
    <t>+11 alunos</t>
  </si>
  <si>
    <t>Creche</t>
  </si>
  <si>
    <t>Especial</t>
  </si>
  <si>
    <t>KM</t>
  </si>
  <si>
    <t>CONTINUA</t>
  </si>
  <si>
    <t>REGULAR/ N cadeirante</t>
  </si>
  <si>
    <t>CADEIRANTE</t>
  </si>
  <si>
    <t>PERCAPTA</t>
  </si>
  <si>
    <t>2,4% DO 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</si>
</sst>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44" formatCode="_-&quot;R$&quot;\ * #,##0.00_-;\-&quot;R$&quot;\ * #,##0.00_-;_-&quot;R$&quot;\ * &quot;-&quot;??_-;_-@_-"/>
    <numFmt numFmtId="164" formatCode="_(&quot;R$&quot;* #,##0.00_);_(&quot;R$&quot;* \(#,##0.00\);_(&quot;R$&quot;* &quot;-&quot;??_);_(@_)"/>
    <numFmt numFmtId="165" formatCode="_(* #,##0.00_);_(* \(#,##0.00\);_(* &quot;-&quot;??_);_(@_)"/>
    <numFmt numFmtId="166" formatCode="_([$€-2]* #,##0.00_);_([$€-2]* \(#,##0.00\);_([$€-2]* \-??_)"/>
    <numFmt numFmtId="167" formatCode="_(&quot;R$ &quot;* #,##0.00_);_(&quot;R$ &quot;* \(#,##0.00\);_(&quot;R$ &quot;* \-??_);_(@_)"/>
    <numFmt numFmtId="168" formatCode="_(* #,##0.00_);_(* \(#,##0.00\);_(* \-??_);_(@_)"/>
    <numFmt numFmtId="169" formatCode="_-* #,##0.00_-;\-* #,##0.00_-;_-* \-??_-;_-@_-"/>
    <numFmt numFmtId="170" formatCode="####\-#\.###\.###\-#"/>
    <numFmt numFmtId="171" formatCode="d/m/yy;@"/>
    <numFmt numFmtId="172" formatCode="dd/mm/yy;@"/>
    <numFmt numFmtId="173" formatCode="##&quot;- &quot;#\.###\.###\-#"/>
    <numFmt numFmtId="174" formatCode="mm/yy"/>
    <numFmt numFmtId="175" formatCode="0.0%"/>
    <numFmt numFmtId="176" formatCode="###\-#\.###\.###\-#"/>
    <numFmt numFmtId="177" formatCode="mmm/yyyy"/>
    <numFmt numFmtId="178" formatCode="_(&quot;R$ &quot;* #,##0.00_);_(&quot;R$ &quot;* \(#,##0.00\);_(&quot;R$ &quot;* &quot;-&quot;??_);_(@_)"/>
    <numFmt numFmtId="179" formatCode="_([$€-2]* #,##0.00_);_([$€-2]* \(#,##0.00\);_([$€-2]* &quot;-&quot;??_)"/>
    <numFmt numFmtId="180" formatCode="00"/>
    <numFmt numFmtId="181" formatCode="0.0000"/>
    <numFmt numFmtId="182" formatCode="[$-416]mmmm\-yy;@"/>
    <numFmt numFmtId="183" formatCode="_-* #,##0_-;\-* #,##0_-;_-* &quot;-&quot;??_-;_-@_-"/>
    <numFmt numFmtId="184" formatCode="dd/mm/yy"/>
    <numFmt numFmtId="185" formatCode="###\.###\.###\-##"/>
    <numFmt numFmtId="186" formatCode="0.000"/>
    <numFmt numFmtId="187" formatCode="#,##0_ ;\-#,##0\ "/>
    <numFmt numFmtId="188" formatCode="_-[$R$-416]\ * #,##0.00_-;\-[$R$-416]\ * #,##0.00_-;_-[$R$-416]\ * &quot;-&quot;??_-;_-@_-"/>
    <numFmt numFmtId="189" formatCode="0.000%"/>
    <numFmt numFmtId="190" formatCode="_-&quot;R$&quot;\ * #,##0.000_-;\-&quot;R$&quot;\ * #,##0.000_-;_-&quot;R$&quot;\ * &quot;-&quot;??_-;_-@_-"/>
    <numFmt numFmtId="191" formatCode="_-&quot;R$&quot;\ * #,##0.00000_-;\-&quot;R$&quot;\ * #,##0.00000_-;_-&quot;R$&quot;\ * &quot;-&quot;??_-;_-@_-"/>
    <numFmt numFmtId="192" formatCode="_-[$R$-416]\ * #,##0.000_-;\-[$R$-416]\ * #,##0.000_-;_-[$R$-416]\ * &quot;-&quot;??_-;_-@_-"/>
    <numFmt numFmtId="193" formatCode="_-[$R$-416]\ * #,##0.0000_-;\-[$R$-416]\ * #,##0.0000_-;_-[$R$-416]\ * &quot;-&quot;??_-;_-@_-"/>
  </numFmts>
  <fonts count="10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sz val="10"/>
      <name val="Arial"/>
      <family val="2"/>
      <charset val="1"/>
    </font>
    <font>
      <sz val="10"/>
      <name val="MS Sans Serif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sz val="10"/>
      <color indexed="8"/>
      <name val="Arial"/>
      <family val="2"/>
      <charset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11"/>
      <name val="Calibri"/>
      <family val="2"/>
    </font>
    <font>
      <sz val="9"/>
      <color indexed="8"/>
      <name val="Arial"/>
      <family val="2"/>
    </font>
    <font>
      <sz val="8"/>
      <name val="Calibri"/>
      <family val="2"/>
    </font>
    <font>
      <b/>
      <sz val="14"/>
      <name val="Arial"/>
      <family val="2"/>
    </font>
    <font>
      <sz val="7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12"/>
      <name val="Arial"/>
      <family val="2"/>
    </font>
    <font>
      <sz val="10"/>
      <color indexed="9"/>
      <name val="Arial"/>
      <family val="2"/>
    </font>
    <font>
      <sz val="12"/>
      <name val="Arial"/>
      <family val="2"/>
    </font>
    <font>
      <sz val="8"/>
      <color indexed="22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u/>
      <sz val="8"/>
      <color theme="10"/>
      <name val="Arial"/>
      <family val="2"/>
    </font>
    <font>
      <b/>
      <sz val="11"/>
      <color indexed="8"/>
      <name val="Calibri"/>
      <family val="2"/>
      <charset val="1"/>
    </font>
    <font>
      <sz val="11"/>
      <color indexed="8"/>
      <name val="Calibri"/>
      <family val="2"/>
      <charset val="1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9.5"/>
      <name val="Arial"/>
      <family val="2"/>
    </font>
    <font>
      <u/>
      <sz val="8.8000000000000007"/>
      <color theme="10"/>
      <name val="Calibri"/>
      <family val="2"/>
    </font>
    <font>
      <sz val="10"/>
      <color rgb="FF000000"/>
      <name val="Calibri"/>
      <family val="2"/>
      <scheme val="minor"/>
    </font>
    <font>
      <sz val="12"/>
      <name val="Calibri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sz val="18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0"/>
      <name val="Arial"/>
      <family val="2"/>
    </font>
    <font>
      <sz val="11"/>
      <color indexed="8"/>
      <name val="Arial"/>
      <family val="2"/>
    </font>
    <font>
      <sz val="9"/>
      <name val="Calibri"/>
      <family val="2"/>
    </font>
    <font>
      <b/>
      <sz val="9"/>
      <color indexed="8"/>
      <name val="Arial"/>
      <family val="2"/>
    </font>
    <font>
      <sz val="8.8000000000000007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9"/>
      <color theme="5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theme="1"/>
      <name val="Roboto"/>
    </font>
    <font>
      <sz val="6.5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1"/>
      <color rgb="FF213139"/>
      <name val="Arial Narrow"/>
      <family val="2"/>
    </font>
  </fonts>
  <fills count="73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31"/>
      </patternFill>
    </fill>
    <fill>
      <patternFill patternType="solid">
        <fgColor rgb="FFCCFFCC"/>
        <bgColor indexed="64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70C0"/>
        <bgColor indexed="40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40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51"/>
      </patternFill>
    </fill>
    <fill>
      <patternFill patternType="solid">
        <fgColor rgb="FFFF0000"/>
        <bgColor indexed="31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22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9CCFF"/>
        <bgColor rgb="FF99CCFF"/>
      </patternFill>
    </fill>
    <fill>
      <patternFill patternType="solid">
        <fgColor rgb="FFCCFFFF"/>
        <bgColor rgb="FFCCFFFF"/>
      </patternFill>
    </fill>
    <fill>
      <patternFill patternType="solid">
        <fgColor rgb="FF33CCCC"/>
        <bgColor rgb="FF33CCCC"/>
      </patternFill>
    </fill>
    <fill>
      <patternFill patternType="solid">
        <fgColor rgb="FF0066CC"/>
        <bgColor rgb="FF0066CC"/>
      </patternFill>
    </fill>
    <fill>
      <patternFill patternType="solid">
        <fgColor rgb="FF31859B"/>
        <bgColor rgb="FF31859B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002060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8A3E"/>
        <bgColor indexed="64"/>
      </patternFill>
    </fill>
    <fill>
      <patternFill patternType="solid">
        <fgColor theme="4" tint="0.59999389629810485"/>
        <bgColor theme="7"/>
      </patternFill>
    </fill>
    <fill>
      <patternFill patternType="solid">
        <fgColor rgb="FFE3F6FD"/>
        <bgColor theme="7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</fills>
  <borders count="19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indexed="23"/>
      </top>
      <bottom style="double">
        <color indexed="23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medium">
        <color indexed="8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30">
    <xf numFmtId="0" fontId="0" fillId="0" borderId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4" fillId="20" borderId="1" applyNumberFormat="0" applyAlignment="0" applyProtection="0"/>
    <xf numFmtId="0" fontId="15" fillId="21" borderId="2" applyNumberFormat="0" applyAlignment="0" applyProtection="0"/>
    <xf numFmtId="166" fontId="52" fillId="0" borderId="0" applyFill="0" applyBorder="0" applyAlignment="0" applyProtection="0"/>
    <xf numFmtId="166" fontId="52" fillId="0" borderId="0" applyFill="0" applyBorder="0" applyAlignment="0" applyProtection="0"/>
    <xf numFmtId="166" fontId="52" fillId="0" borderId="0" applyFill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5" fillId="0" borderId="0"/>
    <xf numFmtId="0" fontId="24" fillId="0" borderId="0">
      <alignment vertical="top"/>
    </xf>
    <xf numFmtId="0" fontId="25" fillId="0" borderId="0"/>
    <xf numFmtId="0" fontId="52" fillId="0" borderId="0"/>
    <xf numFmtId="0" fontId="52" fillId="0" borderId="0"/>
    <xf numFmtId="0" fontId="25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26" fillId="0" borderId="0"/>
    <xf numFmtId="0" fontId="26" fillId="0" borderId="0"/>
    <xf numFmtId="0" fontId="52" fillId="0" borderId="0"/>
    <xf numFmtId="0" fontId="24" fillId="0" borderId="0">
      <alignment vertical="top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26" fillId="0" borderId="0"/>
    <xf numFmtId="0" fontId="26" fillId="0" borderId="0"/>
    <xf numFmtId="0" fontId="24" fillId="0" borderId="0">
      <alignment vertical="top"/>
    </xf>
    <xf numFmtId="0" fontId="26" fillId="0" borderId="0"/>
    <xf numFmtId="0" fontId="24" fillId="0" borderId="0"/>
    <xf numFmtId="0" fontId="27" fillId="0" borderId="0"/>
    <xf numFmtId="0" fontId="52" fillId="23" borderId="7" applyNumberFormat="0" applyAlignment="0" applyProtection="0"/>
    <xf numFmtId="0" fontId="52" fillId="23" borderId="7" applyNumberFormat="0" applyAlignment="0" applyProtection="0"/>
    <xf numFmtId="0" fontId="28" fillId="20" borderId="8" applyNumberFormat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9" fontId="52" fillId="0" borderId="0" applyFill="0" applyBorder="0" applyAlignment="0" applyProtection="0"/>
    <xf numFmtId="0" fontId="29" fillId="0" borderId="0"/>
    <xf numFmtId="0" fontId="30" fillId="0" borderId="0" applyNumberFormat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0" fontId="31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13" fillId="29" borderId="0" applyNumberFormat="0" applyBorder="0" applyAlignment="0" applyProtection="0"/>
    <xf numFmtId="0" fontId="55" fillId="0" borderId="22" applyProtection="0"/>
    <xf numFmtId="0" fontId="56" fillId="0" borderId="0"/>
    <xf numFmtId="0" fontId="25" fillId="0" borderId="0"/>
    <xf numFmtId="0" fontId="25" fillId="0" borderId="0"/>
    <xf numFmtId="0" fontId="29" fillId="0" borderId="0"/>
    <xf numFmtId="168" fontId="25" fillId="0" borderId="0" applyBorder="0" applyProtection="0"/>
    <xf numFmtId="168" fontId="25" fillId="0" borderId="0" applyBorder="0" applyProtection="0"/>
    <xf numFmtId="0" fontId="17" fillId="30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3" fillId="31" borderId="0" applyNumberFormat="0" applyBorder="0" applyAlignment="0" applyProtection="0"/>
    <xf numFmtId="0" fontId="52" fillId="0" borderId="0"/>
    <xf numFmtId="0" fontId="26" fillId="32" borderId="13" applyNumberFormat="0" applyFont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10" fillId="0" borderId="0"/>
    <xf numFmtId="0" fontId="57" fillId="0" borderId="0"/>
    <xf numFmtId="0" fontId="58" fillId="0" borderId="0"/>
    <xf numFmtId="0" fontId="59" fillId="0" borderId="0"/>
    <xf numFmtId="179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0" fontId="9" fillId="0" borderId="0"/>
    <xf numFmtId="0" fontId="9" fillId="0" borderId="0"/>
    <xf numFmtId="0" fontId="26" fillId="0" borderId="0"/>
    <xf numFmtId="0" fontId="59" fillId="0" borderId="0"/>
    <xf numFmtId="9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52" fillId="0" borderId="0"/>
    <xf numFmtId="0" fontId="55" fillId="0" borderId="22" applyProtection="0"/>
    <xf numFmtId="0" fontId="9" fillId="0" borderId="0"/>
    <xf numFmtId="0" fontId="9" fillId="0" borderId="0"/>
    <xf numFmtId="0" fontId="9" fillId="0" borderId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55" fillId="0" borderId="22" applyProtection="0"/>
    <xf numFmtId="165" fontId="52" fillId="0" borderId="0" applyFont="0" applyFill="0" applyBorder="0" applyAlignment="0" applyProtection="0"/>
    <xf numFmtId="0" fontId="9" fillId="0" borderId="0"/>
    <xf numFmtId="0" fontId="24" fillId="0" borderId="0">
      <alignment vertical="top"/>
    </xf>
    <xf numFmtId="0" fontId="9" fillId="0" borderId="0"/>
    <xf numFmtId="0" fontId="9" fillId="0" borderId="0"/>
    <xf numFmtId="0" fontId="9" fillId="0" borderId="0"/>
    <xf numFmtId="165" fontId="52" fillId="0" borderId="0" applyFont="0" applyFill="0" applyBorder="0" applyAlignment="0" applyProtection="0"/>
    <xf numFmtId="0" fontId="9" fillId="0" borderId="0"/>
    <xf numFmtId="0" fontId="11" fillId="0" borderId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52" fillId="0" borderId="0"/>
    <xf numFmtId="0" fontId="59" fillId="0" borderId="0"/>
    <xf numFmtId="0" fontId="55" fillId="0" borderId="22" applyProtection="0"/>
    <xf numFmtId="0" fontId="52" fillId="0" borderId="0"/>
    <xf numFmtId="9" fontId="52" fillId="0" borderId="0" applyFill="0" applyBorder="0" applyAlignment="0" applyProtection="0"/>
    <xf numFmtId="0" fontId="8" fillId="0" borderId="0"/>
    <xf numFmtId="0" fontId="14" fillId="43" borderId="1" applyNumberFormat="0" applyAlignment="0" applyProtection="0"/>
    <xf numFmtId="0" fontId="52" fillId="0" borderId="0"/>
    <xf numFmtId="0" fontId="52" fillId="0" borderId="0"/>
    <xf numFmtId="0" fontId="52" fillId="0" borderId="0"/>
    <xf numFmtId="0" fontId="7" fillId="0" borderId="0"/>
    <xf numFmtId="0" fontId="52" fillId="23" borderId="13" applyNumberFormat="0" applyAlignment="0" applyProtection="0"/>
    <xf numFmtId="0" fontId="52" fillId="23" borderId="13" applyNumberFormat="0" applyAlignment="0" applyProtection="0"/>
    <xf numFmtId="0" fontId="26" fillId="32" borderId="13" applyNumberFormat="0" applyFont="0" applyAlignment="0" applyProtection="0"/>
    <xf numFmtId="0" fontId="6" fillId="0" borderId="0"/>
    <xf numFmtId="164" fontId="6" fillId="0" borderId="0" applyFont="0" applyFill="0" applyBorder="0" applyAlignment="0" applyProtection="0"/>
    <xf numFmtId="0" fontId="55" fillId="0" borderId="22" applyProtection="0"/>
    <xf numFmtId="0" fontId="55" fillId="0" borderId="22" applyProtection="0"/>
    <xf numFmtId="0" fontId="55" fillId="0" borderId="22" applyProtection="0"/>
    <xf numFmtId="0" fontId="55" fillId="0" borderId="22" applyProtection="0"/>
    <xf numFmtId="0" fontId="20" fillId="0" borderId="5" applyNumberFormat="0" applyFill="0" applyAlignment="0" applyProtection="0"/>
    <xf numFmtId="0" fontId="21" fillId="44" borderId="1" applyNumberFormat="0" applyAlignment="0" applyProtection="0"/>
    <xf numFmtId="0" fontId="28" fillId="43" borderId="8" applyNumberFormat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5" fillId="0" borderId="0"/>
    <xf numFmtId="0" fontId="62" fillId="0" borderId="0" applyNumberFormat="0" applyFill="0" applyBorder="0" applyAlignment="0" applyProtection="0">
      <alignment vertical="top"/>
      <protection locked="0"/>
    </xf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57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/>
    <xf numFmtId="0" fontId="52" fillId="0" borderId="0"/>
    <xf numFmtId="0" fontId="5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23" borderId="50" applyNumberFormat="0" applyAlignment="0" applyProtection="0"/>
    <xf numFmtId="0" fontId="52" fillId="23" borderId="50" applyNumberFormat="0" applyAlignment="0" applyProtection="0"/>
    <xf numFmtId="0" fontId="52" fillId="23" borderId="50" applyNumberFormat="0" applyAlignment="0" applyProtection="0"/>
    <xf numFmtId="0" fontId="52" fillId="23" borderId="50" applyNumberFormat="0" applyAlignment="0" applyProtection="0"/>
    <xf numFmtId="0" fontId="26" fillId="32" borderId="50" applyNumberFormat="0" applyFont="0" applyAlignment="0" applyProtection="0"/>
    <xf numFmtId="0" fontId="26" fillId="32" borderId="50" applyNumberFormat="0" applyFont="0" applyAlignment="0" applyProtection="0"/>
    <xf numFmtId="9" fontId="4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63" fillId="0" borderId="0"/>
    <xf numFmtId="0" fontId="63" fillId="0" borderId="0"/>
    <xf numFmtId="44" fontId="52" fillId="0" borderId="0" applyFont="0" applyFill="0" applyBorder="0" applyAlignment="0" applyProtection="0"/>
    <xf numFmtId="0" fontId="28" fillId="43" borderId="114" applyNumberFormat="0" applyAlignment="0" applyProtection="0"/>
    <xf numFmtId="0" fontId="52" fillId="23" borderId="105" applyNumberFormat="0" applyAlignment="0" applyProtection="0"/>
    <xf numFmtId="0" fontId="55" fillId="0" borderId="104" applyProtection="0"/>
    <xf numFmtId="0" fontId="55" fillId="0" borderId="104" applyProtection="0"/>
    <xf numFmtId="0" fontId="52" fillId="23" borderId="105" applyNumberFormat="0" applyAlignment="0" applyProtection="0"/>
    <xf numFmtId="0" fontId="52" fillId="23" borderId="96" applyNumberFormat="0" applyAlignment="0" applyProtection="0"/>
    <xf numFmtId="0" fontId="55" fillId="0" borderId="99" applyProtection="0"/>
    <xf numFmtId="0" fontId="55" fillId="0" borderId="104" applyProtection="0"/>
    <xf numFmtId="0" fontId="55" fillId="0" borderId="115" applyProtection="0"/>
    <xf numFmtId="0" fontId="55" fillId="0" borderId="99" applyProtection="0"/>
    <xf numFmtId="0" fontId="28" fillId="43" borderId="89" applyNumberFormat="0" applyAlignment="0" applyProtection="0"/>
    <xf numFmtId="0" fontId="21" fillId="44" borderId="88" applyNumberFormat="0" applyAlignment="0" applyProtection="0"/>
    <xf numFmtId="0" fontId="55" fillId="0" borderId="90" applyProtection="0"/>
    <xf numFmtId="0" fontId="55" fillId="0" borderId="90" applyProtection="0"/>
    <xf numFmtId="0" fontId="55" fillId="0" borderId="90" applyProtection="0"/>
    <xf numFmtId="0" fontId="55" fillId="0" borderId="90" applyProtection="0"/>
    <xf numFmtId="0" fontId="55" fillId="0" borderId="95" applyProtection="0"/>
    <xf numFmtId="0" fontId="52" fillId="23" borderId="105" applyNumberFormat="0" applyAlignment="0" applyProtection="0"/>
    <xf numFmtId="0" fontId="55" fillId="0" borderId="99" applyProtection="0"/>
    <xf numFmtId="0" fontId="14" fillId="43" borderId="88" applyNumberFormat="0" applyAlignment="0" applyProtection="0"/>
    <xf numFmtId="0" fontId="55" fillId="0" borderId="90" applyProtection="0"/>
    <xf numFmtId="0" fontId="21" fillId="44" borderId="106" applyNumberFormat="0" applyAlignment="0" applyProtection="0"/>
    <xf numFmtId="0" fontId="28" fillId="43" borderId="103" applyNumberFormat="0" applyAlignment="0" applyProtection="0"/>
    <xf numFmtId="0" fontId="55" fillId="0" borderId="90" applyProtection="0"/>
    <xf numFmtId="0" fontId="21" fillId="7" borderId="93" applyNumberFormat="0" applyAlignment="0" applyProtection="0"/>
    <xf numFmtId="0" fontId="55" fillId="0" borderId="95" applyProtection="0"/>
    <xf numFmtId="0" fontId="55" fillId="0" borderId="95" applyProtection="0"/>
    <xf numFmtId="0" fontId="28" fillId="43" borderId="98" applyNumberFormat="0" applyAlignment="0" applyProtection="0"/>
    <xf numFmtId="0" fontId="55" fillId="0" borderId="108" applyProtection="0"/>
    <xf numFmtId="0" fontId="55" fillId="0" borderId="108" applyProtection="0"/>
    <xf numFmtId="0" fontId="52" fillId="23" borderId="100" applyNumberFormat="0" applyAlignment="0" applyProtection="0"/>
    <xf numFmtId="0" fontId="55" fillId="0" borderId="90" applyProtection="0"/>
    <xf numFmtId="0" fontId="55" fillId="0" borderId="99" applyProtection="0"/>
    <xf numFmtId="0" fontId="28" fillId="20" borderId="107" applyNumberFormat="0" applyAlignment="0" applyProtection="0"/>
    <xf numFmtId="0" fontId="14" fillId="43" borderId="102" applyNumberFormat="0" applyAlignment="0" applyProtection="0"/>
    <xf numFmtId="0" fontId="52" fillId="23" borderId="105" applyNumberFormat="0" applyAlignment="0" applyProtection="0"/>
    <xf numFmtId="0" fontId="52" fillId="23" borderId="96" applyNumberFormat="0" applyAlignment="0" applyProtection="0"/>
    <xf numFmtId="0" fontId="26" fillId="32" borderId="112" applyNumberFormat="0" applyFont="0" applyAlignment="0" applyProtection="0"/>
    <xf numFmtId="0" fontId="28" fillId="20" borderId="98" applyNumberFormat="0" applyAlignment="0" applyProtection="0"/>
    <xf numFmtId="0" fontId="28" fillId="20" borderId="94" applyNumberFormat="0" applyAlignment="0" applyProtection="0"/>
    <xf numFmtId="0" fontId="52" fillId="23" borderId="100" applyNumberFormat="0" applyAlignment="0" applyProtection="0"/>
    <xf numFmtId="0" fontId="55" fillId="0" borderId="99" applyProtection="0"/>
    <xf numFmtId="0" fontId="26" fillId="32" borderId="105" applyNumberFormat="0" applyFont="0" applyAlignment="0" applyProtection="0"/>
    <xf numFmtId="0" fontId="52" fillId="23" borderId="100" applyNumberFormat="0" applyAlignment="0" applyProtection="0"/>
    <xf numFmtId="0" fontId="55" fillId="0" borderId="95" applyProtection="0"/>
    <xf numFmtId="0" fontId="52" fillId="23" borderId="112" applyNumberFormat="0" applyAlignment="0" applyProtection="0"/>
    <xf numFmtId="0" fontId="14" fillId="43" borderId="93" applyNumberFormat="0" applyAlignment="0" applyProtection="0"/>
    <xf numFmtId="0" fontId="21" fillId="7" borderId="88" applyNumberFormat="0" applyAlignment="0" applyProtection="0"/>
    <xf numFmtId="0" fontId="55" fillId="0" borderId="99" applyProtection="0"/>
    <xf numFmtId="0" fontId="14" fillId="43" borderId="97" applyNumberFormat="0" applyAlignment="0" applyProtection="0"/>
    <xf numFmtId="0" fontId="21" fillId="44" borderId="113" applyNumberFormat="0" applyAlignment="0" applyProtection="0"/>
    <xf numFmtId="0" fontId="55" fillId="0" borderId="95" applyProtection="0"/>
    <xf numFmtId="0" fontId="55" fillId="0" borderId="104" applyProtection="0"/>
    <xf numFmtId="0" fontId="55" fillId="0" borderId="115" applyProtection="0"/>
    <xf numFmtId="0" fontId="14" fillId="20" borderId="97" applyNumberFormat="0" applyAlignment="0" applyProtection="0"/>
    <xf numFmtId="0" fontId="55" fillId="0" borderId="108" applyProtection="0"/>
    <xf numFmtId="0" fontId="55" fillId="0" borderId="95" applyProtection="0"/>
    <xf numFmtId="0" fontId="55" fillId="0" borderId="115" applyProtection="0"/>
    <xf numFmtId="0" fontId="52" fillId="23" borderId="96" applyNumberFormat="0" applyAlignment="0" applyProtection="0"/>
    <xf numFmtId="0" fontId="3" fillId="0" borderId="0"/>
    <xf numFmtId="0" fontId="55" fillId="0" borderId="104" applyProtection="0"/>
    <xf numFmtId="0" fontId="28" fillId="20" borderId="89" applyNumberFormat="0" applyAlignment="0" applyProtection="0"/>
    <xf numFmtId="0" fontId="3" fillId="0" borderId="0"/>
    <xf numFmtId="0" fontId="3" fillId="0" borderId="0"/>
    <xf numFmtId="0" fontId="52" fillId="23" borderId="112" applyNumberFormat="0" applyAlignment="0" applyProtection="0"/>
    <xf numFmtId="0" fontId="55" fillId="0" borderId="104" applyProtection="0"/>
    <xf numFmtId="0" fontId="3" fillId="0" borderId="0"/>
    <xf numFmtId="0" fontId="3" fillId="0" borderId="0"/>
    <xf numFmtId="0" fontId="3" fillId="0" borderId="0"/>
    <xf numFmtId="0" fontId="55" fillId="0" borderId="99" applyProtection="0"/>
    <xf numFmtId="0" fontId="14" fillId="20" borderId="113" applyNumberFormat="0" applyAlignment="0" applyProtection="0"/>
    <xf numFmtId="0" fontId="3" fillId="0" borderId="0"/>
    <xf numFmtId="0" fontId="3" fillId="0" borderId="0"/>
    <xf numFmtId="0" fontId="3" fillId="0" borderId="0"/>
    <xf numFmtId="0" fontId="52" fillId="23" borderId="100" applyNumberFormat="0" applyAlignment="0" applyProtection="0"/>
    <xf numFmtId="0" fontId="3" fillId="0" borderId="0"/>
    <xf numFmtId="0" fontId="14" fillId="20" borderId="102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32" borderId="105" applyNumberFormat="0" applyFont="0" applyAlignment="0" applyProtection="0"/>
    <xf numFmtId="0" fontId="3" fillId="0" borderId="0"/>
    <xf numFmtId="0" fontId="55" fillId="0" borderId="115" applyProtection="0"/>
    <xf numFmtId="0" fontId="3" fillId="0" borderId="0"/>
    <xf numFmtId="0" fontId="21" fillId="44" borderId="97" applyNumberFormat="0" applyAlignment="0" applyProtection="0"/>
    <xf numFmtId="0" fontId="3" fillId="0" borderId="0"/>
    <xf numFmtId="164" fontId="3" fillId="0" borderId="0" applyFont="0" applyFill="0" applyBorder="0" applyAlignment="0" applyProtection="0"/>
    <xf numFmtId="0" fontId="55" fillId="0" borderId="90" applyProtection="0"/>
    <xf numFmtId="0" fontId="55" fillId="0" borderId="95" applyProtection="0"/>
    <xf numFmtId="0" fontId="28" fillId="43" borderId="94" applyNumberFormat="0" applyAlignment="0" applyProtection="0"/>
    <xf numFmtId="0" fontId="55" fillId="0" borderId="108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24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5" fillId="0" borderId="108" applyProtection="0"/>
    <xf numFmtId="0" fontId="55" fillId="0" borderId="115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2" fillId="23" borderId="87" applyNumberFormat="0" applyAlignment="0" applyProtection="0"/>
    <xf numFmtId="0" fontId="52" fillId="23" borderId="87" applyNumberFormat="0" applyAlignment="0" applyProtection="0"/>
    <xf numFmtId="0" fontId="52" fillId="23" borderId="87" applyNumberFormat="0" applyAlignment="0" applyProtection="0"/>
    <xf numFmtId="0" fontId="52" fillId="23" borderId="87" applyNumberFormat="0" applyAlignment="0" applyProtection="0"/>
    <xf numFmtId="0" fontId="26" fillId="32" borderId="87" applyNumberFormat="0" applyFont="0" applyAlignment="0" applyProtection="0"/>
    <xf numFmtId="0" fontId="26" fillId="32" borderId="87" applyNumberFormat="0" applyFont="0" applyAlignment="0" applyProtection="0"/>
    <xf numFmtId="9" fontId="3" fillId="0" borderId="0" applyFont="0" applyFill="0" applyBorder="0" applyAlignment="0" applyProtection="0"/>
    <xf numFmtId="0" fontId="55" fillId="0" borderId="115" applyProtection="0"/>
    <xf numFmtId="0" fontId="55" fillId="0" borderId="95" applyProtection="0"/>
    <xf numFmtId="0" fontId="21" fillId="44" borderId="93" applyNumberFormat="0" applyAlignment="0" applyProtection="0"/>
    <xf numFmtId="0" fontId="14" fillId="43" borderId="106" applyNumberFormat="0" applyAlignment="0" applyProtection="0"/>
    <xf numFmtId="0" fontId="14" fillId="20" borderId="88" applyNumberFormat="0" applyAlignment="0" applyProtection="0"/>
    <xf numFmtId="0" fontId="21" fillId="7" borderId="97" applyNumberFormat="0" applyAlignment="0" applyProtection="0"/>
    <xf numFmtId="0" fontId="52" fillId="23" borderId="112" applyNumberFormat="0" applyAlignment="0" applyProtection="0"/>
    <xf numFmtId="0" fontId="55" fillId="0" borderId="104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28" fillId="20" borderId="103" applyNumberFormat="0" applyAlignment="0" applyProtection="0"/>
    <xf numFmtId="165" fontId="3" fillId="0" borderId="0" applyFont="0" applyFill="0" applyBorder="0" applyAlignment="0" applyProtection="0"/>
    <xf numFmtId="0" fontId="26" fillId="32" borderId="96" applyNumberFormat="0" applyFont="0" applyAlignment="0" applyProtection="0"/>
    <xf numFmtId="0" fontId="55" fillId="0" borderId="108" applyProtection="0"/>
    <xf numFmtId="0" fontId="52" fillId="23" borderId="92" applyNumberFormat="0" applyAlignment="0" applyProtection="0"/>
    <xf numFmtId="0" fontId="52" fillId="23" borderId="92" applyNumberFormat="0" applyAlignment="0" applyProtection="0"/>
    <xf numFmtId="0" fontId="52" fillId="23" borderId="92" applyNumberFormat="0" applyAlignment="0" applyProtection="0"/>
    <xf numFmtId="0" fontId="52" fillId="23" borderId="92" applyNumberFormat="0" applyAlignment="0" applyProtection="0"/>
    <xf numFmtId="0" fontId="26" fillId="32" borderId="92" applyNumberFormat="0" applyFont="0" applyAlignment="0" applyProtection="0"/>
    <xf numFmtId="0" fontId="26" fillId="32" borderId="92" applyNumberFormat="0" applyFont="0" applyAlignment="0" applyProtection="0"/>
    <xf numFmtId="0" fontId="55" fillId="0" borderId="108" applyProtection="0"/>
    <xf numFmtId="0" fontId="55" fillId="0" borderId="115" applyProtection="0"/>
    <xf numFmtId="0" fontId="14" fillId="20" borderId="93" applyNumberFormat="0" applyAlignment="0" applyProtection="0"/>
    <xf numFmtId="0" fontId="26" fillId="32" borderId="112" applyNumberFormat="0" applyFont="0" applyAlignment="0" applyProtection="0"/>
    <xf numFmtId="0" fontId="52" fillId="23" borderId="96" applyNumberFormat="0" applyAlignment="0" applyProtection="0"/>
    <xf numFmtId="0" fontId="26" fillId="32" borderId="96" applyNumberFormat="0" applyFont="0" applyAlignment="0" applyProtection="0"/>
    <xf numFmtId="0" fontId="55" fillId="0" borderId="104" applyProtection="0"/>
    <xf numFmtId="0" fontId="55" fillId="0" borderId="99" applyProtection="0"/>
    <xf numFmtId="0" fontId="26" fillId="32" borderId="100" applyNumberFormat="0" applyFont="0" applyAlignment="0" applyProtection="0"/>
    <xf numFmtId="0" fontId="26" fillId="32" borderId="100" applyNumberFormat="0" applyFont="0" applyAlignment="0" applyProtection="0"/>
    <xf numFmtId="0" fontId="21" fillId="7" borderId="102" applyNumberFormat="0" applyAlignment="0" applyProtection="0"/>
    <xf numFmtId="0" fontId="14" fillId="20" borderId="106" applyNumberFormat="0" applyAlignment="0" applyProtection="0"/>
    <xf numFmtId="0" fontId="14" fillId="43" borderId="113" applyNumberFormat="0" applyAlignment="0" applyProtection="0"/>
    <xf numFmtId="0" fontId="21" fillId="44" borderId="102" applyNumberFormat="0" applyAlignment="0" applyProtection="0"/>
    <xf numFmtId="0" fontId="28" fillId="43" borderId="107" applyNumberFormat="0" applyAlignment="0" applyProtection="0"/>
    <xf numFmtId="0" fontId="28" fillId="20" borderId="114" applyNumberFormat="0" applyAlignment="0" applyProtection="0"/>
    <xf numFmtId="0" fontId="52" fillId="23" borderId="112" applyNumberFormat="0" applyAlignment="0" applyProtection="0"/>
    <xf numFmtId="0" fontId="21" fillId="7" borderId="113" applyNumberFormat="0" applyAlignment="0" applyProtection="0"/>
    <xf numFmtId="0" fontId="55" fillId="0" borderId="108" applyProtection="0"/>
    <xf numFmtId="0" fontId="55" fillId="0" borderId="115" applyProtection="0"/>
    <xf numFmtId="0" fontId="21" fillId="7" borderId="106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2" fillId="23" borderId="112" applyNumberFormat="0" applyAlignment="0" applyProtection="0"/>
    <xf numFmtId="0" fontId="55" fillId="0" borderId="115" applyProtection="0"/>
    <xf numFmtId="0" fontId="55" fillId="0" borderId="115" applyProtection="0"/>
    <xf numFmtId="0" fontId="52" fillId="23" borderId="112" applyNumberFormat="0" applyAlignment="0" applyProtection="0"/>
    <xf numFmtId="0" fontId="52" fillId="23" borderId="112" applyNumberFormat="0" applyAlignment="0" applyProtection="0"/>
    <xf numFmtId="0" fontId="55" fillId="0" borderId="115" applyProtection="0"/>
    <xf numFmtId="0" fontId="55" fillId="0" borderId="115" applyProtection="0"/>
    <xf numFmtId="0" fontId="55" fillId="0" borderId="115" applyProtection="0"/>
    <xf numFmtId="0" fontId="28" fillId="43" borderId="114" applyNumberFormat="0" applyAlignment="0" applyProtection="0"/>
    <xf numFmtId="0" fontId="21" fillId="44" borderId="113" applyNumberFormat="0" applyAlignment="0" applyProtection="0"/>
    <xf numFmtId="0" fontId="55" fillId="0" borderId="115" applyProtection="0"/>
    <xf numFmtId="0" fontId="55" fillId="0" borderId="115" applyProtection="0"/>
    <xf numFmtId="0" fontId="55" fillId="0" borderId="115" applyProtection="0"/>
    <xf numFmtId="0" fontId="55" fillId="0" borderId="115" applyProtection="0"/>
    <xf numFmtId="0" fontId="55" fillId="0" borderId="115" applyProtection="0"/>
    <xf numFmtId="0" fontId="52" fillId="23" borderId="112" applyNumberFormat="0" applyAlignment="0" applyProtection="0"/>
    <xf numFmtId="0" fontId="55" fillId="0" borderId="115" applyProtection="0"/>
    <xf numFmtId="0" fontId="14" fillId="43" borderId="113" applyNumberFormat="0" applyAlignment="0" applyProtection="0"/>
    <xf numFmtId="0" fontId="55" fillId="0" borderId="115" applyProtection="0"/>
    <xf numFmtId="0" fontId="21" fillId="44" borderId="113" applyNumberFormat="0" applyAlignment="0" applyProtection="0"/>
    <xf numFmtId="0" fontId="28" fillId="43" borderId="114" applyNumberFormat="0" applyAlignment="0" applyProtection="0"/>
    <xf numFmtId="0" fontId="55" fillId="0" borderId="115" applyProtection="0"/>
    <xf numFmtId="0" fontId="21" fillId="7" borderId="113" applyNumberFormat="0" applyAlignment="0" applyProtection="0"/>
    <xf numFmtId="0" fontId="55" fillId="0" borderId="115" applyProtection="0"/>
    <xf numFmtId="0" fontId="55" fillId="0" borderId="115" applyProtection="0"/>
    <xf numFmtId="0" fontId="28" fillId="43" borderId="114" applyNumberFormat="0" applyAlignment="0" applyProtection="0"/>
    <xf numFmtId="0" fontId="55" fillId="0" borderId="115" applyProtection="0"/>
    <xf numFmtId="0" fontId="55" fillId="0" borderId="115" applyProtection="0"/>
    <xf numFmtId="0" fontId="52" fillId="23" borderId="112" applyNumberFormat="0" applyAlignment="0" applyProtection="0"/>
    <xf numFmtId="0" fontId="55" fillId="0" borderId="115" applyProtection="0"/>
    <xf numFmtId="0" fontId="55" fillId="0" borderId="115" applyProtection="0"/>
    <xf numFmtId="0" fontId="28" fillId="20" borderId="114" applyNumberFormat="0" applyAlignment="0" applyProtection="0"/>
    <xf numFmtId="0" fontId="14" fillId="43" borderId="113" applyNumberFormat="0" applyAlignment="0" applyProtection="0"/>
    <xf numFmtId="0" fontId="52" fillId="23" borderId="112" applyNumberFormat="0" applyAlignment="0" applyProtection="0"/>
    <xf numFmtId="0" fontId="52" fillId="23" borderId="112" applyNumberFormat="0" applyAlignment="0" applyProtection="0"/>
    <xf numFmtId="0" fontId="28" fillId="20" borderId="114" applyNumberFormat="0" applyAlignment="0" applyProtection="0"/>
    <xf numFmtId="0" fontId="28" fillId="20" borderId="114" applyNumberFormat="0" applyAlignment="0" applyProtection="0"/>
    <xf numFmtId="0" fontId="52" fillId="23" borderId="112" applyNumberFormat="0" applyAlignment="0" applyProtection="0"/>
    <xf numFmtId="0" fontId="55" fillId="0" borderId="115" applyProtection="0"/>
    <xf numFmtId="0" fontId="26" fillId="32" borderId="112" applyNumberFormat="0" applyFont="0" applyAlignment="0" applyProtection="0"/>
    <xf numFmtId="0" fontId="52" fillId="23" borderId="112" applyNumberFormat="0" applyAlignment="0" applyProtection="0"/>
    <xf numFmtId="0" fontId="55" fillId="0" borderId="115" applyProtection="0"/>
    <xf numFmtId="0" fontId="14" fillId="43" borderId="113" applyNumberFormat="0" applyAlignment="0" applyProtection="0"/>
    <xf numFmtId="0" fontId="21" fillId="7" borderId="113" applyNumberFormat="0" applyAlignment="0" applyProtection="0"/>
    <xf numFmtId="0" fontId="55" fillId="0" borderId="115" applyProtection="0"/>
    <xf numFmtId="0" fontId="14" fillId="43" borderId="113" applyNumberFormat="0" applyAlignment="0" applyProtection="0"/>
    <xf numFmtId="0" fontId="55" fillId="0" borderId="115" applyProtection="0"/>
    <xf numFmtId="0" fontId="55" fillId="0" borderId="115" applyProtection="0"/>
    <xf numFmtId="0" fontId="14" fillId="20" borderId="113" applyNumberFormat="0" applyAlignment="0" applyProtection="0"/>
    <xf numFmtId="0" fontId="55" fillId="0" borderId="115" applyProtection="0"/>
    <xf numFmtId="0" fontId="55" fillId="0" borderId="115" applyProtection="0"/>
    <xf numFmtId="0" fontId="52" fillId="23" borderId="112" applyNumberFormat="0" applyAlignment="0" applyProtection="0"/>
    <xf numFmtId="0" fontId="55" fillId="0" borderId="115" applyProtection="0"/>
    <xf numFmtId="0" fontId="28" fillId="20" borderId="114" applyNumberFormat="0" applyAlignment="0" applyProtection="0"/>
    <xf numFmtId="0" fontId="55" fillId="0" borderId="115" applyProtection="0"/>
    <xf numFmtId="0" fontId="55" fillId="0" borderId="115" applyProtection="0"/>
    <xf numFmtId="0" fontId="52" fillId="23" borderId="112" applyNumberFormat="0" applyAlignment="0" applyProtection="0"/>
    <xf numFmtId="0" fontId="14" fillId="20" borderId="113" applyNumberFormat="0" applyAlignment="0" applyProtection="0"/>
    <xf numFmtId="0" fontId="26" fillId="32" borderId="112" applyNumberFormat="0" applyFont="0" applyAlignment="0" applyProtection="0"/>
    <xf numFmtId="0" fontId="21" fillId="44" borderId="113" applyNumberFormat="0" applyAlignment="0" applyProtection="0"/>
    <xf numFmtId="0" fontId="55" fillId="0" borderId="115" applyProtection="0"/>
    <xf numFmtId="0" fontId="55" fillId="0" borderId="115" applyProtection="0"/>
    <xf numFmtId="0" fontId="28" fillId="43" borderId="114" applyNumberFormat="0" applyAlignment="0" applyProtection="0"/>
    <xf numFmtId="0" fontId="55" fillId="0" borderId="115" applyProtection="0"/>
    <xf numFmtId="0" fontId="55" fillId="0" borderId="115" applyProtection="0"/>
    <xf numFmtId="0" fontId="52" fillId="23" borderId="112" applyNumberFormat="0" applyAlignment="0" applyProtection="0"/>
    <xf numFmtId="0" fontId="52" fillId="23" borderId="112" applyNumberFormat="0" applyAlignment="0" applyProtection="0"/>
    <xf numFmtId="0" fontId="52" fillId="23" borderId="112" applyNumberFormat="0" applyAlignment="0" applyProtection="0"/>
    <xf numFmtId="0" fontId="52" fillId="23" borderId="112" applyNumberFormat="0" applyAlignment="0" applyProtection="0"/>
    <xf numFmtId="0" fontId="26" fillId="32" borderId="112" applyNumberFormat="0" applyFont="0" applyAlignment="0" applyProtection="0"/>
    <xf numFmtId="0" fontId="26" fillId="32" borderId="112" applyNumberFormat="0" applyFont="0" applyAlignment="0" applyProtection="0"/>
    <xf numFmtId="0" fontId="55" fillId="0" borderId="115" applyProtection="0"/>
    <xf numFmtId="0" fontId="21" fillId="44" borderId="113" applyNumberFormat="0" applyAlignment="0" applyProtection="0"/>
    <xf numFmtId="0" fontId="14" fillId="43" borderId="113" applyNumberFormat="0" applyAlignment="0" applyProtection="0"/>
    <xf numFmtId="0" fontId="14" fillId="20" borderId="113" applyNumberFormat="0" applyAlignment="0" applyProtection="0"/>
    <xf numFmtId="0" fontId="21" fillId="7" borderId="113" applyNumberFormat="0" applyAlignment="0" applyProtection="0"/>
    <xf numFmtId="0" fontId="55" fillId="0" borderId="115" applyProtection="0"/>
    <xf numFmtId="0" fontId="28" fillId="20" borderId="114" applyNumberFormat="0" applyAlignment="0" applyProtection="0"/>
    <xf numFmtId="0" fontId="26" fillId="32" borderId="112" applyNumberFormat="0" applyFont="0" applyAlignment="0" applyProtection="0"/>
    <xf numFmtId="0" fontId="55" fillId="0" borderId="115" applyProtection="0"/>
    <xf numFmtId="0" fontId="52" fillId="23" borderId="112" applyNumberFormat="0" applyAlignment="0" applyProtection="0"/>
    <xf numFmtId="0" fontId="52" fillId="23" borderId="112" applyNumberFormat="0" applyAlignment="0" applyProtection="0"/>
    <xf numFmtId="0" fontId="52" fillId="23" borderId="112" applyNumberFormat="0" applyAlignment="0" applyProtection="0"/>
    <xf numFmtId="0" fontId="52" fillId="23" borderId="112" applyNumberFormat="0" applyAlignment="0" applyProtection="0"/>
    <xf numFmtId="0" fontId="26" fillId="32" borderId="112" applyNumberFormat="0" applyFont="0" applyAlignment="0" applyProtection="0"/>
    <xf numFmtId="0" fontId="26" fillId="32" borderId="112" applyNumberFormat="0" applyFont="0" applyAlignment="0" applyProtection="0"/>
    <xf numFmtId="0" fontId="55" fillId="0" borderId="115" applyProtection="0"/>
    <xf numFmtId="0" fontId="14" fillId="20" borderId="113" applyNumberFormat="0" applyAlignment="0" applyProtection="0"/>
    <xf numFmtId="0" fontId="52" fillId="23" borderId="112" applyNumberFormat="0" applyAlignment="0" applyProtection="0"/>
    <xf numFmtId="0" fontId="26" fillId="32" borderId="112" applyNumberFormat="0" applyFont="0" applyAlignment="0" applyProtection="0"/>
    <xf numFmtId="0" fontId="55" fillId="0" borderId="115" applyProtection="0"/>
    <xf numFmtId="0" fontId="55" fillId="0" borderId="115" applyProtection="0"/>
    <xf numFmtId="0" fontId="26" fillId="32" borderId="112" applyNumberFormat="0" applyFont="0" applyAlignment="0" applyProtection="0"/>
    <xf numFmtId="0" fontId="26" fillId="32" borderId="112" applyNumberFormat="0" applyFont="0" applyAlignment="0" applyProtection="0"/>
    <xf numFmtId="0" fontId="21" fillId="7" borderId="113" applyNumberFormat="0" applyAlignment="0" applyProtection="0"/>
    <xf numFmtId="0" fontId="14" fillId="20" borderId="113" applyNumberFormat="0" applyAlignment="0" applyProtection="0"/>
    <xf numFmtId="0" fontId="21" fillId="44" borderId="113" applyNumberFormat="0" applyAlignment="0" applyProtection="0"/>
    <xf numFmtId="0" fontId="28" fillId="43" borderId="114" applyNumberFormat="0" applyAlignment="0" applyProtection="0"/>
    <xf numFmtId="0" fontId="55" fillId="0" borderId="115" applyProtection="0"/>
    <xf numFmtId="0" fontId="21" fillId="7" borderId="113" applyNumberFormat="0" applyAlignment="0" applyProtection="0"/>
    <xf numFmtId="165" fontId="52" fillId="0" borderId="0" applyFont="0" applyFill="0" applyBorder="0" applyAlignment="0" applyProtection="0"/>
    <xf numFmtId="0" fontId="24" fillId="0" borderId="0"/>
    <xf numFmtId="0" fontId="2" fillId="0" borderId="0"/>
    <xf numFmtId="0" fontId="27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9" fillId="0" borderId="0"/>
    <xf numFmtId="0" fontId="1" fillId="0" borderId="0"/>
    <xf numFmtId="164" fontId="1" fillId="0" borderId="0" applyFont="0" applyFill="0" applyBorder="0" applyAlignment="0" applyProtection="0"/>
    <xf numFmtId="0" fontId="88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871">
    <xf numFmtId="0" fontId="0" fillId="0" borderId="0" xfId="0"/>
    <xf numFmtId="14" fontId="37" fillId="25" borderId="0" xfId="107" applyNumberFormat="1" applyFont="1" applyFill="1" applyAlignment="1">
      <alignment horizontal="center"/>
    </xf>
    <xf numFmtId="0" fontId="52" fillId="25" borderId="0" xfId="107" applyFill="1"/>
    <xf numFmtId="0" fontId="52" fillId="0" borderId="0" xfId="107"/>
    <xf numFmtId="0" fontId="37" fillId="0" borderId="0" xfId="0" applyFont="1"/>
    <xf numFmtId="0" fontId="37" fillId="0" borderId="0" xfId="0" applyFont="1" applyAlignment="1">
      <alignment horizontal="center"/>
    </xf>
    <xf numFmtId="0" fontId="40" fillId="0" borderId="0" xfId="0" applyFont="1" applyAlignment="1">
      <alignment horizontal="center" vertical="center"/>
    </xf>
    <xf numFmtId="0" fontId="41" fillId="8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0" fontId="52" fillId="0" borderId="0" xfId="82"/>
    <xf numFmtId="0" fontId="52" fillId="0" borderId="0" xfId="82" applyAlignment="1">
      <alignment wrapText="1"/>
    </xf>
    <xf numFmtId="0" fontId="0" fillId="0" borderId="0" xfId="82" applyFont="1" applyAlignment="1">
      <alignment vertical="center" textRotation="180" wrapText="1"/>
    </xf>
    <xf numFmtId="0" fontId="0" fillId="0" borderId="0" xfId="82" applyFont="1"/>
    <xf numFmtId="0" fontId="37" fillId="0" borderId="0" xfId="82" applyFont="1"/>
    <xf numFmtId="0" fontId="43" fillId="0" borderId="0" xfId="82" applyFont="1"/>
    <xf numFmtId="0" fontId="37" fillId="0" borderId="0" xfId="82" applyFont="1" applyAlignment="1">
      <alignment vertical="center"/>
    </xf>
    <xf numFmtId="0" fontId="35" fillId="0" borderId="0" xfId="82" applyFont="1" applyAlignment="1">
      <alignment horizontal="center" vertical="center"/>
    </xf>
    <xf numFmtId="1" fontId="52" fillId="0" borderId="0" xfId="82" applyNumberFormat="1"/>
    <xf numFmtId="0" fontId="33" fillId="6" borderId="0" xfId="82" applyFont="1" applyFill="1" applyAlignment="1" applyProtection="1">
      <alignment horizontal="left"/>
      <protection locked="0"/>
    </xf>
    <xf numFmtId="0" fontId="37" fillId="6" borderId="0" xfId="82" applyFont="1" applyFill="1" applyProtection="1">
      <protection locked="0"/>
    </xf>
    <xf numFmtId="0" fontId="33" fillId="6" borderId="0" xfId="82" applyFont="1" applyFill="1" applyAlignment="1" applyProtection="1">
      <alignment vertical="center"/>
      <protection locked="0"/>
    </xf>
    <xf numFmtId="0" fontId="32" fillId="0" borderId="0" xfId="82" applyFont="1" applyAlignment="1">
      <alignment vertical="center" textRotation="180" wrapText="1"/>
    </xf>
    <xf numFmtId="0" fontId="33" fillId="6" borderId="0" xfId="82" applyFont="1" applyFill="1" applyAlignment="1" applyProtection="1">
      <alignment horizontal="left" vertical="center"/>
      <protection locked="0"/>
    </xf>
    <xf numFmtId="0" fontId="33" fillId="6" borderId="0" xfId="82" applyFont="1" applyFill="1" applyAlignment="1" applyProtection="1">
      <alignment horizontal="center" vertical="center"/>
      <protection locked="0"/>
    </xf>
    <xf numFmtId="0" fontId="46" fillId="6" borderId="0" xfId="82" applyFont="1" applyFill="1" applyAlignment="1" applyProtection="1">
      <alignment horizontal="left"/>
      <protection locked="0"/>
    </xf>
    <xf numFmtId="0" fontId="46" fillId="6" borderId="0" xfId="82" applyFont="1" applyFill="1" applyAlignment="1" applyProtection="1">
      <alignment horizontal="left" vertical="center"/>
      <protection locked="0"/>
    </xf>
    <xf numFmtId="0" fontId="46" fillId="6" borderId="0" xfId="82" applyFont="1" applyFill="1" applyAlignment="1" applyProtection="1">
      <alignment horizontal="center" vertical="center"/>
      <protection locked="0"/>
    </xf>
    <xf numFmtId="0" fontId="33" fillId="0" borderId="0" xfId="82" applyFont="1"/>
    <xf numFmtId="1" fontId="33" fillId="0" borderId="0" xfId="82" applyNumberFormat="1" applyFont="1"/>
    <xf numFmtId="174" fontId="35" fillId="0" borderId="0" xfId="82" applyNumberFormat="1" applyFont="1"/>
    <xf numFmtId="14" fontId="33" fillId="0" borderId="0" xfId="82" applyNumberFormat="1" applyFont="1"/>
    <xf numFmtId="169" fontId="32" fillId="0" borderId="0" xfId="82" applyNumberFormat="1" applyFont="1" applyAlignment="1">
      <alignment vertical="center" textRotation="180" wrapText="1"/>
    </xf>
    <xf numFmtId="0" fontId="52" fillId="24" borderId="0" xfId="82" applyFill="1"/>
    <xf numFmtId="2" fontId="52" fillId="24" borderId="0" xfId="82" applyNumberFormat="1" applyFill="1"/>
    <xf numFmtId="2" fontId="33" fillId="24" borderId="0" xfId="82" applyNumberFormat="1" applyFont="1" applyFill="1"/>
    <xf numFmtId="0" fontId="0" fillId="24" borderId="0" xfId="82" applyFont="1" applyFill="1"/>
    <xf numFmtId="0" fontId="43" fillId="24" borderId="0" xfId="82" applyFont="1" applyFill="1"/>
    <xf numFmtId="0" fontId="33" fillId="24" borderId="0" xfId="82" applyFont="1" applyFill="1"/>
    <xf numFmtId="0" fontId="0" fillId="0" borderId="0" xfId="82" applyFont="1" applyAlignment="1">
      <alignment horizontal="left"/>
    </xf>
    <xf numFmtId="0" fontId="52" fillId="0" borderId="0" xfId="82" applyAlignment="1">
      <alignment horizontal="left"/>
    </xf>
    <xf numFmtId="0" fontId="52" fillId="24" borderId="0" xfId="82" applyFill="1" applyAlignment="1">
      <alignment horizontal="left"/>
    </xf>
    <xf numFmtId="49" fontId="45" fillId="24" borderId="0" xfId="116" applyNumberFormat="1" applyFont="1" applyFill="1" applyAlignment="1">
      <alignment horizontal="center" vertical="center"/>
    </xf>
    <xf numFmtId="4" fontId="37" fillId="24" borderId="0" xfId="82" applyNumberFormat="1" applyFont="1" applyFill="1" applyAlignment="1">
      <alignment horizontal="center" vertical="center"/>
    </xf>
    <xf numFmtId="2" fontId="37" fillId="24" borderId="0" xfId="82" applyNumberFormat="1" applyFont="1" applyFill="1" applyAlignment="1">
      <alignment horizontal="center"/>
    </xf>
    <xf numFmtId="4" fontId="37" fillId="24" borderId="0" xfId="82" applyNumberFormat="1" applyFont="1" applyFill="1" applyAlignment="1">
      <alignment horizontal="center"/>
    </xf>
    <xf numFmtId="4" fontId="47" fillId="24" borderId="0" xfId="82" applyNumberFormat="1" applyFont="1" applyFill="1" applyAlignment="1">
      <alignment horizontal="center" vertical="center"/>
    </xf>
    <xf numFmtId="0" fontId="47" fillId="24" borderId="0" xfId="82" applyFont="1" applyFill="1" applyAlignment="1">
      <alignment horizontal="center" vertical="center"/>
    </xf>
    <xf numFmtId="0" fontId="52" fillId="0" borderId="0" xfId="68"/>
    <xf numFmtId="4" fontId="48" fillId="24" borderId="0" xfId="82" applyNumberFormat="1" applyFont="1" applyFill="1" applyAlignment="1">
      <alignment horizontal="center"/>
    </xf>
    <xf numFmtId="175" fontId="48" fillId="24" borderId="0" xfId="82" applyNumberFormat="1" applyFont="1" applyFill="1" applyAlignment="1">
      <alignment horizontal="center"/>
    </xf>
    <xf numFmtId="4" fontId="48" fillId="24" borderId="0" xfId="82" applyNumberFormat="1" applyFont="1" applyFill="1"/>
    <xf numFmtId="0" fontId="37" fillId="24" borderId="0" xfId="82" applyFont="1" applyFill="1"/>
    <xf numFmtId="4" fontId="52" fillId="0" borderId="0" xfId="82" applyNumberFormat="1"/>
    <xf numFmtId="0" fontId="52" fillId="0" borderId="0" xfId="83"/>
    <xf numFmtId="0" fontId="52" fillId="0" borderId="0" xfId="83" applyAlignment="1">
      <alignment vertical="center"/>
    </xf>
    <xf numFmtId="0" fontId="52" fillId="0" borderId="0" xfId="83" applyAlignment="1">
      <alignment horizontal="center"/>
    </xf>
    <xf numFmtId="0" fontId="52" fillId="0" borderId="0" xfId="83" applyAlignment="1">
      <alignment shrinkToFit="1"/>
    </xf>
    <xf numFmtId="4" fontId="52" fillId="0" borderId="0" xfId="83" applyNumberFormat="1"/>
    <xf numFmtId="0" fontId="38" fillId="0" borderId="0" xfId="78" applyFont="1"/>
    <xf numFmtId="0" fontId="52" fillId="0" borderId="0" xfId="83" applyAlignment="1">
      <alignment horizontal="center" shrinkToFit="1"/>
    </xf>
    <xf numFmtId="171" fontId="3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34" fillId="0" borderId="0" xfId="0" applyFont="1" applyAlignment="1" applyProtection="1">
      <alignment horizontal="center" vertical="center"/>
      <protection locked="0"/>
    </xf>
    <xf numFmtId="0" fontId="52" fillId="24" borderId="0" xfId="82" applyFill="1" applyAlignment="1">
      <alignment horizontal="left" vertical="center"/>
    </xf>
    <xf numFmtId="0" fontId="43" fillId="24" borderId="0" xfId="82" applyFont="1" applyFill="1" applyAlignment="1">
      <alignment horizontal="left" vertical="center"/>
    </xf>
    <xf numFmtId="0" fontId="0" fillId="24" borderId="0" xfId="82" applyFont="1" applyFill="1" applyAlignment="1">
      <alignment horizontal="left" wrapText="1"/>
    </xf>
    <xf numFmtId="0" fontId="52" fillId="0" borderId="18" xfId="81" applyBorder="1"/>
    <xf numFmtId="0" fontId="52" fillId="0" borderId="21" xfId="81" applyBorder="1"/>
    <xf numFmtId="0" fontId="52" fillId="0" borderId="16" xfId="81" applyBorder="1"/>
    <xf numFmtId="0" fontId="52" fillId="0" borderId="0" xfId="81"/>
    <xf numFmtId="0" fontId="54" fillId="0" borderId="0" xfId="141" applyFill="1" applyBorder="1" applyAlignment="1" applyProtection="1"/>
    <xf numFmtId="14" fontId="33" fillId="0" borderId="0" xfId="82" applyNumberFormat="1" applyFont="1" applyAlignment="1">
      <alignment horizontal="center"/>
    </xf>
    <xf numFmtId="4" fontId="52" fillId="24" borderId="0" xfId="82" applyNumberFormat="1" applyFill="1"/>
    <xf numFmtId="177" fontId="33" fillId="0" borderId="24" xfId="81" applyNumberFormat="1" applyFont="1" applyBorder="1" applyAlignment="1">
      <alignment horizontal="left"/>
    </xf>
    <xf numFmtId="0" fontId="52" fillId="0" borderId="24" xfId="81" applyBorder="1"/>
    <xf numFmtId="0" fontId="37" fillId="0" borderId="0" xfId="0" applyFont="1" applyAlignment="1">
      <alignment vertical="center"/>
    </xf>
    <xf numFmtId="0" fontId="49" fillId="0" borderId="0" xfId="0" applyFont="1"/>
    <xf numFmtId="0" fontId="49" fillId="0" borderId="0" xfId="0" applyFont="1" applyAlignment="1">
      <alignment horizontal="center" vertical="center"/>
    </xf>
    <xf numFmtId="0" fontId="49" fillId="0" borderId="0" xfId="82" applyFont="1"/>
    <xf numFmtId="0" fontId="0" fillId="0" borderId="0" xfId="89" applyFont="1"/>
    <xf numFmtId="0" fontId="49" fillId="35" borderId="0" xfId="0" applyFont="1" applyFill="1"/>
    <xf numFmtId="0" fontId="49" fillId="35" borderId="0" xfId="0" applyFont="1" applyFill="1" applyAlignment="1">
      <alignment horizontal="center" vertical="center"/>
    </xf>
    <xf numFmtId="0" fontId="46" fillId="0" borderId="0" xfId="82" applyFont="1" applyAlignment="1" applyProtection="1">
      <alignment horizontal="left"/>
      <protection locked="0"/>
    </xf>
    <xf numFmtId="0" fontId="49" fillId="35" borderId="0" xfId="0" applyFont="1" applyFill="1" applyAlignment="1">
      <alignment vertical="center"/>
    </xf>
    <xf numFmtId="0" fontId="0" fillId="0" borderId="0" xfId="83" applyFont="1"/>
    <xf numFmtId="1" fontId="49" fillId="24" borderId="25" xfId="82" applyNumberFormat="1" applyFont="1" applyFill="1" applyBorder="1" applyAlignment="1">
      <alignment horizontal="center" vertical="center"/>
    </xf>
    <xf numFmtId="0" fontId="52" fillId="0" borderId="0" xfId="83" applyAlignment="1" applyProtection="1">
      <alignment horizontal="center"/>
      <protection locked="0"/>
    </xf>
    <xf numFmtId="3" fontId="52" fillId="0" borderId="0" xfId="83" applyNumberFormat="1" applyAlignment="1">
      <alignment vertical="center"/>
    </xf>
    <xf numFmtId="0" fontId="44" fillId="0" borderId="0" xfId="0" applyFont="1" applyAlignment="1" applyProtection="1">
      <alignment horizontal="center" vertical="center"/>
      <protection locked="0"/>
    </xf>
    <xf numFmtId="1" fontId="0" fillId="20" borderId="26" xfId="0" applyNumberFormat="1" applyFill="1" applyBorder="1" applyAlignment="1">
      <alignment horizontal="center" vertical="center" wrapText="1"/>
    </xf>
    <xf numFmtId="0" fontId="44" fillId="0" borderId="16" xfId="81" applyFont="1" applyBorder="1" applyAlignment="1">
      <alignment horizontal="left" wrapText="1"/>
    </xf>
    <xf numFmtId="0" fontId="44" fillId="0" borderId="0" xfId="81" applyFont="1" applyAlignment="1">
      <alignment horizontal="left" wrapText="1"/>
    </xf>
    <xf numFmtId="0" fontId="44" fillId="0" borderId="24" xfId="81" applyFont="1" applyBorder="1" applyAlignment="1">
      <alignment horizontal="left" wrapText="1"/>
    </xf>
    <xf numFmtId="0" fontId="0" fillId="24" borderId="0" xfId="82" applyFont="1" applyFill="1" applyAlignment="1">
      <alignment horizontal="left"/>
    </xf>
    <xf numFmtId="0" fontId="48" fillId="24" borderId="0" xfId="82" applyFont="1" applyFill="1" applyAlignment="1">
      <alignment horizontal="center"/>
    </xf>
    <xf numFmtId="0" fontId="33" fillId="24" borderId="0" xfId="82" applyFont="1" applyFill="1" applyAlignment="1">
      <alignment horizontal="center"/>
    </xf>
    <xf numFmtId="0" fontId="43" fillId="0" borderId="0" xfId="82" applyFont="1" applyAlignment="1">
      <alignment horizontal="center"/>
    </xf>
    <xf numFmtId="0" fontId="61" fillId="36" borderId="26" xfId="107" applyFont="1" applyFill="1" applyBorder="1" applyAlignment="1" applyProtection="1">
      <alignment horizontal="center" vertical="center" wrapText="1"/>
      <protection locked="0"/>
    </xf>
    <xf numFmtId="0" fontId="61" fillId="34" borderId="26" xfId="107" applyFont="1" applyFill="1" applyBorder="1" applyAlignment="1" applyProtection="1">
      <alignment horizontal="center" vertical="center" wrapText="1"/>
      <protection locked="0"/>
    </xf>
    <xf numFmtId="0" fontId="52" fillId="0" borderId="0" xfId="82" applyAlignment="1">
      <alignment horizontal="center"/>
    </xf>
    <xf numFmtId="0" fontId="32" fillId="0" borderId="0" xfId="82" applyFont="1" applyAlignment="1">
      <alignment horizontal="center" vertical="center" textRotation="180" wrapText="1"/>
    </xf>
    <xf numFmtId="0" fontId="52" fillId="24" borderId="0" xfId="82" applyFill="1" applyAlignment="1">
      <alignment horizontal="center"/>
    </xf>
    <xf numFmtId="170" fontId="32" fillId="20" borderId="32" xfId="83" applyNumberFormat="1" applyFont="1" applyFill="1" applyBorder="1" applyAlignment="1">
      <alignment horizontal="center" vertical="center"/>
    </xf>
    <xf numFmtId="0" fontId="0" fillId="0" borderId="31" xfId="83" applyFont="1" applyBorder="1" applyAlignment="1">
      <alignment horizontal="center" vertical="center"/>
    </xf>
    <xf numFmtId="3" fontId="41" fillId="0" borderId="33" xfId="0" applyNumberFormat="1" applyFont="1" applyBorder="1"/>
    <xf numFmtId="0" fontId="0" fillId="0" borderId="31" xfId="0" applyBorder="1" applyAlignment="1">
      <alignment horizontal="center" vertical="center"/>
    </xf>
    <xf numFmtId="176" fontId="52" fillId="0" borderId="31" xfId="82" applyNumberFormat="1" applyBorder="1" applyAlignment="1">
      <alignment horizontal="center" vertical="center"/>
    </xf>
    <xf numFmtId="1" fontId="34" fillId="0" borderId="31" xfId="82" applyNumberFormat="1" applyFont="1" applyBorder="1" applyAlignment="1">
      <alignment horizontal="center" vertical="center"/>
    </xf>
    <xf numFmtId="4" fontId="39" fillId="0" borderId="31" xfId="83" applyNumberFormat="1" applyFont="1" applyBorder="1" applyAlignment="1">
      <alignment vertical="center"/>
    </xf>
    <xf numFmtId="176" fontId="52" fillId="0" borderId="31" xfId="82" applyNumberFormat="1" applyBorder="1" applyAlignment="1">
      <alignment horizontal="left" vertical="center"/>
    </xf>
    <xf numFmtId="4" fontId="39" fillId="37" borderId="31" xfId="83" applyNumberFormat="1" applyFont="1" applyFill="1" applyBorder="1" applyAlignment="1">
      <alignment vertical="center"/>
    </xf>
    <xf numFmtId="3" fontId="52" fillId="0" borderId="31" xfId="82" applyNumberFormat="1" applyBorder="1" applyAlignment="1">
      <alignment shrinkToFit="1"/>
    </xf>
    <xf numFmtId="3" fontId="0" fillId="0" borderId="31" xfId="83" applyNumberFormat="1" applyFont="1" applyBorder="1" applyAlignment="1">
      <alignment horizontal="left"/>
    </xf>
    <xf numFmtId="0" fontId="0" fillId="0" borderId="31" xfId="83" applyFont="1" applyBorder="1" applyAlignment="1">
      <alignment horizontal="center"/>
    </xf>
    <xf numFmtId="4" fontId="0" fillId="0" borderId="34" xfId="83" applyNumberFormat="1" applyFont="1" applyBorder="1" applyAlignment="1">
      <alignment horizontal="center"/>
    </xf>
    <xf numFmtId="0" fontId="52" fillId="28" borderId="33" xfId="80" applyFill="1" applyBorder="1" applyAlignment="1">
      <alignment horizontal="center"/>
    </xf>
    <xf numFmtId="0" fontId="52" fillId="0" borderId="31" xfId="83" applyBorder="1" applyAlignment="1">
      <alignment horizontal="center" vertical="center"/>
    </xf>
    <xf numFmtId="176" fontId="52" fillId="0" borderId="31" xfId="83" applyNumberFormat="1" applyBorder="1" applyAlignment="1">
      <alignment horizontal="center" vertical="center"/>
    </xf>
    <xf numFmtId="4" fontId="33" fillId="0" borderId="31" xfId="83" applyNumberFormat="1" applyFont="1" applyBorder="1" applyAlignment="1">
      <alignment vertical="center"/>
    </xf>
    <xf numFmtId="4" fontId="52" fillId="0" borderId="31" xfId="83" applyNumberFormat="1" applyBorder="1" applyAlignment="1">
      <alignment vertical="center"/>
    </xf>
    <xf numFmtId="0" fontId="24" fillId="0" borderId="31" xfId="75" applyFont="1" applyBorder="1"/>
    <xf numFmtId="49" fontId="42" fillId="20" borderId="39" xfId="116" applyNumberFormat="1" applyFont="1" applyFill="1" applyBorder="1" applyAlignment="1">
      <alignment horizontal="center" vertical="center" wrapText="1"/>
    </xf>
    <xf numFmtId="1" fontId="0" fillId="20" borderId="45" xfId="0" applyNumberFormat="1" applyFill="1" applyBorder="1" applyAlignment="1">
      <alignment horizontal="center" vertical="center" wrapText="1"/>
    </xf>
    <xf numFmtId="1" fontId="0" fillId="20" borderId="46" xfId="0" applyNumberFormat="1" applyFill="1" applyBorder="1" applyAlignment="1">
      <alignment horizontal="center" vertical="center" wrapText="1"/>
    </xf>
    <xf numFmtId="1" fontId="0" fillId="20" borderId="48" xfId="0" applyNumberFormat="1" applyFill="1" applyBorder="1" applyAlignment="1">
      <alignment horizontal="center" vertical="center" wrapText="1"/>
    </xf>
    <xf numFmtId="49" fontId="0" fillId="20" borderId="48" xfId="116" applyNumberFormat="1" applyFont="1" applyFill="1" applyBorder="1" applyAlignment="1">
      <alignment vertical="center"/>
    </xf>
    <xf numFmtId="49" fontId="49" fillId="20" borderId="48" xfId="116" applyNumberFormat="1" applyFont="1" applyFill="1" applyBorder="1" applyAlignment="1">
      <alignment horizontal="center" vertical="center"/>
    </xf>
    <xf numFmtId="49" fontId="42" fillId="20" borderId="49" xfId="116" applyNumberFormat="1" applyFont="1" applyFill="1" applyBorder="1" applyAlignment="1">
      <alignment horizontal="center" vertical="center" wrapText="1"/>
    </xf>
    <xf numFmtId="0" fontId="50" fillId="24" borderId="43" xfId="82" applyFont="1" applyFill="1" applyBorder="1" applyAlignment="1">
      <alignment horizontal="center" vertical="center"/>
    </xf>
    <xf numFmtId="1" fontId="37" fillId="24" borderId="43" xfId="82" applyNumberFormat="1" applyFont="1" applyFill="1" applyBorder="1" applyAlignment="1">
      <alignment horizontal="center" vertical="center"/>
    </xf>
    <xf numFmtId="177" fontId="34" fillId="24" borderId="43" xfId="82" applyNumberFormat="1" applyFont="1" applyFill="1" applyBorder="1" applyAlignment="1">
      <alignment horizontal="center" vertical="center"/>
    </xf>
    <xf numFmtId="0" fontId="34" fillId="24" borderId="43" xfId="82" applyFont="1" applyFill="1" applyBorder="1" applyAlignment="1">
      <alignment horizontal="center" vertical="center"/>
    </xf>
    <xf numFmtId="0" fontId="42" fillId="24" borderId="48" xfId="82" applyFont="1" applyFill="1" applyBorder="1" applyAlignment="1">
      <alignment horizontal="left" vertical="center"/>
    </xf>
    <xf numFmtId="1" fontId="34" fillId="24" borderId="39" xfId="82" applyNumberFormat="1" applyFont="1" applyFill="1" applyBorder="1"/>
    <xf numFmtId="0" fontId="34" fillId="24" borderId="49" xfId="82" applyFont="1" applyFill="1" applyBorder="1"/>
    <xf numFmtId="1" fontId="34" fillId="24" borderId="49" xfId="82" applyNumberFormat="1" applyFont="1" applyFill="1" applyBorder="1" applyAlignment="1">
      <alignment horizontal="right"/>
    </xf>
    <xf numFmtId="0" fontId="34" fillId="24" borderId="47" xfId="82" applyFont="1" applyFill="1" applyBorder="1"/>
    <xf numFmtId="1" fontId="34" fillId="0" borderId="39" xfId="82" applyNumberFormat="1" applyFont="1" applyBorder="1"/>
    <xf numFmtId="0" fontId="34" fillId="24" borderId="47" xfId="82" applyFont="1" applyFill="1" applyBorder="1" applyAlignment="1">
      <alignment horizontal="left"/>
    </xf>
    <xf numFmtId="0" fontId="52" fillId="0" borderId="52" xfId="81" applyBorder="1"/>
    <xf numFmtId="0" fontId="52" fillId="0" borderId="53" xfId="81" applyBorder="1"/>
    <xf numFmtId="0" fontId="52" fillId="0" borderId="54" xfId="81" applyBorder="1"/>
    <xf numFmtId="49" fontId="46" fillId="20" borderId="44" xfId="116" applyNumberFormat="1" applyFont="1" applyFill="1" applyBorder="1" applyAlignment="1">
      <alignment horizontal="center" vertical="center"/>
    </xf>
    <xf numFmtId="49" fontId="46" fillId="20" borderId="45" xfId="82" applyNumberFormat="1" applyFont="1" applyFill="1" applyBorder="1" applyAlignment="1">
      <alignment horizontal="center" vertical="center" wrapText="1"/>
    </xf>
    <xf numFmtId="49" fontId="46" fillId="20" borderId="45" xfId="82" applyNumberFormat="1" applyFont="1" applyFill="1" applyBorder="1" applyAlignment="1">
      <alignment horizontal="center" vertical="center"/>
    </xf>
    <xf numFmtId="49" fontId="46" fillId="20" borderId="43" xfId="116" applyNumberFormat="1" applyFont="1" applyFill="1" applyBorder="1" applyAlignment="1">
      <alignment horizontal="center" vertical="center" wrapText="1"/>
    </xf>
    <xf numFmtId="171" fontId="34" fillId="36" borderId="45" xfId="107" applyNumberFormat="1" applyFont="1" applyFill="1" applyBorder="1" applyAlignment="1">
      <alignment horizontal="center" vertical="center" wrapText="1"/>
    </xf>
    <xf numFmtId="171" fontId="34" fillId="34" borderId="45" xfId="107" applyNumberFormat="1" applyFont="1" applyFill="1" applyBorder="1" applyAlignment="1">
      <alignment horizontal="center" vertical="center" wrapText="1"/>
    </xf>
    <xf numFmtId="49" fontId="46" fillId="20" borderId="55" xfId="116" applyNumberFormat="1" applyFont="1" applyFill="1" applyBorder="1" applyAlignment="1">
      <alignment horizontal="center" vertical="center"/>
    </xf>
    <xf numFmtId="49" fontId="46" fillId="20" borderId="55" xfId="82" applyNumberFormat="1" applyFont="1" applyFill="1" applyBorder="1" applyAlignment="1">
      <alignment horizontal="center" vertical="center" wrapText="1"/>
    </xf>
    <xf numFmtId="49" fontId="46" fillId="20" borderId="55" xfId="82" applyNumberFormat="1" applyFont="1" applyFill="1" applyBorder="1" applyAlignment="1">
      <alignment horizontal="center" vertical="center"/>
    </xf>
    <xf numFmtId="1" fontId="49" fillId="24" borderId="43" xfId="82" applyNumberFormat="1" applyFont="1" applyFill="1" applyBorder="1" applyAlignment="1">
      <alignment horizontal="left" vertical="center"/>
    </xf>
    <xf numFmtId="14" fontId="49" fillId="24" borderId="43" xfId="82" applyNumberFormat="1" applyFont="1" applyFill="1" applyBorder="1" applyAlignment="1">
      <alignment horizontal="left" vertical="center"/>
    </xf>
    <xf numFmtId="1" fontId="49" fillId="0" borderId="43" xfId="82" applyNumberFormat="1" applyFont="1" applyBorder="1" applyAlignment="1">
      <alignment horizontal="center" vertical="center"/>
    </xf>
    <xf numFmtId="4" fontId="49" fillId="0" borderId="43" xfId="82" applyNumberFormat="1" applyFont="1" applyBorder="1" applyAlignment="1">
      <alignment horizontal="center" vertical="center"/>
    </xf>
    <xf numFmtId="0" fontId="32" fillId="0" borderId="48" xfId="82" applyFont="1" applyBorder="1" applyAlignment="1">
      <alignment horizontal="center" vertical="center" textRotation="180" wrapText="1"/>
    </xf>
    <xf numFmtId="0" fontId="32" fillId="0" borderId="48" xfId="82" applyFont="1" applyBorder="1" applyAlignment="1">
      <alignment vertical="center" textRotation="180" wrapText="1"/>
    </xf>
    <xf numFmtId="0" fontId="44" fillId="20" borderId="43" xfId="82" applyFont="1" applyFill="1" applyBorder="1" applyAlignment="1">
      <alignment horizontal="center" vertical="center"/>
    </xf>
    <xf numFmtId="0" fontId="44" fillId="20" borderId="39" xfId="82" applyFont="1" applyFill="1" applyBorder="1" applyAlignment="1">
      <alignment vertical="center"/>
    </xf>
    <xf numFmtId="0" fontId="44" fillId="20" borderId="49" xfId="82" applyFont="1" applyFill="1" applyBorder="1" applyAlignment="1">
      <alignment vertical="center"/>
    </xf>
    <xf numFmtId="0" fontId="33" fillId="20" borderId="43" xfId="82" applyFont="1" applyFill="1" applyBorder="1" applyAlignment="1">
      <alignment horizontal="center" vertical="center" wrapText="1"/>
    </xf>
    <xf numFmtId="0" fontId="0" fillId="0" borderId="43" xfId="82" applyFont="1" applyBorder="1" applyAlignment="1">
      <alignment horizontal="center" vertical="center"/>
    </xf>
    <xf numFmtId="0" fontId="0" fillId="0" borderId="39" xfId="82" applyFont="1" applyBorder="1" applyAlignment="1">
      <alignment vertical="center"/>
    </xf>
    <xf numFmtId="0" fontId="0" fillId="0" borderId="49" xfId="82" applyFont="1" applyBorder="1" applyAlignment="1">
      <alignment vertical="center"/>
    </xf>
    <xf numFmtId="14" fontId="0" fillId="0" borderId="39" xfId="82" applyNumberFormat="1" applyFont="1" applyBorder="1" applyAlignment="1">
      <alignment vertical="center"/>
    </xf>
    <xf numFmtId="14" fontId="0" fillId="0" borderId="49" xfId="82" applyNumberFormat="1" applyFont="1" applyBorder="1" applyAlignment="1">
      <alignment vertical="center"/>
    </xf>
    <xf numFmtId="1" fontId="0" fillId="0" borderId="49" xfId="82" applyNumberFormat="1" applyFont="1" applyBorder="1" applyAlignment="1">
      <alignment horizontal="center" vertical="center"/>
    </xf>
    <xf numFmtId="14" fontId="0" fillId="0" borderId="47" xfId="82" applyNumberFormat="1" applyFont="1" applyBorder="1" applyAlignment="1">
      <alignment horizontal="left" vertical="center"/>
    </xf>
    <xf numFmtId="0" fontId="0" fillId="0" borderId="43" xfId="82" applyFont="1" applyBorder="1" applyAlignment="1">
      <alignment horizontal="center" vertical="center" wrapText="1"/>
    </xf>
    <xf numFmtId="49" fontId="36" fillId="20" borderId="43" xfId="82" applyNumberFormat="1" applyFont="1" applyFill="1" applyBorder="1" applyAlignment="1">
      <alignment horizontal="center" vertical="center"/>
    </xf>
    <xf numFmtId="0" fontId="33" fillId="21" borderId="43" xfId="82" applyFont="1" applyFill="1" applyBorder="1" applyAlignment="1">
      <alignment horizontal="center" vertical="center" wrapText="1"/>
    </xf>
    <xf numFmtId="49" fontId="45" fillId="20" borderId="45" xfId="116" applyNumberFormat="1" applyFont="1" applyFill="1" applyBorder="1" applyAlignment="1">
      <alignment vertical="center" wrapText="1"/>
    </xf>
    <xf numFmtId="49" fontId="45" fillId="20" borderId="45" xfId="116" applyNumberFormat="1" applyFont="1" applyFill="1" applyBorder="1" applyAlignment="1">
      <alignment horizontal="center" vertical="center" wrapText="1"/>
    </xf>
    <xf numFmtId="4" fontId="45" fillId="20" borderId="46" xfId="82" applyNumberFormat="1" applyFont="1" applyFill="1" applyBorder="1" applyAlignment="1">
      <alignment horizontal="center" vertical="center" wrapText="1"/>
    </xf>
    <xf numFmtId="4" fontId="45" fillId="20" borderId="43" xfId="82" applyNumberFormat="1" applyFont="1" applyFill="1" applyBorder="1" applyAlignment="1">
      <alignment horizontal="center" vertical="center" wrapText="1"/>
    </xf>
    <xf numFmtId="1" fontId="52" fillId="24" borderId="43" xfId="82" applyNumberFormat="1" applyFill="1" applyBorder="1" applyAlignment="1">
      <alignment horizontal="left" vertical="center"/>
    </xf>
    <xf numFmtId="1" fontId="52" fillId="0" borderId="43" xfId="82" applyNumberFormat="1" applyBorder="1" applyAlignment="1">
      <alignment horizontal="center" vertical="center"/>
    </xf>
    <xf numFmtId="1" fontId="52" fillId="0" borderId="43" xfId="68" applyNumberFormat="1" applyBorder="1" applyAlignment="1">
      <alignment horizontal="center" vertical="center" wrapText="1"/>
    </xf>
    <xf numFmtId="171" fontId="32" fillId="39" borderId="44" xfId="107" applyNumberFormat="1" applyFont="1" applyFill="1" applyBorder="1" applyAlignment="1">
      <alignment horizontal="center" vertical="center" wrapText="1"/>
    </xf>
    <xf numFmtId="171" fontId="32" fillId="39" borderId="43" xfId="107" applyNumberFormat="1" applyFont="1" applyFill="1" applyBorder="1" applyAlignment="1">
      <alignment vertical="center" wrapText="1"/>
    </xf>
    <xf numFmtId="0" fontId="32" fillId="0" borderId="31" xfId="83" applyFont="1" applyBorder="1" applyAlignment="1">
      <alignment horizontal="center" vertical="center"/>
    </xf>
    <xf numFmtId="0" fontId="32" fillId="0" borderId="0" xfId="83" applyFont="1" applyAlignment="1">
      <alignment horizontal="center"/>
    </xf>
    <xf numFmtId="0" fontId="32" fillId="0" borderId="0" xfId="0" applyFont="1" applyAlignment="1">
      <alignment horizontal="center"/>
    </xf>
    <xf numFmtId="0" fontId="0" fillId="0" borderId="39" xfId="83" applyFont="1" applyBorder="1" applyAlignment="1">
      <alignment vertical="center"/>
    </xf>
    <xf numFmtId="0" fontId="0" fillId="0" borderId="26" xfId="83" applyFont="1" applyBorder="1" applyAlignment="1">
      <alignment vertical="center"/>
    </xf>
    <xf numFmtId="0" fontId="52" fillId="0" borderId="26" xfId="83" applyBorder="1" applyAlignment="1">
      <alignment horizontal="right" vertical="center"/>
    </xf>
    <xf numFmtId="170" fontId="32" fillId="20" borderId="0" xfId="83" applyNumberFormat="1" applyFont="1" applyFill="1" applyAlignment="1">
      <alignment horizontal="center" vertical="center"/>
    </xf>
    <xf numFmtId="0" fontId="0" fillId="0" borderId="0" xfId="83" applyFont="1" applyAlignment="1">
      <alignment horizontal="right" vertical="center"/>
    </xf>
    <xf numFmtId="2" fontId="52" fillId="0" borderId="0" xfId="82" applyNumberFormat="1"/>
    <xf numFmtId="1" fontId="0" fillId="20" borderId="43" xfId="0" applyNumberFormat="1" applyFill="1" applyBorder="1" applyAlignment="1">
      <alignment horizontal="center" vertical="center" wrapText="1"/>
    </xf>
    <xf numFmtId="49" fontId="0" fillId="20" borderId="43" xfId="116" applyNumberFormat="1" applyFont="1" applyFill="1" applyBorder="1" applyAlignment="1">
      <alignment vertical="center"/>
    </xf>
    <xf numFmtId="49" fontId="49" fillId="20" borderId="43" xfId="116" applyNumberFormat="1" applyFont="1" applyFill="1" applyBorder="1" applyAlignment="1">
      <alignment horizontal="center" vertical="center"/>
    </xf>
    <xf numFmtId="49" fontId="42" fillId="20" borderId="43" xfId="116" applyNumberFormat="1" applyFont="1" applyFill="1" applyBorder="1" applyAlignment="1">
      <alignment horizontal="center" vertical="center" wrapText="1"/>
    </xf>
    <xf numFmtId="0" fontId="61" fillId="36" borderId="58" xfId="107" applyFont="1" applyFill="1" applyBorder="1" applyAlignment="1" applyProtection="1">
      <alignment horizontal="center" wrapText="1"/>
      <protection locked="0"/>
    </xf>
    <xf numFmtId="0" fontId="61" fillId="34" borderId="58" xfId="107" applyFont="1" applyFill="1" applyBorder="1" applyAlignment="1" applyProtection="1">
      <alignment horizontal="center" wrapText="1"/>
      <protection locked="0"/>
    </xf>
    <xf numFmtId="171" fontId="32" fillId="26" borderId="44" xfId="107" applyNumberFormat="1" applyFont="1" applyFill="1" applyBorder="1" applyAlignment="1">
      <alignment horizontal="center" vertical="center" wrapText="1"/>
    </xf>
    <xf numFmtId="0" fontId="52" fillId="0" borderId="59" xfId="81" applyBorder="1"/>
    <xf numFmtId="0" fontId="52" fillId="0" borderId="24" xfId="68" applyBorder="1"/>
    <xf numFmtId="177" fontId="33" fillId="0" borderId="0" xfId="81" applyNumberFormat="1" applyFont="1" applyAlignment="1">
      <alignment horizontal="left"/>
    </xf>
    <xf numFmtId="0" fontId="52" fillId="0" borderId="60" xfId="81" applyBorder="1"/>
    <xf numFmtId="0" fontId="54" fillId="0" borderId="0" xfId="141" applyAlignment="1" applyProtection="1"/>
    <xf numFmtId="2" fontId="52" fillId="0" borderId="0" xfId="83" applyNumberFormat="1"/>
    <xf numFmtId="0" fontId="63" fillId="0" borderId="0" xfId="302"/>
    <xf numFmtId="0" fontId="63" fillId="0" borderId="0" xfId="302" quotePrefix="1"/>
    <xf numFmtId="2" fontId="63" fillId="0" borderId="0" xfId="302" applyNumberFormat="1"/>
    <xf numFmtId="4" fontId="63" fillId="0" borderId="0" xfId="302" applyNumberFormat="1"/>
    <xf numFmtId="0" fontId="53" fillId="45" borderId="26" xfId="0" applyFont="1" applyFill="1" applyBorder="1" applyAlignment="1">
      <alignment horizontal="center" vertical="center"/>
    </xf>
    <xf numFmtId="0" fontId="49" fillId="20" borderId="10" xfId="0" applyFont="1" applyFill="1" applyBorder="1" applyAlignment="1">
      <alignment horizontal="center" vertical="center"/>
    </xf>
    <xf numFmtId="14" fontId="49" fillId="20" borderId="12" xfId="0" applyNumberFormat="1" applyFont="1" applyFill="1" applyBorder="1" applyAlignment="1">
      <alignment horizontal="center" vertical="center"/>
    </xf>
    <xf numFmtId="14" fontId="49" fillId="20" borderId="28" xfId="0" applyNumberFormat="1" applyFont="1" applyFill="1" applyBorder="1" applyAlignment="1">
      <alignment horizontal="center" vertical="center"/>
    </xf>
    <xf numFmtId="49" fontId="42" fillId="20" borderId="0" xfId="116" applyNumberFormat="1" applyFont="1" applyFill="1" applyAlignment="1">
      <alignment horizontal="center" vertical="center" wrapText="1"/>
    </xf>
    <xf numFmtId="49" fontId="34" fillId="20" borderId="43" xfId="116" applyNumberFormat="1" applyFont="1" applyFill="1" applyBorder="1" applyAlignment="1">
      <alignment horizontal="center" vertical="center" wrapText="1"/>
    </xf>
    <xf numFmtId="49" fontId="34" fillId="20" borderId="39" xfId="116" applyNumberFormat="1" applyFont="1" applyFill="1" applyBorder="1" applyAlignment="1">
      <alignment horizontal="center" vertical="center" wrapText="1"/>
    </xf>
    <xf numFmtId="49" fontId="32" fillId="20" borderId="46" xfId="116" applyNumberFormat="1" applyFont="1" applyFill="1" applyBorder="1" applyAlignment="1">
      <alignment horizontal="center" vertical="center" wrapText="1"/>
    </xf>
    <xf numFmtId="4" fontId="34" fillId="38" borderId="62" xfId="0" applyNumberFormat="1" applyFont="1" applyFill="1" applyBorder="1" applyAlignment="1">
      <alignment horizontal="center" vertical="center"/>
    </xf>
    <xf numFmtId="4" fontId="65" fillId="38" borderId="30" xfId="0" applyNumberFormat="1" applyFont="1" applyFill="1" applyBorder="1" applyAlignment="1">
      <alignment horizontal="center" vertical="center"/>
    </xf>
    <xf numFmtId="4" fontId="66" fillId="38" borderId="63" xfId="0" applyNumberFormat="1" applyFont="1" applyFill="1" applyBorder="1" applyAlignment="1">
      <alignment horizontal="center" vertical="center"/>
    </xf>
    <xf numFmtId="0" fontId="0" fillId="0" borderId="66" xfId="0" applyBorder="1"/>
    <xf numFmtId="0" fontId="0" fillId="0" borderId="0" xfId="0" applyAlignment="1">
      <alignment horizontal="center"/>
    </xf>
    <xf numFmtId="0" fontId="0" fillId="0" borderId="78" xfId="0" applyBorder="1"/>
    <xf numFmtId="172" fontId="11" fillId="20" borderId="79" xfId="0" applyNumberFormat="1" applyFont="1" applyFill="1" applyBorder="1" applyAlignment="1">
      <alignment horizontal="center"/>
    </xf>
    <xf numFmtId="0" fontId="60" fillId="0" borderId="80" xfId="0" applyFont="1" applyBorder="1"/>
    <xf numFmtId="0" fontId="60" fillId="0" borderId="75" xfId="0" applyFont="1" applyBorder="1"/>
    <xf numFmtId="0" fontId="0" fillId="0" borderId="26" xfId="0" applyBorder="1"/>
    <xf numFmtId="0" fontId="33" fillId="0" borderId="26" xfId="0" applyFont="1" applyBorder="1" applyAlignment="1">
      <alignment horizontal="center"/>
    </xf>
    <xf numFmtId="0" fontId="38" fillId="0" borderId="26" xfId="0" applyFont="1" applyBorder="1"/>
    <xf numFmtId="0" fontId="38" fillId="35" borderId="26" xfId="0" applyFont="1" applyFill="1" applyBorder="1"/>
    <xf numFmtId="0" fontId="38" fillId="0" borderId="26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37" fillId="47" borderId="0" xfId="107" applyFont="1" applyFill="1" applyAlignment="1">
      <alignment horizontal="center"/>
    </xf>
    <xf numFmtId="14" fontId="37" fillId="47" borderId="0" xfId="107" applyNumberFormat="1" applyFont="1" applyFill="1" applyAlignment="1">
      <alignment horizontal="center"/>
    </xf>
    <xf numFmtId="0" fontId="0" fillId="36" borderId="0" xfId="0" applyFill="1"/>
    <xf numFmtId="0" fontId="0" fillId="36" borderId="26" xfId="0" applyFill="1" applyBorder="1"/>
    <xf numFmtId="0" fontId="0" fillId="46" borderId="83" xfId="0" applyFill="1" applyBorder="1" applyAlignment="1">
      <alignment horizontal="center" vertical="center"/>
    </xf>
    <xf numFmtId="0" fontId="0" fillId="46" borderId="69" xfId="0" applyFill="1" applyBorder="1" applyAlignment="1">
      <alignment horizontal="center" vertical="center"/>
    </xf>
    <xf numFmtId="0" fontId="0" fillId="46" borderId="71" xfId="0" applyFill="1" applyBorder="1" applyAlignment="1">
      <alignment horizontal="center" vertical="center"/>
    </xf>
    <xf numFmtId="0" fontId="67" fillId="0" borderId="73" xfId="0" applyFont="1" applyBorder="1"/>
    <xf numFmtId="0" fontId="67" fillId="0" borderId="75" xfId="0" applyFont="1" applyBorder="1"/>
    <xf numFmtId="0" fontId="67" fillId="0" borderId="74" xfId="0" applyFont="1" applyBorder="1"/>
    <xf numFmtId="14" fontId="38" fillId="0" borderId="26" xfId="0" applyNumberFormat="1" applyFont="1" applyBorder="1" applyAlignment="1">
      <alignment horizontal="center"/>
    </xf>
    <xf numFmtId="0" fontId="0" fillId="49" borderId="77" xfId="0" applyFill="1" applyBorder="1"/>
    <xf numFmtId="0" fontId="0" fillId="49" borderId="65" xfId="0" applyFill="1" applyBorder="1"/>
    <xf numFmtId="0" fontId="0" fillId="46" borderId="70" xfId="0" applyFill="1" applyBorder="1" applyAlignment="1">
      <alignment horizontal="center" vertical="center"/>
    </xf>
    <xf numFmtId="0" fontId="38" fillId="0" borderId="0" xfId="0" applyFont="1" applyAlignment="1">
      <alignment horizontal="center"/>
    </xf>
    <xf numFmtId="1" fontId="49" fillId="0" borderId="79" xfId="82" applyNumberFormat="1" applyFont="1" applyBorder="1" applyAlignment="1">
      <alignment horizontal="center" vertical="center"/>
    </xf>
    <xf numFmtId="4" fontId="49" fillId="0" borderId="79" xfId="82" applyNumberFormat="1" applyFont="1" applyBorder="1" applyAlignment="1">
      <alignment horizontal="center" vertical="center"/>
    </xf>
    <xf numFmtId="0" fontId="53" fillId="45" borderId="26" xfId="0" applyFont="1" applyFill="1" applyBorder="1" applyAlignment="1">
      <alignment horizontal="right" vertical="center"/>
    </xf>
    <xf numFmtId="0" fontId="0" fillId="28" borderId="26" xfId="0" applyFill="1" applyBorder="1" applyAlignment="1">
      <alignment horizontal="right" vertical="center"/>
    </xf>
    <xf numFmtId="2" fontId="0" fillId="28" borderId="26" xfId="0" applyNumberFormat="1" applyFill="1" applyBorder="1" applyAlignment="1">
      <alignment horizontal="right" vertical="center"/>
    </xf>
    <xf numFmtId="0" fontId="63" fillId="0" borderId="0" xfId="302" applyAlignment="1">
      <alignment horizontal="right"/>
    </xf>
    <xf numFmtId="0" fontId="52" fillId="0" borderId="0" xfId="83" applyAlignment="1">
      <alignment horizontal="right"/>
    </xf>
    <xf numFmtId="181" fontId="0" fillId="28" borderId="26" xfId="0" applyNumberFormat="1" applyFill="1" applyBorder="1" applyAlignment="1">
      <alignment horizontal="right" vertical="center"/>
    </xf>
    <xf numFmtId="44" fontId="49" fillId="24" borderId="25" xfId="304" applyFont="1" applyFill="1" applyBorder="1" applyAlignment="1">
      <alignment horizontal="center" vertical="center"/>
    </xf>
    <xf numFmtId="182" fontId="52" fillId="0" borderId="0" xfId="81" applyNumberFormat="1"/>
    <xf numFmtId="14" fontId="0" fillId="0" borderId="31" xfId="0" applyNumberFormat="1" applyBorder="1" applyAlignment="1">
      <alignment horizontal="center"/>
    </xf>
    <xf numFmtId="0" fontId="32" fillId="40" borderId="27" xfId="107" applyFont="1" applyFill="1" applyBorder="1" applyAlignment="1">
      <alignment horizontal="center" vertical="center"/>
    </xf>
    <xf numFmtId="2" fontId="34" fillId="38" borderId="91" xfId="0" applyNumberFormat="1" applyFont="1" applyFill="1" applyBorder="1" applyAlignment="1" applyProtection="1">
      <alignment horizontal="center" vertical="center"/>
      <protection locked="0"/>
    </xf>
    <xf numFmtId="0" fontId="49" fillId="0" borderId="0" xfId="0" applyFont="1" applyAlignment="1">
      <alignment horizontal="center"/>
    </xf>
    <xf numFmtId="0" fontId="11" fillId="0" borderId="100" xfId="400" applyFont="1" applyBorder="1" applyAlignment="1">
      <alignment horizontal="left" wrapText="1"/>
    </xf>
    <xf numFmtId="0" fontId="64" fillId="0" borderId="0" xfId="0" applyFont="1" applyAlignment="1">
      <alignment horizontal="center" vertical="center"/>
    </xf>
    <xf numFmtId="0" fontId="49" fillId="0" borderId="0" xfId="0" applyFont="1" applyAlignment="1">
      <alignment horizontal="right"/>
    </xf>
    <xf numFmtId="0" fontId="32" fillId="0" borderId="0" xfId="107" applyFont="1" applyAlignment="1" applyProtection="1">
      <alignment horizontal="center"/>
      <protection locked="0"/>
    </xf>
    <xf numFmtId="0" fontId="32" fillId="37" borderId="0" xfId="107" applyFont="1" applyFill="1" applyAlignment="1" applyProtection="1">
      <alignment horizontal="center"/>
      <protection locked="0"/>
    </xf>
    <xf numFmtId="0" fontId="32" fillId="42" borderId="101" xfId="107" applyFont="1" applyFill="1" applyBorder="1" applyAlignment="1">
      <alignment horizontal="center"/>
    </xf>
    <xf numFmtId="49" fontId="42" fillId="20" borderId="109" xfId="116" applyNumberFormat="1" applyFont="1" applyFill="1" applyBorder="1" applyAlignment="1">
      <alignment horizontal="center" vertical="center" wrapText="1"/>
    </xf>
    <xf numFmtId="49" fontId="42" fillId="20" borderId="111" xfId="116" applyNumberFormat="1" applyFont="1" applyFill="1" applyBorder="1" applyAlignment="1">
      <alignment horizontal="center" vertical="center" wrapText="1"/>
    </xf>
    <xf numFmtId="2" fontId="34" fillId="51" borderId="110" xfId="0" applyNumberFormat="1" applyFont="1" applyFill="1" applyBorder="1" applyAlignment="1" applyProtection="1">
      <alignment horizontal="center" vertical="center"/>
      <protection locked="0"/>
    </xf>
    <xf numFmtId="2" fontId="44" fillId="51" borderId="110" xfId="0" applyNumberFormat="1" applyFont="1" applyFill="1" applyBorder="1" applyAlignment="1" applyProtection="1">
      <alignment horizontal="center" vertical="center"/>
      <protection locked="0"/>
    </xf>
    <xf numFmtId="0" fontId="11" fillId="0" borderId="112" xfId="115" applyFont="1" applyBorder="1" applyAlignment="1">
      <alignment horizontal="left" wrapText="1"/>
    </xf>
    <xf numFmtId="173" fontId="37" fillId="0" borderId="15" xfId="0" applyNumberFormat="1" applyFont="1" applyBorder="1" applyAlignment="1">
      <alignment vertical="center" wrapText="1"/>
    </xf>
    <xf numFmtId="14" fontId="37" fillId="0" borderId="15" xfId="0" applyNumberFormat="1" applyFont="1" applyBorder="1" applyAlignment="1">
      <alignment horizontal="left" vertical="center"/>
    </xf>
    <xf numFmtId="180" fontId="34" fillId="0" borderId="15" xfId="0" applyNumberFormat="1" applyFont="1" applyBorder="1" applyAlignment="1">
      <alignment horizontal="center" vertical="center"/>
    </xf>
    <xf numFmtId="0" fontId="68" fillId="52" borderId="117" xfId="0" applyFont="1" applyFill="1" applyBorder="1" applyAlignment="1">
      <alignment horizontal="center" vertical="center"/>
    </xf>
    <xf numFmtId="0" fontId="68" fillId="53" borderId="117" xfId="0" applyFont="1" applyFill="1" applyBorder="1" applyAlignment="1">
      <alignment horizontal="center" vertical="center"/>
    </xf>
    <xf numFmtId="0" fontId="68" fillId="54" borderId="117" xfId="0" applyFont="1" applyFill="1" applyBorder="1" applyAlignment="1">
      <alignment horizontal="center" vertical="center"/>
    </xf>
    <xf numFmtId="0" fontId="68" fillId="55" borderId="117" xfId="0" applyFont="1" applyFill="1" applyBorder="1" applyAlignment="1">
      <alignment horizontal="center" vertical="center"/>
    </xf>
    <xf numFmtId="0" fontId="69" fillId="56" borderId="117" xfId="0" applyFont="1" applyFill="1" applyBorder="1" applyAlignment="1">
      <alignment horizontal="center" vertical="center"/>
    </xf>
    <xf numFmtId="0" fontId="0" fillId="0" borderId="0" xfId="0" quotePrefix="1"/>
    <xf numFmtId="0" fontId="53" fillId="45" borderId="33" xfId="0" applyFont="1" applyFill="1" applyBorder="1" applyAlignment="1">
      <alignment horizontal="center" vertical="center"/>
    </xf>
    <xf numFmtId="14" fontId="52" fillId="26" borderId="0" xfId="83" applyNumberFormat="1" applyFill="1"/>
    <xf numFmtId="0" fontId="52" fillId="28" borderId="0" xfId="83" applyFill="1"/>
    <xf numFmtId="14" fontId="52" fillId="28" borderId="0" xfId="83" applyNumberFormat="1" applyFill="1" applyAlignment="1">
      <alignment horizontal="right"/>
    </xf>
    <xf numFmtId="14" fontId="52" fillId="28" borderId="0" xfId="83" applyNumberFormat="1" applyFill="1"/>
    <xf numFmtId="0" fontId="0" fillId="26" borderId="26" xfId="0" applyFill="1" applyBorder="1" applyAlignment="1">
      <alignment horizontal="center" vertical="center"/>
    </xf>
    <xf numFmtId="14" fontId="0" fillId="27" borderId="120" xfId="0" applyNumberFormat="1" applyFill="1" applyBorder="1" applyAlignment="1">
      <alignment horizontal="center" vertical="center" wrapText="1"/>
    </xf>
    <xf numFmtId="14" fontId="0" fillId="27" borderId="121" xfId="0" applyNumberFormat="1" applyFill="1" applyBorder="1" applyAlignment="1">
      <alignment horizontal="center" vertical="center" wrapText="1"/>
    </xf>
    <xf numFmtId="4" fontId="65" fillId="35" borderId="116" xfId="116" applyNumberFormat="1" applyFont="1" applyFill="1" applyBorder="1" applyAlignment="1">
      <alignment horizontal="center" vertical="center" wrapText="1"/>
    </xf>
    <xf numFmtId="183" fontId="65" fillId="35" borderId="15" xfId="618" applyNumberFormat="1" applyFont="1" applyFill="1" applyBorder="1" applyAlignment="1" applyProtection="1">
      <alignment horizontal="center" vertical="center" wrapText="1"/>
    </xf>
    <xf numFmtId="180" fontId="34" fillId="35" borderId="15" xfId="0" applyNumberFormat="1" applyFont="1" applyFill="1" applyBorder="1" applyAlignment="1">
      <alignment horizontal="center" vertical="center"/>
    </xf>
    <xf numFmtId="4" fontId="65" fillId="35" borderId="15" xfId="0" applyNumberFormat="1" applyFont="1" applyFill="1" applyBorder="1" applyAlignment="1">
      <alignment horizontal="center" vertical="center"/>
    </xf>
    <xf numFmtId="14" fontId="65" fillId="35" borderId="15" xfId="0" applyNumberFormat="1" applyFont="1" applyFill="1" applyBorder="1" applyAlignment="1">
      <alignment horizontal="center" vertical="center" wrapText="1"/>
    </xf>
    <xf numFmtId="173" fontId="70" fillId="35" borderId="15" xfId="0" applyNumberFormat="1" applyFont="1" applyFill="1" applyBorder="1" applyAlignment="1">
      <alignment vertical="center" wrapText="1"/>
    </xf>
    <xf numFmtId="14" fontId="37" fillId="35" borderId="15" xfId="0" applyNumberFormat="1" applyFont="1" applyFill="1" applyBorder="1" applyAlignment="1">
      <alignment horizontal="left" vertical="center"/>
    </xf>
    <xf numFmtId="180" fontId="65" fillId="35" borderId="15" xfId="0" applyNumberFormat="1" applyFont="1" applyFill="1" applyBorder="1" applyAlignment="1">
      <alignment horizontal="center" vertical="center"/>
    </xf>
    <xf numFmtId="14" fontId="65" fillId="35" borderId="15" xfId="116" applyNumberFormat="1" applyFont="1" applyFill="1" applyBorder="1" applyAlignment="1">
      <alignment horizontal="center" vertical="center" wrapText="1"/>
    </xf>
    <xf numFmtId="4" fontId="66" fillId="35" borderId="12" xfId="116" applyNumberFormat="1" applyFont="1" applyFill="1" applyBorder="1" applyAlignment="1">
      <alignment horizontal="center" vertical="center" wrapText="1"/>
    </xf>
    <xf numFmtId="183" fontId="65" fillId="35" borderId="29" xfId="618" applyNumberFormat="1" applyFont="1" applyFill="1" applyBorder="1" applyAlignment="1" applyProtection="1">
      <alignment horizontal="center" vertical="center" wrapText="1"/>
    </xf>
    <xf numFmtId="180" fontId="65" fillId="35" borderId="29" xfId="0" applyNumberFormat="1" applyFont="1" applyFill="1" applyBorder="1" applyAlignment="1">
      <alignment horizontal="center" vertical="center"/>
    </xf>
    <xf numFmtId="4" fontId="65" fillId="35" borderId="29" xfId="0" applyNumberFormat="1" applyFont="1" applyFill="1" applyBorder="1" applyAlignment="1">
      <alignment horizontal="center" vertical="center"/>
    </xf>
    <xf numFmtId="14" fontId="66" fillId="35" borderId="29" xfId="116" applyNumberFormat="1" applyFont="1" applyFill="1" applyBorder="1" applyAlignment="1">
      <alignment horizontal="center" vertical="center" wrapText="1"/>
    </xf>
    <xf numFmtId="173" fontId="70" fillId="35" borderId="29" xfId="0" applyNumberFormat="1" applyFont="1" applyFill="1" applyBorder="1" applyAlignment="1">
      <alignment vertical="center" wrapText="1"/>
    </xf>
    <xf numFmtId="14" fontId="37" fillId="35" borderId="29" xfId="0" applyNumberFormat="1" applyFont="1" applyFill="1" applyBorder="1" applyAlignment="1">
      <alignment horizontal="left" vertical="center"/>
    </xf>
    <xf numFmtId="14" fontId="52" fillId="0" borderId="65" xfId="0" applyNumberFormat="1" applyFont="1" applyBorder="1" applyAlignment="1">
      <alignment horizontal="left" vertical="center"/>
    </xf>
    <xf numFmtId="4" fontId="65" fillId="0" borderId="118" xfId="0" applyNumberFormat="1" applyFont="1" applyBorder="1" applyAlignment="1">
      <alignment horizontal="center" vertical="center" wrapText="1"/>
    </xf>
    <xf numFmtId="184" fontId="65" fillId="0" borderId="15" xfId="0" applyNumberFormat="1" applyFont="1" applyBorder="1" applyAlignment="1">
      <alignment horizontal="center" vertical="center" wrapText="1"/>
    </xf>
    <xf numFmtId="4" fontId="65" fillId="0" borderId="15" xfId="0" applyNumberFormat="1" applyFont="1" applyBorder="1" applyAlignment="1">
      <alignment horizontal="center" vertical="center"/>
    </xf>
    <xf numFmtId="4" fontId="65" fillId="0" borderId="119" xfId="0" applyNumberFormat="1" applyFont="1" applyBorder="1" applyAlignment="1">
      <alignment horizontal="center" vertical="center"/>
    </xf>
    <xf numFmtId="14" fontId="65" fillId="0" borderId="15" xfId="0" applyNumberFormat="1" applyFont="1" applyBorder="1" applyAlignment="1">
      <alignment horizontal="center" vertical="center" wrapText="1"/>
    </xf>
    <xf numFmtId="173" fontId="65" fillId="0" borderId="15" xfId="0" applyNumberFormat="1" applyFont="1" applyBorder="1" applyAlignment="1">
      <alignment vertical="center" wrapText="1"/>
    </xf>
    <xf numFmtId="14" fontId="52" fillId="0" borderId="0" xfId="0" applyNumberFormat="1" applyFont="1" applyAlignment="1">
      <alignment horizontal="left" vertical="center"/>
    </xf>
    <xf numFmtId="180" fontId="65" fillId="0" borderId="15" xfId="0" applyNumberFormat="1" applyFont="1" applyBorder="1" applyAlignment="1">
      <alignment horizontal="center" vertical="center"/>
    </xf>
    <xf numFmtId="184" fontId="65" fillId="0" borderId="29" xfId="0" applyNumberFormat="1" applyFont="1" applyBorder="1" applyAlignment="1">
      <alignment horizontal="center" vertical="center" wrapText="1"/>
    </xf>
    <xf numFmtId="180" fontId="65" fillId="0" borderId="29" xfId="0" applyNumberFormat="1" applyFont="1" applyBorder="1" applyAlignment="1">
      <alignment horizontal="center" vertical="center"/>
    </xf>
    <xf numFmtId="4" fontId="65" fillId="0" borderId="29" xfId="0" applyNumberFormat="1" applyFont="1" applyBorder="1" applyAlignment="1">
      <alignment horizontal="center" vertical="center"/>
    </xf>
    <xf numFmtId="14" fontId="66" fillId="0" borderId="29" xfId="0" applyNumberFormat="1" applyFont="1" applyBorder="1" applyAlignment="1">
      <alignment horizontal="center" vertical="center" wrapText="1"/>
    </xf>
    <xf numFmtId="173" fontId="65" fillId="0" borderId="29" xfId="0" applyNumberFormat="1" applyFont="1" applyBorder="1" applyAlignment="1">
      <alignment vertical="center" wrapText="1"/>
    </xf>
    <xf numFmtId="0" fontId="0" fillId="0" borderId="0" xfId="83" quotePrefix="1" applyFont="1"/>
    <xf numFmtId="172" fontId="34" fillId="57" borderId="43" xfId="82" applyNumberFormat="1" applyFont="1" applyFill="1" applyBorder="1" applyAlignment="1">
      <alignment horizontal="center" vertical="center"/>
    </xf>
    <xf numFmtId="0" fontId="75" fillId="0" borderId="129" xfId="0" applyFont="1" applyBorder="1" applyAlignment="1" applyProtection="1">
      <alignment horizontal="center" vertical="center"/>
      <protection locked="0"/>
    </xf>
    <xf numFmtId="0" fontId="75" fillId="34" borderId="129" xfId="0" applyFont="1" applyFill="1" applyBorder="1" applyAlignment="1" applyProtection="1">
      <alignment horizontal="center" vertical="center"/>
      <protection locked="0"/>
    </xf>
    <xf numFmtId="0" fontId="76" fillId="0" borderId="131" xfId="0" applyFont="1" applyBorder="1" applyAlignment="1" applyProtection="1">
      <alignment horizontal="center"/>
      <protection locked="0"/>
    </xf>
    <xf numFmtId="0" fontId="76" fillId="34" borderId="131" xfId="0" applyFont="1" applyFill="1" applyBorder="1" applyAlignment="1" applyProtection="1">
      <alignment horizontal="center"/>
      <protection locked="0"/>
    </xf>
    <xf numFmtId="164" fontId="52" fillId="0" borderId="26" xfId="622" applyFont="1" applyFill="1" applyBorder="1" applyAlignment="1">
      <alignment horizontal="center"/>
    </xf>
    <xf numFmtId="186" fontId="52" fillId="0" borderId="26" xfId="72" applyNumberFormat="1" applyBorder="1" applyAlignment="1">
      <alignment horizontal="center"/>
    </xf>
    <xf numFmtId="4" fontId="52" fillId="0" borderId="26" xfId="81" applyNumberFormat="1" applyBorder="1"/>
    <xf numFmtId="4" fontId="52" fillId="26" borderId="26" xfId="81" applyNumberFormat="1" applyFill="1" applyBorder="1"/>
    <xf numFmtId="0" fontId="33" fillId="59" borderId="26" xfId="72" applyFont="1" applyFill="1" applyBorder="1" applyAlignment="1">
      <alignment horizontal="center" vertical="center"/>
    </xf>
    <xf numFmtId="0" fontId="34" fillId="8" borderId="133" xfId="0" applyFont="1" applyFill="1" applyBorder="1" applyAlignment="1">
      <alignment horizontal="center" vertical="center"/>
    </xf>
    <xf numFmtId="0" fontId="34" fillId="6" borderId="133" xfId="0" applyFont="1" applyFill="1" applyBorder="1" applyAlignment="1">
      <alignment horizontal="center" vertical="center"/>
    </xf>
    <xf numFmtId="4" fontId="65" fillId="0" borderId="134" xfId="0" applyNumberFormat="1" applyFont="1" applyBorder="1" applyAlignment="1">
      <alignment horizontal="center" vertical="center"/>
    </xf>
    <xf numFmtId="49" fontId="45" fillId="35" borderId="128" xfId="621" applyNumberFormat="1" applyFont="1" applyFill="1" applyBorder="1" applyAlignment="1">
      <alignment horizontal="center" vertical="center"/>
    </xf>
    <xf numFmtId="0" fontId="52" fillId="35" borderId="0" xfId="80" applyFill="1"/>
    <xf numFmtId="49" fontId="45" fillId="35" borderId="29" xfId="621" applyNumberFormat="1" applyFont="1" applyFill="1" applyBorder="1" applyAlignment="1">
      <alignment horizontal="center" vertical="center"/>
    </xf>
    <xf numFmtId="0" fontId="72" fillId="35" borderId="26" xfId="80" applyFont="1" applyFill="1" applyBorder="1" applyAlignment="1" applyProtection="1">
      <alignment horizontal="center" vertical="center"/>
      <protection hidden="1"/>
    </xf>
    <xf numFmtId="185" fontId="78" fillId="35" borderId="26" xfId="80" applyNumberFormat="1" applyFont="1" applyFill="1" applyBorder="1" applyAlignment="1" applyProtection="1">
      <alignment horizontal="center" vertical="center"/>
      <protection hidden="1"/>
    </xf>
    <xf numFmtId="0" fontId="52" fillId="35" borderId="0" xfId="80" applyFill="1" applyAlignment="1" applyProtection="1">
      <alignment vertical="center"/>
      <protection hidden="1"/>
    </xf>
    <xf numFmtId="0" fontId="33" fillId="59" borderId="123" xfId="81" applyFont="1" applyFill="1" applyBorder="1" applyAlignment="1">
      <alignment vertical="center"/>
    </xf>
    <xf numFmtId="0" fontId="33" fillId="59" borderId="127" xfId="81" applyFont="1" applyFill="1" applyBorder="1" applyAlignment="1">
      <alignment vertical="center"/>
    </xf>
    <xf numFmtId="4" fontId="34" fillId="0" borderId="135" xfId="0" applyNumberFormat="1" applyFont="1" applyBorder="1" applyAlignment="1">
      <alignment horizontal="center" vertical="center"/>
    </xf>
    <xf numFmtId="0" fontId="34" fillId="8" borderId="136" xfId="0" applyFont="1" applyFill="1" applyBorder="1" applyAlignment="1">
      <alignment horizontal="center" vertical="center"/>
    </xf>
    <xf numFmtId="0" fontId="34" fillId="14" borderId="136" xfId="0" applyFont="1" applyFill="1" applyBorder="1" applyAlignment="1">
      <alignment horizontal="center" vertical="center"/>
    </xf>
    <xf numFmtId="0" fontId="34" fillId="33" borderId="136" xfId="0" applyFont="1" applyFill="1" applyBorder="1" applyAlignment="1">
      <alignment horizontal="center" vertical="center"/>
    </xf>
    <xf numFmtId="0" fontId="44" fillId="41" borderId="136" xfId="0" applyFont="1" applyFill="1" applyBorder="1" applyAlignment="1">
      <alignment horizontal="center" vertical="center"/>
    </xf>
    <xf numFmtId="0" fontId="11" fillId="0" borderId="137" xfId="619" applyFont="1" applyBorder="1" applyAlignment="1">
      <alignment horizontal="left" wrapText="1"/>
    </xf>
    <xf numFmtId="4" fontId="68" fillId="0" borderId="138" xfId="0" applyNumberFormat="1" applyFont="1" applyBorder="1" applyAlignment="1">
      <alignment horizontal="center" vertical="center"/>
    </xf>
    <xf numFmtId="44" fontId="34" fillId="35" borderId="26" xfId="304" applyFont="1" applyFill="1" applyBorder="1" applyAlignment="1" applyProtection="1">
      <alignment horizontal="center" vertical="center"/>
      <protection hidden="1"/>
    </xf>
    <xf numFmtId="44" fontId="52" fillId="35" borderId="26" xfId="304" applyFont="1" applyFill="1" applyBorder="1" applyProtection="1">
      <protection hidden="1"/>
    </xf>
    <xf numFmtId="44" fontId="71" fillId="0" borderId="26" xfId="304" applyFont="1" applyBorder="1" applyAlignment="1" applyProtection="1">
      <alignment horizontal="center" vertical="center"/>
      <protection hidden="1"/>
    </xf>
    <xf numFmtId="44" fontId="52" fillId="35" borderId="0" xfId="304" applyFill="1" applyAlignment="1">
      <alignment horizontal="center"/>
    </xf>
    <xf numFmtId="44" fontId="52" fillId="35" borderId="0" xfId="304" applyFill="1"/>
    <xf numFmtId="0" fontId="0" fillId="35" borderId="0" xfId="80" applyFont="1" applyFill="1"/>
    <xf numFmtId="0" fontId="43" fillId="0" borderId="0" xfId="82" applyFont="1" applyAlignment="1">
      <alignment vertical="center"/>
    </xf>
    <xf numFmtId="0" fontId="33" fillId="0" borderId="0" xfId="82" applyFont="1" applyAlignment="1">
      <alignment vertical="center"/>
    </xf>
    <xf numFmtId="0" fontId="49" fillId="0" borderId="75" xfId="0" applyFont="1" applyBorder="1"/>
    <xf numFmtId="1" fontId="0" fillId="0" borderId="0" xfId="82" applyNumberFormat="1" applyFont="1" applyAlignment="1">
      <alignment horizontal="left"/>
    </xf>
    <xf numFmtId="1" fontId="0" fillId="0" borderId="0" xfId="82" applyNumberFormat="1" applyFont="1" applyAlignment="1">
      <alignment horizontal="center"/>
    </xf>
    <xf numFmtId="0" fontId="0" fillId="0" borderId="0" xfId="82" applyFont="1" applyAlignment="1">
      <alignment vertical="center"/>
    </xf>
    <xf numFmtId="1" fontId="49" fillId="24" borderId="84" xfId="82" applyNumberFormat="1" applyFont="1" applyFill="1" applyBorder="1" applyAlignment="1">
      <alignment horizontal="left" vertical="center"/>
    </xf>
    <xf numFmtId="14" fontId="49" fillId="24" borderId="84" xfId="82" applyNumberFormat="1" applyFont="1" applyFill="1" applyBorder="1" applyAlignment="1">
      <alignment horizontal="left" vertical="center"/>
    </xf>
    <xf numFmtId="1" fontId="49" fillId="0" borderId="84" xfId="82" applyNumberFormat="1" applyFont="1" applyBorder="1" applyAlignment="1">
      <alignment horizontal="center" vertical="center"/>
    </xf>
    <xf numFmtId="0" fontId="0" fillId="0" borderId="23" xfId="82" applyFont="1" applyBorder="1" applyAlignment="1">
      <alignment vertical="center"/>
    </xf>
    <xf numFmtId="1" fontId="49" fillId="0" borderId="121" xfId="82" applyNumberFormat="1" applyFont="1" applyBorder="1" applyAlignment="1">
      <alignment horizontal="center" vertical="center"/>
    </xf>
    <xf numFmtId="0" fontId="0" fillId="0" borderId="59" xfId="81" applyFont="1" applyBorder="1"/>
    <xf numFmtId="0" fontId="33" fillId="60" borderId="43" xfId="82" applyFont="1" applyFill="1" applyBorder="1" applyAlignment="1">
      <alignment horizontal="center" vertical="center"/>
    </xf>
    <xf numFmtId="0" fontId="33" fillId="60" borderId="47" xfId="82" applyFont="1" applyFill="1" applyBorder="1" applyAlignment="1">
      <alignment horizontal="center" vertical="center"/>
    </xf>
    <xf numFmtId="0" fontId="75" fillId="34" borderId="139" xfId="0" applyFont="1" applyFill="1" applyBorder="1" applyAlignment="1" applyProtection="1">
      <alignment horizontal="center" vertical="center"/>
      <protection locked="0"/>
    </xf>
    <xf numFmtId="0" fontId="0" fillId="60" borderId="141" xfId="82" applyFont="1" applyFill="1" applyBorder="1" applyAlignment="1">
      <alignment horizontal="center" vertical="center" wrapText="1"/>
    </xf>
    <xf numFmtId="0" fontId="0" fillId="60" borderId="142" xfId="82" applyFont="1" applyFill="1" applyBorder="1" applyAlignment="1">
      <alignment horizontal="center" vertical="center" wrapText="1"/>
    </xf>
    <xf numFmtId="0" fontId="0" fillId="60" borderId="143" xfId="82" applyFont="1" applyFill="1" applyBorder="1" applyAlignment="1">
      <alignment horizontal="center" vertical="center" wrapText="1"/>
    </xf>
    <xf numFmtId="0" fontId="42" fillId="24" borderId="0" xfId="82" applyFont="1" applyFill="1" applyAlignment="1">
      <alignment horizontal="left" vertical="center"/>
    </xf>
    <xf numFmtId="172" fontId="34" fillId="57" borderId="32" xfId="82" applyNumberFormat="1" applyFont="1" applyFill="1" applyBorder="1" applyAlignment="1">
      <alignment horizontal="center" vertical="center"/>
    </xf>
    <xf numFmtId="172" fontId="34" fillId="57" borderId="156" xfId="82" applyNumberFormat="1" applyFont="1" applyFill="1" applyBorder="1" applyAlignment="1">
      <alignment horizontal="center" vertical="center"/>
    </xf>
    <xf numFmtId="4" fontId="68" fillId="61" borderId="158" xfId="0" applyNumberFormat="1" applyFont="1" applyFill="1" applyBorder="1" applyAlignment="1">
      <alignment horizontal="left" vertical="center"/>
    </xf>
    <xf numFmtId="0" fontId="34" fillId="60" borderId="159" xfId="82" applyFont="1" applyFill="1" applyBorder="1" applyAlignment="1">
      <alignment vertical="center"/>
    </xf>
    <xf numFmtId="0" fontId="77" fillId="57" borderId="159" xfId="82" applyFont="1" applyFill="1" applyBorder="1" applyAlignment="1">
      <alignment horizontal="center" vertical="center"/>
    </xf>
    <xf numFmtId="1" fontId="37" fillId="57" borderId="159" xfId="82" applyNumberFormat="1" applyFont="1" applyFill="1" applyBorder="1" applyAlignment="1">
      <alignment horizontal="center" vertical="center"/>
    </xf>
    <xf numFmtId="1" fontId="37" fillId="24" borderId="159" xfId="82" applyNumberFormat="1" applyFont="1" applyFill="1" applyBorder="1" applyAlignment="1">
      <alignment horizontal="center" vertical="center"/>
    </xf>
    <xf numFmtId="177" fontId="34" fillId="24" borderId="159" xfId="82" applyNumberFormat="1" applyFont="1" applyFill="1" applyBorder="1" applyAlignment="1">
      <alignment horizontal="center" vertical="center"/>
    </xf>
    <xf numFmtId="0" fontId="34" fillId="24" borderId="160" xfId="82" applyFont="1" applyFill="1" applyBorder="1" applyAlignment="1">
      <alignment horizontal="center" vertical="center"/>
    </xf>
    <xf numFmtId="0" fontId="33" fillId="60" borderId="81" xfId="82" applyFont="1" applyFill="1" applyBorder="1" applyAlignment="1">
      <alignment horizontal="center" vertical="center"/>
    </xf>
    <xf numFmtId="0" fontId="33" fillId="60" borderId="161" xfId="82" applyFont="1" applyFill="1" applyBorder="1" applyAlignment="1">
      <alignment horizontal="center" vertical="center"/>
    </xf>
    <xf numFmtId="0" fontId="44" fillId="61" borderId="162" xfId="81" applyFont="1" applyFill="1" applyBorder="1" applyAlignment="1">
      <alignment horizontal="center" vertical="center"/>
    </xf>
    <xf numFmtId="0" fontId="33" fillId="60" borderId="76" xfId="82" applyFont="1" applyFill="1" applyBorder="1" applyAlignment="1">
      <alignment horizontal="center" vertical="center"/>
    </xf>
    <xf numFmtId="0" fontId="44" fillId="59" borderId="27" xfId="81" applyFont="1" applyFill="1" applyBorder="1" applyAlignment="1">
      <alignment horizontal="center"/>
    </xf>
    <xf numFmtId="0" fontId="74" fillId="58" borderId="164" xfId="81" applyFont="1" applyFill="1" applyBorder="1"/>
    <xf numFmtId="0" fontId="74" fillId="58" borderId="165" xfId="81" applyFont="1" applyFill="1" applyBorder="1"/>
    <xf numFmtId="0" fontId="74" fillId="58" borderId="166" xfId="81" applyFont="1" applyFill="1" applyBorder="1"/>
    <xf numFmtId="1" fontId="74" fillId="58" borderId="164" xfId="81" applyNumberFormat="1" applyFont="1" applyFill="1" applyBorder="1"/>
    <xf numFmtId="1" fontId="74" fillId="58" borderId="166" xfId="81" applyNumberFormat="1" applyFont="1" applyFill="1" applyBorder="1"/>
    <xf numFmtId="0" fontId="34" fillId="58" borderId="164" xfId="81" applyFont="1" applyFill="1" applyBorder="1"/>
    <xf numFmtId="0" fontId="34" fillId="58" borderId="166" xfId="81" applyFont="1" applyFill="1" applyBorder="1"/>
    <xf numFmtId="0" fontId="34" fillId="58" borderId="164" xfId="81" applyFont="1" applyFill="1" applyBorder="1" applyAlignment="1">
      <alignment horizontal="left"/>
    </xf>
    <xf numFmtId="0" fontId="34" fillId="58" borderId="166" xfId="81" applyFont="1" applyFill="1" applyBorder="1" applyAlignment="1">
      <alignment horizontal="left"/>
    </xf>
    <xf numFmtId="0" fontId="44" fillId="58" borderId="166" xfId="81" applyFont="1" applyFill="1" applyBorder="1"/>
    <xf numFmtId="0" fontId="44" fillId="58" borderId="164" xfId="81" applyFont="1" applyFill="1" applyBorder="1"/>
    <xf numFmtId="0" fontId="52" fillId="58" borderId="166" xfId="81" applyFill="1" applyBorder="1"/>
    <xf numFmtId="0" fontId="44" fillId="58" borderId="167" xfId="81" applyFont="1" applyFill="1" applyBorder="1"/>
    <xf numFmtId="0" fontId="52" fillId="24" borderId="144" xfId="82" applyFill="1" applyBorder="1" applyAlignment="1">
      <alignment horizontal="center"/>
    </xf>
    <xf numFmtId="0" fontId="0" fillId="24" borderId="145" xfId="82" applyFont="1" applyFill="1" applyBorder="1" applyAlignment="1">
      <alignment horizontal="center"/>
    </xf>
    <xf numFmtId="0" fontId="0" fillId="24" borderId="146" xfId="82" applyFont="1" applyFill="1" applyBorder="1" applyAlignment="1">
      <alignment horizontal="center"/>
    </xf>
    <xf numFmtId="0" fontId="44" fillId="60" borderId="43" xfId="82" applyFont="1" applyFill="1" applyBorder="1" applyAlignment="1">
      <alignment horizontal="center" vertical="center"/>
    </xf>
    <xf numFmtId="0" fontId="34" fillId="60" borderId="124" xfId="82" applyFont="1" applyFill="1" applyBorder="1" applyAlignment="1">
      <alignment vertical="center"/>
    </xf>
    <xf numFmtId="0" fontId="34" fillId="60" borderId="126" xfId="82" applyFont="1" applyFill="1" applyBorder="1" applyAlignment="1">
      <alignment vertical="center"/>
    </xf>
    <xf numFmtId="0" fontId="44" fillId="60" borderId="43" xfId="82" applyFont="1" applyFill="1" applyBorder="1" applyAlignment="1">
      <alignment horizontal="center"/>
    </xf>
    <xf numFmtId="0" fontId="44" fillId="61" borderId="43" xfId="82" applyFont="1" applyFill="1" applyBorder="1" applyAlignment="1">
      <alignment horizontal="center"/>
    </xf>
    <xf numFmtId="0" fontId="34" fillId="0" borderId="59" xfId="81" applyFont="1" applyBorder="1"/>
    <xf numFmtId="4" fontId="68" fillId="24" borderId="171" xfId="82" applyNumberFormat="1" applyFont="1" applyFill="1" applyBorder="1" applyAlignment="1">
      <alignment horizontal="right" vertical="center"/>
    </xf>
    <xf numFmtId="4" fontId="68" fillId="60" borderId="171" xfId="82" applyNumberFormat="1" applyFont="1" applyFill="1" applyBorder="1" applyAlignment="1">
      <alignment horizontal="right" vertical="center"/>
    </xf>
    <xf numFmtId="4" fontId="68" fillId="0" borderId="171" xfId="81" applyNumberFormat="1" applyFont="1" applyBorder="1" applyAlignment="1">
      <alignment vertical="center"/>
    </xf>
    <xf numFmtId="4" fontId="68" fillId="24" borderId="171" xfId="82" applyNumberFormat="1" applyFont="1" applyFill="1" applyBorder="1" applyAlignment="1">
      <alignment vertical="center"/>
    </xf>
    <xf numFmtId="4" fontId="69" fillId="60" borderId="171" xfId="82" applyNumberFormat="1" applyFont="1" applyFill="1" applyBorder="1" applyAlignment="1">
      <alignment vertical="center"/>
    </xf>
    <xf numFmtId="0" fontId="74" fillId="58" borderId="166" xfId="81" quotePrefix="1" applyFont="1" applyFill="1" applyBorder="1"/>
    <xf numFmtId="1" fontId="34" fillId="58" borderId="19" xfId="81" applyNumberFormat="1" applyFont="1" applyFill="1" applyBorder="1"/>
    <xf numFmtId="1" fontId="34" fillId="58" borderId="172" xfId="81" applyNumberFormat="1" applyFont="1" applyFill="1" applyBorder="1"/>
    <xf numFmtId="0" fontId="34" fillId="58" borderId="173" xfId="81" applyFont="1" applyFill="1" applyBorder="1"/>
    <xf numFmtId="1" fontId="34" fillId="58" borderId="173" xfId="81" applyNumberFormat="1" applyFont="1" applyFill="1" applyBorder="1"/>
    <xf numFmtId="1" fontId="34" fillId="58" borderId="174" xfId="81" applyNumberFormat="1" applyFont="1" applyFill="1" applyBorder="1"/>
    <xf numFmtId="0" fontId="34" fillId="58" borderId="19" xfId="81" applyFont="1" applyFill="1" applyBorder="1" applyAlignment="1">
      <alignment horizontal="left"/>
    </xf>
    <xf numFmtId="0" fontId="34" fillId="58" borderId="20" xfId="81" applyFont="1" applyFill="1" applyBorder="1" applyAlignment="1">
      <alignment horizontal="left"/>
    </xf>
    <xf numFmtId="0" fontId="52" fillId="24" borderId="174" xfId="82" applyFill="1" applyBorder="1" applyAlignment="1">
      <alignment horizontal="center"/>
    </xf>
    <xf numFmtId="1" fontId="34" fillId="58" borderId="20" xfId="81" applyNumberFormat="1" applyFont="1" applyFill="1" applyBorder="1"/>
    <xf numFmtId="0" fontId="34" fillId="58" borderId="19" xfId="81" applyFont="1" applyFill="1" applyBorder="1" applyAlignment="1">
      <alignment horizontal="center"/>
    </xf>
    <xf numFmtId="171" fontId="37" fillId="36" borderId="45" xfId="107" applyNumberFormat="1" applyFont="1" applyFill="1" applyBorder="1" applyAlignment="1">
      <alignment horizontal="center" vertical="center" wrapText="1"/>
    </xf>
    <xf numFmtId="171" fontId="37" fillId="34" borderId="45" xfId="107" applyNumberFormat="1" applyFont="1" applyFill="1" applyBorder="1" applyAlignment="1">
      <alignment horizontal="center" vertical="center" wrapText="1"/>
    </xf>
    <xf numFmtId="0" fontId="80" fillId="62" borderId="110" xfId="116" applyFont="1" applyFill="1" applyBorder="1" applyAlignment="1">
      <alignment horizontal="left"/>
    </xf>
    <xf numFmtId="0" fontId="80" fillId="0" borderId="112" xfId="116" applyFont="1" applyBorder="1" applyAlignment="1">
      <alignment horizontal="left"/>
    </xf>
    <xf numFmtId="0" fontId="81" fillId="0" borderId="112" xfId="625" applyFont="1" applyBorder="1" applyAlignment="1">
      <alignment horizontal="left"/>
    </xf>
    <xf numFmtId="0" fontId="81" fillId="0" borderId="112" xfId="116" applyFont="1" applyBorder="1" applyAlignment="1">
      <alignment horizontal="left"/>
    </xf>
    <xf numFmtId="0" fontId="52" fillId="28" borderId="0" xfId="83" applyFill="1" applyAlignment="1">
      <alignment horizontal="right"/>
    </xf>
    <xf numFmtId="183" fontId="34" fillId="0" borderId="175" xfId="618" applyNumberFormat="1" applyFont="1" applyBorder="1" applyAlignment="1" applyProtection="1">
      <alignment horizontal="center" vertical="center" wrapText="1"/>
    </xf>
    <xf numFmtId="180" fontId="34" fillId="0" borderId="175" xfId="0" applyNumberFormat="1" applyFont="1" applyBorder="1" applyAlignment="1">
      <alignment horizontal="center" vertical="center"/>
    </xf>
    <xf numFmtId="4" fontId="34" fillId="0" borderId="175" xfId="0" applyNumberFormat="1" applyFont="1" applyBorder="1" applyAlignment="1">
      <alignment horizontal="center" vertical="center"/>
    </xf>
    <xf numFmtId="14" fontId="34" fillId="0" borderId="175" xfId="116" applyNumberFormat="1" applyFont="1" applyBorder="1" applyAlignment="1">
      <alignment horizontal="center" vertical="center" wrapText="1"/>
    </xf>
    <xf numFmtId="184" fontId="68" fillId="0" borderId="175" xfId="0" applyNumberFormat="1" applyFont="1" applyBorder="1" applyAlignment="1">
      <alignment horizontal="center" vertical="center" wrapText="1"/>
    </xf>
    <xf numFmtId="180" fontId="68" fillId="0" borderId="175" xfId="0" applyNumberFormat="1" applyFont="1" applyBorder="1" applyAlignment="1">
      <alignment horizontal="center" vertical="center"/>
    </xf>
    <xf numFmtId="4" fontId="68" fillId="0" borderId="175" xfId="0" applyNumberFormat="1" applyFont="1" applyBorder="1" applyAlignment="1">
      <alignment horizontal="center" vertical="center"/>
    </xf>
    <xf numFmtId="14" fontId="68" fillId="0" borderId="175" xfId="0" applyNumberFormat="1" applyFont="1" applyBorder="1" applyAlignment="1">
      <alignment horizontal="center" vertical="center" wrapText="1"/>
    </xf>
    <xf numFmtId="173" fontId="68" fillId="0" borderId="175" xfId="0" applyNumberFormat="1" applyFont="1" applyBorder="1" applyAlignment="1">
      <alignment vertical="center" wrapText="1"/>
    </xf>
    <xf numFmtId="16" fontId="0" fillId="0" borderId="0" xfId="0" applyNumberFormat="1"/>
    <xf numFmtId="0" fontId="3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0" fontId="1" fillId="0" borderId="0" xfId="626"/>
    <xf numFmtId="164" fontId="0" fillId="0" borderId="0" xfId="627" applyFont="1" applyProtection="1"/>
    <xf numFmtId="0" fontId="1" fillId="0" borderId="77" xfId="626" applyBorder="1"/>
    <xf numFmtId="0" fontId="1" fillId="0" borderId="64" xfId="626" applyBorder="1"/>
    <xf numFmtId="164" fontId="0" fillId="0" borderId="64" xfId="627" applyFont="1" applyBorder="1" applyProtection="1"/>
    <xf numFmtId="0" fontId="1" fillId="0" borderId="65" xfId="626" applyBorder="1"/>
    <xf numFmtId="0" fontId="1" fillId="0" borderId="68" xfId="626" applyBorder="1"/>
    <xf numFmtId="0" fontId="1" fillId="0" borderId="67" xfId="626" applyBorder="1"/>
    <xf numFmtId="0" fontId="88" fillId="0" borderId="0" xfId="628" applyBorder="1" applyProtection="1"/>
    <xf numFmtId="164" fontId="0" fillId="0" borderId="0" xfId="627" applyFont="1" applyBorder="1" applyProtection="1"/>
    <xf numFmtId="0" fontId="90" fillId="0" borderId="69" xfId="626" applyFont="1" applyBorder="1" applyAlignment="1">
      <alignment vertical="center"/>
    </xf>
    <xf numFmtId="164" fontId="0" fillId="61" borderId="178" xfId="627" applyFont="1" applyFill="1" applyBorder="1" applyAlignment="1" applyProtection="1">
      <alignment vertical="center"/>
      <protection locked="0"/>
    </xf>
    <xf numFmtId="164" fontId="0" fillId="0" borderId="0" xfId="627" applyFont="1" applyFill="1" applyBorder="1" applyAlignment="1" applyProtection="1">
      <alignment vertical="center"/>
    </xf>
    <xf numFmtId="0" fontId="90" fillId="0" borderId="73" xfId="626" applyFont="1" applyBorder="1" applyAlignment="1">
      <alignment vertical="center"/>
    </xf>
    <xf numFmtId="164" fontId="0" fillId="61" borderId="179" xfId="627" applyFont="1" applyFill="1" applyBorder="1" applyAlignment="1" applyProtection="1">
      <alignment vertical="center"/>
      <protection locked="0"/>
    </xf>
    <xf numFmtId="0" fontId="91" fillId="0" borderId="176" xfId="626" applyFont="1" applyBorder="1" applyAlignment="1">
      <alignment vertical="center"/>
    </xf>
    <xf numFmtId="164" fontId="0" fillId="0" borderId="180" xfId="627" applyFont="1" applyBorder="1" applyAlignment="1" applyProtection="1">
      <alignment vertical="center"/>
    </xf>
    <xf numFmtId="0" fontId="91" fillId="0" borderId="64" xfId="626" applyFont="1" applyBorder="1" applyAlignment="1">
      <alignment vertical="center"/>
    </xf>
    <xf numFmtId="164" fontId="0" fillId="0" borderId="0" xfId="627" applyFont="1" applyBorder="1" applyAlignment="1" applyProtection="1">
      <alignment vertical="center"/>
    </xf>
    <xf numFmtId="0" fontId="90" fillId="0" borderId="70" xfId="626" applyFont="1" applyBorder="1" applyAlignment="1">
      <alignment horizontal="left" wrapText="1"/>
    </xf>
    <xf numFmtId="164" fontId="0" fillId="61" borderId="183" xfId="627" applyFont="1" applyFill="1" applyBorder="1" applyAlignment="1" applyProtection="1">
      <alignment vertical="center"/>
      <protection locked="0"/>
    </xf>
    <xf numFmtId="0" fontId="84" fillId="0" borderId="0" xfId="626" applyFont="1"/>
    <xf numFmtId="0" fontId="84" fillId="0" borderId="67" xfId="626" applyFont="1" applyBorder="1"/>
    <xf numFmtId="0" fontId="82" fillId="0" borderId="69" xfId="626" applyFont="1" applyBorder="1" applyAlignment="1">
      <alignment horizontal="center" vertical="center"/>
    </xf>
    <xf numFmtId="0" fontId="82" fillId="0" borderId="184" xfId="626" applyFont="1" applyBorder="1" applyAlignment="1">
      <alignment horizontal="center" vertical="center"/>
    </xf>
    <xf numFmtId="0" fontId="84" fillId="46" borderId="176" xfId="626" applyFont="1" applyFill="1" applyBorder="1" applyAlignment="1">
      <alignment horizontal="left" vertical="center"/>
    </xf>
    <xf numFmtId="164" fontId="0" fillId="61" borderId="176" xfId="627" applyFont="1" applyFill="1" applyBorder="1" applyAlignment="1" applyProtection="1">
      <alignment vertical="center"/>
      <protection locked="0"/>
    </xf>
    <xf numFmtId="187" fontId="0" fillId="61" borderId="176" xfId="627" applyNumberFormat="1" applyFont="1" applyFill="1" applyBorder="1" applyAlignment="1" applyProtection="1">
      <alignment vertical="center"/>
      <protection locked="0"/>
    </xf>
    <xf numFmtId="0" fontId="93" fillId="0" borderId="67" xfId="626" applyFont="1" applyBorder="1" applyAlignment="1">
      <alignment vertical="center" wrapText="1"/>
    </xf>
    <xf numFmtId="164" fontId="0" fillId="0" borderId="176" xfId="627" applyFont="1" applyBorder="1" applyAlignment="1" applyProtection="1">
      <alignment vertical="center"/>
    </xf>
    <xf numFmtId="0" fontId="94" fillId="0" borderId="73" xfId="626" applyFont="1" applyBorder="1" applyAlignment="1">
      <alignment horizontal="left" vertical="center" wrapText="1"/>
    </xf>
    <xf numFmtId="164" fontId="93" fillId="0" borderId="0" xfId="627" applyFont="1" applyBorder="1" applyAlignment="1" applyProtection="1">
      <alignment horizontal="left" vertical="center" wrapText="1"/>
    </xf>
    <xf numFmtId="0" fontId="93" fillId="0" borderId="0" xfId="626" applyFont="1" applyAlignment="1">
      <alignment horizontal="left" vertical="center" wrapText="1"/>
    </xf>
    <xf numFmtId="0" fontId="93" fillId="0" borderId="67" xfId="626" applyFont="1" applyBorder="1" applyAlignment="1">
      <alignment horizontal="left" vertical="center" wrapText="1"/>
    </xf>
    <xf numFmtId="0" fontId="95" fillId="0" borderId="77" xfId="626" applyFont="1" applyBorder="1" applyAlignment="1">
      <alignment horizontal="left" vertical="center" wrapText="1"/>
    </xf>
    <xf numFmtId="164" fontId="0" fillId="0" borderId="0" xfId="627" applyFont="1" applyFill="1" applyBorder="1" applyAlignment="1" applyProtection="1">
      <alignment vertical="center"/>
      <protection locked="0"/>
    </xf>
    <xf numFmtId="0" fontId="91" fillId="46" borderId="73" xfId="626" applyFont="1" applyFill="1" applyBorder="1" applyAlignment="1">
      <alignment vertical="center"/>
    </xf>
    <xf numFmtId="0" fontId="1" fillId="0" borderId="176" xfId="626" applyBorder="1" applyAlignment="1">
      <alignment vertical="center"/>
    </xf>
    <xf numFmtId="164" fontId="84" fillId="0" borderId="176" xfId="627" applyFont="1" applyBorder="1" applyAlignment="1" applyProtection="1">
      <alignment vertical="center"/>
    </xf>
    <xf numFmtId="0" fontId="84" fillId="0" borderId="176" xfId="626" applyFont="1" applyBorder="1" applyAlignment="1">
      <alignment vertical="center"/>
    </xf>
    <xf numFmtId="164" fontId="84" fillId="0" borderId="185" xfId="627" applyFont="1" applyBorder="1" applyAlignment="1" applyProtection="1">
      <alignment vertical="center"/>
    </xf>
    <xf numFmtId="0" fontId="84" fillId="26" borderId="73" xfId="626" applyFont="1" applyFill="1" applyBorder="1" applyAlignment="1">
      <alignment vertical="center"/>
    </xf>
    <xf numFmtId="164" fontId="84" fillId="42" borderId="186" xfId="627" applyFont="1" applyFill="1" applyBorder="1" applyAlignment="1" applyProtection="1">
      <alignment vertical="center"/>
    </xf>
    <xf numFmtId="164" fontId="1" fillId="0" borderId="0" xfId="626" applyNumberFormat="1"/>
    <xf numFmtId="0" fontId="1" fillId="0" borderId="69" xfId="626" applyBorder="1"/>
    <xf numFmtId="0" fontId="1" fillId="0" borderId="70" xfId="626" applyBorder="1"/>
    <xf numFmtId="164" fontId="0" fillId="0" borderId="70" xfId="627" applyFont="1" applyBorder="1" applyProtection="1"/>
    <xf numFmtId="0" fontId="1" fillId="0" borderId="71" xfId="626" applyBorder="1"/>
    <xf numFmtId="0" fontId="84" fillId="0" borderId="64" xfId="626" applyFont="1" applyBorder="1" applyAlignment="1">
      <alignment wrapText="1"/>
    </xf>
    <xf numFmtId="0" fontId="1" fillId="0" borderId="64" xfId="626" applyBorder="1" applyAlignment="1">
      <alignment wrapText="1"/>
    </xf>
    <xf numFmtId="0" fontId="1" fillId="0" borderId="65" xfId="626" applyBorder="1" applyAlignment="1">
      <alignment wrapText="1"/>
    </xf>
    <xf numFmtId="0" fontId="84" fillId="0" borderId="0" xfId="626" applyFont="1" applyAlignment="1">
      <alignment wrapText="1"/>
    </xf>
    <xf numFmtId="0" fontId="1" fillId="0" borderId="0" xfId="626" applyAlignment="1">
      <alignment wrapText="1"/>
    </xf>
    <xf numFmtId="0" fontId="1" fillId="0" borderId="67" xfId="626" applyBorder="1" applyAlignment="1">
      <alignment wrapText="1"/>
    </xf>
    <xf numFmtId="0" fontId="1" fillId="0" borderId="67" xfId="626" applyBorder="1" applyAlignment="1">
      <alignment vertical="center" wrapText="1"/>
    </xf>
    <xf numFmtId="0" fontId="1" fillId="0" borderId="68" xfId="626" applyBorder="1" applyAlignment="1">
      <alignment horizontal="left" wrapText="1"/>
    </xf>
    <xf numFmtId="0" fontId="1" fillId="0" borderId="67" xfId="626" applyBorder="1" applyAlignment="1">
      <alignment horizontal="left" wrapText="1"/>
    </xf>
    <xf numFmtId="0" fontId="1" fillId="0" borderId="0" xfId="626" applyAlignment="1">
      <alignment horizontal="left" wrapText="1"/>
    </xf>
    <xf numFmtId="0" fontId="96" fillId="0" borderId="26" xfId="626" applyFont="1" applyBorder="1" applyAlignment="1">
      <alignment horizontal="center" vertical="center" wrapText="1"/>
    </xf>
    <xf numFmtId="0" fontId="96" fillId="0" borderId="67" xfId="626" applyFont="1" applyBorder="1" applyAlignment="1">
      <alignment vertical="center" wrapText="1"/>
    </xf>
    <xf numFmtId="0" fontId="84" fillId="0" borderId="26" xfId="626" applyFont="1" applyBorder="1" applyAlignment="1">
      <alignment horizontal="center" vertical="center"/>
    </xf>
    <xf numFmtId="164" fontId="0" fillId="0" borderId="26" xfId="627" applyFont="1" applyBorder="1" applyAlignment="1">
      <alignment horizontal="right" vertical="center"/>
    </xf>
    <xf numFmtId="0" fontId="85" fillId="0" borderId="67" xfId="626" applyFont="1" applyBorder="1" applyAlignment="1">
      <alignment vertical="center" wrapText="1"/>
    </xf>
    <xf numFmtId="164" fontId="0" fillId="0" borderId="0" xfId="627" applyFont="1" applyBorder="1" applyAlignment="1">
      <alignment horizontal="left" vertical="center"/>
    </xf>
    <xf numFmtId="164" fontId="0" fillId="0" borderId="0" xfId="627" applyFont="1" applyFill="1" applyBorder="1" applyAlignment="1">
      <alignment horizontal="center" vertical="center"/>
    </xf>
    <xf numFmtId="164" fontId="0" fillId="0" borderId="0" xfId="627" applyFont="1" applyFill="1" applyBorder="1" applyProtection="1"/>
    <xf numFmtId="164" fontId="97" fillId="0" borderId="0" xfId="627" applyFont="1" applyBorder="1" applyAlignment="1">
      <alignment horizontal="left" vertical="center"/>
    </xf>
    <xf numFmtId="164" fontId="0" fillId="0" borderId="0" xfId="627" applyFont="1" applyBorder="1" applyAlignment="1">
      <alignment horizontal="right" vertical="center"/>
    </xf>
    <xf numFmtId="0" fontId="85" fillId="0" borderId="0" xfId="626" applyFont="1" applyAlignment="1">
      <alignment horizontal="center" vertical="center" wrapText="1"/>
    </xf>
    <xf numFmtId="0" fontId="98" fillId="67" borderId="187" xfId="626" applyFont="1" applyFill="1" applyBorder="1" applyAlignment="1">
      <alignment horizontal="center" vertical="center" wrapText="1"/>
    </xf>
    <xf numFmtId="0" fontId="99" fillId="68" borderId="187" xfId="626" applyFont="1" applyFill="1" applyBorder="1" applyAlignment="1">
      <alignment vertical="center" wrapText="1"/>
    </xf>
    <xf numFmtId="0" fontId="99" fillId="68" borderId="187" xfId="626" applyFont="1" applyFill="1" applyBorder="1" applyAlignment="1">
      <alignment horizontal="center" vertical="center" wrapText="1"/>
    </xf>
    <xf numFmtId="0" fontId="99" fillId="0" borderId="187" xfId="626" applyFont="1" applyBorder="1" applyAlignment="1">
      <alignment vertical="center" wrapText="1"/>
    </xf>
    <xf numFmtId="0" fontId="99" fillId="0" borderId="187" xfId="626" applyFont="1" applyBorder="1" applyAlignment="1">
      <alignment horizontal="center" vertical="center" wrapText="1"/>
    </xf>
    <xf numFmtId="164" fontId="0" fillId="0" borderId="70" xfId="627" applyFont="1" applyBorder="1" applyAlignment="1">
      <alignment horizontal="right" vertical="center"/>
    </xf>
    <xf numFmtId="0" fontId="85" fillId="0" borderId="70" xfId="626" applyFont="1" applyBorder="1" applyAlignment="1">
      <alignment horizontal="center" vertical="center" wrapText="1"/>
    </xf>
    <xf numFmtId="0" fontId="85" fillId="0" borderId="71" xfId="626" applyFont="1" applyBorder="1" applyAlignment="1">
      <alignment vertical="center" wrapText="1"/>
    </xf>
    <xf numFmtId="188" fontId="1" fillId="0" borderId="26" xfId="626" applyNumberFormat="1" applyBorder="1" applyAlignment="1">
      <alignment horizontal="center"/>
    </xf>
    <xf numFmtId="188" fontId="1" fillId="0" borderId="0" xfId="626" applyNumberFormat="1"/>
    <xf numFmtId="9" fontId="1" fillId="0" borderId="0" xfId="626" applyNumberFormat="1"/>
    <xf numFmtId="0" fontId="84" fillId="61" borderId="26" xfId="626" applyFont="1" applyFill="1" applyBorder="1"/>
    <xf numFmtId="188" fontId="1" fillId="0" borderId="26" xfId="626" applyNumberFormat="1" applyBorder="1"/>
    <xf numFmtId="10" fontId="0" fillId="0" borderId="26" xfId="629" applyNumberFormat="1" applyFont="1" applyBorder="1"/>
    <xf numFmtId="188" fontId="1" fillId="69" borderId="26" xfId="626" applyNumberFormat="1" applyFill="1" applyBorder="1"/>
    <xf numFmtId="189" fontId="0" fillId="69" borderId="26" xfId="629" applyNumberFormat="1" applyFont="1" applyFill="1" applyBorder="1"/>
    <xf numFmtId="0" fontId="1" fillId="0" borderId="0" xfId="626" applyAlignment="1">
      <alignment horizontal="left"/>
    </xf>
    <xf numFmtId="0" fontId="1" fillId="61" borderId="26" xfId="626" applyFill="1" applyBorder="1"/>
    <xf numFmtId="0" fontId="1" fillId="0" borderId="26" xfId="626" applyBorder="1"/>
    <xf numFmtId="164" fontId="1" fillId="0" borderId="26" xfId="626" applyNumberFormat="1" applyBorder="1"/>
    <xf numFmtId="10" fontId="0" fillId="0" borderId="26" xfId="629" applyNumberFormat="1" applyFont="1" applyFill="1" applyBorder="1"/>
    <xf numFmtId="164" fontId="0" fillId="0" borderId="26" xfId="627" applyFont="1" applyFill="1" applyBorder="1"/>
    <xf numFmtId="191" fontId="1" fillId="0" borderId="0" xfId="626" applyNumberFormat="1"/>
    <xf numFmtId="192" fontId="1" fillId="0" borderId="175" xfId="626" applyNumberFormat="1" applyBorder="1" applyAlignment="1">
      <alignment horizontal="center"/>
    </xf>
    <xf numFmtId="188" fontId="89" fillId="36" borderId="179" xfId="626" applyNumberFormat="1" applyFont="1" applyFill="1" applyBorder="1"/>
    <xf numFmtId="164" fontId="84" fillId="36" borderId="189" xfId="627" applyFont="1" applyFill="1" applyBorder="1"/>
    <xf numFmtId="0" fontId="84" fillId="0" borderId="0" xfId="626" applyFont="1" applyAlignment="1">
      <alignment horizontal="center"/>
    </xf>
    <xf numFmtId="164" fontId="84" fillId="36" borderId="74" xfId="627" applyFont="1" applyFill="1" applyBorder="1" applyAlignment="1">
      <alignment horizontal="center" vertical="center"/>
    </xf>
    <xf numFmtId="188" fontId="84" fillId="70" borderId="26" xfId="626" applyNumberFormat="1" applyFont="1" applyFill="1" applyBorder="1" applyAlignment="1">
      <alignment horizontal="center"/>
    </xf>
    <xf numFmtId="0" fontId="89" fillId="0" borderId="0" xfId="626" applyFont="1" applyAlignment="1">
      <alignment horizontal="center" vertical="center"/>
    </xf>
    <xf numFmtId="0" fontId="84" fillId="0" borderId="26" xfId="626" applyFont="1" applyBorder="1" applyAlignment="1">
      <alignment vertical="center" wrapText="1"/>
    </xf>
    <xf numFmtId="164" fontId="0" fillId="0" borderId="26" xfId="627" applyFont="1" applyBorder="1" applyAlignment="1">
      <alignment vertical="center"/>
    </xf>
    <xf numFmtId="0" fontId="1" fillId="0" borderId="26" xfId="626" applyBorder="1" applyAlignment="1">
      <alignment vertical="center"/>
    </xf>
    <xf numFmtId="0" fontId="101" fillId="0" borderId="26" xfId="626" applyFont="1" applyBorder="1" applyAlignment="1">
      <alignment vertical="center" wrapText="1"/>
    </xf>
    <xf numFmtId="0" fontId="84" fillId="0" borderId="26" xfId="626" applyFont="1" applyBorder="1" applyAlignment="1">
      <alignment vertical="center"/>
    </xf>
    <xf numFmtId="0" fontId="84" fillId="0" borderId="26" xfId="626" applyFont="1" applyBorder="1" applyAlignment="1">
      <alignment horizontal="center" vertical="center" wrapText="1"/>
    </xf>
    <xf numFmtId="164" fontId="84" fillId="26" borderId="26" xfId="626" applyNumberFormat="1" applyFont="1" applyFill="1" applyBorder="1"/>
    <xf numFmtId="0" fontId="84" fillId="0" borderId="26" xfId="626" applyFont="1" applyBorder="1" applyAlignment="1">
      <alignment horizontal="left" vertical="center" wrapText="1"/>
    </xf>
    <xf numFmtId="164" fontId="0" fillId="0" borderId="26" xfId="627" applyFont="1" applyBorder="1"/>
    <xf numFmtId="164" fontId="1" fillId="0" borderId="175" xfId="626" applyNumberFormat="1" applyBorder="1"/>
    <xf numFmtId="0" fontId="84" fillId="69" borderId="174" xfId="626" applyFont="1" applyFill="1" applyBorder="1" applyAlignment="1">
      <alignment horizontal="left" vertical="center" wrapText="1"/>
    </xf>
    <xf numFmtId="164" fontId="1" fillId="69" borderId="26" xfId="626" applyNumberFormat="1" applyFill="1" applyBorder="1" applyAlignment="1">
      <alignment vertical="center"/>
    </xf>
    <xf numFmtId="175" fontId="0" fillId="0" borderId="0" xfId="629" applyNumberFormat="1" applyFont="1" applyFill="1" applyBorder="1"/>
    <xf numFmtId="0" fontId="88" fillId="0" borderId="0" xfId="628"/>
    <xf numFmtId="0" fontId="84" fillId="0" borderId="26" xfId="626" applyFont="1" applyBorder="1" applyAlignment="1">
      <alignment horizontal="center"/>
    </xf>
    <xf numFmtId="164" fontId="85" fillId="0" borderId="26" xfId="627" applyFont="1" applyBorder="1" applyAlignment="1">
      <alignment vertical="center" wrapText="1"/>
    </xf>
    <xf numFmtId="188" fontId="83" fillId="0" borderId="0" xfId="626" applyNumberFormat="1" applyFont="1"/>
    <xf numFmtId="193" fontId="1" fillId="0" borderId="26" xfId="626" applyNumberFormat="1" applyBorder="1" applyAlignment="1">
      <alignment horizontal="center"/>
    </xf>
    <xf numFmtId="188" fontId="89" fillId="36" borderId="26" xfId="626" applyNumberFormat="1" applyFont="1" applyFill="1" applyBorder="1"/>
    <xf numFmtId="164" fontId="84" fillId="36" borderId="74" xfId="627" applyFont="1" applyFill="1" applyBorder="1" applyAlignment="1">
      <alignment horizontal="center"/>
    </xf>
    <xf numFmtId="0" fontId="84" fillId="0" borderId="0" xfId="626" applyFont="1" applyAlignment="1">
      <alignment horizontal="left" wrapText="1"/>
    </xf>
    <xf numFmtId="164" fontId="1" fillId="26" borderId="26" xfId="626" applyNumberFormat="1" applyFill="1" applyBorder="1"/>
    <xf numFmtId="0" fontId="37" fillId="60" borderId="142" xfId="82" applyFont="1" applyFill="1" applyBorder="1" applyAlignment="1">
      <alignment horizontal="center" vertical="center" wrapText="1"/>
    </xf>
    <xf numFmtId="2" fontId="44" fillId="51" borderId="0" xfId="0" applyNumberFormat="1" applyFont="1" applyFill="1" applyAlignment="1" applyProtection="1">
      <alignment horizontal="center" vertical="center"/>
      <protection locked="0"/>
    </xf>
    <xf numFmtId="4" fontId="66" fillId="38" borderId="0" xfId="0" applyNumberFormat="1" applyFont="1" applyFill="1" applyAlignment="1">
      <alignment horizontal="center" vertical="center"/>
    </xf>
    <xf numFmtId="2" fontId="34" fillId="38" borderId="0" xfId="0" applyNumberFormat="1" applyFont="1" applyFill="1" applyAlignment="1" applyProtection="1">
      <alignment horizontal="center" vertical="center"/>
      <protection locked="0"/>
    </xf>
    <xf numFmtId="4" fontId="65" fillId="0" borderId="190" xfId="0" applyNumberFormat="1" applyFont="1" applyBorder="1" applyAlignment="1">
      <alignment horizontal="center" vertical="center" wrapText="1"/>
    </xf>
    <xf numFmtId="14" fontId="52" fillId="0" borderId="191" xfId="0" applyNumberFormat="1" applyFont="1" applyBorder="1" applyAlignment="1">
      <alignment horizontal="left" vertical="center"/>
    </xf>
    <xf numFmtId="0" fontId="32" fillId="0" borderId="0" xfId="83" applyFont="1" applyAlignment="1">
      <alignment horizontal="center" vertical="center"/>
    </xf>
    <xf numFmtId="0" fontId="33" fillId="60" borderId="147" xfId="82" applyFont="1" applyFill="1" applyBorder="1" applyAlignment="1">
      <alignment horizontal="center"/>
    </xf>
    <xf numFmtId="0" fontId="33" fillId="60" borderId="148" xfId="82" applyFont="1" applyFill="1" applyBorder="1" applyAlignment="1">
      <alignment horizontal="center"/>
    </xf>
    <xf numFmtId="0" fontId="33" fillId="60" borderId="163" xfId="82" applyFont="1" applyFill="1" applyBorder="1" applyAlignment="1">
      <alignment horizontal="center"/>
    </xf>
    <xf numFmtId="0" fontId="33" fillId="60" borderId="149" xfId="82" applyFont="1" applyFill="1" applyBorder="1" applyAlignment="1">
      <alignment horizontal="center"/>
    </xf>
    <xf numFmtId="0" fontId="33" fillId="60" borderId="150" xfId="82" applyFont="1" applyFill="1" applyBorder="1" applyAlignment="1">
      <alignment horizontal="center"/>
    </xf>
    <xf numFmtId="0" fontId="44" fillId="0" borderId="16" xfId="81" applyFont="1" applyBorder="1" applyAlignment="1">
      <alignment horizontal="left" vertical="center" wrapText="1"/>
    </xf>
    <xf numFmtId="0" fontId="44" fillId="0" borderId="0" xfId="81" applyFont="1" applyAlignment="1">
      <alignment horizontal="left" vertical="center" wrapText="1"/>
    </xf>
    <xf numFmtId="0" fontId="44" fillId="0" borderId="24" xfId="81" applyFont="1" applyBorder="1" applyAlignment="1">
      <alignment horizontal="left" vertical="center" wrapText="1"/>
    </xf>
    <xf numFmtId="16" fontId="44" fillId="60" borderId="152" xfId="82" applyNumberFormat="1" applyFont="1" applyFill="1" applyBorder="1" applyAlignment="1">
      <alignment horizontal="center" vertical="center"/>
    </xf>
    <xf numFmtId="0" fontId="51" fillId="35" borderId="110" xfId="82" applyFont="1" applyFill="1" applyBorder="1" applyAlignment="1">
      <alignment horizontal="left" vertical="center" wrapText="1"/>
    </xf>
    <xf numFmtId="0" fontId="51" fillId="35" borderId="151" xfId="82" applyFont="1" applyFill="1" applyBorder="1" applyAlignment="1">
      <alignment horizontal="left" vertical="center" wrapText="1"/>
    </xf>
    <xf numFmtId="16" fontId="44" fillId="60" borderId="169" xfId="82" applyNumberFormat="1" applyFont="1" applyFill="1" applyBorder="1" applyAlignment="1">
      <alignment horizontal="center" vertical="center"/>
    </xf>
    <xf numFmtId="0" fontId="51" fillId="35" borderId="140" xfId="82" applyFont="1" applyFill="1" applyBorder="1" applyAlignment="1">
      <alignment horizontal="left" vertical="center" wrapText="1"/>
    </xf>
    <xf numFmtId="0" fontId="51" fillId="35" borderId="154" xfId="82" applyFont="1" applyFill="1" applyBorder="1" applyAlignment="1">
      <alignment horizontal="left" vertical="center" wrapText="1"/>
    </xf>
    <xf numFmtId="0" fontId="51" fillId="35" borderId="168" xfId="82" applyFont="1" applyFill="1" applyBorder="1" applyAlignment="1">
      <alignment horizontal="left" vertical="center" wrapText="1"/>
    </xf>
    <xf numFmtId="0" fontId="51" fillId="35" borderId="170" xfId="82" applyFont="1" applyFill="1" applyBorder="1" applyAlignment="1">
      <alignment horizontal="left" vertical="center" wrapText="1"/>
    </xf>
    <xf numFmtId="0" fontId="51" fillId="35" borderId="70" xfId="82" applyFont="1" applyFill="1" applyBorder="1" applyAlignment="1">
      <alignment horizontal="left" vertical="center" wrapText="1"/>
    </xf>
    <xf numFmtId="0" fontId="51" fillId="35" borderId="71" xfId="82" applyFont="1" applyFill="1" applyBorder="1" applyAlignment="1">
      <alignment horizontal="left" vertical="center" wrapText="1"/>
    </xf>
    <xf numFmtId="0" fontId="0" fillId="24" borderId="0" xfId="82" applyFont="1" applyFill="1" applyAlignment="1">
      <alignment horizontal="left"/>
    </xf>
    <xf numFmtId="0" fontId="43" fillId="61" borderId="17" xfId="81" applyFont="1" applyFill="1" applyBorder="1" applyAlignment="1">
      <alignment horizontal="center" vertical="center"/>
    </xf>
    <xf numFmtId="0" fontId="43" fillId="61" borderId="18" xfId="81" applyFont="1" applyFill="1" applyBorder="1" applyAlignment="1">
      <alignment horizontal="center" vertical="center"/>
    </xf>
    <xf numFmtId="0" fontId="43" fillId="61" borderId="19" xfId="81" applyFont="1" applyFill="1" applyBorder="1" applyAlignment="1">
      <alignment horizontal="center" vertical="center"/>
    </xf>
    <xf numFmtId="0" fontId="43" fillId="61" borderId="20" xfId="81" applyFont="1" applyFill="1" applyBorder="1" applyAlignment="1">
      <alignment horizontal="center" vertical="center"/>
    </xf>
    <xf numFmtId="0" fontId="33" fillId="61" borderId="60" xfId="81" applyFont="1" applyFill="1" applyBorder="1" applyAlignment="1">
      <alignment horizontal="center"/>
    </xf>
    <xf numFmtId="0" fontId="33" fillId="61" borderId="18" xfId="81" applyFont="1" applyFill="1" applyBorder="1" applyAlignment="1">
      <alignment horizontal="center"/>
    </xf>
    <xf numFmtId="0" fontId="33" fillId="61" borderId="21" xfId="81" applyFont="1" applyFill="1" applyBorder="1" applyAlignment="1">
      <alignment horizontal="center"/>
    </xf>
    <xf numFmtId="0" fontId="43" fillId="61" borderId="38" xfId="81" applyFont="1" applyFill="1" applyBorder="1" applyAlignment="1">
      <alignment horizontal="center" vertical="center"/>
    </xf>
    <xf numFmtId="0" fontId="43" fillId="61" borderId="61" xfId="81" applyFont="1" applyFill="1" applyBorder="1" applyAlignment="1">
      <alignment horizontal="center" vertical="center"/>
    </xf>
    <xf numFmtId="0" fontId="43" fillId="61" borderId="51" xfId="81" applyFont="1" applyFill="1" applyBorder="1" applyAlignment="1">
      <alignment horizontal="center" vertical="center"/>
    </xf>
    <xf numFmtId="0" fontId="44" fillId="0" borderId="16" xfId="81" applyFont="1" applyBorder="1" applyAlignment="1">
      <alignment horizontal="left" wrapText="1"/>
    </xf>
    <xf numFmtId="0" fontId="44" fillId="0" borderId="0" xfId="81" applyFont="1" applyAlignment="1">
      <alignment horizontal="left" wrapText="1"/>
    </xf>
    <xf numFmtId="0" fontId="44" fillId="0" borderId="24" xfId="81" applyFont="1" applyBorder="1" applyAlignment="1">
      <alignment horizontal="left" wrapText="1"/>
    </xf>
    <xf numFmtId="0" fontId="33" fillId="60" borderId="31" xfId="82" applyFont="1" applyFill="1" applyBorder="1" applyAlignment="1">
      <alignment horizontal="center"/>
    </xf>
    <xf numFmtId="0" fontId="33" fillId="60" borderId="151" xfId="82" applyFont="1" applyFill="1" applyBorder="1" applyAlignment="1">
      <alignment horizontal="center"/>
    </xf>
    <xf numFmtId="0" fontId="33" fillId="24" borderId="153" xfId="82" applyFont="1" applyFill="1" applyBorder="1" applyAlignment="1">
      <alignment horizontal="center" vertical="center" wrapText="1"/>
    </xf>
    <xf numFmtId="0" fontId="33" fillId="24" borderId="154" xfId="82" applyFont="1" applyFill="1" applyBorder="1" applyAlignment="1">
      <alignment horizontal="center" vertical="center" wrapText="1"/>
    </xf>
    <xf numFmtId="0" fontId="33" fillId="24" borderId="155" xfId="82" applyFont="1" applyFill="1" applyBorder="1" applyAlignment="1">
      <alignment horizontal="center" vertical="center" wrapText="1"/>
    </xf>
    <xf numFmtId="0" fontId="33" fillId="24" borderId="68" xfId="82" applyFont="1" applyFill="1" applyBorder="1" applyAlignment="1">
      <alignment horizontal="center" vertical="center" wrapText="1"/>
    </xf>
    <xf numFmtId="0" fontId="33" fillId="24" borderId="0" xfId="82" applyFont="1" applyFill="1" applyAlignment="1">
      <alignment horizontal="center" vertical="center" wrapText="1"/>
    </xf>
    <xf numFmtId="0" fontId="33" fillId="24" borderId="69" xfId="82" applyFont="1" applyFill="1" applyBorder="1" applyAlignment="1">
      <alignment horizontal="center" vertical="center" wrapText="1"/>
    </xf>
    <xf numFmtId="0" fontId="33" fillId="24" borderId="70" xfId="82" applyFont="1" applyFill="1" applyBorder="1" applyAlignment="1">
      <alignment horizontal="center" vertical="center" wrapText="1"/>
    </xf>
    <xf numFmtId="0" fontId="33" fillId="24" borderId="72" xfId="82" applyFont="1" applyFill="1" applyBorder="1" applyAlignment="1">
      <alignment horizontal="center" vertical="center" wrapText="1"/>
    </xf>
    <xf numFmtId="0" fontId="34" fillId="35" borderId="32" xfId="82" applyFont="1" applyFill="1" applyBorder="1" applyAlignment="1">
      <alignment horizontal="center" vertical="center"/>
    </xf>
    <xf numFmtId="0" fontId="33" fillId="60" borderId="80" xfId="82" applyFont="1" applyFill="1" applyBorder="1" applyAlignment="1">
      <alignment horizontal="center"/>
    </xf>
    <xf numFmtId="0" fontId="33" fillId="60" borderId="81" xfId="82" applyFont="1" applyFill="1" applyBorder="1" applyAlignment="1">
      <alignment horizontal="center"/>
    </xf>
    <xf numFmtId="0" fontId="33" fillId="60" borderId="76" xfId="82" applyFont="1" applyFill="1" applyBorder="1" applyAlignment="1">
      <alignment horizontal="center"/>
    </xf>
    <xf numFmtId="176" fontId="34" fillId="35" borderId="157" xfId="82" applyNumberFormat="1" applyFont="1" applyFill="1" applyBorder="1" applyAlignment="1">
      <alignment horizontal="center" vertical="center"/>
    </xf>
    <xf numFmtId="14" fontId="34" fillId="57" borderId="157" xfId="82" applyNumberFormat="1" applyFont="1" applyFill="1" applyBorder="1" applyAlignment="1">
      <alignment horizontal="center" vertical="center"/>
    </xf>
    <xf numFmtId="14" fontId="34" fillId="57" borderId="83" xfId="82" applyNumberFormat="1" applyFont="1" applyFill="1" applyBorder="1" applyAlignment="1">
      <alignment horizontal="center" vertical="center"/>
    </xf>
    <xf numFmtId="0" fontId="33" fillId="60" borderId="80" xfId="82" applyFont="1" applyFill="1" applyBorder="1" applyAlignment="1">
      <alignment horizontal="center" vertical="center"/>
    </xf>
    <xf numFmtId="0" fontId="33" fillId="60" borderId="81" xfId="82" applyFont="1" applyFill="1" applyBorder="1" applyAlignment="1">
      <alignment horizontal="center" vertical="center"/>
    </xf>
    <xf numFmtId="1" fontId="37" fillId="57" borderId="159" xfId="82" applyNumberFormat="1" applyFont="1" applyFill="1" applyBorder="1" applyAlignment="1">
      <alignment horizontal="center" vertical="center"/>
    </xf>
    <xf numFmtId="0" fontId="33" fillId="24" borderId="152" xfId="82" applyFont="1" applyFill="1" applyBorder="1" applyAlignment="1">
      <alignment horizontal="left" vertical="center"/>
    </xf>
    <xf numFmtId="0" fontId="33" fillId="24" borderId="31" xfId="82" applyFont="1" applyFill="1" applyBorder="1" applyAlignment="1">
      <alignment horizontal="left" vertical="center"/>
    </xf>
    <xf numFmtId="0" fontId="43" fillId="24" borderId="0" xfId="82" applyFont="1" applyFill="1" applyAlignment="1">
      <alignment horizontal="center"/>
    </xf>
    <xf numFmtId="0" fontId="0" fillId="24" borderId="0" xfId="82" applyFont="1" applyFill="1" applyAlignment="1">
      <alignment horizontal="center"/>
    </xf>
    <xf numFmtId="0" fontId="48" fillId="24" borderId="0" xfId="82" applyFont="1" applyFill="1" applyAlignment="1">
      <alignment horizontal="center"/>
    </xf>
    <xf numFmtId="176" fontId="49" fillId="24" borderId="0" xfId="82" applyNumberFormat="1" applyFont="1" applyFill="1" applyAlignment="1">
      <alignment horizontal="center"/>
    </xf>
    <xf numFmtId="0" fontId="33" fillId="24" borderId="0" xfId="82" applyFont="1" applyFill="1" applyAlignment="1">
      <alignment horizontal="center"/>
    </xf>
    <xf numFmtId="0" fontId="43" fillId="8" borderId="11" xfId="0" applyFont="1" applyFill="1" applyBorder="1" applyAlignment="1">
      <alignment horizontal="left" vertical="center"/>
    </xf>
    <xf numFmtId="171" fontId="43" fillId="26" borderId="40" xfId="0" applyNumberFormat="1" applyFont="1" applyFill="1" applyBorder="1" applyAlignment="1">
      <alignment horizontal="center" vertical="center"/>
    </xf>
    <xf numFmtId="171" fontId="43" fillId="26" borderId="41" xfId="0" applyNumberFormat="1" applyFont="1" applyFill="1" applyBorder="1" applyAlignment="1">
      <alignment horizontal="center" vertical="center"/>
    </xf>
    <xf numFmtId="171" fontId="43" fillId="26" borderId="42" xfId="0" applyNumberFormat="1" applyFont="1" applyFill="1" applyBorder="1" applyAlignment="1">
      <alignment horizontal="center" vertical="center"/>
    </xf>
    <xf numFmtId="0" fontId="49" fillId="20" borderId="9" xfId="0" applyFont="1" applyFill="1" applyBorder="1" applyAlignment="1">
      <alignment horizontal="center" vertical="center"/>
    </xf>
    <xf numFmtId="14" fontId="35" fillId="26" borderId="26" xfId="107" applyNumberFormat="1" applyFont="1" applyFill="1" applyBorder="1" applyAlignment="1" applyProtection="1">
      <alignment horizontal="center" vertical="center"/>
      <protection locked="0"/>
    </xf>
    <xf numFmtId="14" fontId="35" fillId="38" borderId="26" xfId="107" applyNumberFormat="1" applyFont="1" applyFill="1" applyBorder="1" applyAlignment="1" applyProtection="1">
      <alignment horizontal="center" vertical="center"/>
      <protection locked="0"/>
    </xf>
    <xf numFmtId="14" fontId="35" fillId="38" borderId="38" xfId="107" applyNumberFormat="1" applyFont="1" applyFill="1" applyBorder="1" applyAlignment="1" applyProtection="1">
      <alignment horizontal="center" vertical="center"/>
      <protection locked="0"/>
    </xf>
    <xf numFmtId="14" fontId="35" fillId="38" borderId="51" xfId="107" applyNumberFormat="1" applyFont="1" applyFill="1" applyBorder="1" applyAlignment="1" applyProtection="1">
      <alignment horizontal="center" vertical="center"/>
      <protection locked="0"/>
    </xf>
    <xf numFmtId="0" fontId="49" fillId="20" borderId="10" xfId="0" applyFont="1" applyFill="1" applyBorder="1" applyAlignment="1">
      <alignment horizontal="center" vertical="center"/>
    </xf>
    <xf numFmtId="14" fontId="49" fillId="20" borderId="12" xfId="0" applyNumberFormat="1" applyFont="1" applyFill="1" applyBorder="1" applyAlignment="1">
      <alignment horizontal="center" vertical="center"/>
    </xf>
    <xf numFmtId="14" fontId="49" fillId="20" borderId="28" xfId="0" applyNumberFormat="1" applyFont="1" applyFill="1" applyBorder="1" applyAlignment="1">
      <alignment horizontal="center" vertical="center"/>
    </xf>
    <xf numFmtId="1" fontId="0" fillId="20" borderId="43" xfId="0" applyNumberFormat="1" applyFill="1" applyBorder="1" applyAlignment="1">
      <alignment horizontal="center" vertical="center" wrapText="1"/>
    </xf>
    <xf numFmtId="0" fontId="37" fillId="25" borderId="0" xfId="107" applyFont="1" applyFill="1" applyAlignment="1">
      <alignment horizontal="left"/>
    </xf>
    <xf numFmtId="0" fontId="33" fillId="20" borderId="80" xfId="0" applyFont="1" applyFill="1" applyBorder="1" applyAlignment="1">
      <alignment horizontal="center"/>
    </xf>
    <xf numFmtId="0" fontId="33" fillId="20" borderId="81" xfId="0" applyFont="1" applyFill="1" applyBorder="1" applyAlignment="1">
      <alignment horizontal="center"/>
    </xf>
    <xf numFmtId="0" fontId="33" fillId="20" borderId="76" xfId="0" applyFont="1" applyFill="1" applyBorder="1" applyAlignment="1">
      <alignment horizontal="center"/>
    </xf>
    <xf numFmtId="14" fontId="39" fillId="50" borderId="43" xfId="0" applyNumberFormat="1" applyFont="1" applyFill="1" applyBorder="1" applyAlignment="1">
      <alignment horizontal="left"/>
    </xf>
    <xf numFmtId="1" fontId="39" fillId="48" borderId="43" xfId="0" applyNumberFormat="1" applyFont="1" applyFill="1" applyBorder="1" applyAlignment="1">
      <alignment horizontal="left"/>
    </xf>
    <xf numFmtId="174" fontId="49" fillId="2" borderId="77" xfId="0" applyNumberFormat="1" applyFont="1" applyFill="1" applyBorder="1" applyAlignment="1">
      <alignment horizontal="center" vertical="center"/>
    </xf>
    <xf numFmtId="174" fontId="49" fillId="2" borderId="68" xfId="0" applyNumberFormat="1" applyFont="1" applyFill="1" applyBorder="1" applyAlignment="1">
      <alignment horizontal="center" vertical="center"/>
    </xf>
    <xf numFmtId="175" fontId="39" fillId="2" borderId="43" xfId="0" applyNumberFormat="1" applyFont="1" applyFill="1" applyBorder="1" applyAlignment="1">
      <alignment horizontal="left"/>
    </xf>
    <xf numFmtId="0" fontId="37" fillId="25" borderId="0" xfId="107" applyFont="1" applyFill="1" applyAlignment="1">
      <alignment horizontal="center"/>
    </xf>
    <xf numFmtId="0" fontId="0" fillId="46" borderId="69" xfId="0" applyFill="1" applyBorder="1" applyAlignment="1">
      <alignment horizontal="center" vertical="center"/>
    </xf>
    <xf numFmtId="0" fontId="0" fillId="46" borderId="72" xfId="0" applyFill="1" applyBorder="1" applyAlignment="1">
      <alignment horizontal="center" vertical="center"/>
    </xf>
    <xf numFmtId="0" fontId="0" fillId="46" borderId="70" xfId="0" applyFill="1" applyBorder="1" applyAlignment="1">
      <alignment horizontal="center" vertical="center"/>
    </xf>
    <xf numFmtId="0" fontId="0" fillId="46" borderId="71" xfId="0" applyFill="1" applyBorder="1" applyAlignment="1">
      <alignment horizontal="center" vertical="center"/>
    </xf>
    <xf numFmtId="174" fontId="49" fillId="2" borderId="64" xfId="0" applyNumberFormat="1" applyFont="1" applyFill="1" applyBorder="1" applyAlignment="1">
      <alignment horizontal="center" vertical="center"/>
    </xf>
    <xf numFmtId="174" fontId="49" fillId="2" borderId="65" xfId="0" applyNumberFormat="1" applyFont="1" applyFill="1" applyBorder="1" applyAlignment="1">
      <alignment horizontal="center" vertical="center"/>
    </xf>
    <xf numFmtId="174" fontId="49" fillId="2" borderId="0" xfId="0" applyNumberFormat="1" applyFont="1" applyFill="1" applyAlignment="1">
      <alignment horizontal="center" vertical="center"/>
    </xf>
    <xf numFmtId="174" fontId="49" fillId="2" borderId="67" xfId="0" applyNumberFormat="1" applyFont="1" applyFill="1" applyBorder="1" applyAlignment="1">
      <alignment horizontal="center" vertical="center"/>
    </xf>
    <xf numFmtId="14" fontId="60" fillId="2" borderId="64" xfId="0" applyNumberFormat="1" applyFont="1" applyFill="1" applyBorder="1" applyAlignment="1">
      <alignment horizontal="center" vertical="center"/>
    </xf>
    <xf numFmtId="14" fontId="60" fillId="2" borderId="0" xfId="0" applyNumberFormat="1" applyFont="1" applyFill="1" applyAlignment="1">
      <alignment horizontal="center" vertical="center"/>
    </xf>
    <xf numFmtId="14" fontId="60" fillId="2" borderId="65" xfId="0" applyNumberFormat="1" applyFont="1" applyFill="1" applyBorder="1" applyAlignment="1">
      <alignment horizontal="center" vertical="center"/>
    </xf>
    <xf numFmtId="14" fontId="60" fillId="2" borderId="67" xfId="0" applyNumberFormat="1" applyFont="1" applyFill="1" applyBorder="1" applyAlignment="1">
      <alignment horizontal="center" vertical="center"/>
    </xf>
    <xf numFmtId="174" fontId="0" fillId="25" borderId="40" xfId="0" applyNumberFormat="1" applyFill="1" applyBorder="1" applyAlignment="1">
      <alignment horizontal="center"/>
    </xf>
    <xf numFmtId="174" fontId="0" fillId="25" borderId="41" xfId="0" applyNumberFormat="1" applyFill="1" applyBorder="1" applyAlignment="1">
      <alignment horizontal="center"/>
    </xf>
    <xf numFmtId="174" fontId="0" fillId="2" borderId="65" xfId="0" applyNumberFormat="1" applyFill="1" applyBorder="1" applyAlignment="1">
      <alignment horizontal="center" vertical="center"/>
    </xf>
    <xf numFmtId="174" fontId="0" fillId="2" borderId="67" xfId="0" applyNumberFormat="1" applyFill="1" applyBorder="1" applyAlignment="1">
      <alignment horizontal="center" vertical="center"/>
    </xf>
    <xf numFmtId="174" fontId="0" fillId="2" borderId="82" xfId="0" applyNumberFormat="1" applyFill="1" applyBorder="1" applyAlignment="1">
      <alignment horizontal="center" vertical="center"/>
    </xf>
    <xf numFmtId="0" fontId="0" fillId="49" borderId="68" xfId="0" applyFill="1" applyBorder="1" applyAlignment="1">
      <alignment horizontal="center" vertical="center"/>
    </xf>
    <xf numFmtId="0" fontId="0" fillId="49" borderId="67" xfId="0" applyFill="1" applyBorder="1" applyAlignment="1">
      <alignment horizontal="center" vertical="center"/>
    </xf>
    <xf numFmtId="0" fontId="43" fillId="24" borderId="37" xfId="82" applyFont="1" applyFill="1" applyBorder="1" applyAlignment="1">
      <alignment horizontal="center"/>
    </xf>
    <xf numFmtId="0" fontId="33" fillId="60" borderId="43" xfId="82" applyFont="1" applyFill="1" applyBorder="1" applyAlignment="1">
      <alignment horizontal="center" vertical="center"/>
    </xf>
    <xf numFmtId="1" fontId="37" fillId="24" borderId="43" xfId="82" applyNumberFormat="1" applyFont="1" applyFill="1" applyBorder="1" applyAlignment="1">
      <alignment horizontal="center" vertical="center"/>
    </xf>
    <xf numFmtId="0" fontId="33" fillId="60" borderId="43" xfId="82" applyFont="1" applyFill="1" applyBorder="1" applyAlignment="1">
      <alignment horizontal="left" vertical="center"/>
    </xf>
    <xf numFmtId="0" fontId="33" fillId="60" borderId="43" xfId="82" applyFont="1" applyFill="1" applyBorder="1" applyAlignment="1">
      <alignment horizontal="center"/>
    </xf>
    <xf numFmtId="0" fontId="33" fillId="24" borderId="120" xfId="82" applyFont="1" applyFill="1" applyBorder="1" applyAlignment="1">
      <alignment horizontal="center" vertical="center" wrapText="1"/>
    </xf>
    <xf numFmtId="0" fontId="0" fillId="0" borderId="84" xfId="0" applyBorder="1"/>
    <xf numFmtId="0" fontId="0" fillId="0" borderId="121" xfId="0" applyBorder="1"/>
    <xf numFmtId="0" fontId="0" fillId="0" borderId="14" xfId="0" applyBorder="1"/>
    <xf numFmtId="0" fontId="0" fillId="0" borderId="0" xfId="0"/>
    <xf numFmtId="0" fontId="0" fillId="0" borderId="23" xfId="0" applyBorder="1"/>
    <xf numFmtId="0" fontId="0" fillId="0" borderId="85" xfId="0" applyBorder="1"/>
    <xf numFmtId="0" fontId="0" fillId="0" borderId="86" xfId="0" applyBorder="1"/>
    <xf numFmtId="0" fontId="0" fillId="0" borderId="133" xfId="0" applyBorder="1"/>
    <xf numFmtId="0" fontId="34" fillId="35" borderId="43" xfId="82" applyFont="1" applyFill="1" applyBorder="1" applyAlignment="1">
      <alignment horizontal="center" vertical="center"/>
    </xf>
    <xf numFmtId="176" fontId="34" fillId="35" borderId="43" xfId="82" applyNumberFormat="1" applyFont="1" applyFill="1" applyBorder="1" applyAlignment="1">
      <alignment horizontal="center" vertical="center"/>
    </xf>
    <xf numFmtId="14" fontId="34" fillId="57" borderId="43" xfId="82" applyNumberFormat="1" applyFont="1" applyFill="1" applyBorder="1" applyAlignment="1">
      <alignment horizontal="center" vertical="center"/>
    </xf>
    <xf numFmtId="1" fontId="34" fillId="24" borderId="43" xfId="82" applyNumberFormat="1" applyFont="1" applyFill="1" applyBorder="1" applyAlignment="1">
      <alignment horizontal="left"/>
    </xf>
    <xf numFmtId="0" fontId="34" fillId="24" borderId="43" xfId="82" applyFont="1" applyFill="1" applyBorder="1" applyAlignment="1">
      <alignment horizontal="left"/>
    </xf>
    <xf numFmtId="4" fontId="34" fillId="24" borderId="43" xfId="82" applyNumberFormat="1" applyFont="1" applyFill="1" applyBorder="1" applyAlignment="1">
      <alignment horizontal="right" vertical="center"/>
    </xf>
    <xf numFmtId="4" fontId="34" fillId="24" borderId="39" xfId="82" applyNumberFormat="1" applyFont="1" applyFill="1" applyBorder="1" applyAlignment="1">
      <alignment horizontal="right" vertical="center"/>
    </xf>
    <xf numFmtId="4" fontId="34" fillId="24" borderId="47" xfId="82" applyNumberFormat="1" applyFont="1" applyFill="1" applyBorder="1" applyAlignment="1">
      <alignment horizontal="right" vertical="center"/>
    </xf>
    <xf numFmtId="0" fontId="44" fillId="0" borderId="43" xfId="82" applyFont="1" applyBorder="1" applyAlignment="1">
      <alignment horizontal="left"/>
    </xf>
    <xf numFmtId="4" fontId="44" fillId="60" borderId="43" xfId="82" applyNumberFormat="1" applyFont="1" applyFill="1" applyBorder="1" applyAlignment="1">
      <alignment horizontal="right" vertical="center"/>
    </xf>
    <xf numFmtId="0" fontId="43" fillId="0" borderId="17" xfId="81" applyFont="1" applyBorder="1" applyAlignment="1">
      <alignment horizontal="center" vertical="center"/>
    </xf>
    <xf numFmtId="0" fontId="43" fillId="0" borderId="18" xfId="81" applyFont="1" applyBorder="1" applyAlignment="1">
      <alignment horizontal="center" vertical="center"/>
    </xf>
    <xf numFmtId="0" fontId="43" fillId="0" borderId="19" xfId="81" applyFont="1" applyBorder="1" applyAlignment="1">
      <alignment horizontal="center" vertical="center"/>
    </xf>
    <xf numFmtId="0" fontId="43" fillId="0" borderId="20" xfId="81" applyFont="1" applyBorder="1" applyAlignment="1">
      <alignment horizontal="center" vertical="center"/>
    </xf>
    <xf numFmtId="16" fontId="44" fillId="60" borderId="43" xfId="82" applyNumberFormat="1" applyFont="1" applyFill="1" applyBorder="1" applyAlignment="1">
      <alignment horizontal="center" vertical="center"/>
    </xf>
    <xf numFmtId="0" fontId="51" fillId="35" borderId="43" xfId="82" applyFont="1" applyFill="1" applyBorder="1" applyAlignment="1">
      <alignment horizontal="left" vertical="center" wrapText="1"/>
    </xf>
    <xf numFmtId="0" fontId="51" fillId="35" borderId="46" xfId="82" applyFont="1" applyFill="1" applyBorder="1" applyAlignment="1">
      <alignment horizontal="left" vertical="center" wrapText="1"/>
    </xf>
    <xf numFmtId="0" fontId="51" fillId="35" borderId="48" xfId="82" applyFont="1" applyFill="1" applyBorder="1" applyAlignment="1">
      <alignment horizontal="left" vertical="center" wrapText="1"/>
    </xf>
    <xf numFmtId="0" fontId="51" fillId="35" borderId="44" xfId="82" applyFont="1" applyFill="1" applyBorder="1" applyAlignment="1">
      <alignment horizontal="left" vertical="center" wrapText="1"/>
    </xf>
    <xf numFmtId="0" fontId="51" fillId="35" borderId="35" xfId="82" applyFont="1" applyFill="1" applyBorder="1" applyAlignment="1">
      <alignment horizontal="left" vertical="center" wrapText="1"/>
    </xf>
    <xf numFmtId="0" fontId="51" fillId="35" borderId="37" xfId="82" applyFont="1" applyFill="1" applyBorder="1" applyAlignment="1">
      <alignment horizontal="left" vertical="center" wrapText="1"/>
    </xf>
    <xf numFmtId="0" fontId="51" fillId="35" borderId="36" xfId="82" applyFont="1" applyFill="1" applyBorder="1" applyAlignment="1">
      <alignment horizontal="left" vertical="center" wrapText="1"/>
    </xf>
    <xf numFmtId="0" fontId="0" fillId="24" borderId="48" xfId="82" applyFont="1" applyFill="1" applyBorder="1" applyAlignment="1">
      <alignment horizontal="left" wrapText="1"/>
    </xf>
    <xf numFmtId="0" fontId="44" fillId="24" borderId="43" xfId="82" applyFont="1" applyFill="1" applyBorder="1" applyAlignment="1">
      <alignment horizontal="left"/>
    </xf>
    <xf numFmtId="4" fontId="34" fillId="60" borderId="43" xfId="82" applyNumberFormat="1" applyFont="1" applyFill="1" applyBorder="1" applyAlignment="1">
      <alignment horizontal="right" vertical="center"/>
    </xf>
    <xf numFmtId="44" fontId="73" fillId="35" borderId="128" xfId="304" applyFont="1" applyFill="1" applyBorder="1" applyAlignment="1">
      <alignment horizontal="center" vertical="center" wrapText="1"/>
    </xf>
    <xf numFmtId="44" fontId="73" fillId="35" borderId="29" xfId="304" applyFont="1" applyFill="1" applyBorder="1" applyAlignment="1">
      <alignment horizontal="center" vertical="center" wrapText="1"/>
    </xf>
    <xf numFmtId="44" fontId="45" fillId="35" borderId="128" xfId="304" applyFont="1" applyFill="1" applyBorder="1" applyAlignment="1">
      <alignment horizontal="center" vertical="center" wrapText="1"/>
    </xf>
    <xf numFmtId="44" fontId="45" fillId="35" borderId="29" xfId="304" applyFont="1" applyFill="1" applyBorder="1" applyAlignment="1">
      <alignment horizontal="center" vertical="center" wrapText="1"/>
    </xf>
    <xf numFmtId="44" fontId="45" fillId="35" borderId="128" xfId="304" applyFont="1" applyFill="1" applyBorder="1" applyAlignment="1">
      <alignment horizontal="center" vertical="center"/>
    </xf>
    <xf numFmtId="44" fontId="45" fillId="35" borderId="29" xfId="304" applyFont="1" applyFill="1" applyBorder="1" applyAlignment="1">
      <alignment horizontal="center" vertical="center"/>
    </xf>
    <xf numFmtId="49" fontId="45" fillId="35" borderId="128" xfId="621" applyNumberFormat="1" applyFont="1" applyFill="1" applyBorder="1" applyAlignment="1">
      <alignment horizontal="center" vertical="center"/>
    </xf>
    <xf numFmtId="49" fontId="45" fillId="35" borderId="29" xfId="621" applyNumberFormat="1" applyFont="1" applyFill="1" applyBorder="1" applyAlignment="1">
      <alignment horizontal="center" vertical="center"/>
    </xf>
    <xf numFmtId="49" fontId="46" fillId="27" borderId="46" xfId="116" applyNumberFormat="1" applyFont="1" applyFill="1" applyBorder="1" applyAlignment="1">
      <alignment horizontal="center" vertical="center" wrapText="1"/>
    </xf>
    <xf numFmtId="49" fontId="46" fillId="27" borderId="48" xfId="116" applyNumberFormat="1" applyFont="1" applyFill="1" applyBorder="1" applyAlignment="1">
      <alignment horizontal="center" vertical="center" wrapText="1"/>
    </xf>
    <xf numFmtId="49" fontId="46" fillId="27" borderId="44" xfId="116" applyNumberFormat="1" applyFont="1" applyFill="1" applyBorder="1" applyAlignment="1">
      <alignment horizontal="center" vertical="center" wrapText="1"/>
    </xf>
    <xf numFmtId="49" fontId="46" fillId="20" borderId="45" xfId="116" applyNumberFormat="1" applyFont="1" applyFill="1" applyBorder="1" applyAlignment="1">
      <alignment horizontal="center" vertical="center"/>
    </xf>
    <xf numFmtId="49" fontId="46" fillId="20" borderId="55" xfId="116" applyNumberFormat="1" applyFont="1" applyFill="1" applyBorder="1" applyAlignment="1">
      <alignment horizontal="center" vertical="center"/>
    </xf>
    <xf numFmtId="49" fontId="46" fillId="20" borderId="46" xfId="116" applyNumberFormat="1" applyFont="1" applyFill="1" applyBorder="1" applyAlignment="1">
      <alignment horizontal="center" vertical="center" wrapText="1"/>
    </xf>
    <xf numFmtId="49" fontId="46" fillId="20" borderId="44" xfId="116" applyNumberFormat="1" applyFont="1" applyFill="1" applyBorder="1" applyAlignment="1">
      <alignment horizontal="center" vertical="center" wrapText="1"/>
    </xf>
    <xf numFmtId="49" fontId="46" fillId="20" borderId="56" xfId="116" applyNumberFormat="1" applyFont="1" applyFill="1" applyBorder="1" applyAlignment="1">
      <alignment horizontal="center" vertical="center" wrapText="1"/>
    </xf>
    <xf numFmtId="49" fontId="46" fillId="20" borderId="57" xfId="116" applyNumberFormat="1" applyFont="1" applyFill="1" applyBorder="1" applyAlignment="1">
      <alignment horizontal="center" vertical="center" wrapText="1"/>
    </xf>
    <xf numFmtId="4" fontId="46" fillId="20" borderId="46" xfId="82" applyNumberFormat="1" applyFont="1" applyFill="1" applyBorder="1" applyAlignment="1">
      <alignment horizontal="center" vertical="center"/>
    </xf>
    <xf numFmtId="4" fontId="46" fillId="20" borderId="44" xfId="82" applyNumberFormat="1" applyFont="1" applyFill="1" applyBorder="1" applyAlignment="1">
      <alignment horizontal="center" vertical="center"/>
    </xf>
    <xf numFmtId="4" fontId="46" fillId="20" borderId="56" xfId="82" applyNumberFormat="1" applyFont="1" applyFill="1" applyBorder="1" applyAlignment="1">
      <alignment horizontal="center" vertical="center"/>
    </xf>
    <xf numFmtId="4" fontId="46" fillId="20" borderId="57" xfId="82" applyNumberFormat="1" applyFont="1" applyFill="1" applyBorder="1" applyAlignment="1">
      <alignment horizontal="center" vertical="center"/>
    </xf>
    <xf numFmtId="49" fontId="46" fillId="20" borderId="39" xfId="116" applyNumberFormat="1" applyFont="1" applyFill="1" applyBorder="1" applyAlignment="1">
      <alignment horizontal="center" vertical="center"/>
    </xf>
    <xf numFmtId="49" fontId="46" fillId="20" borderId="49" xfId="116" applyNumberFormat="1" applyFont="1" applyFill="1" applyBorder="1" applyAlignment="1">
      <alignment horizontal="center" vertical="center"/>
    </xf>
    <xf numFmtId="49" fontId="46" fillId="20" borderId="47" xfId="116" applyNumberFormat="1" applyFont="1" applyFill="1" applyBorder="1" applyAlignment="1">
      <alignment horizontal="center" vertical="center"/>
    </xf>
    <xf numFmtId="49" fontId="45" fillId="24" borderId="0" xfId="82" applyNumberFormat="1" applyFont="1" applyFill="1" applyAlignment="1">
      <alignment horizontal="center" vertical="center" wrapText="1"/>
    </xf>
    <xf numFmtId="49" fontId="45" fillId="24" borderId="0" xfId="82" applyNumberFormat="1" applyFont="1" applyFill="1" applyAlignment="1">
      <alignment horizontal="center" vertical="center"/>
    </xf>
    <xf numFmtId="1" fontId="49" fillId="0" borderId="39" xfId="82" applyNumberFormat="1" applyFont="1" applyBorder="1" applyAlignment="1">
      <alignment horizontal="center" vertical="center"/>
    </xf>
    <xf numFmtId="1" fontId="49" fillId="0" borderId="47" xfId="82" applyNumberFormat="1" applyFont="1" applyBorder="1" applyAlignment="1">
      <alignment horizontal="center" vertical="center"/>
    </xf>
    <xf numFmtId="0" fontId="52" fillId="0" borderId="126" xfId="82" applyBorder="1" applyAlignment="1">
      <alignment horizontal="center" vertical="center" wrapText="1"/>
    </xf>
    <xf numFmtId="0" fontId="52" fillId="0" borderId="136" xfId="82" applyBorder="1" applyAlignment="1">
      <alignment horizontal="center" vertical="center" wrapText="1"/>
    </xf>
    <xf numFmtId="49" fontId="36" fillId="20" borderId="43" xfId="82" applyNumberFormat="1" applyFont="1" applyFill="1" applyBorder="1" applyAlignment="1">
      <alignment horizontal="center" vertical="center"/>
    </xf>
    <xf numFmtId="0" fontId="43" fillId="0" borderId="0" xfId="82" applyFont="1" applyAlignment="1">
      <alignment horizontal="center"/>
    </xf>
    <xf numFmtId="0" fontId="33" fillId="20" borderId="43" xfId="82" applyFont="1" applyFill="1" applyBorder="1" applyAlignment="1">
      <alignment horizontal="center" vertical="center"/>
    </xf>
    <xf numFmtId="174" fontId="0" fillId="0" borderId="43" xfId="82" applyNumberFormat="1" applyFont="1" applyBorder="1" applyAlignment="1">
      <alignment horizontal="center" vertical="center"/>
    </xf>
    <xf numFmtId="0" fontId="52" fillId="26" borderId="0" xfId="83" applyFill="1" applyAlignment="1">
      <alignment horizontal="center"/>
    </xf>
    <xf numFmtId="0" fontId="52" fillId="0" borderId="123" xfId="80" applyBorder="1" applyAlignment="1">
      <alignment horizontal="left"/>
    </xf>
    <xf numFmtId="0" fontId="52" fillId="0" borderId="125" xfId="80" applyBorder="1" applyAlignment="1">
      <alignment horizontal="left"/>
    </xf>
    <xf numFmtId="0" fontId="52" fillId="0" borderId="127" xfId="80" applyBorder="1" applyAlignment="1">
      <alignment horizontal="left"/>
    </xf>
    <xf numFmtId="0" fontId="33" fillId="59" borderId="123" xfId="72" applyFont="1" applyFill="1" applyBorder="1" applyAlignment="1">
      <alignment horizontal="center"/>
    </xf>
    <xf numFmtId="0" fontId="33" fillId="59" borderId="125" xfId="72" applyFont="1" applyFill="1" applyBorder="1" applyAlignment="1">
      <alignment horizontal="center"/>
    </xf>
    <xf numFmtId="0" fontId="33" fillId="59" borderId="127" xfId="72" applyFont="1" applyFill="1" applyBorder="1" applyAlignment="1">
      <alignment horizontal="center"/>
    </xf>
    <xf numFmtId="0" fontId="33" fillId="59" borderId="132" xfId="72" applyFont="1" applyFill="1" applyBorder="1" applyAlignment="1">
      <alignment horizontal="center" vertical="center"/>
    </xf>
    <xf numFmtId="0" fontId="33" fillId="59" borderId="18" xfId="72" applyFont="1" applyFill="1" applyBorder="1" applyAlignment="1">
      <alignment horizontal="center" vertical="center"/>
    </xf>
    <xf numFmtId="0" fontId="33" fillId="59" borderId="130" xfId="72" applyFont="1" applyFill="1" applyBorder="1" applyAlignment="1">
      <alignment horizontal="center" vertical="center"/>
    </xf>
    <xf numFmtId="0" fontId="33" fillId="59" borderId="122" xfId="72" applyFont="1" applyFill="1" applyBorder="1" applyAlignment="1">
      <alignment horizontal="center" vertical="center"/>
    </xf>
    <xf numFmtId="0" fontId="33" fillId="59" borderId="52" xfId="72" applyFont="1" applyFill="1" applyBorder="1" applyAlignment="1">
      <alignment horizontal="center" vertical="center"/>
    </xf>
    <xf numFmtId="0" fontId="33" fillId="59" borderId="53" xfId="72" applyFont="1" applyFill="1" applyBorder="1" applyAlignment="1">
      <alignment horizontal="center" vertical="center"/>
    </xf>
    <xf numFmtId="4" fontId="52" fillId="0" borderId="123" xfId="80" applyNumberFormat="1" applyBorder="1" applyAlignment="1">
      <alignment horizontal="left"/>
    </xf>
    <xf numFmtId="4" fontId="52" fillId="0" borderId="125" xfId="80" applyNumberFormat="1" applyBorder="1" applyAlignment="1">
      <alignment horizontal="left"/>
    </xf>
    <xf numFmtId="4" fontId="52" fillId="0" borderId="127" xfId="80" applyNumberFormat="1" applyBorder="1" applyAlignment="1">
      <alignment horizontal="left"/>
    </xf>
    <xf numFmtId="0" fontId="1" fillId="0" borderId="0" xfId="626" applyAlignment="1">
      <alignment horizontal="justify" vertical="center" wrapText="1"/>
    </xf>
    <xf numFmtId="164" fontId="84" fillId="0" borderId="0" xfId="627" applyFont="1" applyAlignment="1" applyProtection="1">
      <alignment horizontal="center" wrapText="1"/>
    </xf>
    <xf numFmtId="0" fontId="86" fillId="63" borderId="0" xfId="626" applyFont="1" applyFill="1" applyAlignment="1">
      <alignment horizontal="center"/>
    </xf>
    <xf numFmtId="0" fontId="87" fillId="63" borderId="0" xfId="626" applyFont="1" applyFill="1" applyAlignment="1">
      <alignment horizontal="center"/>
    </xf>
    <xf numFmtId="164" fontId="89" fillId="61" borderId="0" xfId="627" applyFont="1" applyFill="1" applyBorder="1" applyAlignment="1" applyProtection="1">
      <alignment horizontal="center" vertical="center"/>
    </xf>
    <xf numFmtId="0" fontId="82" fillId="63" borderId="176" xfId="626" applyFont="1" applyFill="1" applyBorder="1" applyAlignment="1">
      <alignment horizontal="center" vertical="center"/>
    </xf>
    <xf numFmtId="0" fontId="82" fillId="63" borderId="177" xfId="626" applyFont="1" applyFill="1" applyBorder="1" applyAlignment="1">
      <alignment horizontal="center" vertical="center"/>
    </xf>
    <xf numFmtId="0" fontId="92" fillId="0" borderId="181" xfId="626" applyFont="1" applyBorder="1" applyAlignment="1">
      <alignment horizontal="left" wrapText="1"/>
    </xf>
    <xf numFmtId="0" fontId="92" fillId="0" borderId="182" xfId="626" applyFont="1" applyBorder="1" applyAlignment="1">
      <alignment horizontal="left" wrapText="1"/>
    </xf>
    <xf numFmtId="0" fontId="82" fillId="63" borderId="181" xfId="626" applyFont="1" applyFill="1" applyBorder="1" applyAlignment="1">
      <alignment horizontal="center" vertical="center"/>
    </xf>
    <xf numFmtId="0" fontId="82" fillId="63" borderId="182" xfId="626" applyFont="1" applyFill="1" applyBorder="1" applyAlignment="1">
      <alignment horizontal="center" vertical="center"/>
    </xf>
    <xf numFmtId="0" fontId="82" fillId="64" borderId="176" xfId="626" applyFont="1" applyFill="1" applyBorder="1" applyAlignment="1">
      <alignment horizontal="center" vertical="center"/>
    </xf>
    <xf numFmtId="0" fontId="82" fillId="65" borderId="176" xfId="626" applyFont="1" applyFill="1" applyBorder="1" applyAlignment="1">
      <alignment horizontal="center" vertical="center"/>
    </xf>
    <xf numFmtId="0" fontId="82" fillId="66" borderId="73" xfId="626" applyFont="1" applyFill="1" applyBorder="1" applyAlignment="1">
      <alignment horizontal="center" vertical="center"/>
    </xf>
    <xf numFmtId="0" fontId="82" fillId="66" borderId="74" xfId="626" applyFont="1" applyFill="1" applyBorder="1" applyAlignment="1">
      <alignment horizontal="center" vertical="center"/>
    </xf>
    <xf numFmtId="164" fontId="0" fillId="0" borderId="18" xfId="627" applyFont="1" applyBorder="1" applyAlignment="1">
      <alignment horizontal="left" vertical="center"/>
    </xf>
    <xf numFmtId="164" fontId="89" fillId="0" borderId="174" xfId="627" applyFont="1" applyFill="1" applyBorder="1" applyAlignment="1">
      <alignment horizontal="left" vertical="center"/>
    </xf>
    <xf numFmtId="164" fontId="89" fillId="0" borderId="166" xfId="627" applyFont="1" applyFill="1" applyBorder="1" applyAlignment="1">
      <alignment horizontal="left" vertical="center"/>
    </xf>
    <xf numFmtId="164" fontId="89" fillId="0" borderId="127" xfId="627" applyFont="1" applyFill="1" applyBorder="1" applyAlignment="1">
      <alignment horizontal="left" vertical="center"/>
    </xf>
    <xf numFmtId="164" fontId="0" fillId="0" borderId="188" xfId="627" applyFont="1" applyBorder="1" applyAlignment="1">
      <alignment horizontal="left" vertical="center"/>
    </xf>
    <xf numFmtId="0" fontId="96" fillId="0" borderId="174" xfId="626" applyFont="1" applyBorder="1" applyAlignment="1">
      <alignment horizontal="center" vertical="center" wrapText="1"/>
    </xf>
    <xf numFmtId="0" fontId="96" fillId="0" borderId="127" xfId="626" applyFont="1" applyBorder="1" applyAlignment="1">
      <alignment horizontal="center" vertical="center" wrapText="1"/>
    </xf>
    <xf numFmtId="0" fontId="96" fillId="0" borderId="26" xfId="626" applyFont="1" applyBorder="1" applyAlignment="1">
      <alignment horizontal="center" vertical="center" wrapText="1"/>
    </xf>
    <xf numFmtId="0" fontId="85" fillId="0" borderId="26" xfId="626" applyFont="1" applyBorder="1" applyAlignment="1">
      <alignment horizontal="center" vertical="center" wrapText="1"/>
    </xf>
    <xf numFmtId="0" fontId="84" fillId="61" borderId="26" xfId="626" applyFont="1" applyFill="1" applyBorder="1" applyAlignment="1">
      <alignment horizontal="center"/>
    </xf>
    <xf numFmtId="188" fontId="1" fillId="0" borderId="26" xfId="626" applyNumberFormat="1" applyBorder="1" applyAlignment="1">
      <alignment horizontal="center"/>
    </xf>
    <xf numFmtId="0" fontId="1" fillId="0" borderId="0" xfId="626" applyAlignment="1">
      <alignment horizontal="center"/>
    </xf>
    <xf numFmtId="0" fontId="84" fillId="69" borderId="26" xfId="626" applyFont="1" applyFill="1" applyBorder="1" applyAlignment="1">
      <alignment horizontal="center"/>
    </xf>
    <xf numFmtId="0" fontId="100" fillId="61" borderId="26" xfId="626" applyFont="1" applyFill="1" applyBorder="1" applyAlignment="1">
      <alignment horizontal="center" vertical="center"/>
    </xf>
    <xf numFmtId="2" fontId="84" fillId="0" borderId="26" xfId="626" applyNumberFormat="1" applyFont="1" applyBorder="1" applyAlignment="1">
      <alignment horizontal="right"/>
    </xf>
    <xf numFmtId="1" fontId="1" fillId="0" borderId="174" xfId="627" applyNumberFormat="1" applyFont="1" applyBorder="1" applyAlignment="1">
      <alignment horizontal="right"/>
    </xf>
    <xf numFmtId="1" fontId="1" fillId="0" borderId="127" xfId="627" applyNumberFormat="1" applyFont="1" applyBorder="1" applyAlignment="1">
      <alignment horizontal="right"/>
    </xf>
    <xf numFmtId="164" fontId="1" fillId="0" borderId="26" xfId="627" applyFont="1" applyBorder="1" applyAlignment="1">
      <alignment horizontal="center"/>
    </xf>
    <xf numFmtId="190" fontId="1" fillId="0" borderId="174" xfId="627" applyNumberFormat="1" applyFont="1" applyBorder="1" applyAlignment="1">
      <alignment horizontal="center"/>
    </xf>
    <xf numFmtId="190" fontId="1" fillId="0" borderId="127" xfId="627" applyNumberFormat="1" applyFont="1" applyBorder="1" applyAlignment="1">
      <alignment horizontal="center"/>
    </xf>
    <xf numFmtId="0" fontId="84" fillId="69" borderId="174" xfId="626" applyFont="1" applyFill="1" applyBorder="1" applyAlignment="1">
      <alignment horizontal="center"/>
    </xf>
    <xf numFmtId="0" fontId="1" fillId="26" borderId="26" xfId="626" applyFill="1" applyBorder="1" applyAlignment="1">
      <alignment horizontal="center"/>
    </xf>
    <xf numFmtId="0" fontId="84" fillId="0" borderId="0" xfId="626" applyFont="1" applyAlignment="1">
      <alignment horizontal="center"/>
    </xf>
    <xf numFmtId="0" fontId="84" fillId="0" borderId="26" xfId="626" applyFont="1" applyBorder="1" applyAlignment="1">
      <alignment horizontal="left" wrapText="1"/>
    </xf>
    <xf numFmtId="0" fontId="84" fillId="0" borderId="26" xfId="626" applyFont="1" applyBorder="1" applyAlignment="1">
      <alignment horizontal="left"/>
    </xf>
    <xf numFmtId="0" fontId="96" fillId="0" borderId="166" xfId="626" applyFont="1" applyBorder="1" applyAlignment="1">
      <alignment horizontal="center" vertical="center" wrapText="1"/>
    </xf>
    <xf numFmtId="188" fontId="1" fillId="0" borderId="174" xfId="627" applyNumberFormat="1" applyFont="1" applyBorder="1" applyAlignment="1">
      <alignment horizontal="right"/>
    </xf>
    <xf numFmtId="188" fontId="1" fillId="0" borderId="127" xfId="627" applyNumberFormat="1" applyFont="1" applyBorder="1" applyAlignment="1">
      <alignment horizontal="right"/>
    </xf>
    <xf numFmtId="188" fontId="1" fillId="0" borderId="26" xfId="627" applyNumberFormat="1" applyFont="1" applyBorder="1" applyAlignment="1">
      <alignment horizontal="center"/>
    </xf>
    <xf numFmtId="164" fontId="1" fillId="0" borderId="174" xfId="627" applyFont="1" applyBorder="1" applyAlignment="1">
      <alignment horizontal="center"/>
    </xf>
    <xf numFmtId="164" fontId="1" fillId="0" borderId="127" xfId="627" applyFont="1" applyBorder="1" applyAlignment="1">
      <alignment horizontal="center"/>
    </xf>
    <xf numFmtId="0" fontId="0" fillId="71" borderId="132" xfId="0" applyFill="1" applyBorder="1"/>
    <xf numFmtId="0" fontId="0" fillId="0" borderId="138" xfId="0" applyBorder="1" applyAlignment="1">
      <alignment horizontal="left"/>
    </xf>
    <xf numFmtId="0" fontId="0" fillId="71" borderId="59" xfId="0" applyFill="1" applyBorder="1"/>
    <xf numFmtId="0" fontId="0" fillId="0" borderId="59" xfId="0" applyBorder="1"/>
    <xf numFmtId="0" fontId="37" fillId="0" borderId="59" xfId="0" applyFont="1" applyBorder="1"/>
    <xf numFmtId="0" fontId="37" fillId="0" borderId="172" xfId="0" applyFont="1" applyBorder="1"/>
    <xf numFmtId="0" fontId="67" fillId="26" borderId="192" xfId="0" applyFont="1" applyFill="1" applyBorder="1" applyAlignment="1">
      <alignment horizontal="center"/>
    </xf>
    <xf numFmtId="0" fontId="0" fillId="26" borderId="175" xfId="0" applyFill="1" applyBorder="1"/>
    <xf numFmtId="0" fontId="0" fillId="26" borderId="127" xfId="0" applyFill="1" applyBorder="1"/>
    <xf numFmtId="0" fontId="0" fillId="26" borderId="192" xfId="0" applyFill="1" applyBorder="1" applyAlignment="1">
      <alignment horizontal="left"/>
    </xf>
    <xf numFmtId="44" fontId="49" fillId="26" borderId="175" xfId="304" applyFont="1" applyFill="1" applyBorder="1"/>
    <xf numFmtId="0" fontId="49" fillId="26" borderId="175" xfId="0" applyFont="1" applyFill="1" applyBorder="1"/>
    <xf numFmtId="44" fontId="49" fillId="26" borderId="138" xfId="0" applyNumberFormat="1" applyFont="1" applyFill="1" applyBorder="1"/>
    <xf numFmtId="0" fontId="49" fillId="26" borderId="15" xfId="0" applyFont="1" applyFill="1" applyBorder="1"/>
    <xf numFmtId="0" fontId="49" fillId="26" borderId="119" xfId="0" applyFont="1" applyFill="1" applyBorder="1"/>
    <xf numFmtId="0" fontId="0" fillId="26" borderId="173" xfId="0" applyFill="1" applyBorder="1"/>
    <xf numFmtId="0" fontId="49" fillId="26" borderId="29" xfId="0" applyFont="1" applyFill="1" applyBorder="1"/>
    <xf numFmtId="0" fontId="49" fillId="26" borderId="134" xfId="0" applyFont="1" applyFill="1" applyBorder="1"/>
    <xf numFmtId="0" fontId="0" fillId="71" borderId="174" xfId="0" applyFill="1" applyBorder="1"/>
    <xf numFmtId="0" fontId="0" fillId="71" borderId="26" xfId="0" applyFill="1" applyBorder="1"/>
    <xf numFmtId="0" fontId="0" fillId="71" borderId="138" xfId="0" applyFill="1" applyBorder="1"/>
    <xf numFmtId="0" fontId="37" fillId="71" borderId="119" xfId="0" applyFont="1" applyFill="1" applyBorder="1"/>
    <xf numFmtId="0" fontId="37" fillId="71" borderId="59" xfId="0" applyFont="1" applyFill="1" applyBorder="1"/>
    <xf numFmtId="0" fontId="37" fillId="71" borderId="15" xfId="0" applyFont="1" applyFill="1" applyBorder="1"/>
    <xf numFmtId="0" fontId="37" fillId="71" borderId="138" xfId="0" applyFont="1" applyFill="1" applyBorder="1" applyAlignment="1">
      <alignment horizontal="center"/>
    </xf>
    <xf numFmtId="0" fontId="37" fillId="71" borderId="15" xfId="0" applyFont="1" applyFill="1" applyBorder="1" applyAlignment="1">
      <alignment horizontal="center"/>
    </xf>
    <xf numFmtId="0" fontId="37" fillId="71" borderId="119" xfId="0" applyFont="1" applyFill="1" applyBorder="1" applyAlignment="1">
      <alignment horizontal="center"/>
    </xf>
    <xf numFmtId="0" fontId="37" fillId="71" borderId="134" xfId="0" quotePrefix="1" applyFont="1" applyFill="1" applyBorder="1"/>
    <xf numFmtId="0" fontId="37" fillId="71" borderId="172" xfId="0" applyFont="1" applyFill="1" applyBorder="1"/>
    <xf numFmtId="0" fontId="37" fillId="71" borderId="29" xfId="0" applyFont="1" applyFill="1" applyBorder="1"/>
    <xf numFmtId="0" fontId="37" fillId="71" borderId="134" xfId="0" applyFont="1" applyFill="1" applyBorder="1" applyAlignment="1">
      <alignment horizontal="center"/>
    </xf>
    <xf numFmtId="0" fontId="37" fillId="71" borderId="175" xfId="0" applyFont="1" applyFill="1" applyBorder="1"/>
    <xf numFmtId="0" fontId="37" fillId="71" borderId="138" xfId="0" applyFont="1" applyFill="1" applyBorder="1"/>
    <xf numFmtId="0" fontId="37" fillId="71" borderId="134" xfId="0" applyFont="1" applyFill="1" applyBorder="1"/>
    <xf numFmtId="0" fontId="37" fillId="26" borderId="175" xfId="0" applyFont="1" applyFill="1" applyBorder="1"/>
    <xf numFmtId="0" fontId="37" fillId="26" borderId="127" xfId="0" applyFont="1" applyFill="1" applyBorder="1" applyAlignment="1">
      <alignment horizontal="center"/>
    </xf>
    <xf numFmtId="0" fontId="0" fillId="71" borderId="15" xfId="0" applyFill="1" applyBorder="1" applyAlignment="1" applyProtection="1">
      <alignment horizontal="center" vertical="center"/>
      <protection locked="0"/>
    </xf>
    <xf numFmtId="0" fontId="34" fillId="71" borderId="29" xfId="0" applyFont="1" applyFill="1" applyBorder="1" applyAlignment="1" applyProtection="1">
      <alignment horizontal="center" vertical="center"/>
      <protection locked="0"/>
    </xf>
    <xf numFmtId="0" fontId="0" fillId="26" borderId="175" xfId="0" applyFill="1" applyBorder="1" applyAlignment="1" applyProtection="1">
      <alignment horizontal="center" vertical="center"/>
      <protection locked="0"/>
    </xf>
    <xf numFmtId="0" fontId="37" fillId="71" borderId="174" xfId="0" applyFont="1" applyFill="1" applyBorder="1" applyAlignment="1">
      <alignment horizontal="center"/>
    </xf>
    <xf numFmtId="0" fontId="37" fillId="71" borderId="166" xfId="0" applyFont="1" applyFill="1" applyBorder="1" applyAlignment="1">
      <alignment horizontal="center"/>
    </xf>
    <xf numFmtId="0" fontId="37" fillId="71" borderId="26" xfId="0" applyFont="1" applyFill="1" applyBorder="1"/>
    <xf numFmtId="0" fontId="0" fillId="71" borderId="15" xfId="0" applyFill="1" applyBorder="1"/>
    <xf numFmtId="0" fontId="37" fillId="71" borderId="174" xfId="0" applyFont="1" applyFill="1" applyBorder="1" applyAlignment="1">
      <alignment horizontal="center"/>
    </xf>
    <xf numFmtId="0" fontId="37" fillId="71" borderId="127" xfId="0" applyFont="1" applyFill="1" applyBorder="1" applyAlignment="1">
      <alignment horizontal="center"/>
    </xf>
    <xf numFmtId="0" fontId="37" fillId="71" borderId="173" xfId="0" applyFont="1" applyFill="1" applyBorder="1"/>
    <xf numFmtId="0" fontId="0" fillId="0" borderId="132" xfId="0" applyBorder="1"/>
    <xf numFmtId="0" fontId="44" fillId="0" borderId="192" xfId="0" applyFont="1" applyBorder="1" applyAlignment="1" applyProtection="1">
      <alignment horizontal="center" vertical="center"/>
      <protection locked="0"/>
    </xf>
    <xf numFmtId="0" fontId="37" fillId="0" borderId="132" xfId="0" applyFont="1" applyBorder="1"/>
    <xf numFmtId="0" fontId="37" fillId="0" borderId="192" xfId="0" applyFont="1" applyBorder="1"/>
    <xf numFmtId="0" fontId="105" fillId="72" borderId="192" xfId="0" applyFont="1" applyFill="1" applyBorder="1" applyAlignment="1">
      <alignment vertical="center" wrapText="1"/>
    </xf>
    <xf numFmtId="0" fontId="0" fillId="0" borderId="192" xfId="0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44" fillId="0" borderId="0" xfId="0" applyFont="1" applyBorder="1" applyAlignment="1" applyProtection="1">
      <alignment horizontal="center" vertical="center"/>
      <protection locked="0"/>
    </xf>
    <xf numFmtId="0" fontId="49" fillId="72" borderId="0" xfId="0" applyFont="1" applyFill="1" applyBorder="1"/>
    <xf numFmtId="0" fontId="37" fillId="0" borderId="0" xfId="0" applyFont="1" applyBorder="1"/>
    <xf numFmtId="0" fontId="37" fillId="26" borderId="0" xfId="0" quotePrefix="1" applyFont="1" applyFill="1" applyBorder="1"/>
    <xf numFmtId="0" fontId="37" fillId="72" borderId="0" xfId="0" applyFont="1" applyFill="1" applyBorder="1"/>
    <xf numFmtId="0" fontId="37" fillId="71" borderId="0" xfId="0" applyFont="1" applyFill="1" applyBorder="1"/>
    <xf numFmtId="0" fontId="34" fillId="0" borderId="0" xfId="0" applyFont="1" applyBorder="1" applyAlignment="1" applyProtection="1">
      <alignment horizontal="center" vertical="center"/>
      <protection locked="0"/>
    </xf>
    <xf numFmtId="0" fontId="0" fillId="0" borderId="172" xfId="0" applyBorder="1"/>
    <xf numFmtId="0" fontId="44" fillId="0" borderId="173" xfId="0" applyFont="1" applyBorder="1" applyAlignment="1" applyProtection="1">
      <alignment horizontal="center" vertical="center"/>
      <protection locked="0"/>
    </xf>
    <xf numFmtId="2" fontId="44" fillId="0" borderId="173" xfId="0" applyNumberFormat="1" applyFont="1" applyBorder="1" applyAlignment="1" applyProtection="1">
      <alignment horizontal="center" vertical="center"/>
      <protection locked="0"/>
    </xf>
    <xf numFmtId="0" fontId="44" fillId="0" borderId="134" xfId="0" applyFont="1" applyBorder="1" applyAlignment="1" applyProtection="1">
      <alignment horizontal="center" vertical="center"/>
      <protection locked="0"/>
    </xf>
  </cellXfs>
  <cellStyles count="630">
    <cellStyle name="20% - Accent1" xfId="1" xr:uid="{00000000-0005-0000-0000-000000000000}"/>
    <cellStyle name="20% - Accent1 2" xfId="2" xr:uid="{00000000-0005-0000-0000-000001000000}"/>
    <cellStyle name="20% - Accent2" xfId="3" xr:uid="{00000000-0005-0000-0000-000002000000}"/>
    <cellStyle name="20% - Accent2 2" xfId="4" xr:uid="{00000000-0005-0000-0000-000003000000}"/>
    <cellStyle name="20% - Accent3" xfId="5" xr:uid="{00000000-0005-0000-0000-000004000000}"/>
    <cellStyle name="20% - Accent3 2" xfId="6" xr:uid="{00000000-0005-0000-0000-000005000000}"/>
    <cellStyle name="20% - Accent4" xfId="7" xr:uid="{00000000-0005-0000-0000-000006000000}"/>
    <cellStyle name="20% - Accent4 2" xfId="8" xr:uid="{00000000-0005-0000-0000-000007000000}"/>
    <cellStyle name="20% - Accent5" xfId="9" xr:uid="{00000000-0005-0000-0000-000008000000}"/>
    <cellStyle name="20% - Accent5 2" xfId="10" xr:uid="{00000000-0005-0000-0000-000009000000}"/>
    <cellStyle name="20% - Accent6" xfId="11" xr:uid="{00000000-0005-0000-0000-00000A000000}"/>
    <cellStyle name="20% - Accent6 2" xfId="12" xr:uid="{00000000-0005-0000-0000-00000B000000}"/>
    <cellStyle name="40% - Accent1" xfId="13" xr:uid="{00000000-0005-0000-0000-00000C000000}"/>
    <cellStyle name="40% - Accent1 2" xfId="14" xr:uid="{00000000-0005-0000-0000-00000D000000}"/>
    <cellStyle name="40% - Accent2" xfId="15" xr:uid="{00000000-0005-0000-0000-00000E000000}"/>
    <cellStyle name="40% - Accent2 2" xfId="16" xr:uid="{00000000-0005-0000-0000-00000F000000}"/>
    <cellStyle name="40% - Accent3" xfId="17" xr:uid="{00000000-0005-0000-0000-000010000000}"/>
    <cellStyle name="40% - Accent3 2" xfId="18" xr:uid="{00000000-0005-0000-0000-000011000000}"/>
    <cellStyle name="40% - Accent4" xfId="19" xr:uid="{00000000-0005-0000-0000-000012000000}"/>
    <cellStyle name="40% - Accent4 2" xfId="20" xr:uid="{00000000-0005-0000-0000-000013000000}"/>
    <cellStyle name="40% - Accent5" xfId="21" xr:uid="{00000000-0005-0000-0000-000014000000}"/>
    <cellStyle name="40% - Accent5 2" xfId="22" xr:uid="{00000000-0005-0000-0000-000015000000}"/>
    <cellStyle name="40% - Accent6" xfId="23" xr:uid="{00000000-0005-0000-0000-000016000000}"/>
    <cellStyle name="40% - Accent6 2" xfId="24" xr:uid="{00000000-0005-0000-0000-000017000000}"/>
    <cellStyle name="60% - Accent1" xfId="25" xr:uid="{00000000-0005-0000-0000-000018000000}"/>
    <cellStyle name="60% - Accent2" xfId="26" xr:uid="{00000000-0005-0000-0000-000019000000}"/>
    <cellStyle name="60% - Accent3" xfId="27" xr:uid="{00000000-0005-0000-0000-00001A000000}"/>
    <cellStyle name="60% - Accent4" xfId="28" xr:uid="{00000000-0005-0000-0000-00001B000000}"/>
    <cellStyle name="60% - Accent5" xfId="29" xr:uid="{00000000-0005-0000-0000-00001C000000}"/>
    <cellStyle name="60% - Accent6" xfId="30" xr:uid="{00000000-0005-0000-0000-00001D000000}"/>
    <cellStyle name="Accent1" xfId="31" xr:uid="{00000000-0005-0000-0000-00001E000000}"/>
    <cellStyle name="Accent2" xfId="32" xr:uid="{00000000-0005-0000-0000-00001F000000}"/>
    <cellStyle name="Accent3" xfId="33" xr:uid="{00000000-0005-0000-0000-000020000000}"/>
    <cellStyle name="Accent4" xfId="34" xr:uid="{00000000-0005-0000-0000-000021000000}"/>
    <cellStyle name="Accent5" xfId="35" xr:uid="{00000000-0005-0000-0000-000022000000}"/>
    <cellStyle name="Accent6" xfId="36" xr:uid="{00000000-0005-0000-0000-000023000000}"/>
    <cellStyle name="Bad" xfId="142" xr:uid="{00000000-0005-0000-0000-000024000000}"/>
    <cellStyle name="Bad 1" xfId="37" xr:uid="{00000000-0005-0000-0000-000025000000}"/>
    <cellStyle name="Bad 2" xfId="38" xr:uid="{00000000-0005-0000-0000-000026000000}"/>
    <cellStyle name="Calculation" xfId="39" xr:uid="{00000000-0005-0000-0000-000027000000}"/>
    <cellStyle name="Calculation 2" xfId="207" xr:uid="{00000000-0005-0000-0000-000028000000}"/>
    <cellStyle name="Calculation 2 2" xfId="324" xr:uid="{00000000-0005-0000-0000-000029000000}"/>
    <cellStyle name="Calculation 2 2 2" xfId="535" xr:uid="{00000000-0005-0000-0000-00002A000000}"/>
    <cellStyle name="Calculation 2 3" xfId="351" xr:uid="{00000000-0005-0000-0000-00002B000000}"/>
    <cellStyle name="Calculation 2 3 2" xfId="560" xr:uid="{00000000-0005-0000-0000-00002C000000}"/>
    <cellStyle name="Calculation 2 4" xfId="354" xr:uid="{00000000-0005-0000-0000-00002D000000}"/>
    <cellStyle name="Calculation 2 4 2" xfId="563" xr:uid="{00000000-0005-0000-0000-00002E000000}"/>
    <cellStyle name="Calculation 2 5" xfId="339" xr:uid="{00000000-0005-0000-0000-00002F000000}"/>
    <cellStyle name="Calculation 2 5 2" xfId="550" xr:uid="{00000000-0005-0000-0000-000030000000}"/>
    <cellStyle name="Calculation 2 6" xfId="434" xr:uid="{00000000-0005-0000-0000-000031000000}"/>
    <cellStyle name="Calculation 2 6 2" xfId="591" xr:uid="{00000000-0005-0000-0000-000032000000}"/>
    <cellStyle name="Calculation 2 7" xfId="463" xr:uid="{00000000-0005-0000-0000-000033000000}"/>
    <cellStyle name="Calculation 3" xfId="435" xr:uid="{00000000-0005-0000-0000-000034000000}"/>
    <cellStyle name="Calculation 3 2" xfId="592" xr:uid="{00000000-0005-0000-0000-000035000000}"/>
    <cellStyle name="Calculation 4" xfId="453" xr:uid="{00000000-0005-0000-0000-000036000000}"/>
    <cellStyle name="Calculation 4 2" xfId="605" xr:uid="{00000000-0005-0000-0000-000037000000}"/>
    <cellStyle name="Calculation 5" xfId="359" xr:uid="{00000000-0005-0000-0000-000038000000}"/>
    <cellStyle name="Calculation 5 2" xfId="566" xr:uid="{00000000-0005-0000-0000-000039000000}"/>
    <cellStyle name="Calculation 6" xfId="381" xr:uid="{00000000-0005-0000-0000-00003A000000}"/>
    <cellStyle name="Calculation 6 2" xfId="575" xr:uid="{00000000-0005-0000-0000-00003B000000}"/>
    <cellStyle name="Calculation 7" xfId="462" xr:uid="{00000000-0005-0000-0000-00003C000000}"/>
    <cellStyle name="Calculation 7 2" xfId="613" xr:uid="{00000000-0005-0000-0000-00003D000000}"/>
    <cellStyle name="Calculation 8" xfId="375" xr:uid="{00000000-0005-0000-0000-00003E000000}"/>
    <cellStyle name="Check Cell" xfId="40" xr:uid="{00000000-0005-0000-0000-00003F000000}"/>
    <cellStyle name="Euro" xfId="41" xr:uid="{00000000-0005-0000-0000-000040000000}"/>
    <cellStyle name="Euro 2" xfId="42" xr:uid="{00000000-0005-0000-0000-000041000000}"/>
    <cellStyle name="Euro 2 2" xfId="43" xr:uid="{00000000-0005-0000-0000-000042000000}"/>
    <cellStyle name="Euro 3" xfId="162" xr:uid="{00000000-0005-0000-0000-000043000000}"/>
    <cellStyle name="Excel Built-in Excel Built-in Total" xfId="143" xr:uid="{00000000-0005-0000-0000-000044000000}"/>
    <cellStyle name="Excel Built-in Excel Built-in Total 10" xfId="360" xr:uid="{00000000-0005-0000-0000-000045000000}"/>
    <cellStyle name="Excel Built-in Excel Built-in Total 10 2" xfId="567" xr:uid="{00000000-0005-0000-0000-000046000000}"/>
    <cellStyle name="Excel Built-in Excel Built-in Total 11" xfId="388" xr:uid="{00000000-0005-0000-0000-000047000000}"/>
    <cellStyle name="Excel Built-in Excel Built-in Total 2" xfId="189" xr:uid="{00000000-0005-0000-0000-000048000000}"/>
    <cellStyle name="Excel Built-in Excel Built-in Total 2 2" xfId="217" xr:uid="{00000000-0005-0000-0000-000049000000}"/>
    <cellStyle name="Excel Built-in Excel Built-in Total 2 2 2" xfId="320" xr:uid="{00000000-0005-0000-0000-00004A000000}"/>
    <cellStyle name="Excel Built-in Excel Built-in Total 2 2 2 2" xfId="531" xr:uid="{00000000-0005-0000-0000-00004B000000}"/>
    <cellStyle name="Excel Built-in Excel Built-in Total 2 2 3" xfId="321" xr:uid="{00000000-0005-0000-0000-00004C000000}"/>
    <cellStyle name="Excel Built-in Excel Built-in Total 2 2 3 2" xfId="532" xr:uid="{00000000-0005-0000-0000-00004D000000}"/>
    <cellStyle name="Excel Built-in Excel Built-in Total 2 2 4" xfId="346" xr:uid="{00000000-0005-0000-0000-00004E000000}"/>
    <cellStyle name="Excel Built-in Excel Built-in Total 2 2 4 2" xfId="556" xr:uid="{00000000-0005-0000-0000-00004F000000}"/>
    <cellStyle name="Excel Built-in Excel Built-in Total 2 2 5" xfId="370" xr:uid="{00000000-0005-0000-0000-000050000000}"/>
    <cellStyle name="Excel Built-in Excel Built-in Total 2 2 5 2" xfId="572" xr:uid="{00000000-0005-0000-0000-000051000000}"/>
    <cellStyle name="Excel Built-in Excel Built-in Total 2 2 6" xfId="396" xr:uid="{00000000-0005-0000-0000-000052000000}"/>
    <cellStyle name="Excel Built-in Excel Built-in Total 2 2 6 2" xfId="581" xr:uid="{00000000-0005-0000-0000-000053000000}"/>
    <cellStyle name="Excel Built-in Excel Built-in Total 2 2 7" xfId="470" xr:uid="{00000000-0005-0000-0000-000054000000}"/>
    <cellStyle name="Excel Built-in Excel Built-in Total 2 3" xfId="325" xr:uid="{00000000-0005-0000-0000-000055000000}"/>
    <cellStyle name="Excel Built-in Excel Built-in Total 2 3 2" xfId="536" xr:uid="{00000000-0005-0000-0000-000056000000}"/>
    <cellStyle name="Excel Built-in Excel Built-in Total 2 4" xfId="349" xr:uid="{00000000-0005-0000-0000-000057000000}"/>
    <cellStyle name="Excel Built-in Excel Built-in Total 2 4 2" xfId="559" xr:uid="{00000000-0005-0000-0000-000058000000}"/>
    <cellStyle name="Excel Built-in Excel Built-in Total 2 5" xfId="353" xr:uid="{00000000-0005-0000-0000-000059000000}"/>
    <cellStyle name="Excel Built-in Excel Built-in Total 2 5 2" xfId="562" xr:uid="{00000000-0005-0000-0000-00005A000000}"/>
    <cellStyle name="Excel Built-in Excel Built-in Total 2 6" xfId="357" xr:uid="{00000000-0005-0000-0000-00005B000000}"/>
    <cellStyle name="Excel Built-in Excel Built-in Total 2 6 2" xfId="565" xr:uid="{00000000-0005-0000-0000-00005C000000}"/>
    <cellStyle name="Excel Built-in Excel Built-in Total 2 7" xfId="444" xr:uid="{00000000-0005-0000-0000-00005D000000}"/>
    <cellStyle name="Excel Built-in Excel Built-in Total 2 7 2" xfId="597" xr:uid="{00000000-0005-0000-0000-00005E000000}"/>
    <cellStyle name="Excel Built-in Excel Built-in Total 2 8" xfId="362" xr:uid="{00000000-0005-0000-0000-00005F000000}"/>
    <cellStyle name="Excel Built-in Excel Built-in Total 3" xfId="176" xr:uid="{00000000-0005-0000-0000-000060000000}"/>
    <cellStyle name="Excel Built-in Excel Built-in Total 3 2" xfId="218" xr:uid="{00000000-0005-0000-0000-000061000000}"/>
    <cellStyle name="Excel Built-in Excel Built-in Total 3 2 2" xfId="319" xr:uid="{00000000-0005-0000-0000-000062000000}"/>
    <cellStyle name="Excel Built-in Excel Built-in Total 3 2 2 2" xfId="530" xr:uid="{00000000-0005-0000-0000-000063000000}"/>
    <cellStyle name="Excel Built-in Excel Built-in Total 3 2 3" xfId="330" xr:uid="{00000000-0005-0000-0000-000064000000}"/>
    <cellStyle name="Excel Built-in Excel Built-in Total 3 2 3 2" xfId="541" xr:uid="{00000000-0005-0000-0000-000065000000}"/>
    <cellStyle name="Excel Built-in Excel Built-in Total 3 2 4" xfId="311" xr:uid="{00000000-0005-0000-0000-000066000000}"/>
    <cellStyle name="Excel Built-in Excel Built-in Total 3 2 4 2" xfId="523" xr:uid="{00000000-0005-0000-0000-000067000000}"/>
    <cellStyle name="Excel Built-in Excel Built-in Total 3 2 5" xfId="365" xr:uid="{00000000-0005-0000-0000-000068000000}"/>
    <cellStyle name="Excel Built-in Excel Built-in Total 3 2 5 2" xfId="570" xr:uid="{00000000-0005-0000-0000-000069000000}"/>
    <cellStyle name="Excel Built-in Excel Built-in Total 3 2 6" xfId="333" xr:uid="{00000000-0005-0000-0000-00006A000000}"/>
    <cellStyle name="Excel Built-in Excel Built-in Total 3 2 6 2" xfId="544" xr:uid="{00000000-0005-0000-0000-00006B000000}"/>
    <cellStyle name="Excel Built-in Excel Built-in Total 3 2 7" xfId="452" xr:uid="{00000000-0005-0000-0000-00006C000000}"/>
    <cellStyle name="Excel Built-in Excel Built-in Total 3 3" xfId="328" xr:uid="{00000000-0005-0000-0000-00006D000000}"/>
    <cellStyle name="Excel Built-in Excel Built-in Total 3 3 2" xfId="539" xr:uid="{00000000-0005-0000-0000-00006E000000}"/>
    <cellStyle name="Excel Built-in Excel Built-in Total 3 4" xfId="356" xr:uid="{00000000-0005-0000-0000-00006F000000}"/>
    <cellStyle name="Excel Built-in Excel Built-in Total 3 4 2" xfId="564" xr:uid="{00000000-0005-0000-0000-000070000000}"/>
    <cellStyle name="Excel Built-in Excel Built-in Total 3 5" xfId="458" xr:uid="{00000000-0005-0000-0000-000071000000}"/>
    <cellStyle name="Excel Built-in Excel Built-in Total 3 5 2" xfId="609" xr:uid="{00000000-0005-0000-0000-000072000000}"/>
    <cellStyle name="Excel Built-in Excel Built-in Total 3 6" xfId="308" xr:uid="{00000000-0005-0000-0000-000073000000}"/>
    <cellStyle name="Excel Built-in Excel Built-in Total 3 6 2" xfId="520" xr:uid="{00000000-0005-0000-0000-000074000000}"/>
    <cellStyle name="Excel Built-in Excel Built-in Total 3 7" xfId="469" xr:uid="{00000000-0005-0000-0000-000075000000}"/>
    <cellStyle name="Excel Built-in Excel Built-in Total 3 7 2" xfId="616" xr:uid="{00000000-0005-0000-0000-000076000000}"/>
    <cellStyle name="Excel Built-in Excel Built-in Total 3 8" xfId="313" xr:uid="{00000000-0005-0000-0000-000077000000}"/>
    <cellStyle name="Excel Built-in Excel Built-in Total 4" xfId="203" xr:uid="{00000000-0005-0000-0000-000078000000}"/>
    <cellStyle name="Excel Built-in Excel Built-in Total 4 2" xfId="219" xr:uid="{00000000-0005-0000-0000-000079000000}"/>
    <cellStyle name="Excel Built-in Excel Built-in Total 4 2 2" xfId="318" xr:uid="{00000000-0005-0000-0000-00007A000000}"/>
    <cellStyle name="Excel Built-in Excel Built-in Total 4 2 2 2" xfId="529" xr:uid="{00000000-0005-0000-0000-00007B000000}"/>
    <cellStyle name="Excel Built-in Excel Built-in Total 4 2 3" xfId="394" xr:uid="{00000000-0005-0000-0000-00007C000000}"/>
    <cellStyle name="Excel Built-in Excel Built-in Total 4 2 3 2" xfId="579" xr:uid="{00000000-0005-0000-0000-00007D000000}"/>
    <cellStyle name="Excel Built-in Excel Built-in Total 4 2 4" xfId="337" xr:uid="{00000000-0005-0000-0000-00007E000000}"/>
    <cellStyle name="Excel Built-in Excel Built-in Total 4 2 4 2" xfId="548" xr:uid="{00000000-0005-0000-0000-00007F000000}"/>
    <cellStyle name="Excel Built-in Excel Built-in Total 4 2 5" xfId="438" xr:uid="{00000000-0005-0000-0000-000080000000}"/>
    <cellStyle name="Excel Built-in Excel Built-in Total 4 2 5 2" xfId="594" xr:uid="{00000000-0005-0000-0000-000081000000}"/>
    <cellStyle name="Excel Built-in Excel Built-in Total 4 2 6" xfId="451" xr:uid="{00000000-0005-0000-0000-000082000000}"/>
    <cellStyle name="Excel Built-in Excel Built-in Total 4 2 6 2" xfId="604" xr:uid="{00000000-0005-0000-0000-000083000000}"/>
    <cellStyle name="Excel Built-in Excel Built-in Total 4 2 7" xfId="431" xr:uid="{00000000-0005-0000-0000-000084000000}"/>
    <cellStyle name="Excel Built-in Excel Built-in Total 4 3" xfId="393" xr:uid="{00000000-0005-0000-0000-000085000000}"/>
    <cellStyle name="Excel Built-in Excel Built-in Total 4 3 2" xfId="578" xr:uid="{00000000-0005-0000-0000-000086000000}"/>
    <cellStyle name="Excel Built-in Excel Built-in Total 4 4" xfId="361" xr:uid="{00000000-0005-0000-0000-000087000000}"/>
    <cellStyle name="Excel Built-in Excel Built-in Total 4 4 2" xfId="568" xr:uid="{00000000-0005-0000-0000-000088000000}"/>
    <cellStyle name="Excel Built-in Excel Built-in Total 4 5" xfId="374" xr:uid="{00000000-0005-0000-0000-000089000000}"/>
    <cellStyle name="Excel Built-in Excel Built-in Total 4 5 2" xfId="573" xr:uid="{00000000-0005-0000-0000-00008A000000}"/>
    <cellStyle name="Excel Built-in Excel Built-in Total 4 6" xfId="457" xr:uid="{00000000-0005-0000-0000-00008B000000}"/>
    <cellStyle name="Excel Built-in Excel Built-in Total 4 6 2" xfId="608" xr:uid="{00000000-0005-0000-0000-00008C000000}"/>
    <cellStyle name="Excel Built-in Excel Built-in Total 4 7" xfId="334" xr:uid="{00000000-0005-0000-0000-00008D000000}"/>
    <cellStyle name="Excel Built-in Excel Built-in Total 4 7 2" xfId="545" xr:uid="{00000000-0005-0000-0000-00008E000000}"/>
    <cellStyle name="Excel Built-in Excel Built-in Total 4 8" xfId="358" xr:uid="{00000000-0005-0000-0000-00008F000000}"/>
    <cellStyle name="Excel Built-in Excel Built-in Total 5" xfId="220" xr:uid="{00000000-0005-0000-0000-000090000000}"/>
    <cellStyle name="Excel Built-in Excel Built-in Total 5 2" xfId="317" xr:uid="{00000000-0005-0000-0000-000091000000}"/>
    <cellStyle name="Excel Built-in Excel Built-in Total 5 2 2" xfId="528" xr:uid="{00000000-0005-0000-0000-000092000000}"/>
    <cellStyle name="Excel Built-in Excel Built-in Total 5 3" xfId="432" xr:uid="{00000000-0005-0000-0000-000093000000}"/>
    <cellStyle name="Excel Built-in Excel Built-in Total 5 3 2" xfId="589" xr:uid="{00000000-0005-0000-0000-000094000000}"/>
    <cellStyle name="Excel Built-in Excel Built-in Total 5 4" xfId="323" xr:uid="{00000000-0005-0000-0000-000095000000}"/>
    <cellStyle name="Excel Built-in Excel Built-in Total 5 4 2" xfId="534" xr:uid="{00000000-0005-0000-0000-000096000000}"/>
    <cellStyle name="Excel Built-in Excel Built-in Total 5 5" xfId="312" xr:uid="{00000000-0005-0000-0000-000097000000}"/>
    <cellStyle name="Excel Built-in Excel Built-in Total 5 5 2" xfId="524" xr:uid="{00000000-0005-0000-0000-000098000000}"/>
    <cellStyle name="Excel Built-in Excel Built-in Total 5 6" xfId="415" xr:uid="{00000000-0005-0000-0000-000099000000}"/>
    <cellStyle name="Excel Built-in Excel Built-in Total 5 6 2" xfId="582" xr:uid="{00000000-0005-0000-0000-00009A000000}"/>
    <cellStyle name="Excel Built-in Excel Built-in Total 5 7" xfId="416" xr:uid="{00000000-0005-0000-0000-00009B000000}"/>
    <cellStyle name="Excel Built-in Excel Built-in Total 6" xfId="336" xr:uid="{00000000-0005-0000-0000-00009C000000}"/>
    <cellStyle name="Excel Built-in Excel Built-in Total 6 2" xfId="547" xr:uid="{00000000-0005-0000-0000-00009D000000}"/>
    <cellStyle name="Excel Built-in Excel Built-in Total 7" xfId="331" xr:uid="{00000000-0005-0000-0000-00009E000000}"/>
    <cellStyle name="Excel Built-in Excel Built-in Total 7 2" xfId="542" xr:uid="{00000000-0005-0000-0000-00009F000000}"/>
    <cellStyle name="Excel Built-in Excel Built-in Total 8" xfId="314" xr:uid="{00000000-0005-0000-0000-0000A0000000}"/>
    <cellStyle name="Excel Built-in Excel Built-in Total 8 2" xfId="525" xr:uid="{00000000-0005-0000-0000-0000A1000000}"/>
    <cellStyle name="Excel Built-in Excel Built-in Total 9" xfId="307" xr:uid="{00000000-0005-0000-0000-0000A2000000}"/>
    <cellStyle name="Excel Built-in Excel Built-in Total 9 2" xfId="519" xr:uid="{00000000-0005-0000-0000-0000A3000000}"/>
    <cellStyle name="Excel Built-in Normal 2" xfId="144" xr:uid="{00000000-0005-0000-0000-0000A4000000}"/>
    <cellStyle name="Excel Built-in Normal 2 2 2" xfId="145" xr:uid="{00000000-0005-0000-0000-0000A5000000}"/>
    <cellStyle name="Excel Built-in Normal 7" xfId="146" xr:uid="{00000000-0005-0000-0000-0000A6000000}"/>
    <cellStyle name="Excel Built-in Normal_CONTRATOS " xfId="147" xr:uid="{00000000-0005-0000-0000-0000A7000000}"/>
    <cellStyle name="Excel Built-in Separador de milhares 2" xfId="148" xr:uid="{00000000-0005-0000-0000-0000A8000000}"/>
    <cellStyle name="Excel Built-in Separador de milhares 3" xfId="149" xr:uid="{00000000-0005-0000-0000-0000A9000000}"/>
    <cellStyle name="Explanatory Text" xfId="44" xr:uid="{00000000-0005-0000-0000-0000AA000000}"/>
    <cellStyle name="Good" xfId="150" xr:uid="{00000000-0005-0000-0000-0000AB000000}"/>
    <cellStyle name="Good 1" xfId="45" xr:uid="{00000000-0005-0000-0000-0000AC000000}"/>
    <cellStyle name="Good 2" xfId="46" xr:uid="{00000000-0005-0000-0000-0000AD000000}"/>
    <cellStyle name="Heading 1" xfId="151" xr:uid="{00000000-0005-0000-0000-0000AE000000}"/>
    <cellStyle name="Heading 1 1" xfId="47" xr:uid="{00000000-0005-0000-0000-0000AF000000}"/>
    <cellStyle name="Heading 1 2" xfId="48" xr:uid="{00000000-0005-0000-0000-0000B0000000}"/>
    <cellStyle name="Heading 2" xfId="152" xr:uid="{00000000-0005-0000-0000-0000B1000000}"/>
    <cellStyle name="Heading 2 1" xfId="49" xr:uid="{00000000-0005-0000-0000-0000B2000000}"/>
    <cellStyle name="Heading 2 2" xfId="50" xr:uid="{00000000-0005-0000-0000-0000B3000000}"/>
    <cellStyle name="Heading 3" xfId="51" xr:uid="{00000000-0005-0000-0000-0000B4000000}"/>
    <cellStyle name="Heading 3 2" xfId="221" xr:uid="{00000000-0005-0000-0000-0000B5000000}"/>
    <cellStyle name="Heading 4" xfId="52" xr:uid="{00000000-0005-0000-0000-0000B6000000}"/>
    <cellStyle name="Hiperlink" xfId="141" builtinId="8"/>
    <cellStyle name="Hiperlink 2" xfId="628" xr:uid="{4A17388F-3192-4A16-B8C2-5668027EF48D}"/>
    <cellStyle name="Hyperlink 2" xfId="241" xr:uid="{00000000-0005-0000-0000-0000B8000000}"/>
    <cellStyle name="Input" xfId="53" xr:uid="{00000000-0005-0000-0000-0000B9000000}"/>
    <cellStyle name="Input 2" xfId="222" xr:uid="{00000000-0005-0000-0000-0000BA000000}"/>
    <cellStyle name="Input 2 2" xfId="316" xr:uid="{00000000-0005-0000-0000-0000BB000000}"/>
    <cellStyle name="Input 2 2 2" xfId="527" xr:uid="{00000000-0005-0000-0000-0000BC000000}"/>
    <cellStyle name="Input 2 3" xfId="433" xr:uid="{00000000-0005-0000-0000-0000BD000000}"/>
    <cellStyle name="Input 2 3 2" xfId="590" xr:uid="{00000000-0005-0000-0000-0000BE000000}"/>
    <cellStyle name="Input 2 4" xfId="390" xr:uid="{00000000-0005-0000-0000-0000BF000000}"/>
    <cellStyle name="Input 2 4 2" xfId="577" xr:uid="{00000000-0005-0000-0000-0000C0000000}"/>
    <cellStyle name="Input 2 5" xfId="464" xr:uid="{00000000-0005-0000-0000-0000C1000000}"/>
    <cellStyle name="Input 2 5 2" xfId="614" xr:uid="{00000000-0005-0000-0000-0000C2000000}"/>
    <cellStyle name="Input 2 6" xfId="326" xr:uid="{00000000-0005-0000-0000-0000C3000000}"/>
    <cellStyle name="Input 2 6 2" xfId="537" xr:uid="{00000000-0005-0000-0000-0000C4000000}"/>
    <cellStyle name="Input 2 7" xfId="355" xr:uid="{00000000-0005-0000-0000-0000C5000000}"/>
    <cellStyle name="Input 3" xfId="352" xr:uid="{00000000-0005-0000-0000-0000C6000000}"/>
    <cellStyle name="Input 3 2" xfId="561" xr:uid="{00000000-0005-0000-0000-0000C7000000}"/>
    <cellStyle name="Input 4" xfId="329" xr:uid="{00000000-0005-0000-0000-0000C8000000}"/>
    <cellStyle name="Input 4 2" xfId="540" xr:uid="{00000000-0005-0000-0000-0000C9000000}"/>
    <cellStyle name="Input 5" xfId="436" xr:uid="{00000000-0005-0000-0000-0000CA000000}"/>
    <cellStyle name="Input 5 2" xfId="593" xr:uid="{00000000-0005-0000-0000-0000CB000000}"/>
    <cellStyle name="Input 6" xfId="461" xr:uid="{00000000-0005-0000-0000-0000CC000000}"/>
    <cellStyle name="Input 6 2" xfId="612" xr:uid="{00000000-0005-0000-0000-0000CD000000}"/>
    <cellStyle name="Input 7" xfId="471" xr:uid="{00000000-0005-0000-0000-0000CE000000}"/>
    <cellStyle name="Input 7 2" xfId="617" xr:uid="{00000000-0005-0000-0000-0000CF000000}"/>
    <cellStyle name="Input 8" xfId="468" xr:uid="{00000000-0005-0000-0000-0000D0000000}"/>
    <cellStyle name="Linked Cell" xfId="54" xr:uid="{00000000-0005-0000-0000-0000D1000000}"/>
    <cellStyle name="Moeda" xfId="304" builtinId="4"/>
    <cellStyle name="Moeda 2" xfId="55" xr:uid="{00000000-0005-0000-0000-0000D3000000}"/>
    <cellStyle name="Moeda 2 2" xfId="56" xr:uid="{00000000-0005-0000-0000-0000D4000000}"/>
    <cellStyle name="Moeda 2 3" xfId="164" xr:uid="{00000000-0005-0000-0000-0000D5000000}"/>
    <cellStyle name="Moeda 3" xfId="57" xr:uid="{00000000-0005-0000-0000-0000D6000000}"/>
    <cellStyle name="Moeda 4" xfId="58" xr:uid="{00000000-0005-0000-0000-0000D7000000}"/>
    <cellStyle name="Moeda 5" xfId="163" xr:uid="{00000000-0005-0000-0000-0000D8000000}"/>
    <cellStyle name="Moeda 6" xfId="216" xr:uid="{00000000-0005-0000-0000-0000D9000000}"/>
    <cellStyle name="Moeda 6 2" xfId="242" xr:uid="{00000000-0005-0000-0000-0000DA000000}"/>
    <cellStyle name="Moeda 6 2 2" xfId="401" xr:uid="{00000000-0005-0000-0000-0000DB000000}"/>
    <cellStyle name="Moeda 6 2 3" xfId="493" xr:uid="{00000000-0005-0000-0000-0000DC000000}"/>
    <cellStyle name="Moeda 6 3" xfId="392" xr:uid="{00000000-0005-0000-0000-0000DD000000}"/>
    <cellStyle name="Moeda 6 4" xfId="489" xr:uid="{00000000-0005-0000-0000-0000DE000000}"/>
    <cellStyle name="Moeda 7" xfId="243" xr:uid="{00000000-0005-0000-0000-0000DF000000}"/>
    <cellStyle name="Moeda 7 2" xfId="402" xr:uid="{00000000-0005-0000-0000-0000E0000000}"/>
    <cellStyle name="Moeda 7 3" xfId="494" xr:uid="{00000000-0005-0000-0000-0000E1000000}"/>
    <cellStyle name="Moeda 7 7" xfId="622" xr:uid="{00000000-0005-0000-0000-0000E2000000}"/>
    <cellStyle name="Moeda 8" xfId="244" xr:uid="{00000000-0005-0000-0000-0000E3000000}"/>
    <cellStyle name="Moeda 9 5" xfId="627" xr:uid="{F04EB60D-659D-40CB-9994-D0B722008277}"/>
    <cellStyle name="Neutral" xfId="153" xr:uid="{00000000-0005-0000-0000-0000E4000000}"/>
    <cellStyle name="Neutral 1" xfId="59" xr:uid="{00000000-0005-0000-0000-0000E5000000}"/>
    <cellStyle name="Neutral 2" xfId="60" xr:uid="{00000000-0005-0000-0000-0000E6000000}"/>
    <cellStyle name="Normal" xfId="0" builtinId="0"/>
    <cellStyle name="Normal 10" xfId="61" xr:uid="{00000000-0005-0000-0000-0000E8000000}"/>
    <cellStyle name="Normal 10 2" xfId="62" xr:uid="{00000000-0005-0000-0000-0000E9000000}"/>
    <cellStyle name="Normal 11" xfId="63" xr:uid="{00000000-0005-0000-0000-0000EA000000}"/>
    <cellStyle name="Normal 11 2" xfId="64" xr:uid="{00000000-0005-0000-0000-0000EB000000}"/>
    <cellStyle name="Normal 12" xfId="65" xr:uid="{00000000-0005-0000-0000-0000EC000000}"/>
    <cellStyle name="Normal 12 2" xfId="66" xr:uid="{00000000-0005-0000-0000-0000ED000000}"/>
    <cellStyle name="Normal 12 2 2" xfId="192" xr:uid="{00000000-0005-0000-0000-0000EE000000}"/>
    <cellStyle name="Normal 12 2 3" xfId="175" xr:uid="{00000000-0005-0000-0000-0000EF000000}"/>
    <cellStyle name="Normal 13" xfId="67" xr:uid="{00000000-0005-0000-0000-0000F0000000}"/>
    <cellStyle name="Normal 13 2" xfId="68" xr:uid="{00000000-0005-0000-0000-0000F1000000}"/>
    <cellStyle name="Normal 13 2 2" xfId="69" xr:uid="{00000000-0005-0000-0000-0000F2000000}"/>
    <cellStyle name="Normal 13 3" xfId="70" xr:uid="{00000000-0005-0000-0000-0000F3000000}"/>
    <cellStyle name="Normal 14" xfId="71" xr:uid="{00000000-0005-0000-0000-0000F4000000}"/>
    <cellStyle name="Normal 14 2" xfId="72" xr:uid="{00000000-0005-0000-0000-0000F5000000}"/>
    <cellStyle name="Normal 15" xfId="73" xr:uid="{00000000-0005-0000-0000-0000F6000000}"/>
    <cellStyle name="Normal 15 2" xfId="74" xr:uid="{00000000-0005-0000-0000-0000F7000000}"/>
    <cellStyle name="Normal 15 3" xfId="198" xr:uid="{00000000-0005-0000-0000-0000F8000000}"/>
    <cellStyle name="Normal 16" xfId="75" xr:uid="{00000000-0005-0000-0000-0000F9000000}"/>
    <cellStyle name="Normal 16 2" xfId="191" xr:uid="{00000000-0005-0000-0000-0000FA000000}"/>
    <cellStyle name="Normal 16 2 2" xfId="245" xr:uid="{00000000-0005-0000-0000-0000FB000000}"/>
    <cellStyle name="Normal 16 2 2 2" xfId="403" xr:uid="{00000000-0005-0000-0000-0000FC000000}"/>
    <cellStyle name="Normal 16 2 2 3" xfId="495" xr:uid="{00000000-0005-0000-0000-0000FD000000}"/>
    <cellStyle name="Normal 16 2 3" xfId="380" xr:uid="{00000000-0005-0000-0000-0000FE000000}"/>
    <cellStyle name="Normal 16 2 4" xfId="481" xr:uid="{00000000-0005-0000-0000-0000FF000000}"/>
    <cellStyle name="Normal 17" xfId="76" xr:uid="{00000000-0005-0000-0000-000000010000}"/>
    <cellStyle name="Normal 18" xfId="77" xr:uid="{00000000-0005-0000-0000-000001010000}"/>
    <cellStyle name="Normal 19" xfId="78" xr:uid="{00000000-0005-0000-0000-000002010000}"/>
    <cellStyle name="Normal 19 2" xfId="208" xr:uid="{00000000-0005-0000-0000-000003010000}"/>
    <cellStyle name="Normal 2" xfId="79" xr:uid="{00000000-0005-0000-0000-000004010000}"/>
    <cellStyle name="Normal 2 2" xfId="80" xr:uid="{00000000-0005-0000-0000-000005010000}"/>
    <cellStyle name="Normal 2 2 2" xfId="81" xr:uid="{00000000-0005-0000-0000-000006010000}"/>
    <cellStyle name="Normal 2 2 2 2" xfId="82" xr:uid="{00000000-0005-0000-0000-000007010000}"/>
    <cellStyle name="Normal 2 2 2 3" xfId="154" xr:uid="{00000000-0005-0000-0000-000008010000}"/>
    <cellStyle name="Normal 2 2 3" xfId="83" xr:uid="{00000000-0005-0000-0000-000009010000}"/>
    <cellStyle name="Normal 2 2 3 2" xfId="201" xr:uid="{00000000-0005-0000-0000-00000A010000}"/>
    <cellStyle name="Normal 2 2 3 3" xfId="187" xr:uid="{00000000-0005-0000-0000-00000B010000}"/>
    <cellStyle name="Normal 2 2 3 3 2" xfId="246" xr:uid="{00000000-0005-0000-0000-00000C010000}"/>
    <cellStyle name="Normal 2 2 3 3 2 2" xfId="404" xr:uid="{00000000-0005-0000-0000-00000D010000}"/>
    <cellStyle name="Normal 2 2 3 3 2 3" xfId="496" xr:uid="{00000000-0005-0000-0000-00000E010000}"/>
    <cellStyle name="Normal 2 2 3 3 3" xfId="377" xr:uid="{00000000-0005-0000-0000-00000F010000}"/>
    <cellStyle name="Normal 2 2 3 3 4" xfId="479" xr:uid="{00000000-0005-0000-0000-000010010000}"/>
    <cellStyle name="Normal 2 2 4" xfId="178" xr:uid="{00000000-0005-0000-0000-000011010000}"/>
    <cellStyle name="Normal 2 2 4 2" xfId="247" xr:uid="{00000000-0005-0000-0000-000012010000}"/>
    <cellStyle name="Normal 2 2 4 2 2" xfId="405" xr:uid="{00000000-0005-0000-0000-000013010000}"/>
    <cellStyle name="Normal 2 2 4 2 3" xfId="497" xr:uid="{00000000-0005-0000-0000-000014010000}"/>
    <cellStyle name="Normal 2 2 4 3" xfId="372" xr:uid="{00000000-0005-0000-0000-000015010000}"/>
    <cellStyle name="Normal 2 2 4 4" xfId="476" xr:uid="{00000000-0005-0000-0000-000016010000}"/>
    <cellStyle name="Normal 2 3" xfId="84" xr:uid="{00000000-0005-0000-0000-000017010000}"/>
    <cellStyle name="Normal 2 3 2" xfId="85" xr:uid="{00000000-0005-0000-0000-000018010000}"/>
    <cellStyle name="Normal 2 3 2 2" xfId="86" xr:uid="{00000000-0005-0000-0000-000019010000}"/>
    <cellStyle name="Normal 2 3 2 3" xfId="188" xr:uid="{00000000-0005-0000-0000-00001A010000}"/>
    <cellStyle name="Normal 2 3 2 3 2" xfId="248" xr:uid="{00000000-0005-0000-0000-00001B010000}"/>
    <cellStyle name="Normal 2 3 2 3 2 2" xfId="406" xr:uid="{00000000-0005-0000-0000-00001C010000}"/>
    <cellStyle name="Normal 2 3 2 3 2 3" xfId="498" xr:uid="{00000000-0005-0000-0000-00001D010000}"/>
    <cellStyle name="Normal 2 3 2 3 3" xfId="378" xr:uid="{00000000-0005-0000-0000-00001E010000}"/>
    <cellStyle name="Normal 2 3 2 3 4" xfId="480" xr:uid="{00000000-0005-0000-0000-00001F010000}"/>
    <cellStyle name="Normal 2 3 3" xfId="87" xr:uid="{00000000-0005-0000-0000-000020010000}"/>
    <cellStyle name="Normal 2 3 3 2" xfId="179" xr:uid="{00000000-0005-0000-0000-000021010000}"/>
    <cellStyle name="Normal 2 3 3 2 2" xfId="249" xr:uid="{00000000-0005-0000-0000-000022010000}"/>
    <cellStyle name="Normal 2 3 3 2 2 2" xfId="407" xr:uid="{00000000-0005-0000-0000-000023010000}"/>
    <cellStyle name="Normal 2 3 3 2 2 3" xfId="499" xr:uid="{00000000-0005-0000-0000-000024010000}"/>
    <cellStyle name="Normal 2 3 3 2 3" xfId="373" xr:uid="{00000000-0005-0000-0000-000025010000}"/>
    <cellStyle name="Normal 2 3 3 2 4" xfId="477" xr:uid="{00000000-0005-0000-0000-000026010000}"/>
    <cellStyle name="Normal 2 3 4" xfId="194" xr:uid="{00000000-0005-0000-0000-000027010000}"/>
    <cellStyle name="Normal 2 3 4 2" xfId="250" xr:uid="{00000000-0005-0000-0000-000028010000}"/>
    <cellStyle name="Normal 2 3 4 2 2" xfId="408" xr:uid="{00000000-0005-0000-0000-000029010000}"/>
    <cellStyle name="Normal 2 3 4 2 3" xfId="500" xr:uid="{00000000-0005-0000-0000-00002A010000}"/>
    <cellStyle name="Normal 2 3 4 3" xfId="383" xr:uid="{00000000-0005-0000-0000-00002B010000}"/>
    <cellStyle name="Normal 2 3 4 4" xfId="483" xr:uid="{00000000-0005-0000-0000-00002C010000}"/>
    <cellStyle name="Normal 2 3 5" xfId="166" xr:uid="{00000000-0005-0000-0000-00002D010000}"/>
    <cellStyle name="Normal 2 3 5 2" xfId="251" xr:uid="{00000000-0005-0000-0000-00002E010000}"/>
    <cellStyle name="Normal 2 3 5 2 2" xfId="409" xr:uid="{00000000-0005-0000-0000-00002F010000}"/>
    <cellStyle name="Normal 2 3 5 2 3" xfId="501" xr:uid="{00000000-0005-0000-0000-000030010000}"/>
    <cellStyle name="Normal 2 3 5 3" xfId="368" xr:uid="{00000000-0005-0000-0000-000031010000}"/>
    <cellStyle name="Normal 2 3 5 4" xfId="474" xr:uid="{00000000-0005-0000-0000-000032010000}"/>
    <cellStyle name="Normal 2 4" xfId="88" xr:uid="{00000000-0005-0000-0000-000033010000}"/>
    <cellStyle name="Normal 2 4 2" xfId="89" xr:uid="{00000000-0005-0000-0000-000034010000}"/>
    <cellStyle name="Normal 2 4 3" xfId="167" xr:uid="{00000000-0005-0000-0000-000035010000}"/>
    <cellStyle name="Normal 2 5" xfId="90" xr:uid="{00000000-0005-0000-0000-000036010000}"/>
    <cellStyle name="Normal 2 5 2" xfId="91" xr:uid="{00000000-0005-0000-0000-000037010000}"/>
    <cellStyle name="Normal 2 5 3" xfId="186" xr:uid="{00000000-0005-0000-0000-000038010000}"/>
    <cellStyle name="Normal 2 5 3 2" xfId="252" xr:uid="{00000000-0005-0000-0000-000039010000}"/>
    <cellStyle name="Normal 2 5 3 2 2" xfId="410" xr:uid="{00000000-0005-0000-0000-00003A010000}"/>
    <cellStyle name="Normal 2 5 3 2 3" xfId="502" xr:uid="{00000000-0005-0000-0000-00003B010000}"/>
    <cellStyle name="Normal 2 5 3 3" xfId="376" xr:uid="{00000000-0005-0000-0000-00003C010000}"/>
    <cellStyle name="Normal 2 5 3 4" xfId="478" xr:uid="{00000000-0005-0000-0000-00003D010000}"/>
    <cellStyle name="Normal 2 6" xfId="177" xr:uid="{00000000-0005-0000-0000-00003E010000}"/>
    <cellStyle name="Normal 2 6 2" xfId="253" xr:uid="{00000000-0005-0000-0000-00003F010000}"/>
    <cellStyle name="Normal 2 6 2 2" xfId="411" xr:uid="{00000000-0005-0000-0000-000040010000}"/>
    <cellStyle name="Normal 2 6 2 3" xfId="503" xr:uid="{00000000-0005-0000-0000-000041010000}"/>
    <cellStyle name="Normal 2 6 3" xfId="371" xr:uid="{00000000-0005-0000-0000-000042010000}"/>
    <cellStyle name="Normal 2 6 4" xfId="475" xr:uid="{00000000-0005-0000-0000-000043010000}"/>
    <cellStyle name="Normal 2 7" xfId="193" xr:uid="{00000000-0005-0000-0000-000044010000}"/>
    <cellStyle name="Normal 2 7 2" xfId="254" xr:uid="{00000000-0005-0000-0000-000045010000}"/>
    <cellStyle name="Normal 2 7 2 2" xfId="412" xr:uid="{00000000-0005-0000-0000-000046010000}"/>
    <cellStyle name="Normal 2 7 2 3" xfId="504" xr:uid="{00000000-0005-0000-0000-000047010000}"/>
    <cellStyle name="Normal 2 7 3" xfId="382" xr:uid="{00000000-0005-0000-0000-000048010000}"/>
    <cellStyle name="Normal 2 7 4" xfId="482" xr:uid="{00000000-0005-0000-0000-000049010000}"/>
    <cellStyle name="Normal 2 8" xfId="165" xr:uid="{00000000-0005-0000-0000-00004A010000}"/>
    <cellStyle name="Normal 2 8 2" xfId="255" xr:uid="{00000000-0005-0000-0000-00004B010000}"/>
    <cellStyle name="Normal 2 8 2 2" xfId="413" xr:uid="{00000000-0005-0000-0000-00004C010000}"/>
    <cellStyle name="Normal 2 8 2 3" xfId="505" xr:uid="{00000000-0005-0000-0000-00004D010000}"/>
    <cellStyle name="Normal 2 8 3" xfId="367" xr:uid="{00000000-0005-0000-0000-00004E010000}"/>
    <cellStyle name="Normal 2 8 4" xfId="473" xr:uid="{00000000-0005-0000-0000-00004F010000}"/>
    <cellStyle name="Normal 2_APONTAMENTO" xfId="95" xr:uid="{00000000-0005-0000-0000-000050010000}"/>
    <cellStyle name="Normal 20" xfId="92" xr:uid="{00000000-0005-0000-0000-000051010000}"/>
    <cellStyle name="Normal 21" xfId="93" xr:uid="{00000000-0005-0000-0000-000052010000}"/>
    <cellStyle name="Normal 22" xfId="94" xr:uid="{00000000-0005-0000-0000-000053010000}"/>
    <cellStyle name="Normal 23" xfId="158" xr:uid="{00000000-0005-0000-0000-000054010000}"/>
    <cellStyle name="Normal 23 2" xfId="209" xr:uid="{00000000-0005-0000-0000-000055010000}"/>
    <cellStyle name="Normal 23 3" xfId="256" xr:uid="{00000000-0005-0000-0000-000056010000}"/>
    <cellStyle name="Normal 23 3 2" xfId="414" xr:uid="{00000000-0005-0000-0000-000057010000}"/>
    <cellStyle name="Normal 23 3 3" xfId="506" xr:uid="{00000000-0005-0000-0000-000058010000}"/>
    <cellStyle name="Normal 23 4" xfId="364" xr:uid="{00000000-0005-0000-0000-000059010000}"/>
    <cellStyle name="Normal 23 5" xfId="472" xr:uid="{00000000-0005-0000-0000-00005A010000}"/>
    <cellStyle name="Normal 24" xfId="159" xr:uid="{00000000-0005-0000-0000-00005B010000}"/>
    <cellStyle name="Normal 25" xfId="160" xr:uid="{00000000-0005-0000-0000-00005C010000}"/>
    <cellStyle name="Normal 25 2" xfId="210" xr:uid="{00000000-0005-0000-0000-00005D010000}"/>
    <cellStyle name="Normal 26" xfId="161" xr:uid="{00000000-0005-0000-0000-00005E010000}"/>
    <cellStyle name="Normal 26 2" xfId="257" xr:uid="{00000000-0005-0000-0000-00005F010000}"/>
    <cellStyle name="Normal 27" xfId="168" xr:uid="{00000000-0005-0000-0000-000060010000}"/>
    <cellStyle name="Normal 27 2" xfId="258" xr:uid="{00000000-0005-0000-0000-000061010000}"/>
    <cellStyle name="Normal 28" xfId="202" xr:uid="{00000000-0005-0000-0000-000062010000}"/>
    <cellStyle name="Normal 28 2" xfId="259" xr:uid="{00000000-0005-0000-0000-000063010000}"/>
    <cellStyle name="Normal 29" xfId="206" xr:uid="{00000000-0005-0000-0000-000064010000}"/>
    <cellStyle name="Normal 29 2" xfId="260" xr:uid="{00000000-0005-0000-0000-000065010000}"/>
    <cellStyle name="Normal 29 2 2" xfId="417" xr:uid="{00000000-0005-0000-0000-000066010000}"/>
    <cellStyle name="Normal 29 2 3" xfId="507" xr:uid="{00000000-0005-0000-0000-000067010000}"/>
    <cellStyle name="Normal 29 3" xfId="387" xr:uid="{00000000-0005-0000-0000-000068010000}"/>
    <cellStyle name="Normal 29 4" xfId="486" xr:uid="{00000000-0005-0000-0000-000069010000}"/>
    <cellStyle name="Normal 3" xfId="96" xr:uid="{00000000-0005-0000-0000-00006A010000}"/>
    <cellStyle name="Normal 3 2" xfId="97" xr:uid="{00000000-0005-0000-0000-00006B010000}"/>
    <cellStyle name="Normal 3 2 2" xfId="204" xr:uid="{00000000-0005-0000-0000-00006C010000}"/>
    <cellStyle name="Normal 3 3" xfId="98" xr:uid="{00000000-0005-0000-0000-00006D010000}"/>
    <cellStyle name="Normal 3 3 2" xfId="197" xr:uid="{00000000-0005-0000-0000-00006E010000}"/>
    <cellStyle name="Normal 3 3 2 2" xfId="261" xr:uid="{00000000-0005-0000-0000-00006F010000}"/>
    <cellStyle name="Normal 3 3 2 2 2" xfId="418" xr:uid="{00000000-0005-0000-0000-000070010000}"/>
    <cellStyle name="Normal 3 3 2 2 3" xfId="508" xr:uid="{00000000-0005-0000-0000-000071010000}"/>
    <cellStyle name="Normal 3 3 2 3" xfId="385" xr:uid="{00000000-0005-0000-0000-000072010000}"/>
    <cellStyle name="Normal 3 3 2 4" xfId="485" xr:uid="{00000000-0005-0000-0000-000073010000}"/>
    <cellStyle name="Normal 30" xfId="211" xr:uid="{00000000-0005-0000-0000-000074010000}"/>
    <cellStyle name="Normal 30 2" xfId="262" xr:uid="{00000000-0005-0000-0000-000075010000}"/>
    <cellStyle name="Normal 30 2 2" xfId="419" xr:uid="{00000000-0005-0000-0000-000076010000}"/>
    <cellStyle name="Normal 30 2 3" xfId="509" xr:uid="{00000000-0005-0000-0000-000077010000}"/>
    <cellStyle name="Normal 30 3" xfId="389" xr:uid="{00000000-0005-0000-0000-000078010000}"/>
    <cellStyle name="Normal 30 4" xfId="487" xr:uid="{00000000-0005-0000-0000-000079010000}"/>
    <cellStyle name="Normal 31" xfId="215" xr:uid="{00000000-0005-0000-0000-00007A010000}"/>
    <cellStyle name="Normal 31 2" xfId="263" xr:uid="{00000000-0005-0000-0000-00007B010000}"/>
    <cellStyle name="Normal 31 2 2" xfId="420" xr:uid="{00000000-0005-0000-0000-00007C010000}"/>
    <cellStyle name="Normal 31 2 3" xfId="510" xr:uid="{00000000-0005-0000-0000-00007D010000}"/>
    <cellStyle name="Normal 31 3" xfId="391" xr:uid="{00000000-0005-0000-0000-00007E010000}"/>
    <cellStyle name="Normal 31 4" xfId="488" xr:uid="{00000000-0005-0000-0000-00007F010000}"/>
    <cellStyle name="Normal 32" xfId="240" xr:uid="{00000000-0005-0000-0000-000080010000}"/>
    <cellStyle name="Normal 32 2" xfId="264" xr:uid="{00000000-0005-0000-0000-000081010000}"/>
    <cellStyle name="Normal 32 2 2" xfId="421" xr:uid="{00000000-0005-0000-0000-000082010000}"/>
    <cellStyle name="Normal 32 2 3" xfId="511" xr:uid="{00000000-0005-0000-0000-000083010000}"/>
    <cellStyle name="Normal 32 3" xfId="399" xr:uid="{00000000-0005-0000-0000-000084010000}"/>
    <cellStyle name="Normal 32 4" xfId="492" xr:uid="{00000000-0005-0000-0000-000085010000}"/>
    <cellStyle name="Normal 33" xfId="265" xr:uid="{00000000-0005-0000-0000-000086010000}"/>
    <cellStyle name="Normal 33 2" xfId="422" xr:uid="{00000000-0005-0000-0000-000087010000}"/>
    <cellStyle name="Normal 33 3" xfId="512" xr:uid="{00000000-0005-0000-0000-000088010000}"/>
    <cellStyle name="Normal 33 7" xfId="620" xr:uid="{00000000-0005-0000-0000-000089010000}"/>
    <cellStyle name="Normal 34" xfId="302" xr:uid="{00000000-0005-0000-0000-00008A010000}"/>
    <cellStyle name="Normal 35 5" xfId="626" xr:uid="{4B94EA99-8DAB-4B88-9C73-F70B22740BBA}"/>
    <cellStyle name="Normal 4" xfId="99" xr:uid="{00000000-0005-0000-0000-00008B010000}"/>
    <cellStyle name="Normal 4 2" xfId="100" xr:uid="{00000000-0005-0000-0000-00008C010000}"/>
    <cellStyle name="Normal 4 2 2" xfId="195" xr:uid="{00000000-0005-0000-0000-00008D010000}"/>
    <cellStyle name="Normal 4 2 2 2" xfId="266" xr:uid="{00000000-0005-0000-0000-00008E010000}"/>
    <cellStyle name="Normal 4 2 2 2 2" xfId="423" xr:uid="{00000000-0005-0000-0000-00008F010000}"/>
    <cellStyle name="Normal 4 2 2 2 3" xfId="513" xr:uid="{00000000-0005-0000-0000-000090010000}"/>
    <cellStyle name="Normal 4 2 2 3" xfId="384" xr:uid="{00000000-0005-0000-0000-000091010000}"/>
    <cellStyle name="Normal 4 2 2 4" xfId="484" xr:uid="{00000000-0005-0000-0000-000092010000}"/>
    <cellStyle name="Normal 4 3" xfId="101" xr:uid="{00000000-0005-0000-0000-000093010000}"/>
    <cellStyle name="Normal 41" xfId="303" xr:uid="{00000000-0005-0000-0000-000094010000}"/>
    <cellStyle name="Normal 5" xfId="102" xr:uid="{00000000-0005-0000-0000-000095010000}"/>
    <cellStyle name="Normal 5 2" xfId="103" xr:uid="{00000000-0005-0000-0000-000096010000}"/>
    <cellStyle name="Normal 5 3" xfId="104" xr:uid="{00000000-0005-0000-0000-000097010000}"/>
    <cellStyle name="Normal 6" xfId="105" xr:uid="{00000000-0005-0000-0000-000098010000}"/>
    <cellStyle name="Normal 6 2" xfId="106" xr:uid="{00000000-0005-0000-0000-000099010000}"/>
    <cellStyle name="Normal 7" xfId="107" xr:uid="{00000000-0005-0000-0000-00009A010000}"/>
    <cellStyle name="Normal 7 2" xfId="108" xr:uid="{00000000-0005-0000-0000-00009B010000}"/>
    <cellStyle name="Normal 7 2 2" xfId="109" xr:uid="{00000000-0005-0000-0000-00009C010000}"/>
    <cellStyle name="Normal 7 3" xfId="110" xr:uid="{00000000-0005-0000-0000-00009D010000}"/>
    <cellStyle name="Normal 8" xfId="111" xr:uid="{00000000-0005-0000-0000-00009E010000}"/>
    <cellStyle name="Normal 9" xfId="112" xr:uid="{00000000-0005-0000-0000-00009F010000}"/>
    <cellStyle name="Normal 9 2" xfId="113" xr:uid="{00000000-0005-0000-0000-0000A0010000}"/>
    <cellStyle name="Normal 9 3" xfId="114" xr:uid="{00000000-0005-0000-0000-0000A1010000}"/>
    <cellStyle name="Normal_DADOSADMCS" xfId="115" xr:uid="{00000000-0005-0000-0000-0000A2010000}"/>
    <cellStyle name="Normal_DADOSADMCS_4 2" xfId="400" xr:uid="{00000000-0005-0000-0000-0000A3010000}"/>
    <cellStyle name="Normal_DADOSADMCS_5 2" xfId="619" xr:uid="{00000000-0005-0000-0000-0000A4010000}"/>
    <cellStyle name="Normal_ORGANIZADO" xfId="625" xr:uid="{00000000-0005-0000-0000-0000A5010000}"/>
    <cellStyle name="Normal_Plan1" xfId="116" xr:uid="{00000000-0005-0000-0000-0000A6010000}"/>
    <cellStyle name="Normal_Plan1 2 2" xfId="621" xr:uid="{00000000-0005-0000-0000-0000A7010000}"/>
    <cellStyle name="Note" xfId="155" xr:uid="{00000000-0005-0000-0000-0000A8010000}"/>
    <cellStyle name="Note 1" xfId="117" xr:uid="{00000000-0005-0000-0000-0000A9010000}"/>
    <cellStyle name="Note 1 2" xfId="212" xr:uid="{00000000-0005-0000-0000-0000AA010000}"/>
    <cellStyle name="Note 1 2 2" xfId="267" xr:uid="{00000000-0005-0000-0000-0000AB010000}"/>
    <cellStyle name="Note 1 2 2 2" xfId="424" xr:uid="{00000000-0005-0000-0000-0000AC010000}"/>
    <cellStyle name="Note 1 2 2 2 2" xfId="583" xr:uid="{00000000-0005-0000-0000-0000AD010000}"/>
    <cellStyle name="Note 1 2 2 3" xfId="445" xr:uid="{00000000-0005-0000-0000-0000AE010000}"/>
    <cellStyle name="Note 1 2 2 3 2" xfId="598" xr:uid="{00000000-0005-0000-0000-0000AF010000}"/>
    <cellStyle name="Note 1 2 2 4" xfId="341" xr:uid="{00000000-0005-0000-0000-0000B0010000}"/>
    <cellStyle name="Note 1 2 2 4 2" xfId="552" xr:uid="{00000000-0005-0000-0000-0000B1010000}"/>
    <cellStyle name="Note 1 2 2 5" xfId="379" xr:uid="{00000000-0005-0000-0000-0000B2010000}"/>
    <cellStyle name="Note 1 2 2 5 2" xfId="574" xr:uid="{00000000-0005-0000-0000-0000B3010000}"/>
    <cellStyle name="Note 1 2 2 6" xfId="306" xr:uid="{00000000-0005-0000-0000-0000B4010000}"/>
    <cellStyle name="Note 1 2 2 6 2" xfId="518" xr:uid="{00000000-0005-0000-0000-0000B5010000}"/>
    <cellStyle name="Note 1 2 2 7" xfId="350" xr:uid="{00000000-0005-0000-0000-0000B6010000}"/>
    <cellStyle name="Note 1 3" xfId="268" xr:uid="{00000000-0005-0000-0000-0000B7010000}"/>
    <cellStyle name="Note 1 3 2" xfId="425" xr:uid="{00000000-0005-0000-0000-0000B8010000}"/>
    <cellStyle name="Note 1 3 2 2" xfId="584" xr:uid="{00000000-0005-0000-0000-0000B9010000}"/>
    <cellStyle name="Note 1 3 3" xfId="446" xr:uid="{00000000-0005-0000-0000-0000BA010000}"/>
    <cellStyle name="Note 1 3 3 2" xfId="599" xr:uid="{00000000-0005-0000-0000-0000BB010000}"/>
    <cellStyle name="Note 1 3 4" xfId="363" xr:uid="{00000000-0005-0000-0000-0000BC010000}"/>
    <cellStyle name="Note 1 3 4 2" xfId="569" xr:uid="{00000000-0005-0000-0000-0000BD010000}"/>
    <cellStyle name="Note 1 3 5" xfId="345" xr:uid="{00000000-0005-0000-0000-0000BE010000}"/>
    <cellStyle name="Note 1 3 5 2" xfId="555" xr:uid="{00000000-0005-0000-0000-0000BF010000}"/>
    <cellStyle name="Note 1 3 6" xfId="340" xr:uid="{00000000-0005-0000-0000-0000C0010000}"/>
    <cellStyle name="Note 1 3 6 2" xfId="551" xr:uid="{00000000-0005-0000-0000-0000C1010000}"/>
    <cellStyle name="Note 1 3 7" xfId="467" xr:uid="{00000000-0005-0000-0000-0000C2010000}"/>
    <cellStyle name="Note 2" xfId="118" xr:uid="{00000000-0005-0000-0000-0000C3010000}"/>
    <cellStyle name="Note 2 2" xfId="213" xr:uid="{00000000-0005-0000-0000-0000C4010000}"/>
    <cellStyle name="Note 2 2 2" xfId="269" xr:uid="{00000000-0005-0000-0000-0000C5010000}"/>
    <cellStyle name="Note 2 2 2 2" xfId="426" xr:uid="{00000000-0005-0000-0000-0000C6010000}"/>
    <cellStyle name="Note 2 2 2 2 2" xfId="585" xr:uid="{00000000-0005-0000-0000-0000C7010000}"/>
    <cellStyle name="Note 2 2 2 3" xfId="447" xr:uid="{00000000-0005-0000-0000-0000C8010000}"/>
    <cellStyle name="Note 2 2 2 3 2" xfId="600" xr:uid="{00000000-0005-0000-0000-0000C9010000}"/>
    <cellStyle name="Note 2 2 2 4" xfId="310" xr:uid="{00000000-0005-0000-0000-0000CA010000}"/>
    <cellStyle name="Note 2 2 2 4 2" xfId="522" xr:uid="{00000000-0005-0000-0000-0000CB010000}"/>
    <cellStyle name="Note 2 2 2 5" xfId="348" xr:uid="{00000000-0005-0000-0000-0000CC010000}"/>
    <cellStyle name="Note 2 2 2 5 2" xfId="558" xr:uid="{00000000-0005-0000-0000-0000CD010000}"/>
    <cellStyle name="Note 2 2 2 6" xfId="322" xr:uid="{00000000-0005-0000-0000-0000CE010000}"/>
    <cellStyle name="Note 2 2 2 6 2" xfId="533" xr:uid="{00000000-0005-0000-0000-0000CF010000}"/>
    <cellStyle name="Note 2 2 2 7" xfId="369" xr:uid="{00000000-0005-0000-0000-0000D0010000}"/>
    <cellStyle name="Note 2 3" xfId="270" xr:uid="{00000000-0005-0000-0000-0000D1010000}"/>
    <cellStyle name="Note 2 3 2" xfId="427" xr:uid="{00000000-0005-0000-0000-0000D2010000}"/>
    <cellStyle name="Note 2 3 2 2" xfId="586" xr:uid="{00000000-0005-0000-0000-0000D3010000}"/>
    <cellStyle name="Note 2 3 3" xfId="448" xr:uid="{00000000-0005-0000-0000-0000D4010000}"/>
    <cellStyle name="Note 2 3 3 2" xfId="601" xr:uid="{00000000-0005-0000-0000-0000D5010000}"/>
    <cellStyle name="Note 2 3 4" xfId="455" xr:uid="{00000000-0005-0000-0000-0000D6010000}"/>
    <cellStyle name="Note 2 3 4 2" xfId="606" xr:uid="{00000000-0005-0000-0000-0000D7010000}"/>
    <cellStyle name="Note 2 3 5" xfId="335" xr:uid="{00000000-0005-0000-0000-0000D8010000}"/>
    <cellStyle name="Note 2 3 5 2" xfId="546" xr:uid="{00000000-0005-0000-0000-0000D9010000}"/>
    <cellStyle name="Note 2 3 6" xfId="309" xr:uid="{00000000-0005-0000-0000-0000DA010000}"/>
    <cellStyle name="Note 2 3 6 2" xfId="521" xr:uid="{00000000-0005-0000-0000-0000DB010000}"/>
    <cellStyle name="Note 2 3 7" xfId="437" xr:uid="{00000000-0005-0000-0000-0000DC010000}"/>
    <cellStyle name="Note 3" xfId="214" xr:uid="{00000000-0005-0000-0000-0000DD010000}"/>
    <cellStyle name="Note 3 2" xfId="271" xr:uid="{00000000-0005-0000-0000-0000DE010000}"/>
    <cellStyle name="Note 3 2 2" xfId="428" xr:uid="{00000000-0005-0000-0000-0000DF010000}"/>
    <cellStyle name="Note 3 2 2 2" xfId="587" xr:uid="{00000000-0005-0000-0000-0000E0010000}"/>
    <cellStyle name="Note 3 2 3" xfId="449" xr:uid="{00000000-0005-0000-0000-0000E1010000}"/>
    <cellStyle name="Note 3 2 3 2" xfId="602" xr:uid="{00000000-0005-0000-0000-0000E2010000}"/>
    <cellStyle name="Note 3 2 4" xfId="456" xr:uid="{00000000-0005-0000-0000-0000E3010000}"/>
    <cellStyle name="Note 3 2 4 2" xfId="607" xr:uid="{00000000-0005-0000-0000-0000E4010000}"/>
    <cellStyle name="Note 3 2 5" xfId="459" xr:uid="{00000000-0005-0000-0000-0000E5010000}"/>
    <cellStyle name="Note 3 2 5 2" xfId="610" xr:uid="{00000000-0005-0000-0000-0000E6010000}"/>
    <cellStyle name="Note 3 2 6" xfId="386" xr:uid="{00000000-0005-0000-0000-0000E7010000}"/>
    <cellStyle name="Note 3 2 6 2" xfId="576" xr:uid="{00000000-0005-0000-0000-0000E8010000}"/>
    <cellStyle name="Note 3 2 7" xfId="342" xr:uid="{00000000-0005-0000-0000-0000E9010000}"/>
    <cellStyle name="Note 4" xfId="272" xr:uid="{00000000-0005-0000-0000-0000EA010000}"/>
    <cellStyle name="Note 4 2" xfId="429" xr:uid="{00000000-0005-0000-0000-0000EB010000}"/>
    <cellStyle name="Note 4 2 2" xfId="588" xr:uid="{00000000-0005-0000-0000-0000EC010000}"/>
    <cellStyle name="Note 4 3" xfId="450" xr:uid="{00000000-0005-0000-0000-0000ED010000}"/>
    <cellStyle name="Note 4 3 2" xfId="603" xr:uid="{00000000-0005-0000-0000-0000EE010000}"/>
    <cellStyle name="Note 4 4" xfId="443" xr:uid="{00000000-0005-0000-0000-0000EF010000}"/>
    <cellStyle name="Note 4 4 2" xfId="596" xr:uid="{00000000-0005-0000-0000-0000F0010000}"/>
    <cellStyle name="Note 4 5" xfId="460" xr:uid="{00000000-0005-0000-0000-0000F1010000}"/>
    <cellStyle name="Note 4 5 2" xfId="611" xr:uid="{00000000-0005-0000-0000-0000F2010000}"/>
    <cellStyle name="Note 4 6" xfId="347" xr:uid="{00000000-0005-0000-0000-0000F3010000}"/>
    <cellStyle name="Note 4 6 2" xfId="557" xr:uid="{00000000-0005-0000-0000-0000F4010000}"/>
    <cellStyle name="Note 4 7" xfId="454" xr:uid="{00000000-0005-0000-0000-0000F5010000}"/>
    <cellStyle name="Output" xfId="119" xr:uid="{00000000-0005-0000-0000-0000F6010000}"/>
    <cellStyle name="Output 2" xfId="223" xr:uid="{00000000-0005-0000-0000-0000F7010000}"/>
    <cellStyle name="Output 2 2" xfId="315" xr:uid="{00000000-0005-0000-0000-0000F8010000}"/>
    <cellStyle name="Output 2 2 2" xfId="526" xr:uid="{00000000-0005-0000-0000-0000F9010000}"/>
    <cellStyle name="Output 2 3" xfId="395" xr:uid="{00000000-0005-0000-0000-0000FA010000}"/>
    <cellStyle name="Output 2 3 2" xfId="580" xr:uid="{00000000-0005-0000-0000-0000FB010000}"/>
    <cellStyle name="Output 2 4" xfId="332" xr:uid="{00000000-0005-0000-0000-0000FC010000}"/>
    <cellStyle name="Output 2 4 2" xfId="543" xr:uid="{00000000-0005-0000-0000-0000FD010000}"/>
    <cellStyle name="Output 2 5" xfId="327" xr:uid="{00000000-0005-0000-0000-0000FE010000}"/>
    <cellStyle name="Output 2 5 2" xfId="538" xr:uid="{00000000-0005-0000-0000-0000FF010000}"/>
    <cellStyle name="Output 2 6" xfId="465" xr:uid="{00000000-0005-0000-0000-000000020000}"/>
    <cellStyle name="Output 2 6 2" xfId="615" xr:uid="{00000000-0005-0000-0000-000001020000}"/>
    <cellStyle name="Output 2 7" xfId="305" xr:uid="{00000000-0005-0000-0000-000002020000}"/>
    <cellStyle name="Output 3" xfId="366" xr:uid="{00000000-0005-0000-0000-000003020000}"/>
    <cellStyle name="Output 3 2" xfId="571" xr:uid="{00000000-0005-0000-0000-000004020000}"/>
    <cellStyle name="Output 4" xfId="344" xr:uid="{00000000-0005-0000-0000-000005020000}"/>
    <cellStyle name="Output 4 2" xfId="554" xr:uid="{00000000-0005-0000-0000-000006020000}"/>
    <cellStyle name="Output 5" xfId="343" xr:uid="{00000000-0005-0000-0000-000007020000}"/>
    <cellStyle name="Output 5 2" xfId="553" xr:uid="{00000000-0005-0000-0000-000008020000}"/>
    <cellStyle name="Output 6" xfId="441" xr:uid="{00000000-0005-0000-0000-000009020000}"/>
    <cellStyle name="Output 6 2" xfId="595" xr:uid="{00000000-0005-0000-0000-00000A020000}"/>
    <cellStyle name="Output 7" xfId="338" xr:uid="{00000000-0005-0000-0000-00000B020000}"/>
    <cellStyle name="Output 7 2" xfId="549" xr:uid="{00000000-0005-0000-0000-00000C020000}"/>
    <cellStyle name="Output 8" xfId="466" xr:uid="{00000000-0005-0000-0000-00000D020000}"/>
    <cellStyle name="Porcentagem 2" xfId="120" xr:uid="{00000000-0005-0000-0000-00000E020000}"/>
    <cellStyle name="Porcentagem 2 2" xfId="121" xr:uid="{00000000-0005-0000-0000-00000F020000}"/>
    <cellStyle name="Porcentagem 2 3" xfId="169" xr:uid="{00000000-0005-0000-0000-000010020000}"/>
    <cellStyle name="Porcentagem 3" xfId="122" xr:uid="{00000000-0005-0000-0000-000011020000}"/>
    <cellStyle name="Porcentagem 3 2" xfId="205" xr:uid="{00000000-0005-0000-0000-000012020000}"/>
    <cellStyle name="Porcentagem 4" xfId="123" xr:uid="{00000000-0005-0000-0000-000013020000}"/>
    <cellStyle name="Porcentagem 5" xfId="273" xr:uid="{00000000-0005-0000-0000-000014020000}"/>
    <cellStyle name="Porcentagem 5 2" xfId="430" xr:uid="{00000000-0005-0000-0000-000015020000}"/>
    <cellStyle name="Porcentagem 5 3" xfId="514" xr:uid="{00000000-0005-0000-0000-000016020000}"/>
    <cellStyle name="Porcentagem 5 7" xfId="624" xr:uid="{00000000-0005-0000-0000-000017020000}"/>
    <cellStyle name="Porcentagem 6 5" xfId="629" xr:uid="{AFB53FF2-E5EB-4FF5-891C-3A670E47B806}"/>
    <cellStyle name="Separador de milhares 2" xfId="124" xr:uid="{00000000-0005-0000-0000-000018020000}"/>
    <cellStyle name="Separador de milhares 2 2" xfId="125" xr:uid="{00000000-0005-0000-0000-000019020000}"/>
    <cellStyle name="Separador de milhares 2 2 2" xfId="126" xr:uid="{00000000-0005-0000-0000-00001A020000}"/>
    <cellStyle name="Separador de milhares 2 2 2 2" xfId="181" xr:uid="{00000000-0005-0000-0000-00001B020000}"/>
    <cellStyle name="Separador de milhares 2 2 2 2 2" xfId="224" xr:uid="{00000000-0005-0000-0000-00001C020000}"/>
    <cellStyle name="Separador de milhares 2 2 2 2 2 2" xfId="274" xr:uid="{00000000-0005-0000-0000-00001D020000}"/>
    <cellStyle name="Separador de milhares 2 2 2 2 3" xfId="275" xr:uid="{00000000-0005-0000-0000-00001E020000}"/>
    <cellStyle name="Separador de milhares 2 2 3" xfId="174" xr:uid="{00000000-0005-0000-0000-00001F020000}"/>
    <cellStyle name="Separador de milhares 2 2 3 2" xfId="276" xr:uid="{00000000-0005-0000-0000-000020020000}"/>
    <cellStyle name="Separador de milhares 2 3" xfId="127" xr:uid="{00000000-0005-0000-0000-000021020000}"/>
    <cellStyle name="Separador de milhares 2 3 2" xfId="199" xr:uid="{00000000-0005-0000-0000-000022020000}"/>
    <cellStyle name="Separador de milhares 2 3 2 2" xfId="225" xr:uid="{00000000-0005-0000-0000-000023020000}"/>
    <cellStyle name="Separador de milhares 2 3 2 2 2" xfId="277" xr:uid="{00000000-0005-0000-0000-000024020000}"/>
    <cellStyle name="Separador de milhares 2 3 3" xfId="190" xr:uid="{00000000-0005-0000-0000-000025020000}"/>
    <cellStyle name="Separador de milhares 2 3 3 2" xfId="226" xr:uid="{00000000-0005-0000-0000-000026020000}"/>
    <cellStyle name="Separador de milhares 2 3 3 2 2" xfId="278" xr:uid="{00000000-0005-0000-0000-000027020000}"/>
    <cellStyle name="Separador de milhares 2 3 3 3" xfId="279" xr:uid="{00000000-0005-0000-0000-000028020000}"/>
    <cellStyle name="Separador de milhares 2 3 4" xfId="227" xr:uid="{00000000-0005-0000-0000-000029020000}"/>
    <cellStyle name="Separador de milhares 2 3 4 2" xfId="280" xr:uid="{00000000-0005-0000-0000-00002A020000}"/>
    <cellStyle name="Separador de milhares 2 4" xfId="128" xr:uid="{00000000-0005-0000-0000-00002B020000}"/>
    <cellStyle name="Separador de milhares 2 4 2" xfId="180" xr:uid="{00000000-0005-0000-0000-00002C020000}"/>
    <cellStyle name="Separador de milhares 2 4 2 2" xfId="228" xr:uid="{00000000-0005-0000-0000-00002D020000}"/>
    <cellStyle name="Separador de milhares 2 4 2 2 2" xfId="281" xr:uid="{00000000-0005-0000-0000-00002E020000}"/>
    <cellStyle name="Separador de milhares 2 4 2 3" xfId="282" xr:uid="{00000000-0005-0000-0000-00002F020000}"/>
    <cellStyle name="Separador de milhares 2 5" xfId="171" xr:uid="{00000000-0005-0000-0000-000030020000}"/>
    <cellStyle name="Separador de milhares 2 5 2" xfId="283" xr:uid="{00000000-0005-0000-0000-000031020000}"/>
    <cellStyle name="Separador de milhares 3" xfId="129" xr:uid="{00000000-0005-0000-0000-000032020000}"/>
    <cellStyle name="Separador de milhares 3 2" xfId="130" xr:uid="{00000000-0005-0000-0000-000033020000}"/>
    <cellStyle name="Separador de milhares 3 2 2" xfId="200" xr:uid="{00000000-0005-0000-0000-000034020000}"/>
    <cellStyle name="Separador de milhares 3 2 2 2" xfId="229" xr:uid="{00000000-0005-0000-0000-000035020000}"/>
    <cellStyle name="Separador de milhares 3 2 2 2 2" xfId="284" xr:uid="{00000000-0005-0000-0000-000036020000}"/>
    <cellStyle name="Separador de milhares 3 2 3" xfId="182" xr:uid="{00000000-0005-0000-0000-000037020000}"/>
    <cellStyle name="Separador de milhares 3 2 3 2" xfId="230" xr:uid="{00000000-0005-0000-0000-000038020000}"/>
    <cellStyle name="Separador de milhares 3 2 3 2 2" xfId="285" xr:uid="{00000000-0005-0000-0000-000039020000}"/>
    <cellStyle name="Separador de milhares 3 2 3 3" xfId="286" xr:uid="{00000000-0005-0000-0000-00003A020000}"/>
    <cellStyle name="Separador de milhares 3 3" xfId="156" xr:uid="{00000000-0005-0000-0000-00003B020000}"/>
    <cellStyle name="Separador de milhares 3 3 2" xfId="157" xr:uid="{00000000-0005-0000-0000-00003C020000}"/>
    <cellStyle name="Separador de milhares 3 3 2 2" xfId="231" xr:uid="{00000000-0005-0000-0000-00003D020000}"/>
    <cellStyle name="Separador de milhares 3 3 2 2 2" xfId="287" xr:uid="{00000000-0005-0000-0000-00003E020000}"/>
    <cellStyle name="Separador de milhares 3 3 3" xfId="232" xr:uid="{00000000-0005-0000-0000-00003F020000}"/>
    <cellStyle name="Separador de milhares 3 3 3 2" xfId="288" xr:uid="{00000000-0005-0000-0000-000040020000}"/>
    <cellStyle name="Separador de milhares 4" xfId="131" xr:uid="{00000000-0005-0000-0000-000041020000}"/>
    <cellStyle name="Separador de milhares 4 2" xfId="132" xr:uid="{00000000-0005-0000-0000-000042020000}"/>
    <cellStyle name="Separador de milhares 4 2 2" xfId="183" xr:uid="{00000000-0005-0000-0000-000043020000}"/>
    <cellStyle name="Separador de milhares 4 2 2 2" xfId="233" xr:uid="{00000000-0005-0000-0000-000044020000}"/>
    <cellStyle name="Separador de milhares 4 2 2 2 2" xfId="289" xr:uid="{00000000-0005-0000-0000-000045020000}"/>
    <cellStyle name="Separador de milhares 4 2 2 3" xfId="290" xr:uid="{00000000-0005-0000-0000-000046020000}"/>
    <cellStyle name="Separador de milhares 4 3" xfId="172" xr:uid="{00000000-0005-0000-0000-000047020000}"/>
    <cellStyle name="Separador de milhares 4 3 2" xfId="291" xr:uid="{00000000-0005-0000-0000-000048020000}"/>
    <cellStyle name="Separador de milhares 5" xfId="133" xr:uid="{00000000-0005-0000-0000-000049020000}"/>
    <cellStyle name="Separador de milhares 5 2" xfId="184" xr:uid="{00000000-0005-0000-0000-00004A020000}"/>
    <cellStyle name="Separador de milhares 5 2 2" xfId="234" xr:uid="{00000000-0005-0000-0000-00004B020000}"/>
    <cellStyle name="Separador de milhares 5 2 2 2" xfId="292" xr:uid="{00000000-0005-0000-0000-00004C020000}"/>
    <cellStyle name="Separador de milhares 5 2 3" xfId="293" xr:uid="{00000000-0005-0000-0000-00004D020000}"/>
    <cellStyle name="Separador de milhares 5 3" xfId="173" xr:uid="{00000000-0005-0000-0000-00004E020000}"/>
    <cellStyle name="Separador de milhares 5 3 2" xfId="294" xr:uid="{00000000-0005-0000-0000-00004F020000}"/>
    <cellStyle name="Separador de milhares 6" xfId="134" xr:uid="{00000000-0005-0000-0000-000050020000}"/>
    <cellStyle name="Separador de milhares 7" xfId="135" xr:uid="{00000000-0005-0000-0000-000051020000}"/>
    <cellStyle name="Separador de milhares 7 2" xfId="235" xr:uid="{00000000-0005-0000-0000-000052020000}"/>
    <cellStyle name="Separador de milhares 7 2 2" xfId="295" xr:uid="{00000000-0005-0000-0000-000053020000}"/>
    <cellStyle name="Separador de milhares 7 2 2 2" xfId="439" xr:uid="{00000000-0005-0000-0000-000054020000}"/>
    <cellStyle name="Separador de milhares 7 2 2 3" xfId="515" xr:uid="{00000000-0005-0000-0000-000055020000}"/>
    <cellStyle name="Separador de milhares 7 2 3" xfId="397" xr:uid="{00000000-0005-0000-0000-000056020000}"/>
    <cellStyle name="Separador de milhares 7 2 4" xfId="490" xr:uid="{00000000-0005-0000-0000-000057020000}"/>
    <cellStyle name="Separador de milhares 8" xfId="296" xr:uid="{00000000-0005-0000-0000-000058020000}"/>
    <cellStyle name="Separador de milhares 8 2" xfId="440" xr:uid="{00000000-0005-0000-0000-000059020000}"/>
    <cellStyle name="Separador de milhares 8 3" xfId="516" xr:uid="{00000000-0005-0000-0000-00005A020000}"/>
    <cellStyle name="Separador de milhares 8 7" xfId="623" xr:uid="{00000000-0005-0000-0000-00005B020000}"/>
    <cellStyle name="TableStyleLight1" xfId="136" xr:uid="{00000000-0005-0000-0000-00005C020000}"/>
    <cellStyle name="Title" xfId="137" xr:uid="{00000000-0005-0000-0000-00005D020000}"/>
    <cellStyle name="Vírgula" xfId="618" builtinId="3"/>
    <cellStyle name="Vírgula 2" xfId="138" xr:uid="{00000000-0005-0000-0000-00005F020000}"/>
    <cellStyle name="Vírgula 2 2" xfId="185" xr:uid="{00000000-0005-0000-0000-000060020000}"/>
    <cellStyle name="Vírgula 2 2 2" xfId="236" xr:uid="{00000000-0005-0000-0000-000061020000}"/>
    <cellStyle name="Vírgula 2 2 2 2" xfId="297" xr:uid="{00000000-0005-0000-0000-000062020000}"/>
    <cellStyle name="Vírgula 2 2 3" xfId="298" xr:uid="{00000000-0005-0000-0000-000063020000}"/>
    <cellStyle name="Vírgula 3" xfId="139" xr:uid="{00000000-0005-0000-0000-000064020000}"/>
    <cellStyle name="Vírgula 3 2" xfId="196" xr:uid="{00000000-0005-0000-0000-000065020000}"/>
    <cellStyle name="Vírgula 3 2 2" xfId="237" xr:uid="{00000000-0005-0000-0000-000066020000}"/>
    <cellStyle name="Vírgula 3 2 2 2" xfId="299" xr:uid="{00000000-0005-0000-0000-000067020000}"/>
    <cellStyle name="Vírgula 4" xfId="170" xr:uid="{00000000-0005-0000-0000-000068020000}"/>
    <cellStyle name="Vírgula 4 2" xfId="238" xr:uid="{00000000-0005-0000-0000-000069020000}"/>
    <cellStyle name="Vírgula 4 2 2" xfId="300" xr:uid="{00000000-0005-0000-0000-00006A020000}"/>
    <cellStyle name="Vírgula 5" xfId="239" xr:uid="{00000000-0005-0000-0000-00006B020000}"/>
    <cellStyle name="Vírgula 5 2" xfId="301" xr:uid="{00000000-0005-0000-0000-00006C020000}"/>
    <cellStyle name="Vírgula 5 2 2" xfId="442" xr:uid="{00000000-0005-0000-0000-00006D020000}"/>
    <cellStyle name="Vírgula 5 2 3" xfId="517" xr:uid="{00000000-0005-0000-0000-00006E020000}"/>
    <cellStyle name="Vírgula 5 3" xfId="398" xr:uid="{00000000-0005-0000-0000-00006F020000}"/>
    <cellStyle name="Vírgula 5 4" xfId="491" xr:uid="{00000000-0005-0000-0000-000070020000}"/>
    <cellStyle name="Warning Text" xfId="140" xr:uid="{00000000-0005-0000-0000-000071020000}"/>
  </cellStyles>
  <dxfs count="406"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9"/>
      </font>
    </dxf>
    <dxf>
      <font>
        <b val="0"/>
        <condense val="0"/>
        <extend val="0"/>
        <color indexed="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</dxfs>
  <tableStyles count="0" defaultTableStyle="TableStyleMedium9" defaultPivotStyle="PivotStyleLight16"/>
  <colors>
    <mruColors>
      <color rgb="FFCCFFCC"/>
      <color rgb="FFFFCCFF"/>
      <color rgb="FFFFFF66"/>
      <color rgb="FFFFFFCC"/>
      <color rgb="FFFFCCCC"/>
      <color rgb="FF99FFCC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9</xdr:col>
      <xdr:colOff>0</xdr:colOff>
      <xdr:row>4</xdr:row>
      <xdr:rowOff>76200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62821"/>
          <a:ext cx="7383910" cy="1101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85725</xdr:rowOff>
    </xdr:from>
    <xdr:to>
      <xdr:col>9</xdr:col>
      <xdr:colOff>28575</xdr:colOff>
      <xdr:row>7</xdr:row>
      <xdr:rowOff>95250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2D73FC72-BFDF-49EF-864B-4DA6295CB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5" y="571500"/>
          <a:ext cx="7981950" cy="1095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3</xdr:col>
      <xdr:colOff>28575</xdr:colOff>
      <xdr:row>6</xdr:row>
      <xdr:rowOff>11208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4210050" cy="9827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721659</xdr:colOff>
      <xdr:row>7</xdr:row>
      <xdr:rowOff>63697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579534" cy="1406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151699</xdr:colOff>
      <xdr:row>1</xdr:row>
      <xdr:rowOff>77610</xdr:rowOff>
    </xdr:from>
    <xdr:to>
      <xdr:col>4</xdr:col>
      <xdr:colOff>1186914</xdr:colOff>
      <xdr:row>1</xdr:row>
      <xdr:rowOff>878416</xdr:rowOff>
    </xdr:to>
    <xdr:pic>
      <xdr:nvPicPr>
        <xdr:cNvPr id="2" name="Imagem 1" descr="Forma&#10;&#10;O conteúdo gerado por IA pode estar incorreto.">
          <a:extLst>
            <a:ext uri="{FF2B5EF4-FFF2-40B4-BE49-F238E27FC236}">
              <a16:creationId xmlns:a16="http://schemas.microsoft.com/office/drawing/2014/main" id="{86092D83-B4BE-43EB-B319-C6E0AA55D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2999" y="249060"/>
          <a:ext cx="2511590" cy="8008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PLANS_GERENCIAL\2025\10.OUTUBRO\ATESTES\10%20ATESTE%20BT%20PF%20OUT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_Adm"/>
      <sheetName val="CALCULO_ADM"/>
      <sheetName val="APONTAMENTO CREDENCIAMENTO"/>
      <sheetName val="CONTINUA"/>
      <sheetName val="ATESTE-LIQ"/>
      <sheetName val="DEMO"/>
      <sheetName val="Revisao"/>
      <sheetName val="VALORES TABEL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>
            <v>385.23</v>
          </cell>
        </row>
        <row r="3">
          <cell r="B3">
            <v>7492.52</v>
          </cell>
        </row>
        <row r="4">
          <cell r="B4">
            <v>2043.65</v>
          </cell>
        </row>
        <row r="5">
          <cell r="B5">
            <v>621.14</v>
          </cell>
        </row>
        <row r="6">
          <cell r="B6">
            <v>11465.63</v>
          </cell>
        </row>
        <row r="7">
          <cell r="B7">
            <v>1.28</v>
          </cell>
        </row>
        <row r="8">
          <cell r="B8">
            <v>9.64</v>
          </cell>
        </row>
        <row r="9">
          <cell r="B9">
            <v>56.200375000000001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sofconsulta.prefeitura.sp.gov.br/ir" TargetMode="External"/><Relationship Id="rId1" Type="http://schemas.openxmlformats.org/officeDocument/2006/relationships/hyperlink" Target="http://sfemp.prefeitura.sp.gov.br/cons_pagto.aspx" TargetMode="External"/><Relationship Id="rId4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sofconsulta.prefeitura.sp.gov.br/ir" TargetMode="External"/><Relationship Id="rId1" Type="http://schemas.openxmlformats.org/officeDocument/2006/relationships/hyperlink" Target="http://sfemp.prefeitura.sp.gov.br/cons_pagto.aspx" TargetMode="External"/><Relationship Id="rId4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://legislacao.planalto.gov.br/legisla/legislacao.nsf/Viw_Identificacao/lei%2015.270-2025?OpenDocument" TargetMode="External"/><Relationship Id="rId4" Type="http://schemas.openxmlformats.org/officeDocument/2006/relationships/comments" Target="../comments1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://legislacao.planalto.gov.br/legisla/legislacao.nsf/Viw_Identificacao/lei%2015.270-2025?OpenDocument" TargetMode="Externa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">
    <tabColor indexed="40"/>
  </sheetPr>
  <dimension ref="A1:BG212"/>
  <sheetViews>
    <sheetView showGridLines="0" tabSelected="1" topLeftCell="I4" zoomScale="85" zoomScaleNormal="85" workbookViewId="0">
      <selection activeCell="U171" sqref="U171:BE191"/>
    </sheetView>
  </sheetViews>
  <sheetFormatPr defaultColWidth="9.140625" defaultRowHeight="15" outlineLevelCol="2" x14ac:dyDescent="0.2"/>
  <cols>
    <col min="1" max="1" width="12.85546875" style="4" customWidth="1" outlineLevel="2"/>
    <col min="2" max="2" width="22.140625" style="4" customWidth="1" outlineLevel="2"/>
    <col min="3" max="3" width="5" style="5" customWidth="1"/>
    <col min="4" max="4" width="14.5703125" style="6" customWidth="1"/>
    <col min="5" max="5" width="9" style="6" customWidth="1"/>
    <col min="6" max="6" width="16.5703125" style="6" bestFit="1" customWidth="1"/>
    <col min="7" max="7" width="16.5703125" style="5" bestFit="1" customWidth="1"/>
    <col min="8" max="8" width="29.140625" style="4" customWidth="1"/>
    <col min="9" max="9" width="43.85546875" style="77" customWidth="1"/>
    <col min="10" max="10" width="13" style="4" bestFit="1" customWidth="1"/>
    <col min="11" max="11" width="8.5703125" style="4" customWidth="1"/>
    <col min="12" max="12" width="9.5703125" style="4" customWidth="1"/>
    <col min="13" max="13" width="10.140625" style="4" bestFit="1" customWidth="1"/>
    <col min="14" max="14" width="10.85546875" style="4" customWidth="1"/>
    <col min="15" max="15" width="27" style="4" hidden="1" customWidth="1"/>
    <col min="16" max="16" width="13.85546875" style="4" hidden="1" customWidth="1"/>
    <col min="17" max="20" width="11.140625" style="81" customWidth="1"/>
    <col min="21" max="21" width="33.140625" style="4" customWidth="1"/>
    <col min="22" max="26" width="9.140625" style="4"/>
    <col min="27" max="27" width="13.7109375" style="4" customWidth="1"/>
    <col min="28" max="28" width="12.5703125" style="4" bestFit="1" customWidth="1"/>
    <col min="29" max="29" width="9.140625" style="4"/>
    <col min="30" max="30" width="17.7109375" style="4" customWidth="1"/>
    <col min="31" max="51" width="9.140625" style="4"/>
    <col min="52" max="52" width="15.42578125" style="4" customWidth="1"/>
    <col min="53" max="53" width="14.85546875" style="4" customWidth="1"/>
    <col min="54" max="54" width="18" style="4" customWidth="1"/>
    <col min="55" max="55" width="15.140625" style="4" customWidth="1"/>
    <col min="56" max="16384" width="9.140625" style="4"/>
  </cols>
  <sheetData>
    <row r="1" spans="1:55" ht="18" customHeight="1" thickBot="1" x14ac:dyDescent="0.25">
      <c r="A1" s="634" t="s">
        <v>3174</v>
      </c>
      <c r="B1" s="634"/>
      <c r="C1" s="634"/>
      <c r="D1" s="634"/>
      <c r="E1" s="634"/>
      <c r="F1" s="634"/>
      <c r="G1" s="208" t="str">
        <f>'BASE C'!E4</f>
        <v>ABRIL</v>
      </c>
      <c r="H1" s="208"/>
      <c r="I1" s="630" t="s">
        <v>37</v>
      </c>
      <c r="J1" s="630"/>
      <c r="K1" s="7"/>
      <c r="L1" s="7"/>
      <c r="M1" s="7"/>
      <c r="N1" s="7"/>
      <c r="O1" s="7"/>
      <c r="P1" s="7"/>
      <c r="T1" s="81" t="s">
        <v>38</v>
      </c>
    </row>
    <row r="2" spans="1:55" s="76" customFormat="1" ht="44.25" customHeight="1" thickBot="1" x14ac:dyDescent="0.25">
      <c r="A2" s="634"/>
      <c r="B2" s="634"/>
      <c r="C2" s="634"/>
      <c r="D2" s="634"/>
      <c r="E2" s="634"/>
      <c r="F2" s="634"/>
      <c r="G2" s="209" t="s">
        <v>155</v>
      </c>
      <c r="H2" s="210"/>
      <c r="I2" s="630"/>
      <c r="J2" s="630"/>
      <c r="K2" s="7"/>
      <c r="L2" s="7"/>
      <c r="M2" s="7"/>
      <c r="N2" s="7"/>
      <c r="O2" s="7"/>
      <c r="P2" s="7"/>
      <c r="Q2" s="84"/>
      <c r="R2" s="84"/>
      <c r="S2" s="84"/>
      <c r="T2" s="84"/>
    </row>
    <row r="3" spans="1:55" s="8" customFormat="1" ht="11.25" x14ac:dyDescent="0.2">
      <c r="A3" s="8">
        <v>1</v>
      </c>
      <c r="B3" s="8">
        <f>A3+1</f>
        <v>2</v>
      </c>
      <c r="C3" s="8">
        <f t="shared" ref="C3:T3" si="0">B3+1</f>
        <v>3</v>
      </c>
      <c r="D3" s="8">
        <v>1</v>
      </c>
      <c r="E3" s="8">
        <f t="shared" si="0"/>
        <v>2</v>
      </c>
      <c r="F3" s="8">
        <f t="shared" si="0"/>
        <v>3</v>
      </c>
      <c r="G3" s="8">
        <f t="shared" si="0"/>
        <v>4</v>
      </c>
      <c r="H3" s="8">
        <f t="shared" si="0"/>
        <v>5</v>
      </c>
      <c r="I3" s="8">
        <f t="shared" si="0"/>
        <v>6</v>
      </c>
      <c r="J3" s="8">
        <f t="shared" si="0"/>
        <v>7</v>
      </c>
      <c r="K3" s="8">
        <f t="shared" si="0"/>
        <v>8</v>
      </c>
      <c r="L3" s="8">
        <f t="shared" si="0"/>
        <v>9</v>
      </c>
      <c r="M3" s="8">
        <f t="shared" si="0"/>
        <v>10</v>
      </c>
      <c r="N3" s="8">
        <v>10</v>
      </c>
      <c r="O3" s="8">
        <f t="shared" si="0"/>
        <v>11</v>
      </c>
      <c r="P3" s="8">
        <v>13</v>
      </c>
      <c r="Q3" s="8">
        <f t="shared" si="0"/>
        <v>14</v>
      </c>
      <c r="R3" s="8">
        <f t="shared" si="0"/>
        <v>15</v>
      </c>
      <c r="S3" s="8">
        <f t="shared" si="0"/>
        <v>16</v>
      </c>
      <c r="T3" s="8">
        <f t="shared" si="0"/>
        <v>17</v>
      </c>
    </row>
    <row r="4" spans="1:55" s="61" customFormat="1" ht="78.75" customHeight="1" x14ac:dyDescent="0.2">
      <c r="A4" s="190" t="s">
        <v>11</v>
      </c>
      <c r="B4" s="190" t="s">
        <v>17</v>
      </c>
      <c r="C4" s="190" t="s">
        <v>0</v>
      </c>
      <c r="D4" s="190" t="s">
        <v>14</v>
      </c>
      <c r="E4" s="190" t="s">
        <v>40</v>
      </c>
      <c r="F4" s="190" t="s">
        <v>16</v>
      </c>
      <c r="G4" s="190"/>
      <c r="H4" s="191" t="s">
        <v>12</v>
      </c>
      <c r="I4" s="192" t="s">
        <v>41</v>
      </c>
      <c r="J4" s="212" t="s">
        <v>42</v>
      </c>
      <c r="K4" s="213" t="s">
        <v>43</v>
      </c>
      <c r="L4" s="213" t="s">
        <v>44</v>
      </c>
      <c r="M4" s="213" t="s">
        <v>45</v>
      </c>
      <c r="N4" s="265" t="s">
        <v>46</v>
      </c>
      <c r="O4" s="214" t="s">
        <v>156</v>
      </c>
      <c r="P4" s="214" t="s">
        <v>157</v>
      </c>
      <c r="Q4" s="631" t="str">
        <f>F5</f>
        <v>01/04/2026</v>
      </c>
      <c r="R4" s="632"/>
      <c r="S4" s="632"/>
      <c r="T4" s="633"/>
    </row>
    <row r="5" spans="1:55" s="9" customFormat="1" ht="19.5" customHeight="1" thickBot="1" x14ac:dyDescent="0.25">
      <c r="A5" s="124"/>
      <c r="B5" s="125"/>
      <c r="C5" s="125"/>
      <c r="D5" s="125"/>
      <c r="E5" s="125"/>
      <c r="F5" s="285" t="s">
        <v>3165</v>
      </c>
      <c r="G5" s="286" t="s">
        <v>3166</v>
      </c>
      <c r="H5" s="126"/>
      <c r="I5" s="127"/>
      <c r="J5" s="128"/>
      <c r="K5" s="128"/>
      <c r="L5" s="128"/>
      <c r="M5" s="128"/>
      <c r="N5" s="266"/>
      <c r="O5" s="211"/>
      <c r="P5" s="211"/>
      <c r="Q5" s="98" t="s">
        <v>58</v>
      </c>
      <c r="R5" s="99" t="s">
        <v>59</v>
      </c>
      <c r="S5" s="98" t="s">
        <v>60</v>
      </c>
      <c r="T5" s="99" t="s">
        <v>61</v>
      </c>
    </row>
    <row r="6" spans="1:55" s="62" customFormat="1" ht="22.5" customHeight="1" x14ac:dyDescent="0.35">
      <c r="A6" t="s">
        <v>3178</v>
      </c>
      <c r="B6" s="430" t="s">
        <v>3179</v>
      </c>
      <c r="C6" s="431">
        <v>1</v>
      </c>
      <c r="D6" s="432" t="s">
        <v>3180</v>
      </c>
      <c r="E6" s="432" t="s">
        <v>3181</v>
      </c>
      <c r="F6" s="433" t="s">
        <v>3165</v>
      </c>
      <c r="G6" s="433" t="s">
        <v>3166</v>
      </c>
      <c r="H6" s="270" t="s">
        <v>1272</v>
      </c>
      <c r="I6" s="271" t="s">
        <v>1272</v>
      </c>
      <c r="J6" s="328" t="s">
        <v>3167</v>
      </c>
      <c r="K6" s="329" t="s">
        <v>3168</v>
      </c>
      <c r="L6" s="256">
        <f>CONTINUA!BV6</f>
        <v>0</v>
      </c>
      <c r="M6" s="256">
        <f>CONTINUA!BW6</f>
        <v>0</v>
      </c>
      <c r="N6" s="267"/>
      <c r="O6" s="215" t="s">
        <v>3310</v>
      </c>
      <c r="P6" s="257">
        <v>0</v>
      </c>
      <c r="Q6" s="319"/>
      <c r="R6" s="320"/>
      <c r="S6" s="319"/>
      <c r="T6" s="366"/>
      <c r="U6" s="807" t="s">
        <v>3376</v>
      </c>
      <c r="V6" s="808">
        <f>Q6+Q7+Q8</f>
        <v>59</v>
      </c>
      <c r="W6" s="853" t="s">
        <v>3381</v>
      </c>
      <c r="X6" s="854">
        <f>(R6+R7+R8+T6+T7+T8)</f>
        <v>0</v>
      </c>
      <c r="Y6" s="855" t="s">
        <v>3386</v>
      </c>
      <c r="Z6" s="854">
        <f>SUM(L6:L10)</f>
        <v>0</v>
      </c>
      <c r="AA6" s="813" t="s">
        <v>306</v>
      </c>
      <c r="AB6" s="814" t="s">
        <v>3388</v>
      </c>
      <c r="AC6" s="815" t="s">
        <v>19</v>
      </c>
      <c r="AD6" s="856"/>
      <c r="AE6" s="857" t="s">
        <v>3389</v>
      </c>
      <c r="AF6" s="858"/>
      <c r="AG6" s="842" t="s">
        <v>3393</v>
      </c>
      <c r="AH6" s="825" t="s">
        <v>3388</v>
      </c>
      <c r="AI6" s="826" t="s">
        <v>19</v>
      </c>
      <c r="AJ6" s="827"/>
      <c r="AK6" s="856">
        <v>1</v>
      </c>
      <c r="AL6" s="858"/>
      <c r="AM6" s="842" t="s">
        <v>3400</v>
      </c>
      <c r="AN6" s="825" t="s">
        <v>3388</v>
      </c>
      <c r="AO6" s="826" t="s">
        <v>19</v>
      </c>
      <c r="AP6" s="827"/>
      <c r="AQ6" s="856"/>
      <c r="AR6" s="858"/>
      <c r="AS6" s="841" t="s">
        <v>3401</v>
      </c>
      <c r="AT6" s="838"/>
      <c r="AU6" s="838"/>
      <c r="AV6" s="839"/>
      <c r="AW6" s="858"/>
      <c r="AX6" s="845" t="s">
        <v>3402</v>
      </c>
      <c r="AY6" s="858"/>
      <c r="AZ6" s="845" t="s">
        <v>3403</v>
      </c>
      <c r="BA6" s="846" t="s">
        <v>3404</v>
      </c>
      <c r="BB6" s="847" t="s">
        <v>3405</v>
      </c>
      <c r="BC6" s="848"/>
    </row>
    <row r="7" spans="1:55" s="62" customFormat="1" ht="22.5" customHeight="1" x14ac:dyDescent="0.2">
      <c r="A7" s="287" t="s">
        <v>3178</v>
      </c>
      <c r="B7" s="288" t="s">
        <v>3179</v>
      </c>
      <c r="C7" s="289" t="s">
        <v>3175</v>
      </c>
      <c r="D7" s="290" t="s">
        <v>3180</v>
      </c>
      <c r="E7" s="290" t="s">
        <v>3181</v>
      </c>
      <c r="F7" s="291" t="s">
        <v>3165</v>
      </c>
      <c r="G7" s="291" t="s">
        <v>3166</v>
      </c>
      <c r="H7" s="292" t="s">
        <v>1272</v>
      </c>
      <c r="I7" s="293" t="s">
        <v>1272</v>
      </c>
      <c r="J7" s="340" t="s">
        <v>3167</v>
      </c>
      <c r="K7" s="340" t="s">
        <v>3169</v>
      </c>
      <c r="L7" s="256">
        <f>CONTINUA!BV7</f>
        <v>0</v>
      </c>
      <c r="M7" s="256">
        <f>CONTINUA!BW7</f>
        <v>0</v>
      </c>
      <c r="N7" s="267"/>
      <c r="O7" s="216" t="s">
        <v>3310</v>
      </c>
      <c r="P7" s="257">
        <v>0</v>
      </c>
      <c r="Q7" s="319">
        <v>59</v>
      </c>
      <c r="R7" s="320"/>
      <c r="S7" s="319"/>
      <c r="T7" s="366"/>
      <c r="U7" s="809" t="s">
        <v>3377</v>
      </c>
      <c r="V7" s="859">
        <f>+S6+S7+S8</f>
        <v>0</v>
      </c>
      <c r="W7" s="810" t="s">
        <v>3382</v>
      </c>
      <c r="X7" s="860">
        <f>(Q9+S9)</f>
        <v>0</v>
      </c>
      <c r="Y7" s="812" t="s">
        <v>3387</v>
      </c>
      <c r="Z7" s="860">
        <f>SUM(M6:M10)</f>
        <v>0</v>
      </c>
      <c r="AA7" s="816" t="s">
        <v>3390</v>
      </c>
      <c r="AB7" s="817">
        <f>IF(X9&lt;=15,X9*385.23,0)/30</f>
        <v>0</v>
      </c>
      <c r="AC7" s="818"/>
      <c r="AD7" s="819">
        <f>SUM(AB7:AC9)</f>
        <v>801.9136666666667</v>
      </c>
      <c r="AE7" s="861"/>
      <c r="AF7" s="859"/>
      <c r="AG7" s="828" t="s">
        <v>3394</v>
      </c>
      <c r="AH7" s="829">
        <f>IF(V10=AK6,2043.65,0)/30</f>
        <v>0</v>
      </c>
      <c r="AI7" s="830"/>
      <c r="AJ7" s="831"/>
      <c r="AK7" s="862">
        <v>2</v>
      </c>
      <c r="AL7" s="859"/>
      <c r="AM7" s="828" t="s">
        <v>3397</v>
      </c>
      <c r="AN7" s="829">
        <f>IF(X7&lt;=AQ7,621.14*X7,0)/30</f>
        <v>0</v>
      </c>
      <c r="AO7" s="830"/>
      <c r="AP7" s="831"/>
      <c r="AQ7" s="862">
        <v>9</v>
      </c>
      <c r="AR7" s="859"/>
      <c r="AS7" s="830">
        <f>IF((SUM(V6:V9))&gt;=1,11465.63,0)/30</f>
        <v>382.18766666666664</v>
      </c>
      <c r="AT7" s="830">
        <f>IF((V6+V7)&gt;=1,(V6+V7)*385.23,0)/30</f>
        <v>757.61900000000003</v>
      </c>
      <c r="AU7" s="830">
        <f>IF((V8+V9)&gt;=1,(V8+V9)*2043.65,0)</f>
        <v>0</v>
      </c>
      <c r="AV7" s="828">
        <f>SUM(AS7:AU7)</f>
        <v>1139.8066666666666</v>
      </c>
      <c r="AW7" s="859"/>
      <c r="AX7" s="843">
        <f>IF(X10&gt;0,X10*1.28,0)</f>
        <v>0</v>
      </c>
      <c r="AY7" s="859"/>
      <c r="AZ7" s="849" t="s">
        <v>19</v>
      </c>
      <c r="BA7" s="850" t="s">
        <v>3406</v>
      </c>
      <c r="BB7" s="851"/>
      <c r="BC7" s="838"/>
    </row>
    <row r="8" spans="1:55" s="62" customFormat="1" ht="22.5" customHeight="1" x14ac:dyDescent="0.2">
      <c r="A8" s="287" t="s">
        <v>3178</v>
      </c>
      <c r="B8" s="288" t="s">
        <v>3179</v>
      </c>
      <c r="C8" s="294" t="s">
        <v>3175</v>
      </c>
      <c r="D8" s="290" t="s">
        <v>3180</v>
      </c>
      <c r="E8" s="290" t="s">
        <v>3181</v>
      </c>
      <c r="F8" s="295" t="s">
        <v>3165</v>
      </c>
      <c r="G8" s="295" t="s">
        <v>3166</v>
      </c>
      <c r="H8" s="292" t="s">
        <v>1272</v>
      </c>
      <c r="I8" s="293" t="s">
        <v>1272</v>
      </c>
      <c r="J8" s="340" t="s">
        <v>3167</v>
      </c>
      <c r="K8" s="341" t="s">
        <v>3170</v>
      </c>
      <c r="L8" s="256">
        <f>CONTINUA!BV8</f>
        <v>0</v>
      </c>
      <c r="M8" s="256">
        <f>CONTINUA!BW8</f>
        <v>0</v>
      </c>
      <c r="N8" s="267"/>
      <c r="O8" s="216" t="s">
        <v>3310</v>
      </c>
      <c r="P8" s="257">
        <v>0</v>
      </c>
      <c r="Q8" s="319"/>
      <c r="R8" s="320"/>
      <c r="S8" s="319"/>
      <c r="T8" s="366"/>
      <c r="U8" s="809" t="s">
        <v>3378</v>
      </c>
      <c r="V8" s="859">
        <f>+R6+R7+R8</f>
        <v>0</v>
      </c>
      <c r="W8" s="811" t="s">
        <v>3383</v>
      </c>
      <c r="X8" s="860">
        <f>SUM(V6:V9)</f>
        <v>59</v>
      </c>
      <c r="Y8" s="859"/>
      <c r="Z8" s="859"/>
      <c r="AA8" s="863" t="s">
        <v>3391</v>
      </c>
      <c r="AB8" s="820"/>
      <c r="AC8" s="820">
        <f>IF(X9&gt;15,7492.52)/30</f>
        <v>249.75066666666669</v>
      </c>
      <c r="AD8" s="821"/>
      <c r="AE8" s="864">
        <v>15</v>
      </c>
      <c r="AF8" s="859"/>
      <c r="AG8" s="828" t="s">
        <v>3395</v>
      </c>
      <c r="AH8" s="829"/>
      <c r="AI8" s="832">
        <f>IF(V10&gt;=AK7,7492.52,0)/30</f>
        <v>0</v>
      </c>
      <c r="AJ8" s="833">
        <f>SUM(AH7:AI9)</f>
        <v>0</v>
      </c>
      <c r="AK8" s="862"/>
      <c r="AL8" s="859"/>
      <c r="AM8" s="828" t="s">
        <v>3398</v>
      </c>
      <c r="AN8" s="829"/>
      <c r="AO8" s="832">
        <f>IF(X7&gt;=AQ8,7492.52,0)/30</f>
        <v>0</v>
      </c>
      <c r="AP8" s="833">
        <f>SUM(AN7:AO9)</f>
        <v>0</v>
      </c>
      <c r="AQ8" s="862">
        <v>10</v>
      </c>
      <c r="AR8" s="859"/>
      <c r="AS8" s="830"/>
      <c r="AT8" s="830"/>
      <c r="AU8" s="830"/>
      <c r="AV8" s="828"/>
      <c r="AW8" s="859"/>
      <c r="AX8" s="843"/>
      <c r="AY8" s="859"/>
      <c r="AZ8" s="830" t="s">
        <v>3407</v>
      </c>
      <c r="BA8" s="829">
        <f>IF(Z6&gt;0,Z6*9.64,0)</f>
        <v>0</v>
      </c>
      <c r="BB8" s="865">
        <f>IF(Z7&gt;0,Z7*56.2,0)</f>
        <v>0</v>
      </c>
      <c r="BC8" s="830">
        <f>SUM(BA8:BB8)</f>
        <v>0</v>
      </c>
    </row>
    <row r="9" spans="1:55" s="63" customFormat="1" ht="22.5" customHeight="1" x14ac:dyDescent="0.2">
      <c r="A9" s="287" t="s">
        <v>3178</v>
      </c>
      <c r="B9" s="288" t="s">
        <v>3179</v>
      </c>
      <c r="C9" s="294" t="s">
        <v>3175</v>
      </c>
      <c r="D9" s="290" t="s">
        <v>3180</v>
      </c>
      <c r="E9" s="290" t="s">
        <v>3181</v>
      </c>
      <c r="F9" s="295" t="s">
        <v>3165</v>
      </c>
      <c r="G9" s="295" t="s">
        <v>3166</v>
      </c>
      <c r="H9" s="292" t="s">
        <v>1272</v>
      </c>
      <c r="I9" s="293" t="s">
        <v>1272</v>
      </c>
      <c r="J9" s="340" t="s">
        <v>3167</v>
      </c>
      <c r="K9" s="342" t="s">
        <v>3171</v>
      </c>
      <c r="L9" s="256">
        <f>CONTINUA!BV9</f>
        <v>0</v>
      </c>
      <c r="M9" s="256">
        <f>CONTINUA!BW9</f>
        <v>0</v>
      </c>
      <c r="N9" s="267"/>
      <c r="O9" s="216" t="s">
        <v>3310</v>
      </c>
      <c r="P9" s="257">
        <v>0</v>
      </c>
      <c r="Q9" s="319"/>
      <c r="R9" s="320"/>
      <c r="S9" s="319"/>
      <c r="T9" s="366"/>
      <c r="U9" s="809" t="s">
        <v>3379</v>
      </c>
      <c r="V9" s="866">
        <f>+T6+T7+T8</f>
        <v>0</v>
      </c>
      <c r="W9" s="812" t="s">
        <v>3384</v>
      </c>
      <c r="X9" s="860">
        <f>SUM(V6:V7)</f>
        <v>59</v>
      </c>
      <c r="Y9" s="866"/>
      <c r="Z9" s="866"/>
      <c r="AA9" s="822" t="s">
        <v>3392</v>
      </c>
      <c r="AB9" s="823">
        <f>((X9-16)*385.23)/30</f>
        <v>552.16300000000001</v>
      </c>
      <c r="AC9" s="823"/>
      <c r="AD9" s="824"/>
      <c r="AE9" s="864">
        <v>16</v>
      </c>
      <c r="AF9" s="866"/>
      <c r="AG9" s="834" t="s">
        <v>3396</v>
      </c>
      <c r="AH9" s="835">
        <f>IF(V10&gt;AK7,(V10-AK7)*2043.65,0)/30</f>
        <v>0</v>
      </c>
      <c r="AI9" s="836"/>
      <c r="AJ9" s="837"/>
      <c r="AK9" s="862"/>
      <c r="AL9" s="866"/>
      <c r="AM9" s="834" t="s">
        <v>3399</v>
      </c>
      <c r="AN9" s="835">
        <f>IF(X7&gt;AQ8,(X7-AQ8)*621.14,0)/30</f>
        <v>0</v>
      </c>
      <c r="AO9" s="836"/>
      <c r="AP9" s="837"/>
      <c r="AQ9" s="862"/>
      <c r="AR9" s="866"/>
      <c r="AS9" s="836"/>
      <c r="AT9" s="836"/>
      <c r="AU9" s="836"/>
      <c r="AV9" s="840"/>
      <c r="AW9" s="866"/>
      <c r="AX9" s="844"/>
      <c r="AY9" s="866"/>
      <c r="AZ9" s="836"/>
      <c r="BA9" s="835"/>
      <c r="BB9" s="852"/>
      <c r="BC9" s="836"/>
    </row>
    <row r="10" spans="1:55" s="89" customFormat="1" ht="22.5" customHeight="1" thickBot="1" x14ac:dyDescent="0.25">
      <c r="A10" s="296" t="s">
        <v>3178</v>
      </c>
      <c r="B10" s="297" t="s">
        <v>3179</v>
      </c>
      <c r="C10" s="298" t="s">
        <v>3175</v>
      </c>
      <c r="D10" s="299" t="s">
        <v>3180</v>
      </c>
      <c r="E10" s="299" t="s">
        <v>3181</v>
      </c>
      <c r="F10" s="300" t="s">
        <v>3165</v>
      </c>
      <c r="G10" s="300" t="s">
        <v>3166</v>
      </c>
      <c r="H10" s="301" t="s">
        <v>1272</v>
      </c>
      <c r="I10" s="302" t="s">
        <v>1272</v>
      </c>
      <c r="J10" s="340" t="s">
        <v>3167</v>
      </c>
      <c r="K10" s="343" t="s">
        <v>53</v>
      </c>
      <c r="L10" s="256">
        <f>CONTINUA!BV10</f>
        <v>0</v>
      </c>
      <c r="M10" s="256">
        <f>CONTINUA!BW10</f>
        <v>0</v>
      </c>
      <c r="N10" s="268"/>
      <c r="O10" s="217" t="s">
        <v>3310</v>
      </c>
      <c r="P10" s="257">
        <v>0</v>
      </c>
      <c r="Q10" s="319"/>
      <c r="R10" s="320"/>
      <c r="S10" s="319"/>
      <c r="T10" s="366"/>
      <c r="U10" s="867" t="s">
        <v>3380</v>
      </c>
      <c r="V10" s="868">
        <f>R6+R7+R8+R9+T6+T7+T8+T9</f>
        <v>0</v>
      </c>
      <c r="W10" s="812" t="s">
        <v>3385</v>
      </c>
      <c r="X10" s="869">
        <f>SUM(N6:N10)</f>
        <v>0</v>
      </c>
      <c r="Y10" s="868"/>
      <c r="Z10" s="868"/>
      <c r="AA10" s="868"/>
      <c r="AB10" s="868"/>
      <c r="AC10" s="868"/>
      <c r="AD10" s="868"/>
      <c r="AE10" s="868"/>
      <c r="AF10" s="868"/>
      <c r="AG10" s="868"/>
      <c r="AH10" s="868"/>
      <c r="AI10" s="868"/>
      <c r="AJ10" s="868"/>
      <c r="AK10" s="868"/>
      <c r="AL10" s="868"/>
      <c r="AM10" s="868"/>
      <c r="AN10" s="868"/>
      <c r="AO10" s="868"/>
      <c r="AP10" s="868"/>
      <c r="AQ10" s="868"/>
      <c r="AR10" s="868"/>
      <c r="AS10" s="868"/>
      <c r="AT10" s="868"/>
      <c r="AU10" s="868"/>
      <c r="AV10" s="868"/>
      <c r="AW10" s="868"/>
      <c r="AX10" s="868"/>
      <c r="AY10" s="868"/>
      <c r="AZ10" s="868"/>
      <c r="BA10" s="868"/>
      <c r="BB10" s="868"/>
      <c r="BC10" s="870"/>
    </row>
    <row r="11" spans="1:55" s="89" customFormat="1" ht="22.5" customHeight="1" x14ac:dyDescent="0.35">
      <c r="A11" t="s">
        <v>3182</v>
      </c>
      <c r="B11" s="430" t="s">
        <v>3183</v>
      </c>
      <c r="C11" s="431">
        <v>4</v>
      </c>
      <c r="D11" s="432" t="s">
        <v>3184</v>
      </c>
      <c r="E11" s="432" t="s">
        <v>3185</v>
      </c>
      <c r="F11" s="433" t="s">
        <v>3165</v>
      </c>
      <c r="G11" s="433" t="s">
        <v>3166</v>
      </c>
      <c r="H11" s="270" t="s">
        <v>1275</v>
      </c>
      <c r="I11" s="271" t="s">
        <v>1275</v>
      </c>
      <c r="J11" s="328" t="s">
        <v>3167</v>
      </c>
      <c r="K11" s="329" t="s">
        <v>3168</v>
      </c>
      <c r="L11" s="256">
        <f>CONTINUA!BV11</f>
        <v>0</v>
      </c>
      <c r="M11" s="256">
        <f>CONTINUA!BW11</f>
        <v>0</v>
      </c>
      <c r="N11" s="565"/>
      <c r="O11" s="566" t="s">
        <v>3311</v>
      </c>
      <c r="P11" s="567">
        <v>0</v>
      </c>
      <c r="Q11" s="319"/>
      <c r="R11" s="320"/>
      <c r="S11" s="319"/>
      <c r="T11" s="320"/>
      <c r="U11" s="807" t="s">
        <v>3376</v>
      </c>
      <c r="V11" s="808">
        <f>Q11+Q12+Q13</f>
        <v>3</v>
      </c>
      <c r="W11" s="853" t="s">
        <v>3381</v>
      </c>
      <c r="X11" s="854">
        <f>(R11+R12+R13+T11+T12+T13)</f>
        <v>0</v>
      </c>
      <c r="Y11" s="855" t="s">
        <v>3386</v>
      </c>
      <c r="Z11" s="854">
        <f>SUM(L11:L15)</f>
        <v>24</v>
      </c>
      <c r="AA11" s="813" t="s">
        <v>306</v>
      </c>
      <c r="AB11" s="814" t="s">
        <v>3388</v>
      </c>
      <c r="AC11" s="815" t="s">
        <v>19</v>
      </c>
      <c r="AD11" s="856"/>
      <c r="AE11" s="857" t="s">
        <v>3389</v>
      </c>
      <c r="AF11" s="858"/>
      <c r="AG11" s="842" t="s">
        <v>3393</v>
      </c>
      <c r="AH11" s="825" t="s">
        <v>3388</v>
      </c>
      <c r="AI11" s="826" t="s">
        <v>19</v>
      </c>
      <c r="AJ11" s="827"/>
      <c r="AK11" s="856">
        <v>1</v>
      </c>
      <c r="AL11" s="858"/>
      <c r="AM11" s="842" t="s">
        <v>3400</v>
      </c>
      <c r="AN11" s="825" t="s">
        <v>3388</v>
      </c>
      <c r="AO11" s="826" t="s">
        <v>19</v>
      </c>
      <c r="AP11" s="827"/>
      <c r="AQ11" s="856"/>
      <c r="AR11" s="858"/>
      <c r="AS11" s="841" t="s">
        <v>3401</v>
      </c>
      <c r="AT11" s="838"/>
      <c r="AU11" s="838"/>
      <c r="AV11" s="839"/>
      <c r="AW11" s="858"/>
      <c r="AX11" s="845" t="s">
        <v>3402</v>
      </c>
      <c r="AY11" s="858"/>
      <c r="AZ11" s="845" t="s">
        <v>3403</v>
      </c>
      <c r="BA11" s="846" t="s">
        <v>3404</v>
      </c>
      <c r="BB11" s="847" t="s">
        <v>3405</v>
      </c>
      <c r="BC11" s="848"/>
    </row>
    <row r="12" spans="1:55" s="89" customFormat="1" ht="22.5" customHeight="1" x14ac:dyDescent="0.2">
      <c r="A12" s="287" t="s">
        <v>3182</v>
      </c>
      <c r="B12" s="288" t="s">
        <v>3183</v>
      </c>
      <c r="C12" s="289" t="s">
        <v>3176</v>
      </c>
      <c r="D12" s="290" t="s">
        <v>3184</v>
      </c>
      <c r="E12" s="290" t="s">
        <v>3185</v>
      </c>
      <c r="F12" s="291" t="s">
        <v>3165</v>
      </c>
      <c r="G12" s="291" t="s">
        <v>3166</v>
      </c>
      <c r="H12" s="292" t="s">
        <v>1275</v>
      </c>
      <c r="I12" s="293" t="s">
        <v>1275</v>
      </c>
      <c r="J12" s="340" t="s">
        <v>3167</v>
      </c>
      <c r="K12" s="340" t="s">
        <v>3169</v>
      </c>
      <c r="L12" s="256">
        <f>CONTINUA!BV12</f>
        <v>0</v>
      </c>
      <c r="M12" s="256">
        <f>CONTINUA!BW12</f>
        <v>0</v>
      </c>
      <c r="N12" s="565"/>
      <c r="O12" s="566" t="s">
        <v>3311</v>
      </c>
      <c r="P12" s="567">
        <v>0</v>
      </c>
      <c r="Q12" s="319"/>
      <c r="R12" s="320"/>
      <c r="S12" s="319"/>
      <c r="T12" s="320"/>
      <c r="U12" s="809" t="s">
        <v>3377</v>
      </c>
      <c r="V12" s="859">
        <f>+S11+S12+S13</f>
        <v>0</v>
      </c>
      <c r="W12" s="810" t="s">
        <v>3382</v>
      </c>
      <c r="X12" s="860">
        <f>(Q14+S14)</f>
        <v>0</v>
      </c>
      <c r="Y12" s="812" t="s">
        <v>3387</v>
      </c>
      <c r="Z12" s="860">
        <f>SUM(M11:M15)</f>
        <v>0</v>
      </c>
      <c r="AA12" s="816" t="s">
        <v>3390</v>
      </c>
      <c r="AB12" s="817">
        <f>IF(X14&lt;=15,X14*385.23,0)/30</f>
        <v>38.523000000000003</v>
      </c>
      <c r="AC12" s="818"/>
      <c r="AD12" s="819">
        <f>SUM(AB12:AC14)</f>
        <v>-128.41</v>
      </c>
      <c r="AE12" s="861"/>
      <c r="AF12" s="859"/>
      <c r="AG12" s="828" t="s">
        <v>3394</v>
      </c>
      <c r="AH12" s="829">
        <f>IF(V15=AK11,2043.65,0)/30</f>
        <v>0</v>
      </c>
      <c r="AI12" s="830"/>
      <c r="AJ12" s="831"/>
      <c r="AK12" s="862">
        <v>2</v>
      </c>
      <c r="AL12" s="859"/>
      <c r="AM12" s="828" t="s">
        <v>3397</v>
      </c>
      <c r="AN12" s="829">
        <f>IF(X12&lt;=AQ12,621.14*X12,0)/30</f>
        <v>0</v>
      </c>
      <c r="AO12" s="830"/>
      <c r="AP12" s="831"/>
      <c r="AQ12" s="862">
        <v>9</v>
      </c>
      <c r="AR12" s="859"/>
      <c r="AS12" s="830">
        <f>IF((SUM(V11:V14))&gt;=1,11465.63,0)/30</f>
        <v>382.18766666666664</v>
      </c>
      <c r="AT12" s="830">
        <f>IF((V11+V12)&gt;=1,(V11+V12)*385.23,0)/30</f>
        <v>38.523000000000003</v>
      </c>
      <c r="AU12" s="830">
        <f>IF((V13+V14)&gt;=1,(V13+V14)*2043.65,0)</f>
        <v>0</v>
      </c>
      <c r="AV12" s="828">
        <f>SUM(AS12:AU12)</f>
        <v>420.71066666666667</v>
      </c>
      <c r="AW12" s="859"/>
      <c r="AX12" s="843">
        <f>IF(X15&gt;0,X15*1.28,0)</f>
        <v>0</v>
      </c>
      <c r="AY12" s="859"/>
      <c r="AZ12" s="849" t="s">
        <v>19</v>
      </c>
      <c r="BA12" s="850" t="s">
        <v>3406</v>
      </c>
      <c r="BB12" s="851"/>
      <c r="BC12" s="838"/>
    </row>
    <row r="13" spans="1:55" s="89" customFormat="1" ht="22.5" customHeight="1" x14ac:dyDescent="0.2">
      <c r="A13" s="287" t="s">
        <v>3182</v>
      </c>
      <c r="B13" s="288" t="s">
        <v>3183</v>
      </c>
      <c r="C13" s="294" t="s">
        <v>3176</v>
      </c>
      <c r="D13" s="290" t="s">
        <v>3184</v>
      </c>
      <c r="E13" s="290" t="s">
        <v>3185</v>
      </c>
      <c r="F13" s="295" t="s">
        <v>3165</v>
      </c>
      <c r="G13" s="295" t="s">
        <v>3166</v>
      </c>
      <c r="H13" s="292" t="s">
        <v>1275</v>
      </c>
      <c r="I13" s="293" t="s">
        <v>1275</v>
      </c>
      <c r="J13" s="340" t="s">
        <v>3167</v>
      </c>
      <c r="K13" s="341" t="s">
        <v>3170</v>
      </c>
      <c r="L13" s="256">
        <f>CONTINUA!BV13</f>
        <v>24</v>
      </c>
      <c r="M13" s="256">
        <f>CONTINUA!BW13</f>
        <v>0</v>
      </c>
      <c r="N13" s="565"/>
      <c r="O13" s="566" t="s">
        <v>3311</v>
      </c>
      <c r="P13" s="567">
        <v>0</v>
      </c>
      <c r="Q13" s="319">
        <v>3</v>
      </c>
      <c r="R13" s="320"/>
      <c r="S13" s="319"/>
      <c r="T13" s="320"/>
      <c r="U13" s="809" t="s">
        <v>3378</v>
      </c>
      <c r="V13" s="859">
        <f>+R11+R12+R13</f>
        <v>0</v>
      </c>
      <c r="W13" s="811" t="s">
        <v>3383</v>
      </c>
      <c r="X13" s="860">
        <f>SUM(V11:V14)</f>
        <v>3</v>
      </c>
      <c r="Y13" s="859"/>
      <c r="Z13" s="859"/>
      <c r="AA13" s="863" t="s">
        <v>3391</v>
      </c>
      <c r="AB13" s="820"/>
      <c r="AC13" s="820">
        <f>IF(X14&gt;15,7492.52)/30</f>
        <v>0</v>
      </c>
      <c r="AD13" s="821"/>
      <c r="AE13" s="864">
        <v>15</v>
      </c>
      <c r="AF13" s="859"/>
      <c r="AG13" s="828" t="s">
        <v>3395</v>
      </c>
      <c r="AH13" s="829"/>
      <c r="AI13" s="832">
        <f>IF(V15&gt;=AK12,7492.52,0)/30</f>
        <v>0</v>
      </c>
      <c r="AJ13" s="833">
        <f>SUM(AH12:AI14)</f>
        <v>0</v>
      </c>
      <c r="AK13" s="862"/>
      <c r="AL13" s="859"/>
      <c r="AM13" s="828" t="s">
        <v>3398</v>
      </c>
      <c r="AN13" s="829"/>
      <c r="AO13" s="832">
        <f>IF(X12&gt;=AQ13,7492.52,0)/30</f>
        <v>0</v>
      </c>
      <c r="AP13" s="833">
        <f>SUM(AN12:AO14)</f>
        <v>0</v>
      </c>
      <c r="AQ13" s="862">
        <v>10</v>
      </c>
      <c r="AR13" s="859"/>
      <c r="AS13" s="830"/>
      <c r="AT13" s="830"/>
      <c r="AU13" s="830"/>
      <c r="AV13" s="828"/>
      <c r="AW13" s="859"/>
      <c r="AX13" s="843"/>
      <c r="AY13" s="859"/>
      <c r="AZ13" s="830" t="s">
        <v>3407</v>
      </c>
      <c r="BA13" s="829">
        <f>IF(Z11&gt;0,Z11*9.64,0)</f>
        <v>231.36</v>
      </c>
      <c r="BB13" s="865">
        <f>IF(Z12&gt;0,Z12*56.2,0)</f>
        <v>0</v>
      </c>
      <c r="BC13" s="830">
        <f>SUM(BA13:BB13)</f>
        <v>231.36</v>
      </c>
    </row>
    <row r="14" spans="1:55" s="89" customFormat="1" ht="22.5" customHeight="1" x14ac:dyDescent="0.2">
      <c r="A14" s="287" t="s">
        <v>3182</v>
      </c>
      <c r="B14" s="288" t="s">
        <v>3183</v>
      </c>
      <c r="C14" s="294" t="s">
        <v>3176</v>
      </c>
      <c r="D14" s="290" t="s">
        <v>3184</v>
      </c>
      <c r="E14" s="290" t="s">
        <v>3185</v>
      </c>
      <c r="F14" s="295" t="s">
        <v>3165</v>
      </c>
      <c r="G14" s="295" t="s">
        <v>3166</v>
      </c>
      <c r="H14" s="292" t="s">
        <v>1275</v>
      </c>
      <c r="I14" s="293" t="s">
        <v>1275</v>
      </c>
      <c r="J14" s="340" t="s">
        <v>3167</v>
      </c>
      <c r="K14" s="342" t="s">
        <v>3171</v>
      </c>
      <c r="L14" s="256">
        <f>CONTINUA!BV14</f>
        <v>0</v>
      </c>
      <c r="M14" s="256">
        <f>CONTINUA!BW14</f>
        <v>0</v>
      </c>
      <c r="N14" s="565"/>
      <c r="O14" s="566" t="s">
        <v>3311</v>
      </c>
      <c r="P14" s="567">
        <v>0</v>
      </c>
      <c r="Q14" s="319"/>
      <c r="R14" s="320"/>
      <c r="S14" s="319"/>
      <c r="T14" s="320"/>
      <c r="U14" s="809" t="s">
        <v>3379</v>
      </c>
      <c r="V14" s="866">
        <f>+T11+T12+T13</f>
        <v>0</v>
      </c>
      <c r="W14" s="812" t="s">
        <v>3384</v>
      </c>
      <c r="X14" s="860">
        <f>SUM(V11:V12)</f>
        <v>3</v>
      </c>
      <c r="Y14" s="866"/>
      <c r="Z14" s="866"/>
      <c r="AA14" s="822" t="s">
        <v>3392</v>
      </c>
      <c r="AB14" s="823">
        <f>((X14-16)*385.23)/30</f>
        <v>-166.93299999999999</v>
      </c>
      <c r="AC14" s="823"/>
      <c r="AD14" s="824"/>
      <c r="AE14" s="864">
        <v>16</v>
      </c>
      <c r="AF14" s="866"/>
      <c r="AG14" s="834" t="s">
        <v>3396</v>
      </c>
      <c r="AH14" s="835">
        <f>IF(V15&gt;AK12,(V15-AK12)*2043.65,0)/30</f>
        <v>0</v>
      </c>
      <c r="AI14" s="836"/>
      <c r="AJ14" s="837"/>
      <c r="AK14" s="862"/>
      <c r="AL14" s="866"/>
      <c r="AM14" s="834" t="s">
        <v>3399</v>
      </c>
      <c r="AN14" s="835">
        <f>IF(X12&gt;AQ13,(X12-AQ13)*621.14,0)/30</f>
        <v>0</v>
      </c>
      <c r="AO14" s="836"/>
      <c r="AP14" s="837"/>
      <c r="AQ14" s="862"/>
      <c r="AR14" s="866"/>
      <c r="AS14" s="836"/>
      <c r="AT14" s="836"/>
      <c r="AU14" s="836"/>
      <c r="AV14" s="840"/>
      <c r="AW14" s="866"/>
      <c r="AX14" s="844"/>
      <c r="AY14" s="866"/>
      <c r="AZ14" s="836"/>
      <c r="BA14" s="835"/>
      <c r="BB14" s="852"/>
      <c r="BC14" s="836"/>
    </row>
    <row r="15" spans="1:55" s="89" customFormat="1" ht="22.5" customHeight="1" thickBot="1" x14ac:dyDescent="0.25">
      <c r="A15" s="296" t="s">
        <v>3182</v>
      </c>
      <c r="B15" s="297" t="s">
        <v>3183</v>
      </c>
      <c r="C15" s="298" t="s">
        <v>3176</v>
      </c>
      <c r="D15" s="299" t="s">
        <v>3184</v>
      </c>
      <c r="E15" s="299" t="s">
        <v>3185</v>
      </c>
      <c r="F15" s="300" t="s">
        <v>3165</v>
      </c>
      <c r="G15" s="300" t="s">
        <v>3166</v>
      </c>
      <c r="H15" s="301" t="s">
        <v>1275</v>
      </c>
      <c r="I15" s="302" t="s">
        <v>1275</v>
      </c>
      <c r="J15" s="340" t="s">
        <v>3167</v>
      </c>
      <c r="K15" s="343" t="s">
        <v>53</v>
      </c>
      <c r="L15" s="256">
        <f>CONTINUA!BV15</f>
        <v>0</v>
      </c>
      <c r="M15" s="256">
        <f>CONTINUA!BW15</f>
        <v>0</v>
      </c>
      <c r="N15" s="565"/>
      <c r="O15" s="566" t="s">
        <v>3311</v>
      </c>
      <c r="P15" s="567">
        <v>0</v>
      </c>
      <c r="Q15" s="319"/>
      <c r="R15" s="320"/>
      <c r="S15" s="319"/>
      <c r="T15" s="320"/>
      <c r="U15" s="867" t="s">
        <v>3380</v>
      </c>
      <c r="V15" s="868">
        <f>R11+R12+R13+R14+T11+T12+T13+T14</f>
        <v>0</v>
      </c>
      <c r="W15" s="812" t="s">
        <v>3385</v>
      </c>
      <c r="X15" s="869">
        <f>SUM(N11:N15)</f>
        <v>0</v>
      </c>
      <c r="Y15" s="868"/>
      <c r="Z15" s="868"/>
      <c r="AA15" s="868"/>
      <c r="AB15" s="868"/>
      <c r="AC15" s="868"/>
      <c r="AD15" s="868"/>
      <c r="AE15" s="868"/>
      <c r="AF15" s="868"/>
      <c r="AG15" s="868"/>
      <c r="AH15" s="868"/>
      <c r="AI15" s="868"/>
      <c r="AJ15" s="868"/>
      <c r="AK15" s="868"/>
      <c r="AL15" s="868"/>
      <c r="AM15" s="868"/>
      <c r="AN15" s="868"/>
      <c r="AO15" s="868"/>
      <c r="AP15" s="868"/>
      <c r="AQ15" s="868"/>
      <c r="AR15" s="868"/>
      <c r="AS15" s="868"/>
      <c r="AT15" s="868"/>
      <c r="AU15" s="868"/>
      <c r="AV15" s="868"/>
      <c r="AW15" s="868"/>
      <c r="AX15" s="868"/>
      <c r="AY15" s="868"/>
      <c r="AZ15" s="868"/>
      <c r="BA15" s="868"/>
      <c r="BB15" s="868"/>
      <c r="BC15" s="870"/>
    </row>
    <row r="16" spans="1:55" s="89" customFormat="1" ht="22.5" customHeight="1" x14ac:dyDescent="0.35">
      <c r="A16" t="s">
        <v>3186</v>
      </c>
      <c r="B16" s="430" t="s">
        <v>3187</v>
      </c>
      <c r="C16" s="431">
        <v>1</v>
      </c>
      <c r="D16" s="432" t="s">
        <v>3188</v>
      </c>
      <c r="E16" s="432" t="s">
        <v>3189</v>
      </c>
      <c r="F16" s="433" t="s">
        <v>3165</v>
      </c>
      <c r="G16" s="433" t="s">
        <v>3166</v>
      </c>
      <c r="H16" s="270" t="s">
        <v>1276</v>
      </c>
      <c r="I16" s="271" t="s">
        <v>1276</v>
      </c>
      <c r="J16" s="328" t="s">
        <v>3167</v>
      </c>
      <c r="K16" s="329" t="s">
        <v>3168</v>
      </c>
      <c r="L16" s="256">
        <f>CONTINUA!BV16</f>
        <v>0</v>
      </c>
      <c r="M16" s="256">
        <f>CONTINUA!BW16</f>
        <v>0</v>
      </c>
      <c r="N16" s="565"/>
      <c r="O16" s="566" t="s">
        <v>3312</v>
      </c>
      <c r="P16" s="567">
        <v>0</v>
      </c>
      <c r="Q16" s="319"/>
      <c r="R16" s="320"/>
      <c r="S16" s="319"/>
      <c r="T16" s="320"/>
      <c r="U16" s="807" t="s">
        <v>3376</v>
      </c>
      <c r="V16" s="808">
        <f>Q16+Q17+Q18</f>
        <v>36</v>
      </c>
      <c r="W16" s="853" t="s">
        <v>3381</v>
      </c>
      <c r="X16" s="854">
        <f>(R16+R17+R18+T16+T17+T18)</f>
        <v>0</v>
      </c>
      <c r="Y16" s="855" t="s">
        <v>3386</v>
      </c>
      <c r="Z16" s="854">
        <f>SUM(L16:L20)</f>
        <v>9</v>
      </c>
      <c r="AA16" s="813" t="s">
        <v>306</v>
      </c>
      <c r="AB16" s="814" t="s">
        <v>3388</v>
      </c>
      <c r="AC16" s="815" t="s">
        <v>19</v>
      </c>
      <c r="AD16" s="856"/>
      <c r="AE16" s="857" t="s">
        <v>3389</v>
      </c>
      <c r="AF16" s="858"/>
      <c r="AG16" s="842" t="s">
        <v>3393</v>
      </c>
      <c r="AH16" s="825" t="s">
        <v>3388</v>
      </c>
      <c r="AI16" s="826" t="s">
        <v>19</v>
      </c>
      <c r="AJ16" s="827"/>
      <c r="AK16" s="856">
        <v>1</v>
      </c>
      <c r="AL16" s="858"/>
      <c r="AM16" s="842" t="s">
        <v>3400</v>
      </c>
      <c r="AN16" s="825" t="s">
        <v>3388</v>
      </c>
      <c r="AO16" s="826" t="s">
        <v>19</v>
      </c>
      <c r="AP16" s="827"/>
      <c r="AQ16" s="856"/>
      <c r="AR16" s="858"/>
      <c r="AS16" s="841" t="s">
        <v>3401</v>
      </c>
      <c r="AT16" s="838"/>
      <c r="AU16" s="838"/>
      <c r="AV16" s="839"/>
      <c r="AW16" s="858"/>
      <c r="AX16" s="845" t="s">
        <v>3402</v>
      </c>
      <c r="AY16" s="858"/>
      <c r="AZ16" s="845" t="s">
        <v>3403</v>
      </c>
      <c r="BA16" s="846" t="s">
        <v>3404</v>
      </c>
      <c r="BB16" s="847" t="s">
        <v>3405</v>
      </c>
      <c r="BC16" s="848"/>
    </row>
    <row r="17" spans="1:59" s="89" customFormat="1" ht="22.5" customHeight="1" x14ac:dyDescent="0.2">
      <c r="A17" s="287" t="s">
        <v>3186</v>
      </c>
      <c r="B17" s="288" t="s">
        <v>3187</v>
      </c>
      <c r="C17" s="289" t="s">
        <v>3175</v>
      </c>
      <c r="D17" s="290" t="s">
        <v>3188</v>
      </c>
      <c r="E17" s="290" t="s">
        <v>3189</v>
      </c>
      <c r="F17" s="291" t="s">
        <v>3165</v>
      </c>
      <c r="G17" s="291" t="s">
        <v>3166</v>
      </c>
      <c r="H17" s="292" t="s">
        <v>1276</v>
      </c>
      <c r="I17" s="293" t="s">
        <v>1276</v>
      </c>
      <c r="J17" s="340" t="s">
        <v>3167</v>
      </c>
      <c r="K17" s="340" t="s">
        <v>3169</v>
      </c>
      <c r="L17" s="256">
        <f>CONTINUA!BV17</f>
        <v>9</v>
      </c>
      <c r="M17" s="256">
        <f>CONTINUA!BW17</f>
        <v>0</v>
      </c>
      <c r="N17" s="565"/>
      <c r="O17" s="566" t="s">
        <v>3312</v>
      </c>
      <c r="P17" s="567">
        <v>0</v>
      </c>
      <c r="Q17" s="319">
        <v>36</v>
      </c>
      <c r="R17" s="320"/>
      <c r="S17" s="319">
        <v>5</v>
      </c>
      <c r="T17" s="320"/>
      <c r="U17" s="809" t="s">
        <v>3377</v>
      </c>
      <c r="V17" s="859">
        <f>+S16+S17+S18</f>
        <v>5</v>
      </c>
      <c r="W17" s="810" t="s">
        <v>3382</v>
      </c>
      <c r="X17" s="860">
        <f>(Q19+S19)</f>
        <v>0</v>
      </c>
      <c r="Y17" s="812" t="s">
        <v>3387</v>
      </c>
      <c r="Z17" s="860">
        <f>SUM(M16:M20)</f>
        <v>0</v>
      </c>
      <c r="AA17" s="816" t="s">
        <v>3390</v>
      </c>
      <c r="AB17" s="817">
        <f>IF(X19&lt;=15,X19*385.23,0)/30</f>
        <v>0</v>
      </c>
      <c r="AC17" s="818"/>
      <c r="AD17" s="819">
        <f>SUM(AB17:AC19)</f>
        <v>570.77566666666667</v>
      </c>
      <c r="AE17" s="861"/>
      <c r="AF17" s="859"/>
      <c r="AG17" s="828" t="s">
        <v>3394</v>
      </c>
      <c r="AH17" s="829">
        <f>IF(V20=AK16,2043.65,0)/30</f>
        <v>0</v>
      </c>
      <c r="AI17" s="830"/>
      <c r="AJ17" s="831"/>
      <c r="AK17" s="862">
        <v>2</v>
      </c>
      <c r="AL17" s="859"/>
      <c r="AM17" s="828" t="s">
        <v>3397</v>
      </c>
      <c r="AN17" s="829">
        <f>IF(X17&lt;=AQ17,621.14*X17,0)/30</f>
        <v>0</v>
      </c>
      <c r="AO17" s="830"/>
      <c r="AP17" s="831"/>
      <c r="AQ17" s="862">
        <v>9</v>
      </c>
      <c r="AR17" s="859"/>
      <c r="AS17" s="830">
        <f>IF((SUM(V16:V19))&gt;=1,11465.63,0)/30</f>
        <v>382.18766666666664</v>
      </c>
      <c r="AT17" s="830">
        <f>IF((V16+V17)&gt;=1,(V16+V17)*385.23,0)/30</f>
        <v>526.48099999999999</v>
      </c>
      <c r="AU17" s="830">
        <f>IF((V18+V19)&gt;=1,(V18+V19)*2043.65,0)</f>
        <v>0</v>
      </c>
      <c r="AV17" s="828">
        <f>SUM(AS17:AU17)</f>
        <v>908.6686666666667</v>
      </c>
      <c r="AW17" s="859"/>
      <c r="AX17" s="843">
        <f>IF(X20&gt;0,X20*1.28,0)</f>
        <v>0</v>
      </c>
      <c r="AY17" s="859"/>
      <c r="AZ17" s="849" t="s">
        <v>19</v>
      </c>
      <c r="BA17" s="850" t="s">
        <v>3406</v>
      </c>
      <c r="BB17" s="851"/>
      <c r="BC17" s="838"/>
    </row>
    <row r="18" spans="1:59" s="89" customFormat="1" ht="22.5" customHeight="1" x14ac:dyDescent="0.2">
      <c r="A18" s="287" t="s">
        <v>3186</v>
      </c>
      <c r="B18" s="288" t="s">
        <v>3187</v>
      </c>
      <c r="C18" s="294" t="s">
        <v>3175</v>
      </c>
      <c r="D18" s="290" t="s">
        <v>3188</v>
      </c>
      <c r="E18" s="290" t="s">
        <v>3189</v>
      </c>
      <c r="F18" s="295" t="s">
        <v>3165</v>
      </c>
      <c r="G18" s="295" t="s">
        <v>3166</v>
      </c>
      <c r="H18" s="292" t="s">
        <v>1276</v>
      </c>
      <c r="I18" s="293" t="s">
        <v>1276</v>
      </c>
      <c r="J18" s="340" t="s">
        <v>3167</v>
      </c>
      <c r="K18" s="341" t="s">
        <v>3170</v>
      </c>
      <c r="L18" s="256">
        <f>CONTINUA!BV18</f>
        <v>0</v>
      </c>
      <c r="M18" s="256">
        <f>CONTINUA!BW18</f>
        <v>0</v>
      </c>
      <c r="N18" s="565"/>
      <c r="O18" s="566" t="s">
        <v>3312</v>
      </c>
      <c r="P18" s="567">
        <v>0</v>
      </c>
      <c r="Q18" s="319"/>
      <c r="R18" s="320"/>
      <c r="S18" s="319"/>
      <c r="T18" s="320"/>
      <c r="U18" s="809" t="s">
        <v>3378</v>
      </c>
      <c r="V18" s="859">
        <f>+R16+R17+R18</f>
        <v>0</v>
      </c>
      <c r="W18" s="811" t="s">
        <v>3383</v>
      </c>
      <c r="X18" s="860">
        <f>SUM(V16:V19)</f>
        <v>41</v>
      </c>
      <c r="Y18" s="859"/>
      <c r="Z18" s="859"/>
      <c r="AA18" s="863" t="s">
        <v>3391</v>
      </c>
      <c r="AB18" s="820"/>
      <c r="AC18" s="820">
        <f>IF(X19&gt;15,7492.52)/30</f>
        <v>249.75066666666669</v>
      </c>
      <c r="AD18" s="821"/>
      <c r="AE18" s="864">
        <v>15</v>
      </c>
      <c r="AF18" s="859"/>
      <c r="AG18" s="828" t="s">
        <v>3395</v>
      </c>
      <c r="AH18" s="829"/>
      <c r="AI18" s="832">
        <f>IF(V20&gt;=AK17,7492.52,0)/30</f>
        <v>0</v>
      </c>
      <c r="AJ18" s="833">
        <f>SUM(AH17:AI19)</f>
        <v>0</v>
      </c>
      <c r="AK18" s="862"/>
      <c r="AL18" s="859"/>
      <c r="AM18" s="828" t="s">
        <v>3398</v>
      </c>
      <c r="AN18" s="829"/>
      <c r="AO18" s="832">
        <f>IF(X17&gt;=AQ18,7492.52,0)/30</f>
        <v>0</v>
      </c>
      <c r="AP18" s="833">
        <f>SUM(AN17:AO19)</f>
        <v>0</v>
      </c>
      <c r="AQ18" s="862">
        <v>10</v>
      </c>
      <c r="AR18" s="859"/>
      <c r="AS18" s="830"/>
      <c r="AT18" s="830"/>
      <c r="AU18" s="830"/>
      <c r="AV18" s="828"/>
      <c r="AW18" s="859"/>
      <c r="AX18" s="843"/>
      <c r="AY18" s="859"/>
      <c r="AZ18" s="830" t="s">
        <v>3407</v>
      </c>
      <c r="BA18" s="829">
        <f>IF(Z16&gt;0,Z16*9.64,0)</f>
        <v>86.76</v>
      </c>
      <c r="BB18" s="865">
        <f>IF(Z17&gt;0,Z17*56.2,0)</f>
        <v>0</v>
      </c>
      <c r="BC18" s="830">
        <f>SUM(BA18:BB18)</f>
        <v>86.76</v>
      </c>
    </row>
    <row r="19" spans="1:59" s="89" customFormat="1" ht="22.5" customHeight="1" x14ac:dyDescent="0.2">
      <c r="A19" s="287" t="s">
        <v>3186</v>
      </c>
      <c r="B19" s="288" t="s">
        <v>3187</v>
      </c>
      <c r="C19" s="294" t="s">
        <v>3175</v>
      </c>
      <c r="D19" s="290" t="s">
        <v>3188</v>
      </c>
      <c r="E19" s="290" t="s">
        <v>3189</v>
      </c>
      <c r="F19" s="295" t="s">
        <v>3165</v>
      </c>
      <c r="G19" s="295" t="s">
        <v>3166</v>
      </c>
      <c r="H19" s="292" t="s">
        <v>1276</v>
      </c>
      <c r="I19" s="293" t="s">
        <v>1276</v>
      </c>
      <c r="J19" s="340" t="s">
        <v>3167</v>
      </c>
      <c r="K19" s="342" t="s">
        <v>3171</v>
      </c>
      <c r="L19" s="256">
        <f>CONTINUA!BV19</f>
        <v>0</v>
      </c>
      <c r="M19" s="256">
        <f>CONTINUA!BW19</f>
        <v>0</v>
      </c>
      <c r="N19" s="565"/>
      <c r="O19" s="566" t="s">
        <v>3312</v>
      </c>
      <c r="P19" s="567">
        <v>0</v>
      </c>
      <c r="Q19" s="319"/>
      <c r="R19" s="320"/>
      <c r="S19" s="319"/>
      <c r="T19" s="320"/>
      <c r="U19" s="809" t="s">
        <v>3379</v>
      </c>
      <c r="V19" s="866">
        <f>+T16+T17+T18</f>
        <v>0</v>
      </c>
      <c r="W19" s="812" t="s">
        <v>3384</v>
      </c>
      <c r="X19" s="860">
        <f>SUM(V16:V17)</f>
        <v>41</v>
      </c>
      <c r="Y19" s="866"/>
      <c r="Z19" s="866"/>
      <c r="AA19" s="822" t="s">
        <v>3392</v>
      </c>
      <c r="AB19" s="823">
        <f>((X19-16)*385.23)/30</f>
        <v>321.02499999999998</v>
      </c>
      <c r="AC19" s="823"/>
      <c r="AD19" s="824"/>
      <c r="AE19" s="864">
        <v>16</v>
      </c>
      <c r="AF19" s="866"/>
      <c r="AG19" s="834" t="s">
        <v>3396</v>
      </c>
      <c r="AH19" s="835">
        <f>IF(V20&gt;AK17,(V20-AK17)*2043.65,0)/30</f>
        <v>0</v>
      </c>
      <c r="AI19" s="836"/>
      <c r="AJ19" s="837"/>
      <c r="AK19" s="862"/>
      <c r="AL19" s="866"/>
      <c r="AM19" s="834" t="s">
        <v>3399</v>
      </c>
      <c r="AN19" s="835">
        <f>IF(X17&gt;AQ18,(X17-AQ18)*621.14,0)/30</f>
        <v>0</v>
      </c>
      <c r="AO19" s="836"/>
      <c r="AP19" s="837"/>
      <c r="AQ19" s="862"/>
      <c r="AR19" s="866"/>
      <c r="AS19" s="836"/>
      <c r="AT19" s="836"/>
      <c r="AU19" s="836"/>
      <c r="AV19" s="840"/>
      <c r="AW19" s="866"/>
      <c r="AX19" s="844"/>
      <c r="AY19" s="866"/>
      <c r="AZ19" s="836"/>
      <c r="BA19" s="835"/>
      <c r="BB19" s="852"/>
      <c r="BC19" s="836"/>
    </row>
    <row r="20" spans="1:59" s="89" customFormat="1" ht="22.5" customHeight="1" thickBot="1" x14ac:dyDescent="0.25">
      <c r="A20" s="296" t="s">
        <v>3186</v>
      </c>
      <c r="B20" s="297" t="s">
        <v>3187</v>
      </c>
      <c r="C20" s="298" t="s">
        <v>3175</v>
      </c>
      <c r="D20" s="299" t="s">
        <v>3188</v>
      </c>
      <c r="E20" s="299" t="s">
        <v>3189</v>
      </c>
      <c r="F20" s="300" t="s">
        <v>3165</v>
      </c>
      <c r="G20" s="300" t="s">
        <v>3166</v>
      </c>
      <c r="H20" s="301" t="s">
        <v>1276</v>
      </c>
      <c r="I20" s="302" t="s">
        <v>1276</v>
      </c>
      <c r="J20" s="340" t="s">
        <v>3167</v>
      </c>
      <c r="K20" s="343" t="s">
        <v>53</v>
      </c>
      <c r="L20" s="256">
        <f>CONTINUA!BV20</f>
        <v>0</v>
      </c>
      <c r="M20" s="256">
        <f>CONTINUA!BW20</f>
        <v>0</v>
      </c>
      <c r="N20" s="565"/>
      <c r="O20" s="566" t="s">
        <v>3312</v>
      </c>
      <c r="P20" s="567">
        <v>0</v>
      </c>
      <c r="Q20" s="319"/>
      <c r="R20" s="320"/>
      <c r="S20" s="319"/>
      <c r="T20" s="320"/>
      <c r="U20" s="867" t="s">
        <v>3380</v>
      </c>
      <c r="V20" s="868">
        <f>R16+R17+R18+R19+T16+T17+T18+T19</f>
        <v>0</v>
      </c>
      <c r="W20" s="812" t="s">
        <v>3385</v>
      </c>
      <c r="X20" s="869">
        <f>SUM(N16:N20)</f>
        <v>0</v>
      </c>
      <c r="Y20" s="868"/>
      <c r="Z20" s="868"/>
      <c r="AA20" s="868"/>
      <c r="AB20" s="868"/>
      <c r="AC20" s="868"/>
      <c r="AD20" s="868"/>
      <c r="AE20" s="868"/>
      <c r="AF20" s="868"/>
      <c r="AG20" s="868"/>
      <c r="AH20" s="868"/>
      <c r="AI20" s="868"/>
      <c r="AJ20" s="868"/>
      <c r="AK20" s="868"/>
      <c r="AL20" s="868"/>
      <c r="AM20" s="868"/>
      <c r="AN20" s="868"/>
      <c r="AO20" s="868"/>
      <c r="AP20" s="868"/>
      <c r="AQ20" s="868"/>
      <c r="AR20" s="868"/>
      <c r="AS20" s="868"/>
      <c r="AT20" s="868"/>
      <c r="AU20" s="868"/>
      <c r="AV20" s="868"/>
      <c r="AW20" s="868"/>
      <c r="AX20" s="868"/>
      <c r="AY20" s="868"/>
      <c r="AZ20" s="868"/>
      <c r="BA20" s="868"/>
      <c r="BB20" s="868"/>
      <c r="BC20" s="870"/>
    </row>
    <row r="21" spans="1:59" s="89" customFormat="1" ht="22.5" customHeight="1" x14ac:dyDescent="0.35">
      <c r="A21" t="s">
        <v>3190</v>
      </c>
      <c r="B21" s="430" t="s">
        <v>3191</v>
      </c>
      <c r="C21" s="431">
        <v>4</v>
      </c>
      <c r="D21" s="432" t="s">
        <v>3192</v>
      </c>
      <c r="E21" s="432" t="s">
        <v>3193</v>
      </c>
      <c r="F21" s="433" t="s">
        <v>3165</v>
      </c>
      <c r="G21" s="433" t="s">
        <v>3166</v>
      </c>
      <c r="H21" s="270" t="s">
        <v>1277</v>
      </c>
      <c r="I21" s="271" t="s">
        <v>1277</v>
      </c>
      <c r="J21" s="328" t="s">
        <v>3167</v>
      </c>
      <c r="K21" s="329" t="s">
        <v>3168</v>
      </c>
      <c r="L21" s="256">
        <f>CONTINUA!BV21</f>
        <v>0</v>
      </c>
      <c r="M21" s="256">
        <f>CONTINUA!BW21</f>
        <v>0</v>
      </c>
      <c r="N21" s="565"/>
      <c r="O21" s="566" t="s">
        <v>3313</v>
      </c>
      <c r="P21" s="567">
        <v>0</v>
      </c>
      <c r="Q21" s="319"/>
      <c r="R21" s="320"/>
      <c r="S21" s="319"/>
      <c r="T21" s="320"/>
      <c r="U21" s="807" t="s">
        <v>3376</v>
      </c>
      <c r="V21" s="808">
        <f>Q21+Q22+Q23</f>
        <v>1</v>
      </c>
      <c r="W21" s="853" t="s">
        <v>3381</v>
      </c>
      <c r="X21" s="854">
        <f>(R21+R22+R23+T21+T22+T23)</f>
        <v>0</v>
      </c>
      <c r="Y21" s="855" t="s">
        <v>3386</v>
      </c>
      <c r="Z21" s="854">
        <f>SUM(L21:L25)</f>
        <v>0</v>
      </c>
      <c r="AA21" s="813" t="s">
        <v>306</v>
      </c>
      <c r="AB21" s="814" t="s">
        <v>3388</v>
      </c>
      <c r="AC21" s="815" t="s">
        <v>19</v>
      </c>
      <c r="AD21" s="856"/>
      <c r="AE21" s="857" t="s">
        <v>3389</v>
      </c>
      <c r="AF21" s="858"/>
      <c r="AG21" s="842" t="s">
        <v>3393</v>
      </c>
      <c r="AH21" s="825" t="s">
        <v>3388</v>
      </c>
      <c r="AI21" s="826" t="s">
        <v>19</v>
      </c>
      <c r="AJ21" s="827"/>
      <c r="AK21" s="856">
        <v>1</v>
      </c>
      <c r="AL21" s="858"/>
      <c r="AM21" s="842" t="s">
        <v>3400</v>
      </c>
      <c r="AN21" s="825" t="s">
        <v>3388</v>
      </c>
      <c r="AO21" s="826" t="s">
        <v>19</v>
      </c>
      <c r="AP21" s="827"/>
      <c r="AQ21" s="856"/>
      <c r="AR21" s="858"/>
      <c r="AS21" s="841" t="s">
        <v>3401</v>
      </c>
      <c r="AT21" s="838"/>
      <c r="AU21" s="838"/>
      <c r="AV21" s="839"/>
      <c r="AW21" s="858"/>
      <c r="AX21" s="845" t="s">
        <v>3402</v>
      </c>
      <c r="AY21" s="858"/>
      <c r="AZ21" s="845" t="s">
        <v>3403</v>
      </c>
      <c r="BA21" s="846" t="s">
        <v>3404</v>
      </c>
      <c r="BB21" s="847" t="s">
        <v>3405</v>
      </c>
      <c r="BC21" s="848"/>
      <c r="BD21" s="62"/>
      <c r="BE21" s="62"/>
      <c r="BF21" s="62"/>
      <c r="BG21" s="62"/>
    </row>
    <row r="22" spans="1:59" s="89" customFormat="1" ht="22.5" customHeight="1" x14ac:dyDescent="0.2">
      <c r="A22" s="287" t="s">
        <v>3190</v>
      </c>
      <c r="B22" s="288" t="s">
        <v>3191</v>
      </c>
      <c r="C22" s="289" t="s">
        <v>3176</v>
      </c>
      <c r="D22" s="290" t="s">
        <v>3192</v>
      </c>
      <c r="E22" s="290" t="s">
        <v>3193</v>
      </c>
      <c r="F22" s="291" t="s">
        <v>3165</v>
      </c>
      <c r="G22" s="291" t="s">
        <v>3166</v>
      </c>
      <c r="H22" s="292" t="s">
        <v>1277</v>
      </c>
      <c r="I22" s="293" t="s">
        <v>1277</v>
      </c>
      <c r="J22" s="340" t="s">
        <v>3167</v>
      </c>
      <c r="K22" s="340" t="s">
        <v>3169</v>
      </c>
      <c r="L22" s="256">
        <f>CONTINUA!BV22</f>
        <v>0</v>
      </c>
      <c r="M22" s="256">
        <f>CONTINUA!BW22</f>
        <v>0</v>
      </c>
      <c r="N22" s="565"/>
      <c r="O22" s="566" t="s">
        <v>3313</v>
      </c>
      <c r="P22" s="567">
        <v>0</v>
      </c>
      <c r="Q22" s="319"/>
      <c r="R22" s="320"/>
      <c r="S22" s="319"/>
      <c r="T22" s="320"/>
      <c r="U22" s="809" t="s">
        <v>3377</v>
      </c>
      <c r="V22" s="859">
        <f>+S21+S22+S23</f>
        <v>0</v>
      </c>
      <c r="W22" s="810" t="s">
        <v>3382</v>
      </c>
      <c r="X22" s="860">
        <f>(Q24+S24)</f>
        <v>0</v>
      </c>
      <c r="Y22" s="812" t="s">
        <v>3387</v>
      </c>
      <c r="Z22" s="860">
        <f>SUM(M21:M25)</f>
        <v>0</v>
      </c>
      <c r="AA22" s="816" t="s">
        <v>3390</v>
      </c>
      <c r="AB22" s="817">
        <f>IF(X24&lt;=15,X24*385.23,0)/30</f>
        <v>12.841000000000001</v>
      </c>
      <c r="AC22" s="818"/>
      <c r="AD22" s="819">
        <f>SUM(AB22:AC24)</f>
        <v>-179.77400000000003</v>
      </c>
      <c r="AE22" s="861"/>
      <c r="AF22" s="859"/>
      <c r="AG22" s="828" t="s">
        <v>3394</v>
      </c>
      <c r="AH22" s="829">
        <f>IF(V25=AK21,2043.65,0)/30</f>
        <v>0</v>
      </c>
      <c r="AI22" s="830"/>
      <c r="AJ22" s="831"/>
      <c r="AK22" s="862">
        <v>2</v>
      </c>
      <c r="AL22" s="859"/>
      <c r="AM22" s="828" t="s">
        <v>3397</v>
      </c>
      <c r="AN22" s="829">
        <f>IF(X22&lt;=AQ22,621.14*X22,0)/30</f>
        <v>0</v>
      </c>
      <c r="AO22" s="830"/>
      <c r="AP22" s="831"/>
      <c r="AQ22" s="862">
        <v>9</v>
      </c>
      <c r="AR22" s="859"/>
      <c r="AS22" s="830">
        <f>IF((SUM(V21:V24))&gt;=1,11465.63,0)/30</f>
        <v>382.18766666666664</v>
      </c>
      <c r="AT22" s="830">
        <f>IF((V21+V22)&gt;=1,(V21+V22)*385.23,0)/30</f>
        <v>12.841000000000001</v>
      </c>
      <c r="AU22" s="830">
        <f>IF((V23+V24)&gt;=1,(V23+V24)*2043.65,0)</f>
        <v>0</v>
      </c>
      <c r="AV22" s="828">
        <f>SUM(AS22:AU22)</f>
        <v>395.02866666666665</v>
      </c>
      <c r="AW22" s="859"/>
      <c r="AX22" s="843">
        <f>IF(X25&gt;0,X25*1.28,0)</f>
        <v>0</v>
      </c>
      <c r="AY22" s="859"/>
      <c r="AZ22" s="849" t="s">
        <v>19</v>
      </c>
      <c r="BA22" s="850" t="s">
        <v>3406</v>
      </c>
      <c r="BB22" s="851"/>
      <c r="BC22" s="838"/>
      <c r="BD22" s="62"/>
      <c r="BE22" s="62"/>
      <c r="BF22" s="62"/>
      <c r="BG22" s="62"/>
    </row>
    <row r="23" spans="1:59" s="89" customFormat="1" ht="22.5" customHeight="1" x14ac:dyDescent="0.2">
      <c r="A23" s="287" t="s">
        <v>3190</v>
      </c>
      <c r="B23" s="288" t="s">
        <v>3191</v>
      </c>
      <c r="C23" s="294" t="s">
        <v>3176</v>
      </c>
      <c r="D23" s="290" t="s">
        <v>3192</v>
      </c>
      <c r="E23" s="290" t="s">
        <v>3193</v>
      </c>
      <c r="F23" s="295" t="s">
        <v>3165</v>
      </c>
      <c r="G23" s="295" t="s">
        <v>3166</v>
      </c>
      <c r="H23" s="292" t="s">
        <v>1277</v>
      </c>
      <c r="I23" s="293" t="s">
        <v>1277</v>
      </c>
      <c r="J23" s="340" t="s">
        <v>3167</v>
      </c>
      <c r="K23" s="341" t="s">
        <v>3170</v>
      </c>
      <c r="L23" s="256">
        <f>CONTINUA!BV23</f>
        <v>0</v>
      </c>
      <c r="M23" s="256">
        <f>CONTINUA!BW23</f>
        <v>0</v>
      </c>
      <c r="N23" s="565"/>
      <c r="O23" s="566" t="s">
        <v>3313</v>
      </c>
      <c r="P23" s="567">
        <v>0</v>
      </c>
      <c r="Q23" s="319">
        <v>1</v>
      </c>
      <c r="R23" s="320"/>
      <c r="S23" s="319"/>
      <c r="T23" s="320"/>
      <c r="U23" s="809" t="s">
        <v>3378</v>
      </c>
      <c r="V23" s="859">
        <f>+R21+R22+R23</f>
        <v>0</v>
      </c>
      <c r="W23" s="811" t="s">
        <v>3383</v>
      </c>
      <c r="X23" s="860">
        <f>SUM(V21:V24)</f>
        <v>1</v>
      </c>
      <c r="Y23" s="859"/>
      <c r="Z23" s="859"/>
      <c r="AA23" s="863" t="s">
        <v>3391</v>
      </c>
      <c r="AB23" s="820"/>
      <c r="AC23" s="820">
        <f>IF(X24&gt;15,7492.52)/30</f>
        <v>0</v>
      </c>
      <c r="AD23" s="821"/>
      <c r="AE23" s="864">
        <v>15</v>
      </c>
      <c r="AF23" s="859"/>
      <c r="AG23" s="828" t="s">
        <v>3395</v>
      </c>
      <c r="AH23" s="829"/>
      <c r="AI23" s="832">
        <f>IF(V25&gt;=AK22,7492.52,0)/30</f>
        <v>0</v>
      </c>
      <c r="AJ23" s="833">
        <f>SUM(AH22:AI24)</f>
        <v>0</v>
      </c>
      <c r="AK23" s="862"/>
      <c r="AL23" s="859"/>
      <c r="AM23" s="828" t="s">
        <v>3398</v>
      </c>
      <c r="AN23" s="829"/>
      <c r="AO23" s="832">
        <f>IF(X22&gt;=AQ23,7492.52,0)/30</f>
        <v>0</v>
      </c>
      <c r="AP23" s="833">
        <f>SUM(AN22:AO24)</f>
        <v>0</v>
      </c>
      <c r="AQ23" s="862">
        <v>10</v>
      </c>
      <c r="AR23" s="859"/>
      <c r="AS23" s="830"/>
      <c r="AT23" s="830"/>
      <c r="AU23" s="830"/>
      <c r="AV23" s="828"/>
      <c r="AW23" s="859"/>
      <c r="AX23" s="843"/>
      <c r="AY23" s="859"/>
      <c r="AZ23" s="830" t="s">
        <v>3407</v>
      </c>
      <c r="BA23" s="829">
        <f>IF(Z21&gt;0,Z21*9.64,0)</f>
        <v>0</v>
      </c>
      <c r="BB23" s="865">
        <f>IF(Z22&gt;0,Z22*56.2,0)</f>
        <v>0</v>
      </c>
      <c r="BC23" s="830">
        <f>SUM(BA23:BB23)</f>
        <v>0</v>
      </c>
      <c r="BD23" s="62"/>
      <c r="BE23" s="62"/>
      <c r="BF23" s="62"/>
      <c r="BG23" s="62"/>
    </row>
    <row r="24" spans="1:59" s="89" customFormat="1" ht="22.5" customHeight="1" x14ac:dyDescent="0.2">
      <c r="A24" s="287" t="s">
        <v>3190</v>
      </c>
      <c r="B24" s="288" t="s">
        <v>3191</v>
      </c>
      <c r="C24" s="294" t="s">
        <v>3176</v>
      </c>
      <c r="D24" s="290" t="s">
        <v>3192</v>
      </c>
      <c r="E24" s="290" t="s">
        <v>3193</v>
      </c>
      <c r="F24" s="295" t="s">
        <v>3165</v>
      </c>
      <c r="G24" s="295" t="s">
        <v>3166</v>
      </c>
      <c r="H24" s="292" t="s">
        <v>1277</v>
      </c>
      <c r="I24" s="293" t="s">
        <v>1277</v>
      </c>
      <c r="J24" s="340" t="s">
        <v>3167</v>
      </c>
      <c r="K24" s="342" t="s">
        <v>3171</v>
      </c>
      <c r="L24" s="256">
        <f>CONTINUA!BV24</f>
        <v>0</v>
      </c>
      <c r="M24" s="256">
        <f>CONTINUA!BW24</f>
        <v>0</v>
      </c>
      <c r="N24" s="565"/>
      <c r="O24" s="566" t="s">
        <v>3313</v>
      </c>
      <c r="P24" s="567">
        <v>0</v>
      </c>
      <c r="Q24" s="319"/>
      <c r="R24" s="320"/>
      <c r="S24" s="319"/>
      <c r="T24" s="320"/>
      <c r="U24" s="809" t="s">
        <v>3379</v>
      </c>
      <c r="V24" s="866">
        <f>+T21+T22+T23</f>
        <v>0</v>
      </c>
      <c r="W24" s="812" t="s">
        <v>3384</v>
      </c>
      <c r="X24" s="860">
        <f>SUM(V21:V22)</f>
        <v>1</v>
      </c>
      <c r="Y24" s="866"/>
      <c r="Z24" s="866"/>
      <c r="AA24" s="822" t="s">
        <v>3392</v>
      </c>
      <c r="AB24" s="823">
        <f>((X24-16)*385.23)/30</f>
        <v>-192.61500000000004</v>
      </c>
      <c r="AC24" s="823"/>
      <c r="AD24" s="824"/>
      <c r="AE24" s="864">
        <v>16</v>
      </c>
      <c r="AF24" s="866"/>
      <c r="AG24" s="834" t="s">
        <v>3396</v>
      </c>
      <c r="AH24" s="835">
        <f>IF(V25&gt;AK22,(V25-AK22)*2043.65,0)/30</f>
        <v>0</v>
      </c>
      <c r="AI24" s="836"/>
      <c r="AJ24" s="837"/>
      <c r="AK24" s="862"/>
      <c r="AL24" s="866"/>
      <c r="AM24" s="834" t="s">
        <v>3399</v>
      </c>
      <c r="AN24" s="835">
        <f>IF(X22&gt;AQ23,(X22-AQ23)*621.14,0)/30</f>
        <v>0</v>
      </c>
      <c r="AO24" s="836"/>
      <c r="AP24" s="837"/>
      <c r="AQ24" s="862"/>
      <c r="AR24" s="866"/>
      <c r="AS24" s="836"/>
      <c r="AT24" s="836"/>
      <c r="AU24" s="836"/>
      <c r="AV24" s="840"/>
      <c r="AW24" s="866"/>
      <c r="AX24" s="844"/>
      <c r="AY24" s="866"/>
      <c r="AZ24" s="836"/>
      <c r="BA24" s="835"/>
      <c r="BB24" s="852"/>
      <c r="BC24" s="836"/>
      <c r="BD24" s="63"/>
      <c r="BE24" s="63"/>
      <c r="BF24" s="63"/>
      <c r="BG24" s="63"/>
    </row>
    <row r="25" spans="1:59" s="89" customFormat="1" ht="22.5" customHeight="1" thickBot="1" x14ac:dyDescent="0.25">
      <c r="A25" s="296" t="s">
        <v>3190</v>
      </c>
      <c r="B25" s="297" t="s">
        <v>3191</v>
      </c>
      <c r="C25" s="298" t="s">
        <v>3176</v>
      </c>
      <c r="D25" s="299" t="s">
        <v>3192</v>
      </c>
      <c r="E25" s="299" t="s">
        <v>3193</v>
      </c>
      <c r="F25" s="300" t="s">
        <v>3165</v>
      </c>
      <c r="G25" s="300" t="s">
        <v>3166</v>
      </c>
      <c r="H25" s="301" t="s">
        <v>1277</v>
      </c>
      <c r="I25" s="302" t="s">
        <v>1277</v>
      </c>
      <c r="J25" s="340" t="s">
        <v>3167</v>
      </c>
      <c r="K25" s="343" t="s">
        <v>53</v>
      </c>
      <c r="L25" s="256">
        <f>CONTINUA!BV25</f>
        <v>0</v>
      </c>
      <c r="M25" s="256">
        <f>CONTINUA!BW25</f>
        <v>0</v>
      </c>
      <c r="N25" s="565"/>
      <c r="O25" s="566" t="s">
        <v>3313</v>
      </c>
      <c r="P25" s="567">
        <v>0</v>
      </c>
      <c r="Q25" s="319"/>
      <c r="R25" s="320"/>
      <c r="S25" s="319"/>
      <c r="T25" s="320"/>
      <c r="U25" s="867" t="s">
        <v>3380</v>
      </c>
      <c r="V25" s="868">
        <f>R21+R22+R23+R24+T21+T22+T23+T24</f>
        <v>0</v>
      </c>
      <c r="W25" s="812" t="s">
        <v>3385</v>
      </c>
      <c r="X25" s="869">
        <f>SUM(N21:N25)</f>
        <v>0</v>
      </c>
      <c r="Y25" s="868"/>
      <c r="Z25" s="868"/>
      <c r="AA25" s="868"/>
      <c r="AB25" s="868"/>
      <c r="AC25" s="868"/>
      <c r="AD25" s="868"/>
      <c r="AE25" s="868"/>
      <c r="AF25" s="868"/>
      <c r="AG25" s="868"/>
      <c r="AH25" s="868"/>
      <c r="AI25" s="868"/>
      <c r="AJ25" s="868"/>
      <c r="AK25" s="868"/>
      <c r="AL25" s="868"/>
      <c r="AM25" s="868"/>
      <c r="AN25" s="868"/>
      <c r="AO25" s="868"/>
      <c r="AP25" s="868"/>
      <c r="AQ25" s="868"/>
      <c r="AR25" s="868"/>
      <c r="AS25" s="868"/>
      <c r="AT25" s="868"/>
      <c r="AU25" s="868"/>
      <c r="AV25" s="868"/>
      <c r="AW25" s="868"/>
      <c r="AX25" s="868"/>
      <c r="AY25" s="868"/>
      <c r="AZ25" s="868"/>
      <c r="BA25" s="868"/>
      <c r="BB25" s="868"/>
      <c r="BC25" s="870"/>
    </row>
    <row r="26" spans="1:59" s="89" customFormat="1" ht="22.5" customHeight="1" x14ac:dyDescent="0.35">
      <c r="A26" t="s">
        <v>3194</v>
      </c>
      <c r="B26" s="430" t="s">
        <v>3195</v>
      </c>
      <c r="C26" s="431">
        <v>1</v>
      </c>
      <c r="D26" s="432" t="s">
        <v>3196</v>
      </c>
      <c r="E26" s="432" t="s">
        <v>3197</v>
      </c>
      <c r="F26" s="433" t="s">
        <v>3165</v>
      </c>
      <c r="G26" s="433" t="s">
        <v>3166</v>
      </c>
      <c r="H26" s="270" t="s">
        <v>1278</v>
      </c>
      <c r="I26" s="271" t="s">
        <v>1278</v>
      </c>
      <c r="J26" s="328" t="s">
        <v>3167</v>
      </c>
      <c r="K26" s="329" t="s">
        <v>3168</v>
      </c>
      <c r="L26" s="256">
        <f>CONTINUA!BV26</f>
        <v>0</v>
      </c>
      <c r="M26" s="256">
        <f>CONTINUA!BW26</f>
        <v>0</v>
      </c>
      <c r="N26" s="565"/>
      <c r="O26" s="566" t="s">
        <v>3314</v>
      </c>
      <c r="P26" s="567">
        <v>0</v>
      </c>
      <c r="Q26" s="319"/>
      <c r="R26" s="320"/>
      <c r="S26" s="319"/>
      <c r="T26" s="320"/>
      <c r="U26" s="807" t="s">
        <v>3376</v>
      </c>
      <c r="V26" s="808">
        <f>Q26+Q27+Q28</f>
        <v>35</v>
      </c>
      <c r="W26" s="853" t="s">
        <v>3381</v>
      </c>
      <c r="X26" s="854">
        <f>(R26+R27+R28+T26+T27+T28)</f>
        <v>0</v>
      </c>
      <c r="Y26" s="855" t="s">
        <v>3386</v>
      </c>
      <c r="Z26" s="854">
        <f>SUM(L26:L30)</f>
        <v>58</v>
      </c>
      <c r="AA26" s="813" t="s">
        <v>306</v>
      </c>
      <c r="AB26" s="814" t="s">
        <v>3388</v>
      </c>
      <c r="AC26" s="815" t="s">
        <v>19</v>
      </c>
      <c r="AD26" s="856"/>
      <c r="AE26" s="857" t="s">
        <v>3389</v>
      </c>
      <c r="AF26" s="858"/>
      <c r="AG26" s="842" t="s">
        <v>3393</v>
      </c>
      <c r="AH26" s="825" t="s">
        <v>3388</v>
      </c>
      <c r="AI26" s="826" t="s">
        <v>19</v>
      </c>
      <c r="AJ26" s="827"/>
      <c r="AK26" s="856">
        <v>1</v>
      </c>
      <c r="AL26" s="858"/>
      <c r="AM26" s="842" t="s">
        <v>3400</v>
      </c>
      <c r="AN26" s="825" t="s">
        <v>3388</v>
      </c>
      <c r="AO26" s="826" t="s">
        <v>19</v>
      </c>
      <c r="AP26" s="827"/>
      <c r="AQ26" s="856"/>
      <c r="AR26" s="858"/>
      <c r="AS26" s="841" t="s">
        <v>3401</v>
      </c>
      <c r="AT26" s="838"/>
      <c r="AU26" s="838"/>
      <c r="AV26" s="839"/>
      <c r="AW26" s="858"/>
      <c r="AX26" s="845" t="s">
        <v>3402</v>
      </c>
      <c r="AY26" s="858"/>
      <c r="AZ26" s="845" t="s">
        <v>3403</v>
      </c>
      <c r="BA26" s="846" t="s">
        <v>3404</v>
      </c>
      <c r="BB26" s="847" t="s">
        <v>3405</v>
      </c>
      <c r="BC26" s="848"/>
    </row>
    <row r="27" spans="1:59" s="89" customFormat="1" ht="22.5" customHeight="1" x14ac:dyDescent="0.2">
      <c r="A27" s="287" t="s">
        <v>3194</v>
      </c>
      <c r="B27" s="288" t="s">
        <v>3195</v>
      </c>
      <c r="C27" s="289" t="s">
        <v>3175</v>
      </c>
      <c r="D27" s="290" t="s">
        <v>3196</v>
      </c>
      <c r="E27" s="290" t="s">
        <v>3197</v>
      </c>
      <c r="F27" s="291" t="s">
        <v>3165</v>
      </c>
      <c r="G27" s="291" t="s">
        <v>3166</v>
      </c>
      <c r="H27" s="292" t="s">
        <v>1278</v>
      </c>
      <c r="I27" s="293" t="s">
        <v>1278</v>
      </c>
      <c r="J27" s="340" t="s">
        <v>3167</v>
      </c>
      <c r="K27" s="340" t="s">
        <v>3169</v>
      </c>
      <c r="L27" s="256">
        <f>CONTINUA!BV27</f>
        <v>58</v>
      </c>
      <c r="M27" s="256">
        <f>CONTINUA!BW27</f>
        <v>0</v>
      </c>
      <c r="N27" s="565"/>
      <c r="O27" s="566" t="s">
        <v>3314</v>
      </c>
      <c r="P27" s="567">
        <v>0</v>
      </c>
      <c r="Q27" s="319">
        <v>35</v>
      </c>
      <c r="R27" s="320"/>
      <c r="S27" s="319"/>
      <c r="T27" s="320"/>
      <c r="U27" s="809" t="s">
        <v>3377</v>
      </c>
      <c r="V27" s="859">
        <f>+S26+S27+S28</f>
        <v>0</v>
      </c>
      <c r="W27" s="810" t="s">
        <v>3382</v>
      </c>
      <c r="X27" s="860">
        <f>(Q29+S29)</f>
        <v>0</v>
      </c>
      <c r="Y27" s="812" t="s">
        <v>3387</v>
      </c>
      <c r="Z27" s="860">
        <f>SUM(M26:M30)</f>
        <v>0</v>
      </c>
      <c r="AA27" s="816" t="s">
        <v>3390</v>
      </c>
      <c r="AB27" s="817">
        <f>IF(X29&lt;=15,X29*385.23,0)/30</f>
        <v>0</v>
      </c>
      <c r="AC27" s="818"/>
      <c r="AD27" s="819">
        <f>SUM(AB27:AC29)</f>
        <v>493.72966666666673</v>
      </c>
      <c r="AE27" s="861"/>
      <c r="AF27" s="859"/>
      <c r="AG27" s="828" t="s">
        <v>3394</v>
      </c>
      <c r="AH27" s="829">
        <f>IF(V30=AK26,2043.65,0)/30</f>
        <v>0</v>
      </c>
      <c r="AI27" s="830"/>
      <c r="AJ27" s="831"/>
      <c r="AK27" s="862">
        <v>2</v>
      </c>
      <c r="AL27" s="859"/>
      <c r="AM27" s="828" t="s">
        <v>3397</v>
      </c>
      <c r="AN27" s="829">
        <f>IF(X27&lt;=AQ27,621.14*X27,0)/30</f>
        <v>0</v>
      </c>
      <c r="AO27" s="830"/>
      <c r="AP27" s="831"/>
      <c r="AQ27" s="862">
        <v>9</v>
      </c>
      <c r="AR27" s="859"/>
      <c r="AS27" s="830">
        <f>IF((SUM(V26:V29))&gt;=1,11465.63,0)/30</f>
        <v>382.18766666666664</v>
      </c>
      <c r="AT27" s="830">
        <f>IF((V26+V27)&gt;=1,(V26+V27)*385.23,0)/30</f>
        <v>449.43500000000006</v>
      </c>
      <c r="AU27" s="830">
        <f>IF((V28+V29)&gt;=1,(V28+V29)*2043.65,0)</f>
        <v>0</v>
      </c>
      <c r="AV27" s="828">
        <f>SUM(AS27:AU27)</f>
        <v>831.62266666666665</v>
      </c>
      <c r="AW27" s="859"/>
      <c r="AX27" s="843">
        <f>IF(X30&gt;0,X30*1.28,0)</f>
        <v>0</v>
      </c>
      <c r="AY27" s="859"/>
      <c r="AZ27" s="849" t="s">
        <v>19</v>
      </c>
      <c r="BA27" s="850" t="s">
        <v>3406</v>
      </c>
      <c r="BB27" s="851"/>
      <c r="BC27" s="838"/>
    </row>
    <row r="28" spans="1:59" s="89" customFormat="1" ht="22.5" customHeight="1" x14ac:dyDescent="0.2">
      <c r="A28" s="287" t="s">
        <v>3194</v>
      </c>
      <c r="B28" s="288" t="s">
        <v>3195</v>
      </c>
      <c r="C28" s="294" t="s">
        <v>3175</v>
      </c>
      <c r="D28" s="290" t="s">
        <v>3196</v>
      </c>
      <c r="E28" s="290" t="s">
        <v>3197</v>
      </c>
      <c r="F28" s="295" t="s">
        <v>3165</v>
      </c>
      <c r="G28" s="295" t="s">
        <v>3166</v>
      </c>
      <c r="H28" s="292" t="s">
        <v>1278</v>
      </c>
      <c r="I28" s="293" t="s">
        <v>1278</v>
      </c>
      <c r="J28" s="340" t="s">
        <v>3167</v>
      </c>
      <c r="K28" s="341" t="s">
        <v>3170</v>
      </c>
      <c r="L28" s="256">
        <f>CONTINUA!BV28</f>
        <v>0</v>
      </c>
      <c r="M28" s="256">
        <f>CONTINUA!BW28</f>
        <v>0</v>
      </c>
      <c r="N28" s="565"/>
      <c r="O28" s="566" t="s">
        <v>3314</v>
      </c>
      <c r="P28" s="567">
        <v>0</v>
      </c>
      <c r="Q28" s="319"/>
      <c r="R28" s="320"/>
      <c r="S28" s="319"/>
      <c r="T28" s="320"/>
      <c r="U28" s="809" t="s">
        <v>3378</v>
      </c>
      <c r="V28" s="859">
        <f>+R26+R27+R28</f>
        <v>0</v>
      </c>
      <c r="W28" s="811" t="s">
        <v>3383</v>
      </c>
      <c r="X28" s="860">
        <f>SUM(V26:V29)</f>
        <v>35</v>
      </c>
      <c r="Y28" s="859"/>
      <c r="Z28" s="859"/>
      <c r="AA28" s="863" t="s">
        <v>3391</v>
      </c>
      <c r="AB28" s="820"/>
      <c r="AC28" s="820">
        <f>IF(X29&gt;15,7492.52)/30</f>
        <v>249.75066666666669</v>
      </c>
      <c r="AD28" s="821"/>
      <c r="AE28" s="864">
        <v>15</v>
      </c>
      <c r="AF28" s="859"/>
      <c r="AG28" s="828" t="s">
        <v>3395</v>
      </c>
      <c r="AH28" s="829"/>
      <c r="AI28" s="832">
        <f>IF(V30&gt;=AK27,7492.52,0)/30</f>
        <v>0</v>
      </c>
      <c r="AJ28" s="833">
        <f>SUM(AH27:AI29)</f>
        <v>0</v>
      </c>
      <c r="AK28" s="862"/>
      <c r="AL28" s="859"/>
      <c r="AM28" s="828" t="s">
        <v>3398</v>
      </c>
      <c r="AN28" s="829"/>
      <c r="AO28" s="832">
        <f>IF(X27&gt;=AQ28,7492.52,0)/30</f>
        <v>0</v>
      </c>
      <c r="AP28" s="833">
        <f>SUM(AN27:AO29)</f>
        <v>0</v>
      </c>
      <c r="AQ28" s="862">
        <v>10</v>
      </c>
      <c r="AR28" s="859"/>
      <c r="AS28" s="830"/>
      <c r="AT28" s="830"/>
      <c r="AU28" s="830"/>
      <c r="AV28" s="828"/>
      <c r="AW28" s="859"/>
      <c r="AX28" s="843"/>
      <c r="AY28" s="859"/>
      <c r="AZ28" s="830" t="s">
        <v>3407</v>
      </c>
      <c r="BA28" s="829">
        <f>IF(Z26&gt;0,Z26*9.64,0)</f>
        <v>559.12</v>
      </c>
      <c r="BB28" s="865">
        <f>IF(Z27&gt;0,Z27*56.2,0)</f>
        <v>0</v>
      </c>
      <c r="BC28" s="830">
        <f>SUM(BA28:BB28)</f>
        <v>559.12</v>
      </c>
    </row>
    <row r="29" spans="1:59" s="89" customFormat="1" ht="22.5" customHeight="1" x14ac:dyDescent="0.2">
      <c r="A29" s="287" t="s">
        <v>3194</v>
      </c>
      <c r="B29" s="288" t="s">
        <v>3195</v>
      </c>
      <c r="C29" s="294" t="s">
        <v>3175</v>
      </c>
      <c r="D29" s="290" t="s">
        <v>3196</v>
      </c>
      <c r="E29" s="290" t="s">
        <v>3197</v>
      </c>
      <c r="F29" s="295" t="s">
        <v>3165</v>
      </c>
      <c r="G29" s="295" t="s">
        <v>3166</v>
      </c>
      <c r="H29" s="292" t="s">
        <v>1278</v>
      </c>
      <c r="I29" s="293" t="s">
        <v>1278</v>
      </c>
      <c r="J29" s="340" t="s">
        <v>3167</v>
      </c>
      <c r="K29" s="342" t="s">
        <v>3171</v>
      </c>
      <c r="L29" s="256">
        <f>CONTINUA!BV29</f>
        <v>0</v>
      </c>
      <c r="M29" s="256">
        <f>CONTINUA!BW29</f>
        <v>0</v>
      </c>
      <c r="N29" s="565"/>
      <c r="O29" s="566" t="s">
        <v>3314</v>
      </c>
      <c r="P29" s="567">
        <v>0</v>
      </c>
      <c r="Q29" s="319"/>
      <c r="R29" s="320"/>
      <c r="S29" s="319"/>
      <c r="T29" s="320"/>
      <c r="U29" s="809" t="s">
        <v>3379</v>
      </c>
      <c r="V29" s="866">
        <f>+T26+T27+T28</f>
        <v>0</v>
      </c>
      <c r="W29" s="812" t="s">
        <v>3384</v>
      </c>
      <c r="X29" s="860">
        <f>SUM(V26:V27)</f>
        <v>35</v>
      </c>
      <c r="Y29" s="866"/>
      <c r="Z29" s="866"/>
      <c r="AA29" s="822" t="s">
        <v>3392</v>
      </c>
      <c r="AB29" s="823">
        <f>((X29-16)*385.23)/30</f>
        <v>243.97900000000001</v>
      </c>
      <c r="AC29" s="823"/>
      <c r="AD29" s="824"/>
      <c r="AE29" s="864">
        <v>16</v>
      </c>
      <c r="AF29" s="866"/>
      <c r="AG29" s="834" t="s">
        <v>3396</v>
      </c>
      <c r="AH29" s="835">
        <f>IF(V30&gt;AK27,(V30-AK27)*2043.65,0)/30</f>
        <v>0</v>
      </c>
      <c r="AI29" s="836"/>
      <c r="AJ29" s="837"/>
      <c r="AK29" s="862"/>
      <c r="AL29" s="866"/>
      <c r="AM29" s="834" t="s">
        <v>3399</v>
      </c>
      <c r="AN29" s="835">
        <f>IF(X27&gt;AQ28,(X27-AQ28)*621.14,0)/30</f>
        <v>0</v>
      </c>
      <c r="AO29" s="836"/>
      <c r="AP29" s="837"/>
      <c r="AQ29" s="862"/>
      <c r="AR29" s="866"/>
      <c r="AS29" s="836"/>
      <c r="AT29" s="836"/>
      <c r="AU29" s="836"/>
      <c r="AV29" s="840"/>
      <c r="AW29" s="866"/>
      <c r="AX29" s="844"/>
      <c r="AY29" s="866"/>
      <c r="AZ29" s="836"/>
      <c r="BA29" s="835"/>
      <c r="BB29" s="852"/>
      <c r="BC29" s="836"/>
    </row>
    <row r="30" spans="1:59" s="89" customFormat="1" ht="22.5" customHeight="1" thickBot="1" x14ac:dyDescent="0.25">
      <c r="A30" s="296" t="s">
        <v>3194</v>
      </c>
      <c r="B30" s="297" t="s">
        <v>3195</v>
      </c>
      <c r="C30" s="298" t="s">
        <v>3175</v>
      </c>
      <c r="D30" s="299" t="s">
        <v>3196</v>
      </c>
      <c r="E30" s="299" t="s">
        <v>3197</v>
      </c>
      <c r="F30" s="300" t="s">
        <v>3165</v>
      </c>
      <c r="G30" s="300" t="s">
        <v>3166</v>
      </c>
      <c r="H30" s="301" t="s">
        <v>1278</v>
      </c>
      <c r="I30" s="302" t="s">
        <v>1278</v>
      </c>
      <c r="J30" s="340" t="s">
        <v>3167</v>
      </c>
      <c r="K30" s="343" t="s">
        <v>53</v>
      </c>
      <c r="L30" s="256">
        <f>CONTINUA!BV30</f>
        <v>0</v>
      </c>
      <c r="M30" s="256">
        <f>CONTINUA!BW30</f>
        <v>0</v>
      </c>
      <c r="N30" s="565"/>
      <c r="O30" s="566" t="s">
        <v>3314</v>
      </c>
      <c r="P30" s="567">
        <v>0</v>
      </c>
      <c r="Q30" s="319"/>
      <c r="R30" s="320"/>
      <c r="S30" s="319"/>
      <c r="T30" s="320"/>
      <c r="U30" s="867" t="s">
        <v>3380</v>
      </c>
      <c r="V30" s="868">
        <f>R26+R27+R28+R29+T26+T27+T28+T29</f>
        <v>0</v>
      </c>
      <c r="W30" s="812" t="s">
        <v>3385</v>
      </c>
      <c r="X30" s="869">
        <f>SUM(N26:N30)</f>
        <v>0</v>
      </c>
      <c r="Y30" s="868"/>
      <c r="Z30" s="868"/>
      <c r="AA30" s="868"/>
      <c r="AB30" s="868"/>
      <c r="AC30" s="868"/>
      <c r="AD30" s="868"/>
      <c r="AE30" s="868"/>
      <c r="AF30" s="868"/>
      <c r="AG30" s="868"/>
      <c r="AH30" s="868"/>
      <c r="AI30" s="868"/>
      <c r="AJ30" s="868"/>
      <c r="AK30" s="868"/>
      <c r="AL30" s="868"/>
      <c r="AM30" s="868"/>
      <c r="AN30" s="868"/>
      <c r="AO30" s="868"/>
      <c r="AP30" s="868"/>
      <c r="AQ30" s="868"/>
      <c r="AR30" s="868"/>
      <c r="AS30" s="868"/>
      <c r="AT30" s="868"/>
      <c r="AU30" s="868"/>
      <c r="AV30" s="868"/>
      <c r="AW30" s="868"/>
      <c r="AX30" s="868"/>
      <c r="AY30" s="868"/>
      <c r="AZ30" s="868"/>
      <c r="BA30" s="868"/>
      <c r="BB30" s="868"/>
      <c r="BC30" s="870"/>
    </row>
    <row r="31" spans="1:59" s="89" customFormat="1" ht="22.5" customHeight="1" x14ac:dyDescent="0.35">
      <c r="A31" t="s">
        <v>3198</v>
      </c>
      <c r="B31" s="430" t="s">
        <v>3199</v>
      </c>
      <c r="C31" s="431">
        <v>2</v>
      </c>
      <c r="D31" s="432" t="s">
        <v>3200</v>
      </c>
      <c r="E31" s="432" t="s">
        <v>3201</v>
      </c>
      <c r="F31" s="433" t="s">
        <v>3165</v>
      </c>
      <c r="G31" s="433" t="s">
        <v>3166</v>
      </c>
      <c r="H31" s="270" t="s">
        <v>1282</v>
      </c>
      <c r="I31" s="271" t="s">
        <v>1282</v>
      </c>
      <c r="J31" s="328" t="s">
        <v>3173</v>
      </c>
      <c r="K31" s="329" t="s">
        <v>3168</v>
      </c>
      <c r="L31" s="256">
        <f>CONTINUA!BV31</f>
        <v>0</v>
      </c>
      <c r="M31" s="256">
        <f>CONTINUA!BW31</f>
        <v>0</v>
      </c>
      <c r="N31" s="565"/>
      <c r="O31" s="566" t="s">
        <v>3315</v>
      </c>
      <c r="P31" s="567">
        <v>0</v>
      </c>
      <c r="Q31" s="319"/>
      <c r="R31" s="320">
        <v>1</v>
      </c>
      <c r="S31" s="319"/>
      <c r="T31" s="320"/>
      <c r="U31" s="807" t="s">
        <v>3376</v>
      </c>
      <c r="V31" s="808">
        <f>Q31+Q32+Q33</f>
        <v>1</v>
      </c>
      <c r="W31" s="853" t="s">
        <v>3381</v>
      </c>
      <c r="X31" s="854">
        <f>(R31+R32+R33+T31+T32+T33)</f>
        <v>5</v>
      </c>
      <c r="Y31" s="855" t="s">
        <v>3386</v>
      </c>
      <c r="Z31" s="854">
        <f>SUM(L31:L35)</f>
        <v>0</v>
      </c>
      <c r="AA31" s="813" t="s">
        <v>306</v>
      </c>
      <c r="AB31" s="814" t="s">
        <v>3388</v>
      </c>
      <c r="AC31" s="815" t="s">
        <v>19</v>
      </c>
      <c r="AD31" s="856"/>
      <c r="AE31" s="857" t="s">
        <v>3389</v>
      </c>
      <c r="AF31" s="858"/>
      <c r="AG31" s="842" t="s">
        <v>3393</v>
      </c>
      <c r="AH31" s="825" t="s">
        <v>3388</v>
      </c>
      <c r="AI31" s="826" t="s">
        <v>19</v>
      </c>
      <c r="AJ31" s="827"/>
      <c r="AK31" s="856">
        <v>1</v>
      </c>
      <c r="AL31" s="858"/>
      <c r="AM31" s="842" t="s">
        <v>3400</v>
      </c>
      <c r="AN31" s="825" t="s">
        <v>3388</v>
      </c>
      <c r="AO31" s="826" t="s">
        <v>19</v>
      </c>
      <c r="AP31" s="827"/>
      <c r="AQ31" s="856"/>
      <c r="AR31" s="858"/>
      <c r="AS31" s="841" t="s">
        <v>3401</v>
      </c>
      <c r="AT31" s="838"/>
      <c r="AU31" s="838"/>
      <c r="AV31" s="839"/>
      <c r="AW31" s="858"/>
      <c r="AX31" s="845" t="s">
        <v>3402</v>
      </c>
      <c r="AY31" s="858"/>
      <c r="AZ31" s="845" t="s">
        <v>3403</v>
      </c>
      <c r="BA31" s="846" t="s">
        <v>3404</v>
      </c>
      <c r="BB31" s="847" t="s">
        <v>3405</v>
      </c>
      <c r="BC31" s="848"/>
    </row>
    <row r="32" spans="1:59" s="89" customFormat="1" ht="22.5" customHeight="1" x14ac:dyDescent="0.2">
      <c r="A32" s="287" t="s">
        <v>3198</v>
      </c>
      <c r="B32" s="288" t="s">
        <v>3199</v>
      </c>
      <c r="C32" s="289" t="s">
        <v>3175</v>
      </c>
      <c r="D32" s="290" t="s">
        <v>3200</v>
      </c>
      <c r="E32" s="290" t="s">
        <v>3201</v>
      </c>
      <c r="F32" s="291" t="s">
        <v>3165</v>
      </c>
      <c r="G32" s="291" t="s">
        <v>3166</v>
      </c>
      <c r="H32" s="292" t="s">
        <v>1282</v>
      </c>
      <c r="I32" s="293" t="s">
        <v>1282</v>
      </c>
      <c r="J32" s="340" t="s">
        <v>3173</v>
      </c>
      <c r="K32" s="340" t="s">
        <v>3169</v>
      </c>
      <c r="L32" s="256">
        <f>CONTINUA!BV32</f>
        <v>0</v>
      </c>
      <c r="M32" s="256">
        <f>CONTINUA!BW32</f>
        <v>0</v>
      </c>
      <c r="N32" s="565"/>
      <c r="O32" s="566" t="s">
        <v>3315</v>
      </c>
      <c r="P32" s="567">
        <v>0</v>
      </c>
      <c r="Q32" s="319">
        <v>1</v>
      </c>
      <c r="R32" s="320">
        <v>4</v>
      </c>
      <c r="S32" s="319">
        <v>1</v>
      </c>
      <c r="T32" s="320"/>
      <c r="U32" s="809" t="s">
        <v>3377</v>
      </c>
      <c r="V32" s="859">
        <f>+S31+S32+S33</f>
        <v>1</v>
      </c>
      <c r="W32" s="810" t="s">
        <v>3382</v>
      </c>
      <c r="X32" s="860">
        <f>(Q34+S34)</f>
        <v>0</v>
      </c>
      <c r="Y32" s="812" t="s">
        <v>3387</v>
      </c>
      <c r="Z32" s="860">
        <f>SUM(M31:M35)</f>
        <v>0</v>
      </c>
      <c r="AA32" s="816" t="s">
        <v>3390</v>
      </c>
      <c r="AB32" s="817">
        <f>IF(X34&lt;=15,X34*385.23,0)/30</f>
        <v>25.682000000000002</v>
      </c>
      <c r="AC32" s="818"/>
      <c r="AD32" s="819">
        <f>SUM(AB32:AC34)</f>
        <v>-154.09199999999998</v>
      </c>
      <c r="AE32" s="861"/>
      <c r="AF32" s="859"/>
      <c r="AG32" s="828" t="s">
        <v>3394</v>
      </c>
      <c r="AH32" s="829">
        <f>IF(V35=AK31,2043.65,0)/30</f>
        <v>0</v>
      </c>
      <c r="AI32" s="830"/>
      <c r="AJ32" s="831"/>
      <c r="AK32" s="862">
        <v>2</v>
      </c>
      <c r="AL32" s="859"/>
      <c r="AM32" s="828" t="s">
        <v>3397</v>
      </c>
      <c r="AN32" s="829">
        <f>IF(X32&lt;=AQ32,621.14*X32,0)/30</f>
        <v>0</v>
      </c>
      <c r="AO32" s="830"/>
      <c r="AP32" s="831"/>
      <c r="AQ32" s="862">
        <v>9</v>
      </c>
      <c r="AR32" s="859"/>
      <c r="AS32" s="830">
        <f>IF((SUM(V31:V34))&gt;=1,11465.63,0)/30</f>
        <v>382.18766666666664</v>
      </c>
      <c r="AT32" s="830">
        <f>IF((V31+V32)&gt;=1,(V31+V32)*385.23,0)/30</f>
        <v>25.682000000000002</v>
      </c>
      <c r="AU32" s="830">
        <f>IF((V33+V34)&gt;=1,(V33+V34)*2043.65,0)</f>
        <v>10218.25</v>
      </c>
      <c r="AV32" s="828">
        <f>SUM(AS32:AU32)</f>
        <v>10626.119666666667</v>
      </c>
      <c r="AW32" s="859"/>
      <c r="AX32" s="843">
        <f>IF(X35&gt;0,X35*1.28,0)</f>
        <v>0</v>
      </c>
      <c r="AY32" s="859"/>
      <c r="AZ32" s="849" t="s">
        <v>19</v>
      </c>
      <c r="BA32" s="850" t="s">
        <v>3406</v>
      </c>
      <c r="BB32" s="851"/>
      <c r="BC32" s="838"/>
    </row>
    <row r="33" spans="1:55" s="89" customFormat="1" ht="22.5" customHeight="1" x14ac:dyDescent="0.2">
      <c r="A33" s="287" t="s">
        <v>3198</v>
      </c>
      <c r="B33" s="288" t="s">
        <v>3199</v>
      </c>
      <c r="C33" s="294" t="s">
        <v>3175</v>
      </c>
      <c r="D33" s="290" t="s">
        <v>3200</v>
      </c>
      <c r="E33" s="290" t="s">
        <v>3201</v>
      </c>
      <c r="F33" s="295" t="s">
        <v>3165</v>
      </c>
      <c r="G33" s="295" t="s">
        <v>3166</v>
      </c>
      <c r="H33" s="292" t="s">
        <v>1282</v>
      </c>
      <c r="I33" s="293" t="s">
        <v>1282</v>
      </c>
      <c r="J33" s="340" t="s">
        <v>3173</v>
      </c>
      <c r="K33" s="341" t="s">
        <v>3170</v>
      </c>
      <c r="L33" s="256">
        <f>CONTINUA!BV33</f>
        <v>0</v>
      </c>
      <c r="M33" s="256">
        <f>CONTINUA!BW33</f>
        <v>0</v>
      </c>
      <c r="N33" s="565"/>
      <c r="O33" s="566" t="s">
        <v>3315</v>
      </c>
      <c r="P33" s="567">
        <v>0</v>
      </c>
      <c r="Q33" s="319"/>
      <c r="R33" s="320"/>
      <c r="S33" s="319"/>
      <c r="T33" s="320"/>
      <c r="U33" s="809" t="s">
        <v>3378</v>
      </c>
      <c r="V33" s="859">
        <f>+R31+R32+R33</f>
        <v>5</v>
      </c>
      <c r="W33" s="811" t="s">
        <v>3383</v>
      </c>
      <c r="X33" s="860">
        <f>SUM(V31:V34)</f>
        <v>7</v>
      </c>
      <c r="Y33" s="859"/>
      <c r="Z33" s="859"/>
      <c r="AA33" s="863" t="s">
        <v>3391</v>
      </c>
      <c r="AB33" s="820"/>
      <c r="AC33" s="820">
        <f>IF(X34&gt;15,7492.52)/30</f>
        <v>0</v>
      </c>
      <c r="AD33" s="821"/>
      <c r="AE33" s="864">
        <v>15</v>
      </c>
      <c r="AF33" s="859"/>
      <c r="AG33" s="828" t="s">
        <v>3395</v>
      </c>
      <c r="AH33" s="829"/>
      <c r="AI33" s="832">
        <f>IF(V35&gt;=AK32,7492.52,0)/30</f>
        <v>249.75066666666669</v>
      </c>
      <c r="AJ33" s="833">
        <f>SUM(AH32:AI34)</f>
        <v>454.1156666666667</v>
      </c>
      <c r="AK33" s="862"/>
      <c r="AL33" s="859"/>
      <c r="AM33" s="828" t="s">
        <v>3398</v>
      </c>
      <c r="AN33" s="829"/>
      <c r="AO33" s="832">
        <f>IF(X32&gt;=AQ33,7492.52,0)/30</f>
        <v>0</v>
      </c>
      <c r="AP33" s="833">
        <f>SUM(AN32:AO34)</f>
        <v>0</v>
      </c>
      <c r="AQ33" s="862">
        <v>10</v>
      </c>
      <c r="AR33" s="859"/>
      <c r="AS33" s="830"/>
      <c r="AT33" s="830"/>
      <c r="AU33" s="830"/>
      <c r="AV33" s="828"/>
      <c r="AW33" s="859"/>
      <c r="AX33" s="843"/>
      <c r="AY33" s="859"/>
      <c r="AZ33" s="830" t="s">
        <v>3407</v>
      </c>
      <c r="BA33" s="829">
        <f>IF(Z31&gt;0,Z31*9.64,0)</f>
        <v>0</v>
      </c>
      <c r="BB33" s="865">
        <f>IF(Z32&gt;0,Z32*56.2,0)</f>
        <v>0</v>
      </c>
      <c r="BC33" s="830">
        <f>SUM(BA33:BB33)</f>
        <v>0</v>
      </c>
    </row>
    <row r="34" spans="1:55" s="89" customFormat="1" ht="22.5" customHeight="1" x14ac:dyDescent="0.2">
      <c r="A34" s="287" t="s">
        <v>3198</v>
      </c>
      <c r="B34" s="288" t="s">
        <v>3199</v>
      </c>
      <c r="C34" s="294" t="s">
        <v>3175</v>
      </c>
      <c r="D34" s="290" t="s">
        <v>3200</v>
      </c>
      <c r="E34" s="290" t="s">
        <v>3201</v>
      </c>
      <c r="F34" s="295" t="s">
        <v>3165</v>
      </c>
      <c r="G34" s="295" t="s">
        <v>3166</v>
      </c>
      <c r="H34" s="292" t="s">
        <v>1282</v>
      </c>
      <c r="I34" s="293" t="s">
        <v>1282</v>
      </c>
      <c r="J34" s="340" t="s">
        <v>3173</v>
      </c>
      <c r="K34" s="342" t="s">
        <v>3171</v>
      </c>
      <c r="L34" s="256">
        <f>CONTINUA!BV34</f>
        <v>0</v>
      </c>
      <c r="M34" s="256">
        <f>CONTINUA!BW34</f>
        <v>0</v>
      </c>
      <c r="N34" s="565"/>
      <c r="O34" s="566" t="s">
        <v>3315</v>
      </c>
      <c r="P34" s="567">
        <v>0</v>
      </c>
      <c r="Q34" s="319"/>
      <c r="R34" s="320"/>
      <c r="S34" s="319"/>
      <c r="T34" s="320"/>
      <c r="U34" s="809" t="s">
        <v>3379</v>
      </c>
      <c r="V34" s="866">
        <f>+T31+T32+T33</f>
        <v>0</v>
      </c>
      <c r="W34" s="812" t="s">
        <v>3384</v>
      </c>
      <c r="X34" s="860">
        <f>SUM(V31:V32)</f>
        <v>2</v>
      </c>
      <c r="Y34" s="866"/>
      <c r="Z34" s="866"/>
      <c r="AA34" s="822" t="s">
        <v>3392</v>
      </c>
      <c r="AB34" s="823">
        <f>((X34-16)*385.23)/30</f>
        <v>-179.774</v>
      </c>
      <c r="AC34" s="823"/>
      <c r="AD34" s="824"/>
      <c r="AE34" s="864">
        <v>16</v>
      </c>
      <c r="AF34" s="866"/>
      <c r="AG34" s="834" t="s">
        <v>3396</v>
      </c>
      <c r="AH34" s="835">
        <f>IF(V35&gt;AK32,(V35-AK32)*2043.65,0)/30</f>
        <v>204.36500000000004</v>
      </c>
      <c r="AI34" s="836"/>
      <c r="AJ34" s="837"/>
      <c r="AK34" s="862"/>
      <c r="AL34" s="866"/>
      <c r="AM34" s="834" t="s">
        <v>3399</v>
      </c>
      <c r="AN34" s="835">
        <f>IF(X32&gt;AQ33,(X32-AQ33)*621.14,0)/30</f>
        <v>0</v>
      </c>
      <c r="AO34" s="836"/>
      <c r="AP34" s="837"/>
      <c r="AQ34" s="862"/>
      <c r="AR34" s="866"/>
      <c r="AS34" s="836"/>
      <c r="AT34" s="836"/>
      <c r="AU34" s="836"/>
      <c r="AV34" s="840"/>
      <c r="AW34" s="866"/>
      <c r="AX34" s="844"/>
      <c r="AY34" s="866"/>
      <c r="AZ34" s="836"/>
      <c r="BA34" s="835"/>
      <c r="BB34" s="852"/>
      <c r="BC34" s="836"/>
    </row>
    <row r="35" spans="1:55" s="89" customFormat="1" ht="22.5" customHeight="1" thickBot="1" x14ac:dyDescent="0.25">
      <c r="A35" s="296" t="s">
        <v>3198</v>
      </c>
      <c r="B35" s="297" t="s">
        <v>3199</v>
      </c>
      <c r="C35" s="298" t="s">
        <v>3175</v>
      </c>
      <c r="D35" s="299" t="s">
        <v>3200</v>
      </c>
      <c r="E35" s="299" t="s">
        <v>3201</v>
      </c>
      <c r="F35" s="300" t="s">
        <v>3165</v>
      </c>
      <c r="G35" s="300" t="s">
        <v>3166</v>
      </c>
      <c r="H35" s="301" t="s">
        <v>1282</v>
      </c>
      <c r="I35" s="302" t="s">
        <v>1282</v>
      </c>
      <c r="J35" s="340" t="s">
        <v>3173</v>
      </c>
      <c r="K35" s="343" t="s">
        <v>53</v>
      </c>
      <c r="L35" s="256">
        <f>CONTINUA!BV35</f>
        <v>0</v>
      </c>
      <c r="M35" s="256">
        <f>CONTINUA!BW35</f>
        <v>0</v>
      </c>
      <c r="N35" s="565"/>
      <c r="O35" s="566" t="s">
        <v>3315</v>
      </c>
      <c r="P35" s="567">
        <v>0</v>
      </c>
      <c r="Q35" s="319"/>
      <c r="R35" s="320"/>
      <c r="S35" s="319"/>
      <c r="T35" s="320"/>
      <c r="U35" s="867" t="s">
        <v>3380</v>
      </c>
      <c r="V35" s="868">
        <f>R31+R32+R33+R34+T31+T32+T33+T34</f>
        <v>5</v>
      </c>
      <c r="W35" s="812" t="s">
        <v>3385</v>
      </c>
      <c r="X35" s="869">
        <f>SUM(N31:N35)</f>
        <v>0</v>
      </c>
      <c r="Y35" s="868"/>
      <c r="Z35" s="868"/>
      <c r="AA35" s="868"/>
      <c r="AB35" s="868"/>
      <c r="AC35" s="868"/>
      <c r="AD35" s="868"/>
      <c r="AE35" s="868"/>
      <c r="AF35" s="868"/>
      <c r="AG35" s="868"/>
      <c r="AH35" s="868"/>
      <c r="AI35" s="868"/>
      <c r="AJ35" s="868"/>
      <c r="AK35" s="868"/>
      <c r="AL35" s="868"/>
      <c r="AM35" s="868"/>
      <c r="AN35" s="868"/>
      <c r="AO35" s="868"/>
      <c r="AP35" s="868"/>
      <c r="AQ35" s="868"/>
      <c r="AR35" s="868"/>
      <c r="AS35" s="868"/>
      <c r="AT35" s="868"/>
      <c r="AU35" s="868"/>
      <c r="AV35" s="868"/>
      <c r="AW35" s="868"/>
      <c r="AX35" s="868"/>
      <c r="AY35" s="868"/>
      <c r="AZ35" s="868"/>
      <c r="BA35" s="868"/>
      <c r="BB35" s="868"/>
      <c r="BC35" s="870"/>
    </row>
    <row r="36" spans="1:55" s="89" customFormat="1" ht="22.5" customHeight="1" x14ac:dyDescent="0.35">
      <c r="A36" t="s">
        <v>3202</v>
      </c>
      <c r="B36" s="430" t="s">
        <v>3203</v>
      </c>
      <c r="C36" s="431">
        <v>1</v>
      </c>
      <c r="D36" s="432" t="s">
        <v>3204</v>
      </c>
      <c r="E36" s="432" t="s">
        <v>3205</v>
      </c>
      <c r="F36" s="433" t="s">
        <v>3165</v>
      </c>
      <c r="G36" s="433" t="s">
        <v>3166</v>
      </c>
      <c r="H36" s="270" t="s">
        <v>1289</v>
      </c>
      <c r="I36" s="271" t="s">
        <v>1289</v>
      </c>
      <c r="J36" s="328" t="s">
        <v>3167</v>
      </c>
      <c r="K36" s="329" t="s">
        <v>3168</v>
      </c>
      <c r="L36" s="256">
        <f>CONTINUA!BV36</f>
        <v>0</v>
      </c>
      <c r="M36" s="256">
        <f>CONTINUA!BW36</f>
        <v>0</v>
      </c>
      <c r="N36" s="565"/>
      <c r="O36" s="566" t="s">
        <v>3316</v>
      </c>
      <c r="P36" s="567">
        <v>0</v>
      </c>
      <c r="Q36" s="319">
        <v>3</v>
      </c>
      <c r="R36" s="320"/>
      <c r="S36" s="319"/>
      <c r="T36" s="320"/>
      <c r="U36" s="807" t="s">
        <v>3376</v>
      </c>
      <c r="V36" s="808">
        <f>Q36+Q37+Q38</f>
        <v>28</v>
      </c>
      <c r="W36" s="853" t="s">
        <v>3381</v>
      </c>
      <c r="X36" s="854">
        <f>(R36+R37+R38+T36+T37+T38)</f>
        <v>0</v>
      </c>
      <c r="Y36" s="855" t="s">
        <v>3386</v>
      </c>
      <c r="Z36" s="854">
        <f>SUM(L36:L40)</f>
        <v>0</v>
      </c>
      <c r="AA36" s="813" t="s">
        <v>306</v>
      </c>
      <c r="AB36" s="814" t="s">
        <v>3388</v>
      </c>
      <c r="AC36" s="815" t="s">
        <v>19</v>
      </c>
      <c r="AD36" s="856"/>
      <c r="AE36" s="857" t="s">
        <v>3389</v>
      </c>
      <c r="AF36" s="858"/>
      <c r="AG36" s="842" t="s">
        <v>3393</v>
      </c>
      <c r="AH36" s="825" t="s">
        <v>3388</v>
      </c>
      <c r="AI36" s="826" t="s">
        <v>19</v>
      </c>
      <c r="AJ36" s="827"/>
      <c r="AK36" s="856">
        <v>1</v>
      </c>
      <c r="AL36" s="858"/>
      <c r="AM36" s="842" t="s">
        <v>3400</v>
      </c>
      <c r="AN36" s="825" t="s">
        <v>3388</v>
      </c>
      <c r="AO36" s="826" t="s">
        <v>19</v>
      </c>
      <c r="AP36" s="827"/>
      <c r="AQ36" s="856"/>
      <c r="AR36" s="858"/>
      <c r="AS36" s="841" t="s">
        <v>3401</v>
      </c>
      <c r="AT36" s="838"/>
      <c r="AU36" s="838"/>
      <c r="AV36" s="839"/>
      <c r="AW36" s="858"/>
      <c r="AX36" s="845" t="s">
        <v>3402</v>
      </c>
      <c r="AY36" s="858"/>
      <c r="AZ36" s="845" t="s">
        <v>3403</v>
      </c>
      <c r="BA36" s="846" t="s">
        <v>3404</v>
      </c>
      <c r="BB36" s="847" t="s">
        <v>3405</v>
      </c>
      <c r="BC36" s="848"/>
    </row>
    <row r="37" spans="1:55" s="89" customFormat="1" ht="22.5" customHeight="1" x14ac:dyDescent="0.2">
      <c r="A37" s="287" t="s">
        <v>3202</v>
      </c>
      <c r="B37" s="288" t="s">
        <v>3203</v>
      </c>
      <c r="C37" s="289" t="s">
        <v>3175</v>
      </c>
      <c r="D37" s="290" t="s">
        <v>3204</v>
      </c>
      <c r="E37" s="290" t="s">
        <v>3205</v>
      </c>
      <c r="F37" s="291" t="s">
        <v>3165</v>
      </c>
      <c r="G37" s="291" t="s">
        <v>3166</v>
      </c>
      <c r="H37" s="292" t="s">
        <v>1289</v>
      </c>
      <c r="I37" s="293" t="s">
        <v>1289</v>
      </c>
      <c r="J37" s="340" t="s">
        <v>3167</v>
      </c>
      <c r="K37" s="340" t="s">
        <v>3169</v>
      </c>
      <c r="L37" s="256">
        <f>CONTINUA!BV37</f>
        <v>0</v>
      </c>
      <c r="M37" s="256">
        <f>CONTINUA!BW37</f>
        <v>0</v>
      </c>
      <c r="N37" s="565"/>
      <c r="O37" s="566" t="s">
        <v>3316</v>
      </c>
      <c r="P37" s="567">
        <v>0</v>
      </c>
      <c r="Q37" s="319">
        <v>25</v>
      </c>
      <c r="R37" s="320"/>
      <c r="S37" s="319"/>
      <c r="T37" s="320"/>
      <c r="U37" s="809" t="s">
        <v>3377</v>
      </c>
      <c r="V37" s="859">
        <f>+S36+S37+S38</f>
        <v>0</v>
      </c>
      <c r="W37" s="810" t="s">
        <v>3382</v>
      </c>
      <c r="X37" s="860">
        <f>(Q39+S39)</f>
        <v>0</v>
      </c>
      <c r="Y37" s="812" t="s">
        <v>3387</v>
      </c>
      <c r="Z37" s="860">
        <f>SUM(M36:M40)</f>
        <v>0</v>
      </c>
      <c r="AA37" s="816" t="s">
        <v>3390</v>
      </c>
      <c r="AB37" s="817">
        <f>IF(X39&lt;=15,X39*385.23,0)/30</f>
        <v>0</v>
      </c>
      <c r="AC37" s="818"/>
      <c r="AD37" s="819">
        <f>SUM(AB37:AC39)</f>
        <v>403.84266666666667</v>
      </c>
      <c r="AE37" s="861"/>
      <c r="AF37" s="859"/>
      <c r="AG37" s="828" t="s">
        <v>3394</v>
      </c>
      <c r="AH37" s="829">
        <f>IF(V40=AK36,2043.65,0)/30</f>
        <v>0</v>
      </c>
      <c r="AI37" s="830"/>
      <c r="AJ37" s="831"/>
      <c r="AK37" s="862">
        <v>2</v>
      </c>
      <c r="AL37" s="859"/>
      <c r="AM37" s="828" t="s">
        <v>3397</v>
      </c>
      <c r="AN37" s="829">
        <f>IF(X37&lt;=AQ37,621.14*X37,0)/30</f>
        <v>0</v>
      </c>
      <c r="AO37" s="830"/>
      <c r="AP37" s="831"/>
      <c r="AQ37" s="862">
        <v>9</v>
      </c>
      <c r="AR37" s="859"/>
      <c r="AS37" s="830">
        <f>IF((SUM(V36:V39))&gt;=1,11465.63,0)/30</f>
        <v>382.18766666666664</v>
      </c>
      <c r="AT37" s="830">
        <f>IF((V36+V37)&gt;=1,(V36+V37)*385.23,0)/30</f>
        <v>359.548</v>
      </c>
      <c r="AU37" s="830">
        <f>IF((V38+V39)&gt;=1,(V38+V39)*2043.65,0)</f>
        <v>0</v>
      </c>
      <c r="AV37" s="828">
        <f>SUM(AS37:AU37)</f>
        <v>741.7356666666667</v>
      </c>
      <c r="AW37" s="859"/>
      <c r="AX37" s="843">
        <f>IF(X40&gt;0,X40*1.28,0)</f>
        <v>0</v>
      </c>
      <c r="AY37" s="859"/>
      <c r="AZ37" s="849" t="s">
        <v>19</v>
      </c>
      <c r="BA37" s="850" t="s">
        <v>3406</v>
      </c>
      <c r="BB37" s="851"/>
      <c r="BC37" s="838"/>
    </row>
    <row r="38" spans="1:55" s="89" customFormat="1" ht="22.5" customHeight="1" x14ac:dyDescent="0.2">
      <c r="A38" s="287" t="s">
        <v>3202</v>
      </c>
      <c r="B38" s="288" t="s">
        <v>3203</v>
      </c>
      <c r="C38" s="294" t="s">
        <v>3175</v>
      </c>
      <c r="D38" s="290" t="s">
        <v>3204</v>
      </c>
      <c r="E38" s="290" t="s">
        <v>3205</v>
      </c>
      <c r="F38" s="295" t="s">
        <v>3165</v>
      </c>
      <c r="G38" s="295" t="s">
        <v>3166</v>
      </c>
      <c r="H38" s="292" t="s">
        <v>1289</v>
      </c>
      <c r="I38" s="293" t="s">
        <v>1289</v>
      </c>
      <c r="J38" s="340" t="s">
        <v>3167</v>
      </c>
      <c r="K38" s="341" t="s">
        <v>3170</v>
      </c>
      <c r="L38" s="256">
        <f>CONTINUA!BV38</f>
        <v>0</v>
      </c>
      <c r="M38" s="256">
        <f>CONTINUA!BW38</f>
        <v>0</v>
      </c>
      <c r="N38" s="565"/>
      <c r="O38" s="566" t="s">
        <v>3316</v>
      </c>
      <c r="P38" s="567">
        <v>0</v>
      </c>
      <c r="Q38" s="319"/>
      <c r="R38" s="320"/>
      <c r="S38" s="319"/>
      <c r="T38" s="320"/>
      <c r="U38" s="809" t="s">
        <v>3378</v>
      </c>
      <c r="V38" s="859">
        <f>+R36+R37+R38</f>
        <v>0</v>
      </c>
      <c r="W38" s="811" t="s">
        <v>3383</v>
      </c>
      <c r="X38" s="860">
        <f>SUM(V36:V39)</f>
        <v>28</v>
      </c>
      <c r="Y38" s="859"/>
      <c r="Z38" s="859"/>
      <c r="AA38" s="863" t="s">
        <v>3391</v>
      </c>
      <c r="AB38" s="820"/>
      <c r="AC38" s="820">
        <f>IF(X39&gt;15,7492.52)/30</f>
        <v>249.75066666666669</v>
      </c>
      <c r="AD38" s="821"/>
      <c r="AE38" s="864">
        <v>15</v>
      </c>
      <c r="AF38" s="859"/>
      <c r="AG38" s="828" t="s">
        <v>3395</v>
      </c>
      <c r="AH38" s="829"/>
      <c r="AI38" s="832">
        <f>IF(V40&gt;=AK37,7492.52,0)/30</f>
        <v>0</v>
      </c>
      <c r="AJ38" s="833">
        <f>SUM(AH37:AI39)</f>
        <v>0</v>
      </c>
      <c r="AK38" s="862"/>
      <c r="AL38" s="859"/>
      <c r="AM38" s="828" t="s">
        <v>3398</v>
      </c>
      <c r="AN38" s="829"/>
      <c r="AO38" s="832">
        <f>IF(X37&gt;=AQ38,7492.52,0)/30</f>
        <v>0</v>
      </c>
      <c r="AP38" s="833">
        <f>SUM(AN37:AO39)</f>
        <v>0</v>
      </c>
      <c r="AQ38" s="862">
        <v>10</v>
      </c>
      <c r="AR38" s="859"/>
      <c r="AS38" s="830"/>
      <c r="AT38" s="830"/>
      <c r="AU38" s="830"/>
      <c r="AV38" s="828"/>
      <c r="AW38" s="859"/>
      <c r="AX38" s="843"/>
      <c r="AY38" s="859"/>
      <c r="AZ38" s="830" t="s">
        <v>3407</v>
      </c>
      <c r="BA38" s="829">
        <f>IF(Z36&gt;0,Z36*9.64,0)</f>
        <v>0</v>
      </c>
      <c r="BB38" s="865">
        <f>IF(Z37&gt;0,Z37*56.2,0)</f>
        <v>0</v>
      </c>
      <c r="BC38" s="830">
        <f>SUM(BA38:BB38)</f>
        <v>0</v>
      </c>
    </row>
    <row r="39" spans="1:55" s="89" customFormat="1" ht="22.5" customHeight="1" x14ac:dyDescent="0.2">
      <c r="A39" s="287" t="s">
        <v>3202</v>
      </c>
      <c r="B39" s="288" t="s">
        <v>3203</v>
      </c>
      <c r="C39" s="294" t="s">
        <v>3175</v>
      </c>
      <c r="D39" s="290" t="s">
        <v>3204</v>
      </c>
      <c r="E39" s="290" t="s">
        <v>3205</v>
      </c>
      <c r="F39" s="295" t="s">
        <v>3165</v>
      </c>
      <c r="G39" s="295" t="s">
        <v>3166</v>
      </c>
      <c r="H39" s="292" t="s">
        <v>1289</v>
      </c>
      <c r="I39" s="293" t="s">
        <v>1289</v>
      </c>
      <c r="J39" s="340" t="s">
        <v>3167</v>
      </c>
      <c r="K39" s="342" t="s">
        <v>3171</v>
      </c>
      <c r="L39" s="256">
        <f>CONTINUA!BV39</f>
        <v>0</v>
      </c>
      <c r="M39" s="256">
        <f>CONTINUA!BW39</f>
        <v>0</v>
      </c>
      <c r="N39" s="565"/>
      <c r="O39" s="566" t="s">
        <v>3316</v>
      </c>
      <c r="P39" s="567">
        <v>0</v>
      </c>
      <c r="Q39" s="319"/>
      <c r="R39" s="320"/>
      <c r="S39" s="319"/>
      <c r="T39" s="320"/>
      <c r="U39" s="809" t="s">
        <v>3379</v>
      </c>
      <c r="V39" s="866">
        <f>+T36+T37+T38</f>
        <v>0</v>
      </c>
      <c r="W39" s="812" t="s">
        <v>3384</v>
      </c>
      <c r="X39" s="860">
        <f>SUM(V36:V37)</f>
        <v>28</v>
      </c>
      <c r="Y39" s="866"/>
      <c r="Z39" s="866"/>
      <c r="AA39" s="822" t="s">
        <v>3392</v>
      </c>
      <c r="AB39" s="823">
        <f>((X39-16)*385.23)/30</f>
        <v>154.09200000000001</v>
      </c>
      <c r="AC39" s="823"/>
      <c r="AD39" s="824"/>
      <c r="AE39" s="864">
        <v>16</v>
      </c>
      <c r="AF39" s="866"/>
      <c r="AG39" s="834" t="s">
        <v>3396</v>
      </c>
      <c r="AH39" s="835">
        <f>IF(V40&gt;AK37,(V40-AK37)*2043.65,0)/30</f>
        <v>0</v>
      </c>
      <c r="AI39" s="836"/>
      <c r="AJ39" s="837"/>
      <c r="AK39" s="862"/>
      <c r="AL39" s="866"/>
      <c r="AM39" s="834" t="s">
        <v>3399</v>
      </c>
      <c r="AN39" s="835">
        <f>IF(X37&gt;AQ38,(X37-AQ38)*621.14,0)/30</f>
        <v>0</v>
      </c>
      <c r="AO39" s="836"/>
      <c r="AP39" s="837"/>
      <c r="AQ39" s="862"/>
      <c r="AR39" s="866"/>
      <c r="AS39" s="836"/>
      <c r="AT39" s="836"/>
      <c r="AU39" s="836"/>
      <c r="AV39" s="840"/>
      <c r="AW39" s="866"/>
      <c r="AX39" s="844"/>
      <c r="AY39" s="866"/>
      <c r="AZ39" s="836"/>
      <c r="BA39" s="835"/>
      <c r="BB39" s="852"/>
      <c r="BC39" s="836"/>
    </row>
    <row r="40" spans="1:55" s="89" customFormat="1" ht="22.5" customHeight="1" thickBot="1" x14ac:dyDescent="0.25">
      <c r="A40" s="296" t="s">
        <v>3202</v>
      </c>
      <c r="B40" s="297" t="s">
        <v>3203</v>
      </c>
      <c r="C40" s="298" t="s">
        <v>3175</v>
      </c>
      <c r="D40" s="299" t="s">
        <v>3204</v>
      </c>
      <c r="E40" s="299" t="s">
        <v>3205</v>
      </c>
      <c r="F40" s="300" t="s">
        <v>3165</v>
      </c>
      <c r="G40" s="300" t="s">
        <v>3166</v>
      </c>
      <c r="H40" s="301" t="s">
        <v>1289</v>
      </c>
      <c r="I40" s="302" t="s">
        <v>1289</v>
      </c>
      <c r="J40" s="340" t="s">
        <v>3167</v>
      </c>
      <c r="K40" s="343" t="s">
        <v>53</v>
      </c>
      <c r="L40" s="256">
        <f>CONTINUA!BV40</f>
        <v>0</v>
      </c>
      <c r="M40" s="256">
        <f>CONTINUA!BW40</f>
        <v>0</v>
      </c>
      <c r="N40" s="565"/>
      <c r="O40" s="566" t="s">
        <v>3316</v>
      </c>
      <c r="P40" s="567">
        <v>0</v>
      </c>
      <c r="Q40" s="319"/>
      <c r="R40" s="320"/>
      <c r="S40" s="319"/>
      <c r="T40" s="320"/>
      <c r="U40" s="867" t="s">
        <v>3380</v>
      </c>
      <c r="V40" s="868">
        <f>R36+R37+R38+R39+T36+T37+T38+T39</f>
        <v>0</v>
      </c>
      <c r="W40" s="812" t="s">
        <v>3385</v>
      </c>
      <c r="X40" s="869">
        <f>SUM(N36:N40)</f>
        <v>0</v>
      </c>
      <c r="Y40" s="868"/>
      <c r="Z40" s="868"/>
      <c r="AA40" s="868"/>
      <c r="AB40" s="868"/>
      <c r="AC40" s="868"/>
      <c r="AD40" s="868"/>
      <c r="AE40" s="868"/>
      <c r="AF40" s="868"/>
      <c r="AG40" s="868"/>
      <c r="AH40" s="868"/>
      <c r="AI40" s="868"/>
      <c r="AJ40" s="868"/>
      <c r="AK40" s="868"/>
      <c r="AL40" s="868"/>
      <c r="AM40" s="868"/>
      <c r="AN40" s="868"/>
      <c r="AO40" s="868"/>
      <c r="AP40" s="868"/>
      <c r="AQ40" s="868"/>
      <c r="AR40" s="868"/>
      <c r="AS40" s="868"/>
      <c r="AT40" s="868"/>
      <c r="AU40" s="868"/>
      <c r="AV40" s="868"/>
      <c r="AW40" s="868"/>
      <c r="AX40" s="868"/>
      <c r="AY40" s="868"/>
      <c r="AZ40" s="868"/>
      <c r="BA40" s="868"/>
      <c r="BB40" s="868"/>
      <c r="BC40" s="870"/>
    </row>
    <row r="41" spans="1:55" s="89" customFormat="1" ht="22.5" customHeight="1" x14ac:dyDescent="0.35">
      <c r="A41" t="s">
        <v>3206</v>
      </c>
      <c r="B41" s="430" t="s">
        <v>3207</v>
      </c>
      <c r="C41" s="431">
        <v>1</v>
      </c>
      <c r="D41" s="432" t="s">
        <v>3208</v>
      </c>
      <c r="E41" s="432" t="s">
        <v>3209</v>
      </c>
      <c r="F41" s="433" t="s">
        <v>3165</v>
      </c>
      <c r="G41" s="433" t="s">
        <v>3166</v>
      </c>
      <c r="H41" s="270" t="s">
        <v>1292</v>
      </c>
      <c r="I41" s="271" t="s">
        <v>1292</v>
      </c>
      <c r="J41" s="328" t="s">
        <v>3167</v>
      </c>
      <c r="K41" s="329" t="s">
        <v>3168</v>
      </c>
      <c r="L41" s="256">
        <f>CONTINUA!BV41</f>
        <v>0</v>
      </c>
      <c r="M41" s="256">
        <f>CONTINUA!BW41</f>
        <v>0</v>
      </c>
      <c r="N41" s="565"/>
      <c r="O41" s="566" t="s">
        <v>3317</v>
      </c>
      <c r="P41" s="567">
        <v>0</v>
      </c>
      <c r="Q41" s="319">
        <v>1</v>
      </c>
      <c r="R41" s="320"/>
      <c r="S41" s="319"/>
      <c r="T41" s="320"/>
      <c r="U41" s="807" t="s">
        <v>3376</v>
      </c>
      <c r="V41" s="808">
        <f>Q41+Q42+Q43</f>
        <v>36</v>
      </c>
      <c r="W41" s="853" t="s">
        <v>3381</v>
      </c>
      <c r="X41" s="854">
        <f>(R41+R42+R43+T41+T42+T43)</f>
        <v>0</v>
      </c>
      <c r="Y41" s="855" t="s">
        <v>3386</v>
      </c>
      <c r="Z41" s="854">
        <f>SUM(L41:L45)</f>
        <v>15</v>
      </c>
      <c r="AA41" s="813" t="s">
        <v>306</v>
      </c>
      <c r="AB41" s="814" t="s">
        <v>3388</v>
      </c>
      <c r="AC41" s="815" t="s">
        <v>19</v>
      </c>
      <c r="AD41" s="856"/>
      <c r="AE41" s="857" t="s">
        <v>3389</v>
      </c>
      <c r="AF41" s="858"/>
      <c r="AG41" s="842" t="s">
        <v>3393</v>
      </c>
      <c r="AH41" s="825" t="s">
        <v>3388</v>
      </c>
      <c r="AI41" s="826" t="s">
        <v>19</v>
      </c>
      <c r="AJ41" s="827"/>
      <c r="AK41" s="856">
        <v>1</v>
      </c>
      <c r="AL41" s="858"/>
      <c r="AM41" s="842" t="s">
        <v>3400</v>
      </c>
      <c r="AN41" s="825" t="s">
        <v>3388</v>
      </c>
      <c r="AO41" s="826" t="s">
        <v>19</v>
      </c>
      <c r="AP41" s="827"/>
      <c r="AQ41" s="856"/>
      <c r="AR41" s="858"/>
      <c r="AS41" s="841" t="s">
        <v>3401</v>
      </c>
      <c r="AT41" s="838"/>
      <c r="AU41" s="838"/>
      <c r="AV41" s="839"/>
      <c r="AW41" s="858"/>
      <c r="AX41" s="845" t="s">
        <v>3402</v>
      </c>
      <c r="AY41" s="858"/>
      <c r="AZ41" s="845" t="s">
        <v>3403</v>
      </c>
      <c r="BA41" s="846" t="s">
        <v>3404</v>
      </c>
      <c r="BB41" s="847" t="s">
        <v>3405</v>
      </c>
      <c r="BC41" s="848"/>
    </row>
    <row r="42" spans="1:55" s="89" customFormat="1" ht="22.5" customHeight="1" x14ac:dyDescent="0.2">
      <c r="A42" s="287" t="s">
        <v>3206</v>
      </c>
      <c r="B42" s="288" t="s">
        <v>3207</v>
      </c>
      <c r="C42" s="289" t="s">
        <v>3175</v>
      </c>
      <c r="D42" s="290" t="s">
        <v>3208</v>
      </c>
      <c r="E42" s="290" t="s">
        <v>3209</v>
      </c>
      <c r="F42" s="291" t="s">
        <v>3165</v>
      </c>
      <c r="G42" s="291" t="s">
        <v>3166</v>
      </c>
      <c r="H42" s="292" t="s">
        <v>1292</v>
      </c>
      <c r="I42" s="293" t="s">
        <v>1292</v>
      </c>
      <c r="J42" s="340" t="s">
        <v>3167</v>
      </c>
      <c r="K42" s="340" t="s">
        <v>3169</v>
      </c>
      <c r="L42" s="256">
        <f>CONTINUA!BV42</f>
        <v>15</v>
      </c>
      <c r="M42" s="256">
        <f>CONTINUA!BW42</f>
        <v>0</v>
      </c>
      <c r="N42" s="565"/>
      <c r="O42" s="566" t="s">
        <v>3317</v>
      </c>
      <c r="P42" s="567">
        <v>0</v>
      </c>
      <c r="Q42" s="319">
        <v>35</v>
      </c>
      <c r="R42" s="320"/>
      <c r="S42" s="319">
        <v>5</v>
      </c>
      <c r="T42" s="320"/>
      <c r="U42" s="809" t="s">
        <v>3377</v>
      </c>
      <c r="V42" s="859">
        <f>+S41+S42+S43</f>
        <v>5</v>
      </c>
      <c r="W42" s="810" t="s">
        <v>3382</v>
      </c>
      <c r="X42" s="860">
        <f>(Q44+S44)</f>
        <v>0</v>
      </c>
      <c r="Y42" s="812" t="s">
        <v>3387</v>
      </c>
      <c r="Z42" s="860">
        <f>SUM(M41:M45)</f>
        <v>0</v>
      </c>
      <c r="AA42" s="816" t="s">
        <v>3390</v>
      </c>
      <c r="AB42" s="817">
        <f>IF(X44&lt;=15,X44*385.23,0)/30</f>
        <v>0</v>
      </c>
      <c r="AC42" s="818"/>
      <c r="AD42" s="819">
        <f>SUM(AB42:AC44)</f>
        <v>570.77566666666667</v>
      </c>
      <c r="AE42" s="861"/>
      <c r="AF42" s="859"/>
      <c r="AG42" s="828" t="s">
        <v>3394</v>
      </c>
      <c r="AH42" s="829">
        <f>IF(V45=AK41,2043.65,0)/30</f>
        <v>0</v>
      </c>
      <c r="AI42" s="830"/>
      <c r="AJ42" s="831"/>
      <c r="AK42" s="862">
        <v>2</v>
      </c>
      <c r="AL42" s="859"/>
      <c r="AM42" s="828" t="s">
        <v>3397</v>
      </c>
      <c r="AN42" s="829">
        <f>IF(X42&lt;=AQ42,621.14*X42,0)/30</f>
        <v>0</v>
      </c>
      <c r="AO42" s="830"/>
      <c r="AP42" s="831"/>
      <c r="AQ42" s="862">
        <v>9</v>
      </c>
      <c r="AR42" s="859"/>
      <c r="AS42" s="830">
        <f>IF((SUM(V41:V44))&gt;=1,11465.63,0)/30</f>
        <v>382.18766666666664</v>
      </c>
      <c r="AT42" s="830">
        <f>IF((V41+V42)&gt;=1,(V41+V42)*385.23,0)/30</f>
        <v>526.48099999999999</v>
      </c>
      <c r="AU42" s="830">
        <f>IF((V43+V44)&gt;=1,(V43+V44)*2043.65,0)</f>
        <v>0</v>
      </c>
      <c r="AV42" s="828">
        <f>SUM(AS42:AU42)</f>
        <v>908.6686666666667</v>
      </c>
      <c r="AW42" s="859"/>
      <c r="AX42" s="843">
        <f>IF(X45&gt;0,X45*1.28,0)</f>
        <v>0</v>
      </c>
      <c r="AY42" s="859"/>
      <c r="AZ42" s="849" t="s">
        <v>19</v>
      </c>
      <c r="BA42" s="850" t="s">
        <v>3406</v>
      </c>
      <c r="BB42" s="851"/>
      <c r="BC42" s="838"/>
    </row>
    <row r="43" spans="1:55" s="89" customFormat="1" ht="22.5" customHeight="1" x14ac:dyDescent="0.2">
      <c r="A43" s="287" t="s">
        <v>3206</v>
      </c>
      <c r="B43" s="288" t="s">
        <v>3207</v>
      </c>
      <c r="C43" s="294" t="s">
        <v>3175</v>
      </c>
      <c r="D43" s="290" t="s">
        <v>3208</v>
      </c>
      <c r="E43" s="290" t="s">
        <v>3209</v>
      </c>
      <c r="F43" s="295" t="s">
        <v>3165</v>
      </c>
      <c r="G43" s="295" t="s">
        <v>3166</v>
      </c>
      <c r="H43" s="292" t="s">
        <v>1292</v>
      </c>
      <c r="I43" s="293" t="s">
        <v>1292</v>
      </c>
      <c r="J43" s="340" t="s">
        <v>3167</v>
      </c>
      <c r="K43" s="341" t="s">
        <v>3170</v>
      </c>
      <c r="L43" s="256">
        <f>CONTINUA!BV43</f>
        <v>0</v>
      </c>
      <c r="M43" s="256">
        <f>CONTINUA!BW43</f>
        <v>0</v>
      </c>
      <c r="N43" s="565"/>
      <c r="O43" s="566" t="s">
        <v>3317</v>
      </c>
      <c r="P43" s="567">
        <v>0</v>
      </c>
      <c r="Q43" s="319"/>
      <c r="R43" s="320"/>
      <c r="S43" s="319"/>
      <c r="T43" s="320"/>
      <c r="U43" s="809" t="s">
        <v>3378</v>
      </c>
      <c r="V43" s="859">
        <f>+R41+R42+R43</f>
        <v>0</v>
      </c>
      <c r="W43" s="811" t="s">
        <v>3383</v>
      </c>
      <c r="X43" s="860">
        <f>SUM(V41:V44)</f>
        <v>41</v>
      </c>
      <c r="Y43" s="859"/>
      <c r="Z43" s="859"/>
      <c r="AA43" s="863" t="s">
        <v>3391</v>
      </c>
      <c r="AB43" s="820"/>
      <c r="AC43" s="820">
        <f>IF(X44&gt;15,7492.52)/30</f>
        <v>249.75066666666669</v>
      </c>
      <c r="AD43" s="821"/>
      <c r="AE43" s="864">
        <v>15</v>
      </c>
      <c r="AF43" s="859"/>
      <c r="AG43" s="828" t="s">
        <v>3395</v>
      </c>
      <c r="AH43" s="829"/>
      <c r="AI43" s="832">
        <f>IF(V45&gt;=AK42,7492.52,0)/30</f>
        <v>0</v>
      </c>
      <c r="AJ43" s="833">
        <f>SUM(AH42:AI44)</f>
        <v>0</v>
      </c>
      <c r="AK43" s="862"/>
      <c r="AL43" s="859"/>
      <c r="AM43" s="828" t="s">
        <v>3398</v>
      </c>
      <c r="AN43" s="829"/>
      <c r="AO43" s="832">
        <f>IF(X42&gt;=AQ43,7492.52,0)/30</f>
        <v>0</v>
      </c>
      <c r="AP43" s="833">
        <f>SUM(AN42:AO44)</f>
        <v>0</v>
      </c>
      <c r="AQ43" s="862">
        <v>10</v>
      </c>
      <c r="AR43" s="859"/>
      <c r="AS43" s="830"/>
      <c r="AT43" s="830"/>
      <c r="AU43" s="830"/>
      <c r="AV43" s="828"/>
      <c r="AW43" s="859"/>
      <c r="AX43" s="843"/>
      <c r="AY43" s="859"/>
      <c r="AZ43" s="830" t="s">
        <v>3407</v>
      </c>
      <c r="BA43" s="829">
        <f>IF(Z41&gt;0,Z41*9.64,0)</f>
        <v>144.60000000000002</v>
      </c>
      <c r="BB43" s="865">
        <f>IF(Z42&gt;0,Z42*56.2,0)</f>
        <v>0</v>
      </c>
      <c r="BC43" s="830">
        <f>SUM(BA43:BB43)</f>
        <v>144.60000000000002</v>
      </c>
    </row>
    <row r="44" spans="1:55" s="89" customFormat="1" ht="22.5" customHeight="1" x14ac:dyDescent="0.2">
      <c r="A44" s="287" t="s">
        <v>3206</v>
      </c>
      <c r="B44" s="288" t="s">
        <v>3207</v>
      </c>
      <c r="C44" s="294" t="s">
        <v>3175</v>
      </c>
      <c r="D44" s="290" t="s">
        <v>3208</v>
      </c>
      <c r="E44" s="290" t="s">
        <v>3209</v>
      </c>
      <c r="F44" s="295" t="s">
        <v>3165</v>
      </c>
      <c r="G44" s="295" t="s">
        <v>3166</v>
      </c>
      <c r="H44" s="292" t="s">
        <v>1292</v>
      </c>
      <c r="I44" s="293" t="s">
        <v>1292</v>
      </c>
      <c r="J44" s="340" t="s">
        <v>3167</v>
      </c>
      <c r="K44" s="342" t="s">
        <v>3171</v>
      </c>
      <c r="L44" s="256">
        <f>CONTINUA!BV44</f>
        <v>0</v>
      </c>
      <c r="M44" s="256">
        <f>CONTINUA!BW44</f>
        <v>0</v>
      </c>
      <c r="N44" s="565"/>
      <c r="O44" s="566" t="s">
        <v>3317</v>
      </c>
      <c r="P44" s="567">
        <v>0</v>
      </c>
      <c r="Q44" s="319"/>
      <c r="R44" s="320"/>
      <c r="S44" s="319"/>
      <c r="T44" s="320"/>
      <c r="U44" s="809" t="s">
        <v>3379</v>
      </c>
      <c r="V44" s="866">
        <f>+T41+T42+T43</f>
        <v>0</v>
      </c>
      <c r="W44" s="812" t="s">
        <v>3384</v>
      </c>
      <c r="X44" s="860">
        <f>SUM(V41:V42)</f>
        <v>41</v>
      </c>
      <c r="Y44" s="866"/>
      <c r="Z44" s="866"/>
      <c r="AA44" s="822" t="s">
        <v>3392</v>
      </c>
      <c r="AB44" s="823">
        <f>((X44-16)*385.23)/30</f>
        <v>321.02499999999998</v>
      </c>
      <c r="AC44" s="823"/>
      <c r="AD44" s="824"/>
      <c r="AE44" s="864">
        <v>16</v>
      </c>
      <c r="AF44" s="866"/>
      <c r="AG44" s="834" t="s">
        <v>3396</v>
      </c>
      <c r="AH44" s="835">
        <f>IF(V45&gt;AK42,(V45-AK42)*2043.65,0)/30</f>
        <v>0</v>
      </c>
      <c r="AI44" s="836"/>
      <c r="AJ44" s="837"/>
      <c r="AK44" s="862"/>
      <c r="AL44" s="866"/>
      <c r="AM44" s="834" t="s">
        <v>3399</v>
      </c>
      <c r="AN44" s="835">
        <f>IF(X42&gt;AQ43,(X42-AQ43)*621.14,0)/30</f>
        <v>0</v>
      </c>
      <c r="AO44" s="836"/>
      <c r="AP44" s="837"/>
      <c r="AQ44" s="862"/>
      <c r="AR44" s="866"/>
      <c r="AS44" s="836"/>
      <c r="AT44" s="836"/>
      <c r="AU44" s="836"/>
      <c r="AV44" s="840"/>
      <c r="AW44" s="866"/>
      <c r="AX44" s="844"/>
      <c r="AY44" s="866"/>
      <c r="AZ44" s="836"/>
      <c r="BA44" s="835"/>
      <c r="BB44" s="852"/>
      <c r="BC44" s="836"/>
    </row>
    <row r="45" spans="1:55" s="89" customFormat="1" ht="22.5" customHeight="1" thickBot="1" x14ac:dyDescent="0.25">
      <c r="A45" s="296" t="s">
        <v>3206</v>
      </c>
      <c r="B45" s="297" t="s">
        <v>3207</v>
      </c>
      <c r="C45" s="298" t="s">
        <v>3175</v>
      </c>
      <c r="D45" s="299" t="s">
        <v>3208</v>
      </c>
      <c r="E45" s="299" t="s">
        <v>3209</v>
      </c>
      <c r="F45" s="300" t="s">
        <v>3165</v>
      </c>
      <c r="G45" s="300" t="s">
        <v>3166</v>
      </c>
      <c r="H45" s="301" t="s">
        <v>1292</v>
      </c>
      <c r="I45" s="302" t="s">
        <v>1292</v>
      </c>
      <c r="J45" s="340" t="s">
        <v>3167</v>
      </c>
      <c r="K45" s="343" t="s">
        <v>53</v>
      </c>
      <c r="L45" s="256">
        <f>CONTINUA!BV45</f>
        <v>0</v>
      </c>
      <c r="M45" s="256">
        <f>CONTINUA!BW45</f>
        <v>0</v>
      </c>
      <c r="N45" s="565"/>
      <c r="O45" s="566" t="s">
        <v>3317</v>
      </c>
      <c r="P45" s="567">
        <v>0</v>
      </c>
      <c r="Q45" s="319"/>
      <c r="R45" s="320"/>
      <c r="S45" s="319"/>
      <c r="T45" s="320"/>
      <c r="U45" s="867" t="s">
        <v>3380</v>
      </c>
      <c r="V45" s="868">
        <f>R41+R42+R43+R44+T41+T42+T43+T44</f>
        <v>0</v>
      </c>
      <c r="W45" s="812" t="s">
        <v>3385</v>
      </c>
      <c r="X45" s="869">
        <f>SUM(N41:N45)</f>
        <v>0</v>
      </c>
      <c r="Y45" s="868"/>
      <c r="Z45" s="868"/>
      <c r="AA45" s="868"/>
      <c r="AB45" s="868"/>
      <c r="AC45" s="868"/>
      <c r="AD45" s="868"/>
      <c r="AE45" s="868"/>
      <c r="AF45" s="868"/>
      <c r="AG45" s="868"/>
      <c r="AH45" s="868"/>
      <c r="AI45" s="868"/>
      <c r="AJ45" s="868"/>
      <c r="AK45" s="868"/>
      <c r="AL45" s="868"/>
      <c r="AM45" s="868"/>
      <c r="AN45" s="868"/>
      <c r="AO45" s="868"/>
      <c r="AP45" s="868"/>
      <c r="AQ45" s="868"/>
      <c r="AR45" s="868"/>
      <c r="AS45" s="868"/>
      <c r="AT45" s="868"/>
      <c r="AU45" s="868"/>
      <c r="AV45" s="868"/>
      <c r="AW45" s="868"/>
      <c r="AX45" s="868"/>
      <c r="AY45" s="868"/>
      <c r="AZ45" s="868"/>
      <c r="BA45" s="868"/>
      <c r="BB45" s="868"/>
      <c r="BC45" s="870"/>
    </row>
    <row r="46" spans="1:55" s="89" customFormat="1" ht="22.5" customHeight="1" x14ac:dyDescent="0.35">
      <c r="A46" t="s">
        <v>3210</v>
      </c>
      <c r="B46" s="430" t="s">
        <v>3211</v>
      </c>
      <c r="C46" s="431">
        <v>1</v>
      </c>
      <c r="D46" s="432" t="s">
        <v>3212</v>
      </c>
      <c r="E46" s="432" t="s">
        <v>3213</v>
      </c>
      <c r="F46" s="433" t="s">
        <v>3165</v>
      </c>
      <c r="G46" s="433" t="s">
        <v>3166</v>
      </c>
      <c r="H46" s="270" t="s">
        <v>1294</v>
      </c>
      <c r="I46" s="271" t="s">
        <v>1294</v>
      </c>
      <c r="J46" s="328" t="s">
        <v>3167</v>
      </c>
      <c r="K46" s="329" t="s">
        <v>3168</v>
      </c>
      <c r="L46" s="256">
        <f>CONTINUA!BV46</f>
        <v>0</v>
      </c>
      <c r="M46" s="256">
        <f>CONTINUA!BW46</f>
        <v>0</v>
      </c>
      <c r="N46" s="565"/>
      <c r="O46" s="566" t="s">
        <v>3318</v>
      </c>
      <c r="P46" s="567">
        <v>0</v>
      </c>
      <c r="Q46" s="319">
        <v>59</v>
      </c>
      <c r="R46" s="320"/>
      <c r="S46" s="319"/>
      <c r="T46" s="320"/>
      <c r="U46" s="807" t="s">
        <v>3376</v>
      </c>
      <c r="V46" s="808">
        <f>Q46+Q47+Q48</f>
        <v>59</v>
      </c>
      <c r="W46" s="853" t="s">
        <v>3381</v>
      </c>
      <c r="X46" s="854">
        <f>(R46+R47+R48+T46+T47+T48)</f>
        <v>0</v>
      </c>
      <c r="Y46" s="855" t="s">
        <v>3386</v>
      </c>
      <c r="Z46" s="854">
        <f>SUM(L46:L50)</f>
        <v>0</v>
      </c>
      <c r="AA46" s="813" t="s">
        <v>306</v>
      </c>
      <c r="AB46" s="814" t="s">
        <v>3388</v>
      </c>
      <c r="AC46" s="815" t="s">
        <v>19</v>
      </c>
      <c r="AD46" s="856"/>
      <c r="AE46" s="857" t="s">
        <v>3389</v>
      </c>
      <c r="AF46" s="858"/>
      <c r="AG46" s="842" t="s">
        <v>3393</v>
      </c>
      <c r="AH46" s="825" t="s">
        <v>3388</v>
      </c>
      <c r="AI46" s="826" t="s">
        <v>19</v>
      </c>
      <c r="AJ46" s="827"/>
      <c r="AK46" s="856">
        <v>1</v>
      </c>
      <c r="AL46" s="858"/>
      <c r="AM46" s="842" t="s">
        <v>3400</v>
      </c>
      <c r="AN46" s="825" t="s">
        <v>3388</v>
      </c>
      <c r="AO46" s="826" t="s">
        <v>19</v>
      </c>
      <c r="AP46" s="827"/>
      <c r="AQ46" s="856"/>
      <c r="AR46" s="858"/>
      <c r="AS46" s="841" t="s">
        <v>3401</v>
      </c>
      <c r="AT46" s="838"/>
      <c r="AU46" s="838"/>
      <c r="AV46" s="839"/>
      <c r="AW46" s="858"/>
      <c r="AX46" s="845" t="s">
        <v>3402</v>
      </c>
      <c r="AY46" s="858"/>
      <c r="AZ46" s="845" t="s">
        <v>3403</v>
      </c>
      <c r="BA46" s="846" t="s">
        <v>3404</v>
      </c>
      <c r="BB46" s="847" t="s">
        <v>3405</v>
      </c>
      <c r="BC46" s="848"/>
    </row>
    <row r="47" spans="1:55" s="89" customFormat="1" ht="22.5" customHeight="1" x14ac:dyDescent="0.2">
      <c r="A47" s="287" t="s">
        <v>3210</v>
      </c>
      <c r="B47" s="288" t="s">
        <v>3211</v>
      </c>
      <c r="C47" s="289" t="s">
        <v>3175</v>
      </c>
      <c r="D47" s="290" t="s">
        <v>3212</v>
      </c>
      <c r="E47" s="290" t="s">
        <v>3213</v>
      </c>
      <c r="F47" s="291" t="s">
        <v>3165</v>
      </c>
      <c r="G47" s="291" t="s">
        <v>3166</v>
      </c>
      <c r="H47" s="292" t="s">
        <v>1294</v>
      </c>
      <c r="I47" s="293" t="s">
        <v>1294</v>
      </c>
      <c r="J47" s="340" t="s">
        <v>3167</v>
      </c>
      <c r="K47" s="340" t="s">
        <v>3169</v>
      </c>
      <c r="L47" s="256">
        <f>CONTINUA!BV47</f>
        <v>0</v>
      </c>
      <c r="M47" s="256">
        <f>CONTINUA!BW47</f>
        <v>0</v>
      </c>
      <c r="N47" s="565"/>
      <c r="O47" s="566" t="s">
        <v>3318</v>
      </c>
      <c r="P47" s="567">
        <v>0</v>
      </c>
      <c r="Q47" s="319"/>
      <c r="R47" s="320"/>
      <c r="S47" s="319"/>
      <c r="T47" s="320"/>
      <c r="U47" s="809" t="s">
        <v>3377</v>
      </c>
      <c r="V47" s="859">
        <f>+S46+S47+S48</f>
        <v>0</v>
      </c>
      <c r="W47" s="810" t="s">
        <v>3382</v>
      </c>
      <c r="X47" s="860">
        <f>(Q49+S49)</f>
        <v>0</v>
      </c>
      <c r="Y47" s="812" t="s">
        <v>3387</v>
      </c>
      <c r="Z47" s="860">
        <f>SUM(M46:M50)</f>
        <v>0</v>
      </c>
      <c r="AA47" s="816" t="s">
        <v>3390</v>
      </c>
      <c r="AB47" s="817">
        <f>IF(X49&lt;=15,X49*385.23,0)/30</f>
        <v>0</v>
      </c>
      <c r="AC47" s="818"/>
      <c r="AD47" s="819">
        <f>SUM(AB47:AC49)</f>
        <v>801.9136666666667</v>
      </c>
      <c r="AE47" s="861"/>
      <c r="AF47" s="859"/>
      <c r="AG47" s="828" t="s">
        <v>3394</v>
      </c>
      <c r="AH47" s="829">
        <f>IF(V50=AK46,2043.65,0)/30</f>
        <v>0</v>
      </c>
      <c r="AI47" s="830"/>
      <c r="AJ47" s="831"/>
      <c r="AK47" s="862">
        <v>2</v>
      </c>
      <c r="AL47" s="859"/>
      <c r="AM47" s="828" t="s">
        <v>3397</v>
      </c>
      <c r="AN47" s="829">
        <f>IF(X47&lt;=AQ47,621.14*X47,0)/30</f>
        <v>0</v>
      </c>
      <c r="AO47" s="830"/>
      <c r="AP47" s="831"/>
      <c r="AQ47" s="862">
        <v>9</v>
      </c>
      <c r="AR47" s="859"/>
      <c r="AS47" s="830">
        <f>IF((SUM(V46:V49))&gt;=1,11465.63,0)/30</f>
        <v>382.18766666666664</v>
      </c>
      <c r="AT47" s="830">
        <f>IF((V46+V47)&gt;=1,(V46+V47)*385.23,0)/30</f>
        <v>757.61900000000003</v>
      </c>
      <c r="AU47" s="830">
        <f>IF((V48+V49)&gt;=1,(V48+V49)*2043.65,0)</f>
        <v>0</v>
      </c>
      <c r="AV47" s="828">
        <f>SUM(AS47:AU47)</f>
        <v>1139.8066666666666</v>
      </c>
      <c r="AW47" s="859"/>
      <c r="AX47" s="843">
        <f>IF(X50&gt;0,X50*1.28,0)</f>
        <v>0</v>
      </c>
      <c r="AY47" s="859"/>
      <c r="AZ47" s="849" t="s">
        <v>19</v>
      </c>
      <c r="BA47" s="850" t="s">
        <v>3406</v>
      </c>
      <c r="BB47" s="851"/>
      <c r="BC47" s="838"/>
    </row>
    <row r="48" spans="1:55" s="89" customFormat="1" ht="22.5" customHeight="1" x14ac:dyDescent="0.2">
      <c r="A48" s="287" t="s">
        <v>3210</v>
      </c>
      <c r="B48" s="288" t="s">
        <v>3211</v>
      </c>
      <c r="C48" s="294" t="s">
        <v>3175</v>
      </c>
      <c r="D48" s="290" t="s">
        <v>3212</v>
      </c>
      <c r="E48" s="290" t="s">
        <v>3213</v>
      </c>
      <c r="F48" s="295" t="s">
        <v>3165</v>
      </c>
      <c r="G48" s="295" t="s">
        <v>3166</v>
      </c>
      <c r="H48" s="292" t="s">
        <v>1294</v>
      </c>
      <c r="I48" s="293" t="s">
        <v>1294</v>
      </c>
      <c r="J48" s="340" t="s">
        <v>3167</v>
      </c>
      <c r="K48" s="341" t="s">
        <v>3170</v>
      </c>
      <c r="L48" s="256">
        <f>CONTINUA!BV48</f>
        <v>0</v>
      </c>
      <c r="M48" s="256">
        <f>CONTINUA!BW48</f>
        <v>0</v>
      </c>
      <c r="N48" s="565"/>
      <c r="O48" s="566" t="s">
        <v>3318</v>
      </c>
      <c r="P48" s="567">
        <v>0</v>
      </c>
      <c r="Q48" s="319"/>
      <c r="R48" s="320"/>
      <c r="S48" s="319"/>
      <c r="T48" s="320"/>
      <c r="U48" s="809" t="s">
        <v>3378</v>
      </c>
      <c r="V48" s="859">
        <f>+R46+R47+R48</f>
        <v>0</v>
      </c>
      <c r="W48" s="811" t="s">
        <v>3383</v>
      </c>
      <c r="X48" s="860">
        <f>SUM(V46:V49)</f>
        <v>59</v>
      </c>
      <c r="Y48" s="859"/>
      <c r="Z48" s="859"/>
      <c r="AA48" s="863" t="s">
        <v>3391</v>
      </c>
      <c r="AB48" s="820"/>
      <c r="AC48" s="820">
        <f>IF(X49&gt;15,7492.52)/30</f>
        <v>249.75066666666669</v>
      </c>
      <c r="AD48" s="821"/>
      <c r="AE48" s="864">
        <v>15</v>
      </c>
      <c r="AF48" s="859"/>
      <c r="AG48" s="828" t="s">
        <v>3395</v>
      </c>
      <c r="AH48" s="829"/>
      <c r="AI48" s="832">
        <f>IF(V50&gt;=AK47,7492.52,0)/30</f>
        <v>0</v>
      </c>
      <c r="AJ48" s="833">
        <f>SUM(AH47:AI49)</f>
        <v>0</v>
      </c>
      <c r="AK48" s="862"/>
      <c r="AL48" s="859"/>
      <c r="AM48" s="828" t="s">
        <v>3398</v>
      </c>
      <c r="AN48" s="829"/>
      <c r="AO48" s="832">
        <f>IF(X47&gt;=AQ48,7492.52,0)/30</f>
        <v>0</v>
      </c>
      <c r="AP48" s="833">
        <f>SUM(AN47:AO49)</f>
        <v>0</v>
      </c>
      <c r="AQ48" s="862">
        <v>10</v>
      </c>
      <c r="AR48" s="859"/>
      <c r="AS48" s="830"/>
      <c r="AT48" s="830"/>
      <c r="AU48" s="830"/>
      <c r="AV48" s="828"/>
      <c r="AW48" s="859"/>
      <c r="AX48" s="843"/>
      <c r="AY48" s="859"/>
      <c r="AZ48" s="830" t="s">
        <v>3407</v>
      </c>
      <c r="BA48" s="829">
        <f>IF(Z46&gt;0,Z46*9.64,0)</f>
        <v>0</v>
      </c>
      <c r="BB48" s="865">
        <f>IF(Z47&gt;0,Z47*56.2,0)</f>
        <v>0</v>
      </c>
      <c r="BC48" s="830">
        <f>SUM(BA48:BB48)</f>
        <v>0</v>
      </c>
    </row>
    <row r="49" spans="1:55" s="89" customFormat="1" ht="22.5" customHeight="1" x14ac:dyDescent="0.2">
      <c r="A49" s="287" t="s">
        <v>3210</v>
      </c>
      <c r="B49" s="288" t="s">
        <v>3211</v>
      </c>
      <c r="C49" s="294" t="s">
        <v>3175</v>
      </c>
      <c r="D49" s="290" t="s">
        <v>3212</v>
      </c>
      <c r="E49" s="290" t="s">
        <v>3213</v>
      </c>
      <c r="F49" s="295" t="s">
        <v>3165</v>
      </c>
      <c r="G49" s="295" t="s">
        <v>3166</v>
      </c>
      <c r="H49" s="292" t="s">
        <v>1294</v>
      </c>
      <c r="I49" s="293" t="s">
        <v>1294</v>
      </c>
      <c r="J49" s="340" t="s">
        <v>3167</v>
      </c>
      <c r="K49" s="342" t="s">
        <v>3171</v>
      </c>
      <c r="L49" s="256">
        <f>CONTINUA!BV49</f>
        <v>0</v>
      </c>
      <c r="M49" s="256">
        <f>CONTINUA!BW49</f>
        <v>0</v>
      </c>
      <c r="N49" s="565"/>
      <c r="O49" s="566" t="s">
        <v>3318</v>
      </c>
      <c r="P49" s="567">
        <v>0</v>
      </c>
      <c r="Q49" s="319"/>
      <c r="R49" s="320"/>
      <c r="S49" s="319"/>
      <c r="T49" s="320"/>
      <c r="U49" s="809" t="s">
        <v>3379</v>
      </c>
      <c r="V49" s="866">
        <f>+T46+T47+T48</f>
        <v>0</v>
      </c>
      <c r="W49" s="812" t="s">
        <v>3384</v>
      </c>
      <c r="X49" s="860">
        <f>SUM(V46:V47)</f>
        <v>59</v>
      </c>
      <c r="Y49" s="866"/>
      <c r="Z49" s="866"/>
      <c r="AA49" s="822" t="s">
        <v>3392</v>
      </c>
      <c r="AB49" s="823">
        <f>((X49-16)*385.23)/30</f>
        <v>552.16300000000001</v>
      </c>
      <c r="AC49" s="823"/>
      <c r="AD49" s="824"/>
      <c r="AE49" s="864">
        <v>16</v>
      </c>
      <c r="AF49" s="866"/>
      <c r="AG49" s="834" t="s">
        <v>3396</v>
      </c>
      <c r="AH49" s="835">
        <f>IF(V50&gt;AK47,(V50-AK47)*2043.65,0)/30</f>
        <v>0</v>
      </c>
      <c r="AI49" s="836"/>
      <c r="AJ49" s="837"/>
      <c r="AK49" s="862"/>
      <c r="AL49" s="866"/>
      <c r="AM49" s="834" t="s">
        <v>3399</v>
      </c>
      <c r="AN49" s="835">
        <f>IF(X47&gt;AQ48,(X47-AQ48)*621.14,0)/30</f>
        <v>0</v>
      </c>
      <c r="AO49" s="836"/>
      <c r="AP49" s="837"/>
      <c r="AQ49" s="862"/>
      <c r="AR49" s="866"/>
      <c r="AS49" s="836"/>
      <c r="AT49" s="836"/>
      <c r="AU49" s="836"/>
      <c r="AV49" s="840"/>
      <c r="AW49" s="866"/>
      <c r="AX49" s="844"/>
      <c r="AY49" s="866"/>
      <c r="AZ49" s="836"/>
      <c r="BA49" s="835"/>
      <c r="BB49" s="852"/>
      <c r="BC49" s="836"/>
    </row>
    <row r="50" spans="1:55" s="89" customFormat="1" ht="22.5" customHeight="1" thickBot="1" x14ac:dyDescent="0.25">
      <c r="A50" s="296" t="s">
        <v>3210</v>
      </c>
      <c r="B50" s="297" t="s">
        <v>3211</v>
      </c>
      <c r="C50" s="298" t="s">
        <v>3175</v>
      </c>
      <c r="D50" s="299" t="s">
        <v>3212</v>
      </c>
      <c r="E50" s="299" t="s">
        <v>3213</v>
      </c>
      <c r="F50" s="300" t="s">
        <v>3165</v>
      </c>
      <c r="G50" s="300" t="s">
        <v>3166</v>
      </c>
      <c r="H50" s="301" t="s">
        <v>1294</v>
      </c>
      <c r="I50" s="302" t="s">
        <v>1294</v>
      </c>
      <c r="J50" s="340" t="s">
        <v>3167</v>
      </c>
      <c r="K50" s="343" t="s">
        <v>53</v>
      </c>
      <c r="L50" s="256">
        <f>CONTINUA!BV50</f>
        <v>0</v>
      </c>
      <c r="M50" s="256">
        <f>CONTINUA!BW50</f>
        <v>0</v>
      </c>
      <c r="N50" s="565"/>
      <c r="O50" s="566" t="s">
        <v>3318</v>
      </c>
      <c r="P50" s="567">
        <v>0</v>
      </c>
      <c r="Q50" s="319"/>
      <c r="R50" s="320"/>
      <c r="S50" s="319"/>
      <c r="T50" s="320"/>
      <c r="U50" s="867" t="s">
        <v>3380</v>
      </c>
      <c r="V50" s="868">
        <f>R46+R47+R48+R49+T46+T47+T48+T49</f>
        <v>0</v>
      </c>
      <c r="W50" s="812" t="s">
        <v>3385</v>
      </c>
      <c r="X50" s="869">
        <f>SUM(N46:N50)</f>
        <v>0</v>
      </c>
      <c r="Y50" s="868"/>
      <c r="Z50" s="868"/>
      <c r="AA50" s="868"/>
      <c r="AB50" s="868"/>
      <c r="AC50" s="868"/>
      <c r="AD50" s="868"/>
      <c r="AE50" s="868"/>
      <c r="AF50" s="868"/>
      <c r="AG50" s="868"/>
      <c r="AH50" s="868"/>
      <c r="AI50" s="868"/>
      <c r="AJ50" s="868"/>
      <c r="AK50" s="868"/>
      <c r="AL50" s="868"/>
      <c r="AM50" s="868"/>
      <c r="AN50" s="868"/>
      <c r="AO50" s="868"/>
      <c r="AP50" s="868"/>
      <c r="AQ50" s="868"/>
      <c r="AR50" s="868"/>
      <c r="AS50" s="868"/>
      <c r="AT50" s="868"/>
      <c r="AU50" s="868"/>
      <c r="AV50" s="868"/>
      <c r="AW50" s="868"/>
      <c r="AX50" s="868"/>
      <c r="AY50" s="868"/>
      <c r="AZ50" s="868"/>
      <c r="BA50" s="868"/>
      <c r="BB50" s="868"/>
      <c r="BC50" s="870"/>
    </row>
    <row r="51" spans="1:55" s="89" customFormat="1" ht="22.5" customHeight="1" x14ac:dyDescent="0.35">
      <c r="A51" t="s">
        <v>3214</v>
      </c>
      <c r="B51" s="430" t="s">
        <v>3215</v>
      </c>
      <c r="C51" s="431">
        <v>2</v>
      </c>
      <c r="D51" s="432" t="s">
        <v>3216</v>
      </c>
      <c r="E51" s="432" t="s">
        <v>3217</v>
      </c>
      <c r="F51" s="433" t="s">
        <v>3165</v>
      </c>
      <c r="G51" s="433" t="s">
        <v>3166</v>
      </c>
      <c r="H51" s="270" t="s">
        <v>1300</v>
      </c>
      <c r="I51" s="271" t="s">
        <v>1300</v>
      </c>
      <c r="J51" s="328" t="s">
        <v>3173</v>
      </c>
      <c r="K51" s="329" t="s">
        <v>3168</v>
      </c>
      <c r="L51" s="256">
        <f>CONTINUA!BV51</f>
        <v>0</v>
      </c>
      <c r="M51" s="256">
        <f>CONTINUA!BW51</f>
        <v>0</v>
      </c>
      <c r="N51" s="565"/>
      <c r="O51" s="566" t="s">
        <v>3319</v>
      </c>
      <c r="P51" s="567">
        <v>0</v>
      </c>
      <c r="Q51" s="319"/>
      <c r="R51" s="320"/>
      <c r="S51" s="319"/>
      <c r="T51" s="320"/>
      <c r="U51" s="807" t="s">
        <v>3376</v>
      </c>
      <c r="V51" s="808">
        <f>Q51+Q52+Q53</f>
        <v>6</v>
      </c>
      <c r="W51" s="853" t="s">
        <v>3381</v>
      </c>
      <c r="X51" s="854">
        <f>(R51+R52+R53+T51+T52+T53)</f>
        <v>7</v>
      </c>
      <c r="Y51" s="855" t="s">
        <v>3386</v>
      </c>
      <c r="Z51" s="854">
        <f>SUM(L51:L55)</f>
        <v>0</v>
      </c>
      <c r="AA51" s="813" t="s">
        <v>306</v>
      </c>
      <c r="AB51" s="814" t="s">
        <v>3388</v>
      </c>
      <c r="AC51" s="815" t="s">
        <v>19</v>
      </c>
      <c r="AD51" s="856"/>
      <c r="AE51" s="857" t="s">
        <v>3389</v>
      </c>
      <c r="AF51" s="858"/>
      <c r="AG51" s="842" t="s">
        <v>3393</v>
      </c>
      <c r="AH51" s="825" t="s">
        <v>3388</v>
      </c>
      <c r="AI51" s="826" t="s">
        <v>19</v>
      </c>
      <c r="AJ51" s="827"/>
      <c r="AK51" s="856">
        <v>1</v>
      </c>
      <c r="AL51" s="858"/>
      <c r="AM51" s="842" t="s">
        <v>3400</v>
      </c>
      <c r="AN51" s="825" t="s">
        <v>3388</v>
      </c>
      <c r="AO51" s="826" t="s">
        <v>19</v>
      </c>
      <c r="AP51" s="827"/>
      <c r="AQ51" s="856"/>
      <c r="AR51" s="858"/>
      <c r="AS51" s="841" t="s">
        <v>3401</v>
      </c>
      <c r="AT51" s="838"/>
      <c r="AU51" s="838"/>
      <c r="AV51" s="839"/>
      <c r="AW51" s="858"/>
      <c r="AX51" s="845" t="s">
        <v>3402</v>
      </c>
      <c r="AY51" s="858"/>
      <c r="AZ51" s="845" t="s">
        <v>3403</v>
      </c>
      <c r="BA51" s="846" t="s">
        <v>3404</v>
      </c>
      <c r="BB51" s="847" t="s">
        <v>3405</v>
      </c>
      <c r="BC51" s="848"/>
    </row>
    <row r="52" spans="1:55" s="89" customFormat="1" ht="22.5" customHeight="1" x14ac:dyDescent="0.2">
      <c r="A52" s="287" t="s">
        <v>3214</v>
      </c>
      <c r="B52" s="288" t="s">
        <v>3215</v>
      </c>
      <c r="C52" s="289" t="s">
        <v>3175</v>
      </c>
      <c r="D52" s="290" t="s">
        <v>3216</v>
      </c>
      <c r="E52" s="290" t="s">
        <v>3217</v>
      </c>
      <c r="F52" s="291" t="s">
        <v>3165</v>
      </c>
      <c r="G52" s="291" t="s">
        <v>3166</v>
      </c>
      <c r="H52" s="292" t="s">
        <v>1300</v>
      </c>
      <c r="I52" s="293" t="s">
        <v>1300</v>
      </c>
      <c r="J52" s="340" t="s">
        <v>3173</v>
      </c>
      <c r="K52" s="340" t="s">
        <v>3169</v>
      </c>
      <c r="L52" s="256">
        <f>CONTINUA!BV52</f>
        <v>0</v>
      </c>
      <c r="M52" s="256">
        <f>CONTINUA!BW52</f>
        <v>0</v>
      </c>
      <c r="N52" s="565"/>
      <c r="O52" s="566" t="s">
        <v>3319</v>
      </c>
      <c r="P52" s="567">
        <v>0</v>
      </c>
      <c r="Q52" s="319">
        <v>6</v>
      </c>
      <c r="R52" s="320">
        <v>6</v>
      </c>
      <c r="S52" s="319"/>
      <c r="T52" s="320">
        <v>1</v>
      </c>
      <c r="U52" s="809" t="s">
        <v>3377</v>
      </c>
      <c r="V52" s="859">
        <f>+S51+S52+S53</f>
        <v>0</v>
      </c>
      <c r="W52" s="810" t="s">
        <v>3382</v>
      </c>
      <c r="X52" s="860">
        <f>(Q54+S54)</f>
        <v>0</v>
      </c>
      <c r="Y52" s="812" t="s">
        <v>3387</v>
      </c>
      <c r="Z52" s="860">
        <f>SUM(M51:M55)</f>
        <v>0</v>
      </c>
      <c r="AA52" s="816" t="s">
        <v>3390</v>
      </c>
      <c r="AB52" s="817">
        <f>IF(X54&lt;=15,X54*385.23,0)/30</f>
        <v>77.046000000000006</v>
      </c>
      <c r="AC52" s="818"/>
      <c r="AD52" s="819">
        <f>SUM(AB52:AC54)</f>
        <v>-51.36399999999999</v>
      </c>
      <c r="AE52" s="861"/>
      <c r="AF52" s="859"/>
      <c r="AG52" s="828" t="s">
        <v>3394</v>
      </c>
      <c r="AH52" s="829">
        <f>IF(V55=AK51,2043.65,0)/30</f>
        <v>0</v>
      </c>
      <c r="AI52" s="830"/>
      <c r="AJ52" s="831"/>
      <c r="AK52" s="862">
        <v>2</v>
      </c>
      <c r="AL52" s="859"/>
      <c r="AM52" s="828" t="s">
        <v>3397</v>
      </c>
      <c r="AN52" s="829">
        <f>IF(X52&lt;=AQ52,621.14*X52,0)/30</f>
        <v>0</v>
      </c>
      <c r="AO52" s="830"/>
      <c r="AP52" s="831"/>
      <c r="AQ52" s="862">
        <v>9</v>
      </c>
      <c r="AR52" s="859"/>
      <c r="AS52" s="830">
        <f>IF((SUM(V51:V54))&gt;=1,11465.63,0)/30</f>
        <v>382.18766666666664</v>
      </c>
      <c r="AT52" s="830">
        <f>IF((V51+V52)&gt;=1,(V51+V52)*385.23,0)/30</f>
        <v>77.046000000000006</v>
      </c>
      <c r="AU52" s="830">
        <f>IF((V53+V54)&gt;=1,(V53+V54)*2043.65,0)</f>
        <v>14305.550000000001</v>
      </c>
      <c r="AV52" s="828">
        <f>SUM(AS52:AU52)</f>
        <v>14764.783666666668</v>
      </c>
      <c r="AW52" s="859"/>
      <c r="AX52" s="843">
        <f>IF(X55&gt;0,X55*1.28,0)</f>
        <v>0</v>
      </c>
      <c r="AY52" s="859"/>
      <c r="AZ52" s="849" t="s">
        <v>19</v>
      </c>
      <c r="BA52" s="850" t="s">
        <v>3406</v>
      </c>
      <c r="BB52" s="851"/>
      <c r="BC52" s="838"/>
    </row>
    <row r="53" spans="1:55" s="89" customFormat="1" ht="22.5" customHeight="1" x14ac:dyDescent="0.2">
      <c r="A53" s="287" t="s">
        <v>3214</v>
      </c>
      <c r="B53" s="288" t="s">
        <v>3215</v>
      </c>
      <c r="C53" s="294" t="s">
        <v>3175</v>
      </c>
      <c r="D53" s="290" t="s">
        <v>3216</v>
      </c>
      <c r="E53" s="290" t="s">
        <v>3217</v>
      </c>
      <c r="F53" s="295" t="s">
        <v>3165</v>
      </c>
      <c r="G53" s="295" t="s">
        <v>3166</v>
      </c>
      <c r="H53" s="292" t="s">
        <v>1300</v>
      </c>
      <c r="I53" s="293" t="s">
        <v>1300</v>
      </c>
      <c r="J53" s="340" t="s">
        <v>3173</v>
      </c>
      <c r="K53" s="341" t="s">
        <v>3170</v>
      </c>
      <c r="L53" s="256">
        <f>CONTINUA!BV53</f>
        <v>0</v>
      </c>
      <c r="M53" s="256">
        <f>CONTINUA!BW53</f>
        <v>0</v>
      </c>
      <c r="N53" s="565"/>
      <c r="O53" s="566" t="s">
        <v>3319</v>
      </c>
      <c r="P53" s="567">
        <v>0</v>
      </c>
      <c r="Q53" s="319"/>
      <c r="R53" s="320"/>
      <c r="S53" s="319"/>
      <c r="T53" s="320"/>
      <c r="U53" s="809" t="s">
        <v>3378</v>
      </c>
      <c r="V53" s="859">
        <f>+R51+R52+R53</f>
        <v>6</v>
      </c>
      <c r="W53" s="811" t="s">
        <v>3383</v>
      </c>
      <c r="X53" s="860">
        <f>SUM(V51:V54)</f>
        <v>13</v>
      </c>
      <c r="Y53" s="859"/>
      <c r="Z53" s="859"/>
      <c r="AA53" s="863" t="s">
        <v>3391</v>
      </c>
      <c r="AB53" s="820"/>
      <c r="AC53" s="820">
        <f>IF(X54&gt;15,7492.52)/30</f>
        <v>0</v>
      </c>
      <c r="AD53" s="821"/>
      <c r="AE53" s="864">
        <v>15</v>
      </c>
      <c r="AF53" s="859"/>
      <c r="AG53" s="828" t="s">
        <v>3395</v>
      </c>
      <c r="AH53" s="829"/>
      <c r="AI53" s="832">
        <f>IF(V55&gt;=AK52,7492.52,0)/30</f>
        <v>249.75066666666669</v>
      </c>
      <c r="AJ53" s="833">
        <f>SUM(AH52:AI54)</f>
        <v>590.35900000000004</v>
      </c>
      <c r="AK53" s="862"/>
      <c r="AL53" s="859"/>
      <c r="AM53" s="828" t="s">
        <v>3398</v>
      </c>
      <c r="AN53" s="829"/>
      <c r="AO53" s="832">
        <f>IF(X52&gt;=AQ53,7492.52,0)/30</f>
        <v>0</v>
      </c>
      <c r="AP53" s="833">
        <f>SUM(AN52:AO54)</f>
        <v>0</v>
      </c>
      <c r="AQ53" s="862">
        <v>10</v>
      </c>
      <c r="AR53" s="859"/>
      <c r="AS53" s="830"/>
      <c r="AT53" s="830"/>
      <c r="AU53" s="830"/>
      <c r="AV53" s="828"/>
      <c r="AW53" s="859"/>
      <c r="AX53" s="843"/>
      <c r="AY53" s="859"/>
      <c r="AZ53" s="830" t="s">
        <v>3407</v>
      </c>
      <c r="BA53" s="829">
        <f>IF(Z51&gt;0,Z51*9.64,0)</f>
        <v>0</v>
      </c>
      <c r="BB53" s="865">
        <f>IF(Z52&gt;0,Z52*56.2,0)</f>
        <v>0</v>
      </c>
      <c r="BC53" s="830">
        <f>SUM(BA53:BB53)</f>
        <v>0</v>
      </c>
    </row>
    <row r="54" spans="1:55" s="89" customFormat="1" ht="22.5" customHeight="1" x14ac:dyDescent="0.2">
      <c r="A54" s="287" t="s">
        <v>3214</v>
      </c>
      <c r="B54" s="288" t="s">
        <v>3215</v>
      </c>
      <c r="C54" s="294" t="s">
        <v>3175</v>
      </c>
      <c r="D54" s="290" t="s">
        <v>3216</v>
      </c>
      <c r="E54" s="290" t="s">
        <v>3217</v>
      </c>
      <c r="F54" s="295" t="s">
        <v>3165</v>
      </c>
      <c r="G54" s="295" t="s">
        <v>3166</v>
      </c>
      <c r="H54" s="292" t="s">
        <v>1300</v>
      </c>
      <c r="I54" s="293" t="s">
        <v>1300</v>
      </c>
      <c r="J54" s="340" t="s">
        <v>3173</v>
      </c>
      <c r="K54" s="342" t="s">
        <v>3171</v>
      </c>
      <c r="L54" s="256">
        <f>CONTINUA!BV54</f>
        <v>0</v>
      </c>
      <c r="M54" s="256">
        <f>CONTINUA!BW54</f>
        <v>0</v>
      </c>
      <c r="N54" s="565"/>
      <c r="O54" s="566" t="s">
        <v>3319</v>
      </c>
      <c r="P54" s="567">
        <v>0</v>
      </c>
      <c r="Q54" s="319"/>
      <c r="R54" s="320"/>
      <c r="S54" s="319"/>
      <c r="T54" s="320"/>
      <c r="U54" s="809" t="s">
        <v>3379</v>
      </c>
      <c r="V54" s="866">
        <f>+T51+T52+T53</f>
        <v>1</v>
      </c>
      <c r="W54" s="812" t="s">
        <v>3384</v>
      </c>
      <c r="X54" s="860">
        <f>SUM(V51:V52)</f>
        <v>6</v>
      </c>
      <c r="Y54" s="866"/>
      <c r="Z54" s="866"/>
      <c r="AA54" s="822" t="s">
        <v>3392</v>
      </c>
      <c r="AB54" s="823">
        <f>((X54-16)*385.23)/30</f>
        <v>-128.41</v>
      </c>
      <c r="AC54" s="823"/>
      <c r="AD54" s="824"/>
      <c r="AE54" s="864">
        <v>16</v>
      </c>
      <c r="AF54" s="866"/>
      <c r="AG54" s="834" t="s">
        <v>3396</v>
      </c>
      <c r="AH54" s="835">
        <f>IF(V55&gt;AK52,(V55-AK52)*2043.65,0)/30</f>
        <v>340.60833333333335</v>
      </c>
      <c r="AI54" s="836"/>
      <c r="AJ54" s="837"/>
      <c r="AK54" s="862"/>
      <c r="AL54" s="866"/>
      <c r="AM54" s="834" t="s">
        <v>3399</v>
      </c>
      <c r="AN54" s="835">
        <f>IF(X52&gt;AQ53,(X52-AQ53)*621.14,0)/30</f>
        <v>0</v>
      </c>
      <c r="AO54" s="836"/>
      <c r="AP54" s="837"/>
      <c r="AQ54" s="862"/>
      <c r="AR54" s="866"/>
      <c r="AS54" s="836"/>
      <c r="AT54" s="836"/>
      <c r="AU54" s="836"/>
      <c r="AV54" s="840"/>
      <c r="AW54" s="866"/>
      <c r="AX54" s="844"/>
      <c r="AY54" s="866"/>
      <c r="AZ54" s="836"/>
      <c r="BA54" s="835"/>
      <c r="BB54" s="852"/>
      <c r="BC54" s="836"/>
    </row>
    <row r="55" spans="1:55" s="89" customFormat="1" ht="22.5" customHeight="1" thickBot="1" x14ac:dyDescent="0.25">
      <c r="A55" s="296" t="s">
        <v>3214</v>
      </c>
      <c r="B55" s="297" t="s">
        <v>3215</v>
      </c>
      <c r="C55" s="298" t="s">
        <v>3175</v>
      </c>
      <c r="D55" s="299" t="s">
        <v>3216</v>
      </c>
      <c r="E55" s="299" t="s">
        <v>3217</v>
      </c>
      <c r="F55" s="300" t="s">
        <v>3165</v>
      </c>
      <c r="G55" s="300" t="s">
        <v>3166</v>
      </c>
      <c r="H55" s="301" t="s">
        <v>1300</v>
      </c>
      <c r="I55" s="302" t="s">
        <v>1300</v>
      </c>
      <c r="J55" s="340" t="s">
        <v>3173</v>
      </c>
      <c r="K55" s="343" t="s">
        <v>53</v>
      </c>
      <c r="L55" s="256">
        <f>CONTINUA!BV55</f>
        <v>0</v>
      </c>
      <c r="M55" s="256">
        <f>CONTINUA!BW55</f>
        <v>0</v>
      </c>
      <c r="N55" s="565"/>
      <c r="O55" s="566" t="s">
        <v>3319</v>
      </c>
      <c r="P55" s="567">
        <v>0</v>
      </c>
      <c r="Q55" s="319"/>
      <c r="R55" s="320"/>
      <c r="S55" s="319"/>
      <c r="T55" s="320"/>
      <c r="U55" s="867" t="s">
        <v>3380</v>
      </c>
      <c r="V55" s="868">
        <f>R51+R52+R53+R54+T51+T52+T53+T54</f>
        <v>7</v>
      </c>
      <c r="W55" s="812" t="s">
        <v>3385</v>
      </c>
      <c r="X55" s="869">
        <f>SUM(N51:N55)</f>
        <v>0</v>
      </c>
      <c r="Y55" s="868"/>
      <c r="Z55" s="868"/>
      <c r="AA55" s="868"/>
      <c r="AB55" s="868"/>
      <c r="AC55" s="868"/>
      <c r="AD55" s="868"/>
      <c r="AE55" s="868"/>
      <c r="AF55" s="868"/>
      <c r="AG55" s="868"/>
      <c r="AH55" s="868"/>
      <c r="AI55" s="868"/>
      <c r="AJ55" s="868"/>
      <c r="AK55" s="868"/>
      <c r="AL55" s="868"/>
      <c r="AM55" s="868"/>
      <c r="AN55" s="868"/>
      <c r="AO55" s="868"/>
      <c r="AP55" s="868"/>
      <c r="AQ55" s="868"/>
      <c r="AR55" s="868"/>
      <c r="AS55" s="868"/>
      <c r="AT55" s="868"/>
      <c r="AU55" s="868"/>
      <c r="AV55" s="868"/>
      <c r="AW55" s="868"/>
      <c r="AX55" s="868"/>
      <c r="AY55" s="868"/>
      <c r="AZ55" s="868"/>
      <c r="BA55" s="868"/>
      <c r="BB55" s="868"/>
      <c r="BC55" s="870"/>
    </row>
    <row r="56" spans="1:55" s="89" customFormat="1" ht="22.5" customHeight="1" x14ac:dyDescent="0.35">
      <c r="A56" t="s">
        <v>3218</v>
      </c>
      <c r="B56" s="430" t="s">
        <v>3219</v>
      </c>
      <c r="C56" s="431">
        <v>1</v>
      </c>
      <c r="D56" s="432" t="s">
        <v>3220</v>
      </c>
      <c r="E56" s="432" t="s">
        <v>3221</v>
      </c>
      <c r="F56" s="433" t="s">
        <v>3165</v>
      </c>
      <c r="G56" s="433" t="s">
        <v>3166</v>
      </c>
      <c r="H56" s="270" t="s">
        <v>1305</v>
      </c>
      <c r="I56" s="271" t="s">
        <v>1305</v>
      </c>
      <c r="J56" s="328" t="s">
        <v>3167</v>
      </c>
      <c r="K56" s="329" t="s">
        <v>3168</v>
      </c>
      <c r="L56" s="256">
        <f>CONTINUA!BV56</f>
        <v>0</v>
      </c>
      <c r="M56" s="256">
        <f>CONTINUA!BW56</f>
        <v>0</v>
      </c>
      <c r="N56" s="565"/>
      <c r="O56" s="566" t="s">
        <v>3320</v>
      </c>
      <c r="P56" s="567">
        <v>0</v>
      </c>
      <c r="Q56" s="319"/>
      <c r="R56" s="320"/>
      <c r="S56" s="319"/>
      <c r="T56" s="320"/>
      <c r="U56" s="807" t="s">
        <v>3376</v>
      </c>
      <c r="V56" s="808">
        <f>Q56+Q57+Q58</f>
        <v>34</v>
      </c>
      <c r="W56" s="853" t="s">
        <v>3381</v>
      </c>
      <c r="X56" s="854">
        <f>(R56+R57+R58+T56+T57+T58)</f>
        <v>0</v>
      </c>
      <c r="Y56" s="855" t="s">
        <v>3386</v>
      </c>
      <c r="Z56" s="854">
        <f>SUM(L56:L60)</f>
        <v>7</v>
      </c>
      <c r="AA56" s="813" t="s">
        <v>306</v>
      </c>
      <c r="AB56" s="814" t="s">
        <v>3388</v>
      </c>
      <c r="AC56" s="815" t="s">
        <v>19</v>
      </c>
      <c r="AD56" s="856"/>
      <c r="AE56" s="857" t="s">
        <v>3389</v>
      </c>
      <c r="AF56" s="858"/>
      <c r="AG56" s="842" t="s">
        <v>3393</v>
      </c>
      <c r="AH56" s="825" t="s">
        <v>3388</v>
      </c>
      <c r="AI56" s="826" t="s">
        <v>19</v>
      </c>
      <c r="AJ56" s="827"/>
      <c r="AK56" s="856">
        <v>1</v>
      </c>
      <c r="AL56" s="858"/>
      <c r="AM56" s="842" t="s">
        <v>3400</v>
      </c>
      <c r="AN56" s="825" t="s">
        <v>3388</v>
      </c>
      <c r="AO56" s="826" t="s">
        <v>19</v>
      </c>
      <c r="AP56" s="827"/>
      <c r="AQ56" s="856"/>
      <c r="AR56" s="858"/>
      <c r="AS56" s="841" t="s">
        <v>3401</v>
      </c>
      <c r="AT56" s="838"/>
      <c r="AU56" s="838"/>
      <c r="AV56" s="839"/>
      <c r="AW56" s="858"/>
      <c r="AX56" s="845" t="s">
        <v>3402</v>
      </c>
      <c r="AY56" s="858"/>
      <c r="AZ56" s="845" t="s">
        <v>3403</v>
      </c>
      <c r="BA56" s="846" t="s">
        <v>3404</v>
      </c>
      <c r="BB56" s="847" t="s">
        <v>3405</v>
      </c>
      <c r="BC56" s="848"/>
    </row>
    <row r="57" spans="1:55" s="89" customFormat="1" ht="22.5" customHeight="1" x14ac:dyDescent="0.2">
      <c r="A57" s="287" t="s">
        <v>3218</v>
      </c>
      <c r="B57" s="288" t="s">
        <v>3219</v>
      </c>
      <c r="C57" s="289" t="s">
        <v>3175</v>
      </c>
      <c r="D57" s="290" t="s">
        <v>3220</v>
      </c>
      <c r="E57" s="290" t="s">
        <v>3221</v>
      </c>
      <c r="F57" s="291" t="s">
        <v>3165</v>
      </c>
      <c r="G57" s="291" t="s">
        <v>3166</v>
      </c>
      <c r="H57" s="292" t="s">
        <v>1305</v>
      </c>
      <c r="I57" s="293" t="s">
        <v>1305</v>
      </c>
      <c r="J57" s="340" t="s">
        <v>3167</v>
      </c>
      <c r="K57" s="340" t="s">
        <v>3169</v>
      </c>
      <c r="L57" s="256">
        <f>CONTINUA!BV57</f>
        <v>7</v>
      </c>
      <c r="M57" s="256">
        <f>CONTINUA!BW57</f>
        <v>0</v>
      </c>
      <c r="N57" s="565"/>
      <c r="O57" s="566" t="s">
        <v>3320</v>
      </c>
      <c r="P57" s="567">
        <v>0</v>
      </c>
      <c r="Q57" s="319">
        <v>34</v>
      </c>
      <c r="R57" s="320"/>
      <c r="S57" s="319"/>
      <c r="T57" s="320"/>
      <c r="U57" s="809" t="s">
        <v>3377</v>
      </c>
      <c r="V57" s="859">
        <f>+S56+S57+S58</f>
        <v>0</v>
      </c>
      <c r="W57" s="810" t="s">
        <v>3382</v>
      </c>
      <c r="X57" s="860">
        <f>(Q59+S59)</f>
        <v>0</v>
      </c>
      <c r="Y57" s="812" t="s">
        <v>3387</v>
      </c>
      <c r="Z57" s="860">
        <f>SUM(M56:M60)</f>
        <v>0</v>
      </c>
      <c r="AA57" s="816" t="s">
        <v>3390</v>
      </c>
      <c r="AB57" s="817">
        <f>IF(X59&lt;=15,X59*385.23,0)/30</f>
        <v>0</v>
      </c>
      <c r="AC57" s="818"/>
      <c r="AD57" s="819">
        <f>SUM(AB57:AC59)</f>
        <v>480.88866666666672</v>
      </c>
      <c r="AE57" s="861"/>
      <c r="AF57" s="859"/>
      <c r="AG57" s="828" t="s">
        <v>3394</v>
      </c>
      <c r="AH57" s="829">
        <f>IF(V60=AK56,2043.65,0)/30</f>
        <v>0</v>
      </c>
      <c r="AI57" s="830"/>
      <c r="AJ57" s="831"/>
      <c r="AK57" s="862">
        <v>2</v>
      </c>
      <c r="AL57" s="859"/>
      <c r="AM57" s="828" t="s">
        <v>3397</v>
      </c>
      <c r="AN57" s="829">
        <f>IF(X57&lt;=AQ57,621.14*X57,0)/30</f>
        <v>0</v>
      </c>
      <c r="AO57" s="830"/>
      <c r="AP57" s="831"/>
      <c r="AQ57" s="862">
        <v>9</v>
      </c>
      <c r="AR57" s="859"/>
      <c r="AS57" s="830">
        <f>IF((SUM(V56:V59))&gt;=1,11465.63,0)/30</f>
        <v>382.18766666666664</v>
      </c>
      <c r="AT57" s="830">
        <f>IF((V56+V57)&gt;=1,(V56+V57)*385.23,0)/30</f>
        <v>436.59399999999999</v>
      </c>
      <c r="AU57" s="830">
        <f>IF((V58+V59)&gt;=1,(V58+V59)*2043.65,0)</f>
        <v>0</v>
      </c>
      <c r="AV57" s="828">
        <f>SUM(AS57:AU57)</f>
        <v>818.78166666666664</v>
      </c>
      <c r="AW57" s="859"/>
      <c r="AX57" s="843">
        <f>IF(X60&gt;0,X60*1.28,0)</f>
        <v>0</v>
      </c>
      <c r="AY57" s="859"/>
      <c r="AZ57" s="849" t="s">
        <v>19</v>
      </c>
      <c r="BA57" s="850" t="s">
        <v>3406</v>
      </c>
      <c r="BB57" s="851"/>
      <c r="BC57" s="838"/>
    </row>
    <row r="58" spans="1:55" s="89" customFormat="1" ht="22.5" customHeight="1" x14ac:dyDescent="0.2">
      <c r="A58" s="287" t="s">
        <v>3218</v>
      </c>
      <c r="B58" s="288" t="s">
        <v>3219</v>
      </c>
      <c r="C58" s="294" t="s">
        <v>3175</v>
      </c>
      <c r="D58" s="290" t="s">
        <v>3220</v>
      </c>
      <c r="E58" s="290" t="s">
        <v>3221</v>
      </c>
      <c r="F58" s="295" t="s">
        <v>3165</v>
      </c>
      <c r="G58" s="295" t="s">
        <v>3166</v>
      </c>
      <c r="H58" s="292" t="s">
        <v>1305</v>
      </c>
      <c r="I58" s="293" t="s">
        <v>1305</v>
      </c>
      <c r="J58" s="340" t="s">
        <v>3167</v>
      </c>
      <c r="K58" s="341" t="s">
        <v>3170</v>
      </c>
      <c r="L58" s="256">
        <f>CONTINUA!BV58</f>
        <v>0</v>
      </c>
      <c r="M58" s="256">
        <f>CONTINUA!BW58</f>
        <v>0</v>
      </c>
      <c r="N58" s="565"/>
      <c r="O58" s="566" t="s">
        <v>3320</v>
      </c>
      <c r="P58" s="567">
        <v>0</v>
      </c>
      <c r="Q58" s="319"/>
      <c r="R58" s="320"/>
      <c r="S58" s="319"/>
      <c r="T58" s="320"/>
      <c r="U58" s="809" t="s">
        <v>3378</v>
      </c>
      <c r="V58" s="859">
        <f>+R56+R57+R58</f>
        <v>0</v>
      </c>
      <c r="W58" s="811" t="s">
        <v>3383</v>
      </c>
      <c r="X58" s="860">
        <f>SUM(V56:V59)</f>
        <v>34</v>
      </c>
      <c r="Y58" s="859"/>
      <c r="Z58" s="859"/>
      <c r="AA58" s="863" t="s">
        <v>3391</v>
      </c>
      <c r="AB58" s="820"/>
      <c r="AC58" s="820">
        <f>IF(X59&gt;15,7492.52)/30</f>
        <v>249.75066666666669</v>
      </c>
      <c r="AD58" s="821"/>
      <c r="AE58" s="864">
        <v>15</v>
      </c>
      <c r="AF58" s="859"/>
      <c r="AG58" s="828" t="s">
        <v>3395</v>
      </c>
      <c r="AH58" s="829"/>
      <c r="AI58" s="832">
        <f>IF(V60&gt;=AK57,7492.52,0)/30</f>
        <v>0</v>
      </c>
      <c r="AJ58" s="833">
        <f>SUM(AH57:AI59)</f>
        <v>0</v>
      </c>
      <c r="AK58" s="862"/>
      <c r="AL58" s="859"/>
      <c r="AM58" s="828" t="s">
        <v>3398</v>
      </c>
      <c r="AN58" s="829"/>
      <c r="AO58" s="832">
        <f>IF(X57&gt;=AQ58,7492.52,0)/30</f>
        <v>0</v>
      </c>
      <c r="AP58" s="833">
        <f>SUM(AN57:AO59)</f>
        <v>0</v>
      </c>
      <c r="AQ58" s="862">
        <v>10</v>
      </c>
      <c r="AR58" s="859"/>
      <c r="AS58" s="830"/>
      <c r="AT58" s="830"/>
      <c r="AU58" s="830"/>
      <c r="AV58" s="828"/>
      <c r="AW58" s="859"/>
      <c r="AX58" s="843"/>
      <c r="AY58" s="859"/>
      <c r="AZ58" s="830" t="s">
        <v>3407</v>
      </c>
      <c r="BA58" s="829">
        <f>IF(Z56&gt;0,Z56*9.64,0)</f>
        <v>67.48</v>
      </c>
      <c r="BB58" s="865">
        <f>IF(Z57&gt;0,Z57*56.2,0)</f>
        <v>0</v>
      </c>
      <c r="BC58" s="830">
        <f>SUM(BA58:BB58)</f>
        <v>67.48</v>
      </c>
    </row>
    <row r="59" spans="1:55" s="89" customFormat="1" ht="22.5" customHeight="1" x14ac:dyDescent="0.2">
      <c r="A59" s="287" t="s">
        <v>3218</v>
      </c>
      <c r="B59" s="288" t="s">
        <v>3219</v>
      </c>
      <c r="C59" s="294" t="s">
        <v>3175</v>
      </c>
      <c r="D59" s="290" t="s">
        <v>3220</v>
      </c>
      <c r="E59" s="290" t="s">
        <v>3221</v>
      </c>
      <c r="F59" s="295" t="s">
        <v>3165</v>
      </c>
      <c r="G59" s="295" t="s">
        <v>3166</v>
      </c>
      <c r="H59" s="292" t="s">
        <v>1305</v>
      </c>
      <c r="I59" s="293" t="s">
        <v>1305</v>
      </c>
      <c r="J59" s="340" t="s">
        <v>3167</v>
      </c>
      <c r="K59" s="342" t="s">
        <v>3171</v>
      </c>
      <c r="L59" s="256">
        <f>CONTINUA!BV59</f>
        <v>0</v>
      </c>
      <c r="M59" s="256">
        <f>CONTINUA!BW59</f>
        <v>0</v>
      </c>
      <c r="N59" s="565"/>
      <c r="O59" s="566" t="s">
        <v>3320</v>
      </c>
      <c r="P59" s="567">
        <v>0</v>
      </c>
      <c r="Q59" s="319"/>
      <c r="R59" s="320"/>
      <c r="S59" s="319"/>
      <c r="T59" s="320"/>
      <c r="U59" s="809" t="s">
        <v>3379</v>
      </c>
      <c r="V59" s="866">
        <f>+T56+T57+T58</f>
        <v>0</v>
      </c>
      <c r="W59" s="812" t="s">
        <v>3384</v>
      </c>
      <c r="X59" s="860">
        <f>SUM(V56:V57)</f>
        <v>34</v>
      </c>
      <c r="Y59" s="866"/>
      <c r="Z59" s="866"/>
      <c r="AA59" s="822" t="s">
        <v>3392</v>
      </c>
      <c r="AB59" s="823">
        <f>((X59-16)*385.23)/30</f>
        <v>231.13800000000001</v>
      </c>
      <c r="AC59" s="823"/>
      <c r="AD59" s="824"/>
      <c r="AE59" s="864">
        <v>16</v>
      </c>
      <c r="AF59" s="866"/>
      <c r="AG59" s="834" t="s">
        <v>3396</v>
      </c>
      <c r="AH59" s="835">
        <f>IF(V60&gt;AK57,(V60-AK57)*2043.65,0)/30</f>
        <v>0</v>
      </c>
      <c r="AI59" s="836"/>
      <c r="AJ59" s="837"/>
      <c r="AK59" s="862"/>
      <c r="AL59" s="866"/>
      <c r="AM59" s="834" t="s">
        <v>3399</v>
      </c>
      <c r="AN59" s="835">
        <f>IF(X57&gt;AQ58,(X57-AQ58)*621.14,0)/30</f>
        <v>0</v>
      </c>
      <c r="AO59" s="836"/>
      <c r="AP59" s="837"/>
      <c r="AQ59" s="862"/>
      <c r="AR59" s="866"/>
      <c r="AS59" s="836"/>
      <c r="AT59" s="836"/>
      <c r="AU59" s="836"/>
      <c r="AV59" s="840"/>
      <c r="AW59" s="866"/>
      <c r="AX59" s="844"/>
      <c r="AY59" s="866"/>
      <c r="AZ59" s="836"/>
      <c r="BA59" s="835"/>
      <c r="BB59" s="852"/>
      <c r="BC59" s="836"/>
    </row>
    <row r="60" spans="1:55" s="89" customFormat="1" ht="22.5" customHeight="1" thickBot="1" x14ac:dyDescent="0.25">
      <c r="A60" s="296" t="s">
        <v>3218</v>
      </c>
      <c r="B60" s="297" t="s">
        <v>3219</v>
      </c>
      <c r="C60" s="298" t="s">
        <v>3175</v>
      </c>
      <c r="D60" s="299" t="s">
        <v>3220</v>
      </c>
      <c r="E60" s="299" t="s">
        <v>3221</v>
      </c>
      <c r="F60" s="300" t="s">
        <v>3165</v>
      </c>
      <c r="G60" s="300" t="s">
        <v>3166</v>
      </c>
      <c r="H60" s="301" t="s">
        <v>1305</v>
      </c>
      <c r="I60" s="302" t="s">
        <v>1305</v>
      </c>
      <c r="J60" s="340" t="s">
        <v>3167</v>
      </c>
      <c r="K60" s="343" t="s">
        <v>53</v>
      </c>
      <c r="L60" s="256">
        <f>CONTINUA!BV60</f>
        <v>0</v>
      </c>
      <c r="M60" s="256">
        <f>CONTINUA!BW60</f>
        <v>0</v>
      </c>
      <c r="N60" s="565"/>
      <c r="O60" s="566" t="s">
        <v>3320</v>
      </c>
      <c r="P60" s="567">
        <v>0</v>
      </c>
      <c r="Q60" s="319"/>
      <c r="R60" s="320"/>
      <c r="S60" s="319"/>
      <c r="T60" s="320"/>
      <c r="U60" s="867" t="s">
        <v>3380</v>
      </c>
      <c r="V60" s="868">
        <f>R56+R57+R58+R59+T56+T57+T58+T59</f>
        <v>0</v>
      </c>
      <c r="W60" s="812" t="s">
        <v>3385</v>
      </c>
      <c r="X60" s="869">
        <f>SUM(N56:N60)</f>
        <v>0</v>
      </c>
      <c r="Y60" s="868"/>
      <c r="Z60" s="868"/>
      <c r="AA60" s="868"/>
      <c r="AB60" s="868"/>
      <c r="AC60" s="868"/>
      <c r="AD60" s="868"/>
      <c r="AE60" s="868"/>
      <c r="AF60" s="868"/>
      <c r="AG60" s="868"/>
      <c r="AH60" s="868"/>
      <c r="AI60" s="868"/>
      <c r="AJ60" s="868"/>
      <c r="AK60" s="868"/>
      <c r="AL60" s="868"/>
      <c r="AM60" s="868"/>
      <c r="AN60" s="868"/>
      <c r="AO60" s="868"/>
      <c r="AP60" s="868"/>
      <c r="AQ60" s="868"/>
      <c r="AR60" s="868"/>
      <c r="AS60" s="868"/>
      <c r="AT60" s="868"/>
      <c r="AU60" s="868"/>
      <c r="AV60" s="868"/>
      <c r="AW60" s="868"/>
      <c r="AX60" s="868"/>
      <c r="AY60" s="868"/>
      <c r="AZ60" s="868"/>
      <c r="BA60" s="868"/>
      <c r="BB60" s="868"/>
      <c r="BC60" s="870"/>
    </row>
    <row r="61" spans="1:55" s="89" customFormat="1" ht="22.5" customHeight="1" x14ac:dyDescent="0.35">
      <c r="A61" t="s">
        <v>3222</v>
      </c>
      <c r="B61" s="430" t="s">
        <v>3223</v>
      </c>
      <c r="C61" s="431">
        <v>1</v>
      </c>
      <c r="D61" s="432" t="s">
        <v>3224</v>
      </c>
      <c r="E61" s="432" t="s">
        <v>3225</v>
      </c>
      <c r="F61" s="433" t="s">
        <v>3165</v>
      </c>
      <c r="G61" s="433" t="s">
        <v>3166</v>
      </c>
      <c r="H61" s="270" t="s">
        <v>1306</v>
      </c>
      <c r="I61" s="271" t="s">
        <v>1306</v>
      </c>
      <c r="J61" s="328" t="s">
        <v>3167</v>
      </c>
      <c r="K61" s="329" t="s">
        <v>3168</v>
      </c>
      <c r="L61" s="256">
        <f>CONTINUA!BV61</f>
        <v>0</v>
      </c>
      <c r="M61" s="256">
        <f>CONTINUA!BW61</f>
        <v>0</v>
      </c>
      <c r="N61" s="565"/>
      <c r="O61" s="566" t="s">
        <v>3321</v>
      </c>
      <c r="P61" s="567">
        <v>0</v>
      </c>
      <c r="Q61" s="319"/>
      <c r="R61" s="320"/>
      <c r="S61" s="319"/>
      <c r="T61" s="320"/>
      <c r="U61" s="807" t="s">
        <v>3376</v>
      </c>
      <c r="V61" s="808">
        <f>Q61+Q62+Q63</f>
        <v>47</v>
      </c>
      <c r="W61" s="853" t="s">
        <v>3381</v>
      </c>
      <c r="X61" s="854">
        <f>(R61+R62+R63+T61+T62+T63)</f>
        <v>0</v>
      </c>
      <c r="Y61" s="855" t="s">
        <v>3386</v>
      </c>
      <c r="Z61" s="854">
        <f>SUM(L61:L65)</f>
        <v>0</v>
      </c>
      <c r="AA61" s="813" t="s">
        <v>306</v>
      </c>
      <c r="AB61" s="814" t="s">
        <v>3388</v>
      </c>
      <c r="AC61" s="815" t="s">
        <v>19</v>
      </c>
      <c r="AD61" s="856"/>
      <c r="AE61" s="857" t="s">
        <v>3389</v>
      </c>
      <c r="AF61" s="858"/>
      <c r="AG61" s="842" t="s">
        <v>3393</v>
      </c>
      <c r="AH61" s="825" t="s">
        <v>3388</v>
      </c>
      <c r="AI61" s="826" t="s">
        <v>19</v>
      </c>
      <c r="AJ61" s="827"/>
      <c r="AK61" s="856">
        <v>1</v>
      </c>
      <c r="AL61" s="858"/>
      <c r="AM61" s="842" t="s">
        <v>3400</v>
      </c>
      <c r="AN61" s="825" t="s">
        <v>3388</v>
      </c>
      <c r="AO61" s="826" t="s">
        <v>19</v>
      </c>
      <c r="AP61" s="827"/>
      <c r="AQ61" s="856"/>
      <c r="AR61" s="858"/>
      <c r="AS61" s="841" t="s">
        <v>3401</v>
      </c>
      <c r="AT61" s="838"/>
      <c r="AU61" s="838"/>
      <c r="AV61" s="839"/>
      <c r="AW61" s="858"/>
      <c r="AX61" s="845" t="s">
        <v>3402</v>
      </c>
      <c r="AY61" s="858"/>
      <c r="AZ61" s="845" t="s">
        <v>3403</v>
      </c>
      <c r="BA61" s="846" t="s">
        <v>3404</v>
      </c>
      <c r="BB61" s="847" t="s">
        <v>3405</v>
      </c>
      <c r="BC61" s="848"/>
    </row>
    <row r="62" spans="1:55" s="89" customFormat="1" ht="22.5" customHeight="1" x14ac:dyDescent="0.2">
      <c r="A62" s="287" t="s">
        <v>3222</v>
      </c>
      <c r="B62" s="288" t="s">
        <v>3223</v>
      </c>
      <c r="C62" s="289" t="s">
        <v>3175</v>
      </c>
      <c r="D62" s="290" t="s">
        <v>3224</v>
      </c>
      <c r="E62" s="290" t="s">
        <v>3225</v>
      </c>
      <c r="F62" s="291" t="s">
        <v>3165</v>
      </c>
      <c r="G62" s="291" t="s">
        <v>3166</v>
      </c>
      <c r="H62" s="292" t="s">
        <v>1306</v>
      </c>
      <c r="I62" s="293" t="s">
        <v>1306</v>
      </c>
      <c r="J62" s="340" t="s">
        <v>3167</v>
      </c>
      <c r="K62" s="340" t="s">
        <v>3169</v>
      </c>
      <c r="L62" s="256">
        <f>CONTINUA!BV62</f>
        <v>0</v>
      </c>
      <c r="M62" s="256">
        <f>CONTINUA!BW62</f>
        <v>0</v>
      </c>
      <c r="N62" s="565"/>
      <c r="O62" s="566" t="s">
        <v>3321</v>
      </c>
      <c r="P62" s="567">
        <v>0</v>
      </c>
      <c r="Q62" s="319">
        <v>47</v>
      </c>
      <c r="R62" s="320"/>
      <c r="S62" s="319"/>
      <c r="T62" s="320"/>
      <c r="U62" s="809" t="s">
        <v>3377</v>
      </c>
      <c r="V62" s="859">
        <f>+S61+S62+S63</f>
        <v>0</v>
      </c>
      <c r="W62" s="810" t="s">
        <v>3382</v>
      </c>
      <c r="X62" s="860">
        <f>(Q64+S64)</f>
        <v>0</v>
      </c>
      <c r="Y62" s="812" t="s">
        <v>3387</v>
      </c>
      <c r="Z62" s="860">
        <f>SUM(M61:M65)</f>
        <v>0</v>
      </c>
      <c r="AA62" s="816" t="s">
        <v>3390</v>
      </c>
      <c r="AB62" s="817">
        <f>IF(X64&lt;=15,X64*385.23,0)/30</f>
        <v>0</v>
      </c>
      <c r="AC62" s="818"/>
      <c r="AD62" s="819">
        <f>SUM(AB62:AC64)</f>
        <v>647.82166666666672</v>
      </c>
      <c r="AE62" s="861"/>
      <c r="AF62" s="859"/>
      <c r="AG62" s="828" t="s">
        <v>3394</v>
      </c>
      <c r="AH62" s="829">
        <f>IF(V65=AK61,2043.65,0)/30</f>
        <v>0</v>
      </c>
      <c r="AI62" s="830"/>
      <c r="AJ62" s="831"/>
      <c r="AK62" s="862">
        <v>2</v>
      </c>
      <c r="AL62" s="859"/>
      <c r="AM62" s="828" t="s">
        <v>3397</v>
      </c>
      <c r="AN62" s="829">
        <f>IF(X62&lt;=AQ62,621.14*X62,0)/30</f>
        <v>0</v>
      </c>
      <c r="AO62" s="830"/>
      <c r="AP62" s="831"/>
      <c r="AQ62" s="862">
        <v>9</v>
      </c>
      <c r="AR62" s="859"/>
      <c r="AS62" s="830">
        <f>IF((SUM(V61:V64))&gt;=1,11465.63,0)/30</f>
        <v>382.18766666666664</v>
      </c>
      <c r="AT62" s="830">
        <f>IF((V61+V62)&gt;=1,(V61+V62)*385.23,0)/30</f>
        <v>603.52700000000004</v>
      </c>
      <c r="AU62" s="830">
        <f>IF((V63+V64)&gt;=1,(V63+V64)*2043.65,0)</f>
        <v>0</v>
      </c>
      <c r="AV62" s="828">
        <f>SUM(AS62:AU62)</f>
        <v>985.71466666666674</v>
      </c>
      <c r="AW62" s="859"/>
      <c r="AX62" s="843">
        <f>IF(X65&gt;0,X65*1.28,0)</f>
        <v>0</v>
      </c>
      <c r="AY62" s="859"/>
      <c r="AZ62" s="849" t="s">
        <v>19</v>
      </c>
      <c r="BA62" s="850" t="s">
        <v>3406</v>
      </c>
      <c r="BB62" s="851"/>
      <c r="BC62" s="838"/>
    </row>
    <row r="63" spans="1:55" s="89" customFormat="1" ht="22.5" customHeight="1" x14ac:dyDescent="0.2">
      <c r="A63" s="287" t="s">
        <v>3222</v>
      </c>
      <c r="B63" s="288" t="s">
        <v>3223</v>
      </c>
      <c r="C63" s="294" t="s">
        <v>3175</v>
      </c>
      <c r="D63" s="290" t="s">
        <v>3224</v>
      </c>
      <c r="E63" s="290" t="s">
        <v>3225</v>
      </c>
      <c r="F63" s="295" t="s">
        <v>3165</v>
      </c>
      <c r="G63" s="295" t="s">
        <v>3166</v>
      </c>
      <c r="H63" s="292" t="s">
        <v>1306</v>
      </c>
      <c r="I63" s="293" t="s">
        <v>1306</v>
      </c>
      <c r="J63" s="340" t="s">
        <v>3167</v>
      </c>
      <c r="K63" s="341" t="s">
        <v>3170</v>
      </c>
      <c r="L63" s="256">
        <f>CONTINUA!BV63</f>
        <v>0</v>
      </c>
      <c r="M63" s="256">
        <f>CONTINUA!BW63</f>
        <v>0</v>
      </c>
      <c r="N63" s="565"/>
      <c r="O63" s="566" t="s">
        <v>3321</v>
      </c>
      <c r="P63" s="567">
        <v>0</v>
      </c>
      <c r="Q63" s="319"/>
      <c r="R63" s="320"/>
      <c r="S63" s="319"/>
      <c r="T63" s="320"/>
      <c r="U63" s="809" t="s">
        <v>3378</v>
      </c>
      <c r="V63" s="859">
        <f>+R61+R62+R63</f>
        <v>0</v>
      </c>
      <c r="W63" s="811" t="s">
        <v>3383</v>
      </c>
      <c r="X63" s="860">
        <f>SUM(V61:V64)</f>
        <v>47</v>
      </c>
      <c r="Y63" s="859"/>
      <c r="Z63" s="859"/>
      <c r="AA63" s="863" t="s">
        <v>3391</v>
      </c>
      <c r="AB63" s="820"/>
      <c r="AC63" s="820">
        <f>IF(X64&gt;15,7492.52)/30</f>
        <v>249.75066666666669</v>
      </c>
      <c r="AD63" s="821"/>
      <c r="AE63" s="864">
        <v>15</v>
      </c>
      <c r="AF63" s="859"/>
      <c r="AG63" s="828" t="s">
        <v>3395</v>
      </c>
      <c r="AH63" s="829"/>
      <c r="AI63" s="832">
        <f>IF(V65&gt;=AK62,7492.52,0)/30</f>
        <v>0</v>
      </c>
      <c r="AJ63" s="833">
        <f>SUM(AH62:AI64)</f>
        <v>0</v>
      </c>
      <c r="AK63" s="862"/>
      <c r="AL63" s="859"/>
      <c r="AM63" s="828" t="s">
        <v>3398</v>
      </c>
      <c r="AN63" s="829"/>
      <c r="AO63" s="832">
        <f>IF(X62&gt;=AQ63,7492.52,0)/30</f>
        <v>0</v>
      </c>
      <c r="AP63" s="833">
        <f>SUM(AN62:AO64)</f>
        <v>0</v>
      </c>
      <c r="AQ63" s="862">
        <v>10</v>
      </c>
      <c r="AR63" s="859"/>
      <c r="AS63" s="830"/>
      <c r="AT63" s="830"/>
      <c r="AU63" s="830"/>
      <c r="AV63" s="828"/>
      <c r="AW63" s="859"/>
      <c r="AX63" s="843"/>
      <c r="AY63" s="859"/>
      <c r="AZ63" s="830" t="s">
        <v>3407</v>
      </c>
      <c r="BA63" s="829">
        <f>IF(Z61&gt;0,Z61*9.64,0)</f>
        <v>0</v>
      </c>
      <c r="BB63" s="865">
        <f>IF(Z62&gt;0,Z62*56.2,0)</f>
        <v>0</v>
      </c>
      <c r="BC63" s="830">
        <f>SUM(BA63:BB63)</f>
        <v>0</v>
      </c>
    </row>
    <row r="64" spans="1:55" s="89" customFormat="1" ht="22.5" customHeight="1" x14ac:dyDescent="0.2">
      <c r="A64" s="287" t="s">
        <v>3222</v>
      </c>
      <c r="B64" s="288" t="s">
        <v>3223</v>
      </c>
      <c r="C64" s="294" t="s">
        <v>3175</v>
      </c>
      <c r="D64" s="290" t="s">
        <v>3224</v>
      </c>
      <c r="E64" s="290" t="s">
        <v>3225</v>
      </c>
      <c r="F64" s="295" t="s">
        <v>3165</v>
      </c>
      <c r="G64" s="295" t="s">
        <v>3166</v>
      </c>
      <c r="H64" s="292" t="s">
        <v>1306</v>
      </c>
      <c r="I64" s="293" t="s">
        <v>1306</v>
      </c>
      <c r="J64" s="340" t="s">
        <v>3167</v>
      </c>
      <c r="K64" s="342" t="s">
        <v>3171</v>
      </c>
      <c r="L64" s="256">
        <f>CONTINUA!BV64</f>
        <v>0</v>
      </c>
      <c r="M64" s="256">
        <f>CONTINUA!BW64</f>
        <v>0</v>
      </c>
      <c r="N64" s="565"/>
      <c r="O64" s="566" t="s">
        <v>3321</v>
      </c>
      <c r="P64" s="567">
        <v>0</v>
      </c>
      <c r="Q64" s="319"/>
      <c r="R64" s="320"/>
      <c r="S64" s="319"/>
      <c r="T64" s="320"/>
      <c r="U64" s="809" t="s">
        <v>3379</v>
      </c>
      <c r="V64" s="866">
        <f>+T61+T62+T63</f>
        <v>0</v>
      </c>
      <c r="W64" s="812" t="s">
        <v>3384</v>
      </c>
      <c r="X64" s="860">
        <f>SUM(V61:V62)</f>
        <v>47</v>
      </c>
      <c r="Y64" s="866"/>
      <c r="Z64" s="866"/>
      <c r="AA64" s="822" t="s">
        <v>3392</v>
      </c>
      <c r="AB64" s="823">
        <f>((X64-16)*385.23)/30</f>
        <v>398.07100000000003</v>
      </c>
      <c r="AC64" s="823"/>
      <c r="AD64" s="824"/>
      <c r="AE64" s="864">
        <v>16</v>
      </c>
      <c r="AF64" s="866"/>
      <c r="AG64" s="834" t="s">
        <v>3396</v>
      </c>
      <c r="AH64" s="835">
        <f>IF(V65&gt;AK62,(V65-AK62)*2043.65,0)/30</f>
        <v>0</v>
      </c>
      <c r="AI64" s="836"/>
      <c r="AJ64" s="837"/>
      <c r="AK64" s="862"/>
      <c r="AL64" s="866"/>
      <c r="AM64" s="834" t="s">
        <v>3399</v>
      </c>
      <c r="AN64" s="835">
        <f>IF(X62&gt;AQ63,(X62-AQ63)*621.14,0)/30</f>
        <v>0</v>
      </c>
      <c r="AO64" s="836"/>
      <c r="AP64" s="837"/>
      <c r="AQ64" s="862"/>
      <c r="AR64" s="866"/>
      <c r="AS64" s="836"/>
      <c r="AT64" s="836"/>
      <c r="AU64" s="836"/>
      <c r="AV64" s="840"/>
      <c r="AW64" s="866"/>
      <c r="AX64" s="844"/>
      <c r="AY64" s="866"/>
      <c r="AZ64" s="836"/>
      <c r="BA64" s="835"/>
      <c r="BB64" s="852"/>
      <c r="BC64" s="836"/>
    </row>
    <row r="65" spans="1:55" s="89" customFormat="1" ht="22.5" customHeight="1" thickBot="1" x14ac:dyDescent="0.25">
      <c r="A65" s="296" t="s">
        <v>3222</v>
      </c>
      <c r="B65" s="297" t="s">
        <v>3223</v>
      </c>
      <c r="C65" s="298" t="s">
        <v>3175</v>
      </c>
      <c r="D65" s="299" t="s">
        <v>3224</v>
      </c>
      <c r="E65" s="299" t="s">
        <v>3225</v>
      </c>
      <c r="F65" s="300" t="s">
        <v>3165</v>
      </c>
      <c r="G65" s="300" t="s">
        <v>3166</v>
      </c>
      <c r="H65" s="301" t="s">
        <v>1306</v>
      </c>
      <c r="I65" s="302" t="s">
        <v>1306</v>
      </c>
      <c r="J65" s="340" t="s">
        <v>3167</v>
      </c>
      <c r="K65" s="343" t="s">
        <v>53</v>
      </c>
      <c r="L65" s="256">
        <f>CONTINUA!BV65</f>
        <v>0</v>
      </c>
      <c r="M65" s="256">
        <f>CONTINUA!BW65</f>
        <v>0</v>
      </c>
      <c r="N65" s="565"/>
      <c r="O65" s="566" t="s">
        <v>3321</v>
      </c>
      <c r="P65" s="567">
        <v>0</v>
      </c>
      <c r="Q65" s="319"/>
      <c r="R65" s="320"/>
      <c r="S65" s="319"/>
      <c r="T65" s="320"/>
      <c r="U65" s="867" t="s">
        <v>3380</v>
      </c>
      <c r="V65" s="868">
        <f>R61+R62+R63+R64+T61+T62+T63+T64</f>
        <v>0</v>
      </c>
      <c r="W65" s="812" t="s">
        <v>3385</v>
      </c>
      <c r="X65" s="869">
        <f>SUM(N61:N65)</f>
        <v>0</v>
      </c>
      <c r="Y65" s="868"/>
      <c r="Z65" s="868"/>
      <c r="AA65" s="868"/>
      <c r="AB65" s="868"/>
      <c r="AC65" s="868"/>
      <c r="AD65" s="868"/>
      <c r="AE65" s="868"/>
      <c r="AF65" s="868"/>
      <c r="AG65" s="868"/>
      <c r="AH65" s="868"/>
      <c r="AI65" s="868"/>
      <c r="AJ65" s="868"/>
      <c r="AK65" s="868"/>
      <c r="AL65" s="868"/>
      <c r="AM65" s="868"/>
      <c r="AN65" s="868"/>
      <c r="AO65" s="868"/>
      <c r="AP65" s="868"/>
      <c r="AQ65" s="868"/>
      <c r="AR65" s="868"/>
      <c r="AS65" s="868"/>
      <c r="AT65" s="868"/>
      <c r="AU65" s="868"/>
      <c r="AV65" s="868"/>
      <c r="AW65" s="868"/>
      <c r="AX65" s="868"/>
      <c r="AY65" s="868"/>
      <c r="AZ65" s="868"/>
      <c r="BA65" s="868"/>
      <c r="BB65" s="868"/>
      <c r="BC65" s="870"/>
    </row>
    <row r="66" spans="1:55" s="89" customFormat="1" ht="22.5" customHeight="1" x14ac:dyDescent="0.35">
      <c r="A66" t="s">
        <v>3226</v>
      </c>
      <c r="B66" s="430" t="s">
        <v>3227</v>
      </c>
      <c r="C66" s="431">
        <v>4</v>
      </c>
      <c r="D66" s="432" t="s">
        <v>3228</v>
      </c>
      <c r="E66" s="432" t="s">
        <v>3229</v>
      </c>
      <c r="F66" s="433" t="s">
        <v>3165</v>
      </c>
      <c r="G66" s="433" t="s">
        <v>3166</v>
      </c>
      <c r="H66" s="270" t="s">
        <v>1308</v>
      </c>
      <c r="I66" s="271" t="s">
        <v>1308</v>
      </c>
      <c r="J66" s="328" t="s">
        <v>3167</v>
      </c>
      <c r="K66" s="329" t="s">
        <v>3168</v>
      </c>
      <c r="L66" s="256">
        <f>CONTINUA!BV66</f>
        <v>0</v>
      </c>
      <c r="M66" s="256">
        <f>CONTINUA!BW66</f>
        <v>0</v>
      </c>
      <c r="N66" s="565"/>
      <c r="O66" s="566" t="s">
        <v>3322</v>
      </c>
      <c r="P66" s="567">
        <v>0</v>
      </c>
      <c r="Q66" s="319"/>
      <c r="R66" s="320"/>
      <c r="S66" s="319"/>
      <c r="T66" s="320"/>
      <c r="U66" s="807" t="s">
        <v>3376</v>
      </c>
      <c r="V66" s="808">
        <f>Q66+Q67+Q68</f>
        <v>9</v>
      </c>
      <c r="W66" s="853" t="s">
        <v>3381</v>
      </c>
      <c r="X66" s="854">
        <f>(R66+R67+R68+T66+T67+T68)</f>
        <v>0</v>
      </c>
      <c r="Y66" s="855" t="s">
        <v>3386</v>
      </c>
      <c r="Z66" s="854">
        <f>SUM(L66:L70)</f>
        <v>0</v>
      </c>
      <c r="AA66" s="813" t="s">
        <v>306</v>
      </c>
      <c r="AB66" s="814" t="s">
        <v>3388</v>
      </c>
      <c r="AC66" s="815" t="s">
        <v>19</v>
      </c>
      <c r="AD66" s="856"/>
      <c r="AE66" s="857" t="s">
        <v>3389</v>
      </c>
      <c r="AF66" s="858"/>
      <c r="AG66" s="842" t="s">
        <v>3393</v>
      </c>
      <c r="AH66" s="825" t="s">
        <v>3388</v>
      </c>
      <c r="AI66" s="826" t="s">
        <v>19</v>
      </c>
      <c r="AJ66" s="827"/>
      <c r="AK66" s="856">
        <v>1</v>
      </c>
      <c r="AL66" s="858"/>
      <c r="AM66" s="842" t="s">
        <v>3400</v>
      </c>
      <c r="AN66" s="825" t="s">
        <v>3388</v>
      </c>
      <c r="AO66" s="826" t="s">
        <v>19</v>
      </c>
      <c r="AP66" s="827"/>
      <c r="AQ66" s="856"/>
      <c r="AR66" s="858"/>
      <c r="AS66" s="841" t="s">
        <v>3401</v>
      </c>
      <c r="AT66" s="838"/>
      <c r="AU66" s="838"/>
      <c r="AV66" s="839"/>
      <c r="AW66" s="858"/>
      <c r="AX66" s="845" t="s">
        <v>3402</v>
      </c>
      <c r="AY66" s="858"/>
      <c r="AZ66" s="845" t="s">
        <v>3403</v>
      </c>
      <c r="BA66" s="846" t="s">
        <v>3404</v>
      </c>
      <c r="BB66" s="847" t="s">
        <v>3405</v>
      </c>
      <c r="BC66" s="848"/>
    </row>
    <row r="67" spans="1:55" s="89" customFormat="1" ht="22.5" customHeight="1" x14ac:dyDescent="0.2">
      <c r="A67" s="287" t="s">
        <v>3226</v>
      </c>
      <c r="B67" s="288" t="s">
        <v>3227</v>
      </c>
      <c r="C67" s="289" t="s">
        <v>3176</v>
      </c>
      <c r="D67" s="290" t="s">
        <v>3228</v>
      </c>
      <c r="E67" s="290" t="s">
        <v>3229</v>
      </c>
      <c r="F67" s="291" t="s">
        <v>3165</v>
      </c>
      <c r="G67" s="291" t="s">
        <v>3166</v>
      </c>
      <c r="H67" s="292" t="s">
        <v>1308</v>
      </c>
      <c r="I67" s="293" t="s">
        <v>1308</v>
      </c>
      <c r="J67" s="340" t="s">
        <v>3167</v>
      </c>
      <c r="K67" s="340" t="s">
        <v>3169</v>
      </c>
      <c r="L67" s="256">
        <f>CONTINUA!BV67</f>
        <v>0</v>
      </c>
      <c r="M67" s="256">
        <f>CONTINUA!BW67</f>
        <v>0</v>
      </c>
      <c r="N67" s="565"/>
      <c r="O67" s="566" t="s">
        <v>3322</v>
      </c>
      <c r="P67" s="567">
        <v>0</v>
      </c>
      <c r="Q67" s="319"/>
      <c r="R67" s="320"/>
      <c r="S67" s="319"/>
      <c r="T67" s="320"/>
      <c r="U67" s="809" t="s">
        <v>3377</v>
      </c>
      <c r="V67" s="859">
        <f>+S66+S67+S68</f>
        <v>0</v>
      </c>
      <c r="W67" s="810" t="s">
        <v>3382</v>
      </c>
      <c r="X67" s="860">
        <f>(Q69+S69)</f>
        <v>0</v>
      </c>
      <c r="Y67" s="812" t="s">
        <v>3387</v>
      </c>
      <c r="Z67" s="860">
        <f>SUM(M66:M70)</f>
        <v>0</v>
      </c>
      <c r="AA67" s="816" t="s">
        <v>3390</v>
      </c>
      <c r="AB67" s="817">
        <f>IF(X69&lt;=15,X69*385.23,0)/30</f>
        <v>115.569</v>
      </c>
      <c r="AC67" s="818"/>
      <c r="AD67" s="819">
        <f>SUM(AB67:AC69)</f>
        <v>25.682000000000002</v>
      </c>
      <c r="AE67" s="861"/>
      <c r="AF67" s="859"/>
      <c r="AG67" s="828" t="s">
        <v>3394</v>
      </c>
      <c r="AH67" s="829">
        <f>IF(V70=AK66,2043.65,0)/30</f>
        <v>0</v>
      </c>
      <c r="AI67" s="830"/>
      <c r="AJ67" s="831"/>
      <c r="AK67" s="862">
        <v>2</v>
      </c>
      <c r="AL67" s="859"/>
      <c r="AM67" s="828" t="s">
        <v>3397</v>
      </c>
      <c r="AN67" s="829">
        <f>IF(X67&lt;=AQ67,621.14*X67,0)/30</f>
        <v>0</v>
      </c>
      <c r="AO67" s="830"/>
      <c r="AP67" s="831"/>
      <c r="AQ67" s="862">
        <v>9</v>
      </c>
      <c r="AR67" s="859"/>
      <c r="AS67" s="830">
        <f>IF((SUM(V66:V69))&gt;=1,11465.63,0)/30</f>
        <v>382.18766666666664</v>
      </c>
      <c r="AT67" s="830">
        <f>IF((V66+V67)&gt;=1,(V66+V67)*385.23,0)/30</f>
        <v>115.569</v>
      </c>
      <c r="AU67" s="830">
        <f>IF((V68+V69)&gt;=1,(V68+V69)*2043.65,0)</f>
        <v>0</v>
      </c>
      <c r="AV67" s="828">
        <f>SUM(AS67:AU67)</f>
        <v>497.75666666666666</v>
      </c>
      <c r="AW67" s="859"/>
      <c r="AX67" s="843">
        <f>IF(X70&gt;0,X70*1.28,0)</f>
        <v>0</v>
      </c>
      <c r="AY67" s="859"/>
      <c r="AZ67" s="849" t="s">
        <v>19</v>
      </c>
      <c r="BA67" s="850" t="s">
        <v>3406</v>
      </c>
      <c r="BB67" s="851"/>
      <c r="BC67" s="838"/>
    </row>
    <row r="68" spans="1:55" s="89" customFormat="1" ht="22.5" customHeight="1" x14ac:dyDescent="0.2">
      <c r="A68" s="287" t="s">
        <v>3226</v>
      </c>
      <c r="B68" s="288" t="s">
        <v>3227</v>
      </c>
      <c r="C68" s="294" t="s">
        <v>3176</v>
      </c>
      <c r="D68" s="290" t="s">
        <v>3228</v>
      </c>
      <c r="E68" s="290" t="s">
        <v>3229</v>
      </c>
      <c r="F68" s="295" t="s">
        <v>3165</v>
      </c>
      <c r="G68" s="295" t="s">
        <v>3166</v>
      </c>
      <c r="H68" s="292" t="s">
        <v>1308</v>
      </c>
      <c r="I68" s="293" t="s">
        <v>1308</v>
      </c>
      <c r="J68" s="340" t="s">
        <v>3167</v>
      </c>
      <c r="K68" s="341" t="s">
        <v>3170</v>
      </c>
      <c r="L68" s="256">
        <f>CONTINUA!BV68</f>
        <v>0</v>
      </c>
      <c r="M68" s="256">
        <f>CONTINUA!BW68</f>
        <v>0</v>
      </c>
      <c r="N68" s="565"/>
      <c r="O68" s="566" t="s">
        <v>3322</v>
      </c>
      <c r="P68" s="567">
        <v>0</v>
      </c>
      <c r="Q68" s="319">
        <v>9</v>
      </c>
      <c r="R68" s="320"/>
      <c r="S68" s="319"/>
      <c r="T68" s="320"/>
      <c r="U68" s="809" t="s">
        <v>3378</v>
      </c>
      <c r="V68" s="859">
        <f>+R66+R67+R68</f>
        <v>0</v>
      </c>
      <c r="W68" s="811" t="s">
        <v>3383</v>
      </c>
      <c r="X68" s="860">
        <f>SUM(V66:V69)</f>
        <v>9</v>
      </c>
      <c r="Y68" s="859"/>
      <c r="Z68" s="859"/>
      <c r="AA68" s="863" t="s">
        <v>3391</v>
      </c>
      <c r="AB68" s="820"/>
      <c r="AC68" s="820">
        <f>IF(X69&gt;15,7492.52)/30</f>
        <v>0</v>
      </c>
      <c r="AD68" s="821"/>
      <c r="AE68" s="864">
        <v>15</v>
      </c>
      <c r="AF68" s="859"/>
      <c r="AG68" s="828" t="s">
        <v>3395</v>
      </c>
      <c r="AH68" s="829"/>
      <c r="AI68" s="832">
        <f>IF(V70&gt;=AK67,7492.52,0)/30</f>
        <v>0</v>
      </c>
      <c r="AJ68" s="833">
        <f>SUM(AH67:AI69)</f>
        <v>0</v>
      </c>
      <c r="AK68" s="862"/>
      <c r="AL68" s="859"/>
      <c r="AM68" s="828" t="s">
        <v>3398</v>
      </c>
      <c r="AN68" s="829"/>
      <c r="AO68" s="832">
        <f>IF(X67&gt;=AQ68,7492.52,0)/30</f>
        <v>0</v>
      </c>
      <c r="AP68" s="833">
        <f>SUM(AN67:AO69)</f>
        <v>0</v>
      </c>
      <c r="AQ68" s="862">
        <v>10</v>
      </c>
      <c r="AR68" s="859"/>
      <c r="AS68" s="830"/>
      <c r="AT68" s="830"/>
      <c r="AU68" s="830"/>
      <c r="AV68" s="828"/>
      <c r="AW68" s="859"/>
      <c r="AX68" s="843"/>
      <c r="AY68" s="859"/>
      <c r="AZ68" s="830" t="s">
        <v>3407</v>
      </c>
      <c r="BA68" s="829">
        <f>IF(Z66&gt;0,Z66*9.64,0)</f>
        <v>0</v>
      </c>
      <c r="BB68" s="865">
        <f>IF(Z67&gt;0,Z67*56.2,0)</f>
        <v>0</v>
      </c>
      <c r="BC68" s="830">
        <f>SUM(BA68:BB68)</f>
        <v>0</v>
      </c>
    </row>
    <row r="69" spans="1:55" s="89" customFormat="1" ht="22.5" customHeight="1" x14ac:dyDescent="0.2">
      <c r="A69" s="287" t="s">
        <v>3226</v>
      </c>
      <c r="B69" s="288" t="s">
        <v>3227</v>
      </c>
      <c r="C69" s="294" t="s">
        <v>3176</v>
      </c>
      <c r="D69" s="290" t="s">
        <v>3228</v>
      </c>
      <c r="E69" s="290" t="s">
        <v>3229</v>
      </c>
      <c r="F69" s="295" t="s">
        <v>3165</v>
      </c>
      <c r="G69" s="295" t="s">
        <v>3166</v>
      </c>
      <c r="H69" s="292" t="s">
        <v>1308</v>
      </c>
      <c r="I69" s="293" t="s">
        <v>1308</v>
      </c>
      <c r="J69" s="340" t="s">
        <v>3167</v>
      </c>
      <c r="K69" s="342" t="s">
        <v>3171</v>
      </c>
      <c r="L69" s="256">
        <f>CONTINUA!BV69</f>
        <v>0</v>
      </c>
      <c r="M69" s="256">
        <f>CONTINUA!BW69</f>
        <v>0</v>
      </c>
      <c r="N69" s="565"/>
      <c r="O69" s="566" t="s">
        <v>3322</v>
      </c>
      <c r="P69" s="567">
        <v>0</v>
      </c>
      <c r="Q69" s="319"/>
      <c r="R69" s="320"/>
      <c r="S69" s="319"/>
      <c r="T69" s="320"/>
      <c r="U69" s="809" t="s">
        <v>3379</v>
      </c>
      <c r="V69" s="866">
        <f>+T66+T67+T68</f>
        <v>0</v>
      </c>
      <c r="W69" s="812" t="s">
        <v>3384</v>
      </c>
      <c r="X69" s="860">
        <f>SUM(V66:V67)</f>
        <v>9</v>
      </c>
      <c r="Y69" s="866"/>
      <c r="Z69" s="866"/>
      <c r="AA69" s="822" t="s">
        <v>3392</v>
      </c>
      <c r="AB69" s="823">
        <f>((X69-16)*385.23)/30</f>
        <v>-89.887</v>
      </c>
      <c r="AC69" s="823"/>
      <c r="AD69" s="824"/>
      <c r="AE69" s="864">
        <v>16</v>
      </c>
      <c r="AF69" s="866"/>
      <c r="AG69" s="834" t="s">
        <v>3396</v>
      </c>
      <c r="AH69" s="835">
        <f>IF(V70&gt;AK67,(V70-AK67)*2043.65,0)/30</f>
        <v>0</v>
      </c>
      <c r="AI69" s="836"/>
      <c r="AJ69" s="837"/>
      <c r="AK69" s="862"/>
      <c r="AL69" s="866"/>
      <c r="AM69" s="834" t="s">
        <v>3399</v>
      </c>
      <c r="AN69" s="835">
        <f>IF(X67&gt;AQ68,(X67-AQ68)*621.14,0)/30</f>
        <v>0</v>
      </c>
      <c r="AO69" s="836"/>
      <c r="AP69" s="837"/>
      <c r="AQ69" s="862"/>
      <c r="AR69" s="866"/>
      <c r="AS69" s="836"/>
      <c r="AT69" s="836"/>
      <c r="AU69" s="836"/>
      <c r="AV69" s="840"/>
      <c r="AW69" s="866"/>
      <c r="AX69" s="844"/>
      <c r="AY69" s="866"/>
      <c r="AZ69" s="836"/>
      <c r="BA69" s="835"/>
      <c r="BB69" s="852"/>
      <c r="BC69" s="836"/>
    </row>
    <row r="70" spans="1:55" s="89" customFormat="1" ht="22.5" customHeight="1" thickBot="1" x14ac:dyDescent="0.25">
      <c r="A70" s="296" t="s">
        <v>3226</v>
      </c>
      <c r="B70" s="297" t="s">
        <v>3227</v>
      </c>
      <c r="C70" s="298" t="s">
        <v>3176</v>
      </c>
      <c r="D70" s="299" t="s">
        <v>3228</v>
      </c>
      <c r="E70" s="299" t="s">
        <v>3229</v>
      </c>
      <c r="F70" s="300" t="s">
        <v>3165</v>
      </c>
      <c r="G70" s="300" t="s">
        <v>3166</v>
      </c>
      <c r="H70" s="301" t="s">
        <v>1308</v>
      </c>
      <c r="I70" s="302" t="s">
        <v>1308</v>
      </c>
      <c r="J70" s="340" t="s">
        <v>3167</v>
      </c>
      <c r="K70" s="343" t="s">
        <v>53</v>
      </c>
      <c r="L70" s="256">
        <f>CONTINUA!BV70</f>
        <v>0</v>
      </c>
      <c r="M70" s="256">
        <f>CONTINUA!BW70</f>
        <v>0</v>
      </c>
      <c r="N70" s="565"/>
      <c r="O70" s="566" t="s">
        <v>3322</v>
      </c>
      <c r="P70" s="567">
        <v>0</v>
      </c>
      <c r="Q70" s="319"/>
      <c r="R70" s="320"/>
      <c r="S70" s="319"/>
      <c r="T70" s="320"/>
      <c r="U70" s="867" t="s">
        <v>3380</v>
      </c>
      <c r="V70" s="868">
        <f>R66+R67+R68+R69+T66+T67+T68+T69</f>
        <v>0</v>
      </c>
      <c r="W70" s="812" t="s">
        <v>3385</v>
      </c>
      <c r="X70" s="869">
        <f>SUM(N66:N70)</f>
        <v>0</v>
      </c>
      <c r="Y70" s="868"/>
      <c r="Z70" s="868"/>
      <c r="AA70" s="868"/>
      <c r="AB70" s="868"/>
      <c r="AC70" s="868"/>
      <c r="AD70" s="868"/>
      <c r="AE70" s="868"/>
      <c r="AF70" s="868"/>
      <c r="AG70" s="868"/>
      <c r="AH70" s="868"/>
      <c r="AI70" s="868"/>
      <c r="AJ70" s="868"/>
      <c r="AK70" s="868"/>
      <c r="AL70" s="868"/>
      <c r="AM70" s="868"/>
      <c r="AN70" s="868"/>
      <c r="AO70" s="868"/>
      <c r="AP70" s="868"/>
      <c r="AQ70" s="868"/>
      <c r="AR70" s="868"/>
      <c r="AS70" s="868"/>
      <c r="AT70" s="868"/>
      <c r="AU70" s="868"/>
      <c r="AV70" s="868"/>
      <c r="AW70" s="868"/>
      <c r="AX70" s="868"/>
      <c r="AY70" s="868"/>
      <c r="AZ70" s="868"/>
      <c r="BA70" s="868"/>
      <c r="BB70" s="868"/>
      <c r="BC70" s="870"/>
    </row>
    <row r="71" spans="1:55" s="89" customFormat="1" ht="22.5" customHeight="1" x14ac:dyDescent="0.35">
      <c r="A71" t="s">
        <v>3230</v>
      </c>
      <c r="B71" s="430" t="s">
        <v>3231</v>
      </c>
      <c r="C71" s="431">
        <v>1</v>
      </c>
      <c r="D71" s="432" t="s">
        <v>3232</v>
      </c>
      <c r="E71" s="432" t="s">
        <v>3233</v>
      </c>
      <c r="F71" s="433" t="s">
        <v>3165</v>
      </c>
      <c r="G71" s="433" t="s">
        <v>3166</v>
      </c>
      <c r="H71" s="270" t="s">
        <v>1312</v>
      </c>
      <c r="I71" s="271" t="s">
        <v>1312</v>
      </c>
      <c r="J71" s="328" t="s">
        <v>3167</v>
      </c>
      <c r="K71" s="329" t="s">
        <v>3168</v>
      </c>
      <c r="L71" s="256">
        <f>CONTINUA!BV71</f>
        <v>0</v>
      </c>
      <c r="M71" s="256">
        <f>CONTINUA!BW71</f>
        <v>0</v>
      </c>
      <c r="N71" s="565"/>
      <c r="O71" s="566" t="s">
        <v>3323</v>
      </c>
      <c r="P71" s="567">
        <v>0</v>
      </c>
      <c r="Q71" s="319"/>
      <c r="R71" s="320"/>
      <c r="S71" s="319"/>
      <c r="T71" s="320"/>
      <c r="U71" s="807" t="s">
        <v>3376</v>
      </c>
      <c r="V71" s="808">
        <f>Q71+Q72+Q73</f>
        <v>37</v>
      </c>
      <c r="W71" s="853" t="s">
        <v>3381</v>
      </c>
      <c r="X71" s="854">
        <f>(R71+R72+R73+T71+T72+T73)</f>
        <v>0</v>
      </c>
      <c r="Y71" s="855" t="s">
        <v>3386</v>
      </c>
      <c r="Z71" s="854">
        <f>SUM(L71:L75)</f>
        <v>5</v>
      </c>
      <c r="AA71" s="813" t="s">
        <v>306</v>
      </c>
      <c r="AB71" s="814" t="s">
        <v>3388</v>
      </c>
      <c r="AC71" s="815" t="s">
        <v>19</v>
      </c>
      <c r="AD71" s="856"/>
      <c r="AE71" s="857" t="s">
        <v>3389</v>
      </c>
      <c r="AF71" s="858"/>
      <c r="AG71" s="842" t="s">
        <v>3393</v>
      </c>
      <c r="AH71" s="825" t="s">
        <v>3388</v>
      </c>
      <c r="AI71" s="826" t="s">
        <v>19</v>
      </c>
      <c r="AJ71" s="827"/>
      <c r="AK71" s="856">
        <v>1</v>
      </c>
      <c r="AL71" s="858"/>
      <c r="AM71" s="842" t="s">
        <v>3400</v>
      </c>
      <c r="AN71" s="825" t="s">
        <v>3388</v>
      </c>
      <c r="AO71" s="826" t="s">
        <v>19</v>
      </c>
      <c r="AP71" s="827"/>
      <c r="AQ71" s="856"/>
      <c r="AR71" s="858"/>
      <c r="AS71" s="841" t="s">
        <v>3401</v>
      </c>
      <c r="AT71" s="838"/>
      <c r="AU71" s="838"/>
      <c r="AV71" s="839"/>
      <c r="AW71" s="858"/>
      <c r="AX71" s="845" t="s">
        <v>3402</v>
      </c>
      <c r="AY71" s="858"/>
      <c r="AZ71" s="845" t="s">
        <v>3403</v>
      </c>
      <c r="BA71" s="846" t="s">
        <v>3404</v>
      </c>
      <c r="BB71" s="847" t="s">
        <v>3405</v>
      </c>
      <c r="BC71" s="848"/>
    </row>
    <row r="72" spans="1:55" s="89" customFormat="1" ht="22.5" customHeight="1" x14ac:dyDescent="0.2">
      <c r="A72" s="287" t="s">
        <v>3230</v>
      </c>
      <c r="B72" s="288" t="s">
        <v>3231</v>
      </c>
      <c r="C72" s="289" t="s">
        <v>3175</v>
      </c>
      <c r="D72" s="290" t="s">
        <v>3232</v>
      </c>
      <c r="E72" s="290" t="s">
        <v>3233</v>
      </c>
      <c r="F72" s="291" t="s">
        <v>3165</v>
      </c>
      <c r="G72" s="291" t="s">
        <v>3166</v>
      </c>
      <c r="H72" s="292" t="s">
        <v>1312</v>
      </c>
      <c r="I72" s="293" t="s">
        <v>1312</v>
      </c>
      <c r="J72" s="340" t="s">
        <v>3167</v>
      </c>
      <c r="K72" s="340" t="s">
        <v>3169</v>
      </c>
      <c r="L72" s="256">
        <f>CONTINUA!BV72</f>
        <v>5</v>
      </c>
      <c r="M72" s="256">
        <f>CONTINUA!BW72</f>
        <v>0</v>
      </c>
      <c r="N72" s="565"/>
      <c r="O72" s="566" t="s">
        <v>3323</v>
      </c>
      <c r="P72" s="567">
        <v>0</v>
      </c>
      <c r="Q72" s="319">
        <v>37</v>
      </c>
      <c r="R72" s="320"/>
      <c r="S72" s="319">
        <v>6</v>
      </c>
      <c r="T72" s="320"/>
      <c r="U72" s="809" t="s">
        <v>3377</v>
      </c>
      <c r="V72" s="859">
        <f>+S71+S72+S73</f>
        <v>6</v>
      </c>
      <c r="W72" s="810" t="s">
        <v>3382</v>
      </c>
      <c r="X72" s="860">
        <f>(Q74+S74)</f>
        <v>0</v>
      </c>
      <c r="Y72" s="812" t="s">
        <v>3387</v>
      </c>
      <c r="Z72" s="860">
        <f>SUM(M71:M75)</f>
        <v>0</v>
      </c>
      <c r="AA72" s="816" t="s">
        <v>3390</v>
      </c>
      <c r="AB72" s="817">
        <f>IF(X74&lt;=15,X74*385.23,0)/30</f>
        <v>0</v>
      </c>
      <c r="AC72" s="818"/>
      <c r="AD72" s="819">
        <f>SUM(AB72:AC74)</f>
        <v>596.45766666666668</v>
      </c>
      <c r="AE72" s="861"/>
      <c r="AF72" s="859"/>
      <c r="AG72" s="828" t="s">
        <v>3394</v>
      </c>
      <c r="AH72" s="829">
        <f>IF(V75=AK71,2043.65,0)/30</f>
        <v>0</v>
      </c>
      <c r="AI72" s="830"/>
      <c r="AJ72" s="831"/>
      <c r="AK72" s="862">
        <v>2</v>
      </c>
      <c r="AL72" s="859"/>
      <c r="AM72" s="828" t="s">
        <v>3397</v>
      </c>
      <c r="AN72" s="829">
        <f>IF(X72&lt;=AQ72,621.14*X72,0)/30</f>
        <v>0</v>
      </c>
      <c r="AO72" s="830"/>
      <c r="AP72" s="831"/>
      <c r="AQ72" s="862">
        <v>9</v>
      </c>
      <c r="AR72" s="859"/>
      <c r="AS72" s="830">
        <f>IF((SUM(V71:V74))&gt;=1,11465.63,0)/30</f>
        <v>382.18766666666664</v>
      </c>
      <c r="AT72" s="830">
        <f>IF((V71+V72)&gt;=1,(V71+V72)*385.23,0)/30</f>
        <v>552.16300000000001</v>
      </c>
      <c r="AU72" s="830">
        <f>IF((V73+V74)&gt;=1,(V73+V74)*2043.65,0)</f>
        <v>0</v>
      </c>
      <c r="AV72" s="828">
        <f>SUM(AS72:AU72)</f>
        <v>934.35066666666671</v>
      </c>
      <c r="AW72" s="859"/>
      <c r="AX72" s="843">
        <f>IF(X75&gt;0,X75*1.28,0)</f>
        <v>0</v>
      </c>
      <c r="AY72" s="859"/>
      <c r="AZ72" s="849" t="s">
        <v>19</v>
      </c>
      <c r="BA72" s="850" t="s">
        <v>3406</v>
      </c>
      <c r="BB72" s="851"/>
      <c r="BC72" s="838"/>
    </row>
    <row r="73" spans="1:55" s="89" customFormat="1" ht="22.5" customHeight="1" x14ac:dyDescent="0.2">
      <c r="A73" s="287" t="s">
        <v>3230</v>
      </c>
      <c r="B73" s="288" t="s">
        <v>3231</v>
      </c>
      <c r="C73" s="294" t="s">
        <v>3175</v>
      </c>
      <c r="D73" s="290" t="s">
        <v>3232</v>
      </c>
      <c r="E73" s="290" t="s">
        <v>3233</v>
      </c>
      <c r="F73" s="295" t="s">
        <v>3165</v>
      </c>
      <c r="G73" s="295" t="s">
        <v>3166</v>
      </c>
      <c r="H73" s="292" t="s">
        <v>1312</v>
      </c>
      <c r="I73" s="293" t="s">
        <v>1312</v>
      </c>
      <c r="J73" s="340" t="s">
        <v>3167</v>
      </c>
      <c r="K73" s="341" t="s">
        <v>3170</v>
      </c>
      <c r="L73" s="256">
        <f>CONTINUA!BV73</f>
        <v>0</v>
      </c>
      <c r="M73" s="256">
        <f>CONTINUA!BW73</f>
        <v>0</v>
      </c>
      <c r="N73" s="565"/>
      <c r="O73" s="566" t="s">
        <v>3323</v>
      </c>
      <c r="P73" s="567">
        <v>0</v>
      </c>
      <c r="Q73" s="319"/>
      <c r="R73" s="320"/>
      <c r="S73" s="319"/>
      <c r="T73" s="320"/>
      <c r="U73" s="809" t="s">
        <v>3378</v>
      </c>
      <c r="V73" s="859">
        <f>+R71+R72+R73</f>
        <v>0</v>
      </c>
      <c r="W73" s="811" t="s">
        <v>3383</v>
      </c>
      <c r="X73" s="860">
        <f>SUM(V71:V74)</f>
        <v>43</v>
      </c>
      <c r="Y73" s="859"/>
      <c r="Z73" s="859"/>
      <c r="AA73" s="863" t="s">
        <v>3391</v>
      </c>
      <c r="AB73" s="820"/>
      <c r="AC73" s="820">
        <f>IF(X74&gt;15,7492.52)/30</f>
        <v>249.75066666666669</v>
      </c>
      <c r="AD73" s="821"/>
      <c r="AE73" s="864">
        <v>15</v>
      </c>
      <c r="AF73" s="859"/>
      <c r="AG73" s="828" t="s">
        <v>3395</v>
      </c>
      <c r="AH73" s="829"/>
      <c r="AI73" s="832">
        <f>IF(V75&gt;=AK72,7492.52,0)/30</f>
        <v>0</v>
      </c>
      <c r="AJ73" s="833">
        <f>SUM(AH72:AI74)</f>
        <v>0</v>
      </c>
      <c r="AK73" s="862"/>
      <c r="AL73" s="859"/>
      <c r="AM73" s="828" t="s">
        <v>3398</v>
      </c>
      <c r="AN73" s="829"/>
      <c r="AO73" s="832">
        <f>IF(X72&gt;=AQ73,7492.52,0)/30</f>
        <v>0</v>
      </c>
      <c r="AP73" s="833">
        <f>SUM(AN72:AO74)</f>
        <v>0</v>
      </c>
      <c r="AQ73" s="862">
        <v>10</v>
      </c>
      <c r="AR73" s="859"/>
      <c r="AS73" s="830"/>
      <c r="AT73" s="830"/>
      <c r="AU73" s="830"/>
      <c r="AV73" s="828"/>
      <c r="AW73" s="859"/>
      <c r="AX73" s="843"/>
      <c r="AY73" s="859"/>
      <c r="AZ73" s="830" t="s">
        <v>3407</v>
      </c>
      <c r="BA73" s="829">
        <f>IF(Z71&gt;0,Z71*9.64,0)</f>
        <v>48.2</v>
      </c>
      <c r="BB73" s="865">
        <f>IF(Z72&gt;0,Z72*56.2,0)</f>
        <v>0</v>
      </c>
      <c r="BC73" s="830">
        <f>SUM(BA73:BB73)</f>
        <v>48.2</v>
      </c>
    </row>
    <row r="74" spans="1:55" s="89" customFormat="1" ht="22.5" customHeight="1" x14ac:dyDescent="0.2">
      <c r="A74" s="287" t="s">
        <v>3230</v>
      </c>
      <c r="B74" s="288" t="s">
        <v>3231</v>
      </c>
      <c r="C74" s="294" t="s">
        <v>3175</v>
      </c>
      <c r="D74" s="290" t="s">
        <v>3232</v>
      </c>
      <c r="E74" s="290" t="s">
        <v>3233</v>
      </c>
      <c r="F74" s="295" t="s">
        <v>3165</v>
      </c>
      <c r="G74" s="295" t="s">
        <v>3166</v>
      </c>
      <c r="H74" s="292" t="s">
        <v>1312</v>
      </c>
      <c r="I74" s="293" t="s">
        <v>1312</v>
      </c>
      <c r="J74" s="340" t="s">
        <v>3167</v>
      </c>
      <c r="K74" s="342" t="s">
        <v>3171</v>
      </c>
      <c r="L74" s="256">
        <f>CONTINUA!BV74</f>
        <v>0</v>
      </c>
      <c r="M74" s="256">
        <f>CONTINUA!BW74</f>
        <v>0</v>
      </c>
      <c r="N74" s="565"/>
      <c r="O74" s="566" t="s">
        <v>3323</v>
      </c>
      <c r="P74" s="567">
        <v>0</v>
      </c>
      <c r="Q74" s="319"/>
      <c r="R74" s="320"/>
      <c r="S74" s="319"/>
      <c r="T74" s="320"/>
      <c r="U74" s="809" t="s">
        <v>3379</v>
      </c>
      <c r="V74" s="866">
        <f>+T71+T72+T73</f>
        <v>0</v>
      </c>
      <c r="W74" s="812" t="s">
        <v>3384</v>
      </c>
      <c r="X74" s="860">
        <f>SUM(V71:V72)</f>
        <v>43</v>
      </c>
      <c r="Y74" s="866"/>
      <c r="Z74" s="866"/>
      <c r="AA74" s="822" t="s">
        <v>3392</v>
      </c>
      <c r="AB74" s="823">
        <f>((X74-16)*385.23)/30</f>
        <v>346.70700000000005</v>
      </c>
      <c r="AC74" s="823"/>
      <c r="AD74" s="824"/>
      <c r="AE74" s="864">
        <v>16</v>
      </c>
      <c r="AF74" s="866"/>
      <c r="AG74" s="834" t="s">
        <v>3396</v>
      </c>
      <c r="AH74" s="835">
        <f>IF(V75&gt;AK72,(V75-AK72)*2043.65,0)/30</f>
        <v>0</v>
      </c>
      <c r="AI74" s="836"/>
      <c r="AJ74" s="837"/>
      <c r="AK74" s="862"/>
      <c r="AL74" s="866"/>
      <c r="AM74" s="834" t="s">
        <v>3399</v>
      </c>
      <c r="AN74" s="835">
        <f>IF(X72&gt;AQ73,(X72-AQ73)*621.14,0)/30</f>
        <v>0</v>
      </c>
      <c r="AO74" s="836"/>
      <c r="AP74" s="837"/>
      <c r="AQ74" s="862"/>
      <c r="AR74" s="866"/>
      <c r="AS74" s="836"/>
      <c r="AT74" s="836"/>
      <c r="AU74" s="836"/>
      <c r="AV74" s="840"/>
      <c r="AW74" s="866"/>
      <c r="AX74" s="844"/>
      <c r="AY74" s="866"/>
      <c r="AZ74" s="836"/>
      <c r="BA74" s="835"/>
      <c r="BB74" s="852"/>
      <c r="BC74" s="836"/>
    </row>
    <row r="75" spans="1:55" s="89" customFormat="1" ht="22.5" customHeight="1" thickBot="1" x14ac:dyDescent="0.25">
      <c r="A75" s="296" t="s">
        <v>3230</v>
      </c>
      <c r="B75" s="297" t="s">
        <v>3231</v>
      </c>
      <c r="C75" s="298" t="s">
        <v>3175</v>
      </c>
      <c r="D75" s="299" t="s">
        <v>3232</v>
      </c>
      <c r="E75" s="299" t="s">
        <v>3233</v>
      </c>
      <c r="F75" s="300" t="s">
        <v>3165</v>
      </c>
      <c r="G75" s="300" t="s">
        <v>3166</v>
      </c>
      <c r="H75" s="301" t="s">
        <v>1312</v>
      </c>
      <c r="I75" s="302" t="s">
        <v>1312</v>
      </c>
      <c r="J75" s="340" t="s">
        <v>3167</v>
      </c>
      <c r="K75" s="343" t="s">
        <v>53</v>
      </c>
      <c r="L75" s="256">
        <f>CONTINUA!BV75</f>
        <v>0</v>
      </c>
      <c r="M75" s="256">
        <f>CONTINUA!BW75</f>
        <v>0</v>
      </c>
      <c r="N75" s="565"/>
      <c r="O75" s="566" t="s">
        <v>3323</v>
      </c>
      <c r="P75" s="567">
        <v>0</v>
      </c>
      <c r="Q75" s="319"/>
      <c r="R75" s="320"/>
      <c r="S75" s="319"/>
      <c r="T75" s="320"/>
      <c r="U75" s="867" t="s">
        <v>3380</v>
      </c>
      <c r="V75" s="868">
        <f>R71+R72+R73+R74+T71+T72+T73+T74</f>
        <v>0</v>
      </c>
      <c r="W75" s="812" t="s">
        <v>3385</v>
      </c>
      <c r="X75" s="869">
        <f>SUM(N71:N75)</f>
        <v>0</v>
      </c>
      <c r="Y75" s="868"/>
      <c r="Z75" s="868"/>
      <c r="AA75" s="868"/>
      <c r="AB75" s="868"/>
      <c r="AC75" s="868"/>
      <c r="AD75" s="868"/>
      <c r="AE75" s="868"/>
      <c r="AF75" s="868"/>
      <c r="AG75" s="868"/>
      <c r="AH75" s="868"/>
      <c r="AI75" s="868"/>
      <c r="AJ75" s="868"/>
      <c r="AK75" s="868"/>
      <c r="AL75" s="868"/>
      <c r="AM75" s="868"/>
      <c r="AN75" s="868"/>
      <c r="AO75" s="868"/>
      <c r="AP75" s="868"/>
      <c r="AQ75" s="868"/>
      <c r="AR75" s="868"/>
      <c r="AS75" s="868"/>
      <c r="AT75" s="868"/>
      <c r="AU75" s="868"/>
      <c r="AV75" s="868"/>
      <c r="AW75" s="868"/>
      <c r="AX75" s="868"/>
      <c r="AY75" s="868"/>
      <c r="AZ75" s="868"/>
      <c r="BA75" s="868"/>
      <c r="BB75" s="868"/>
      <c r="BC75" s="870"/>
    </row>
    <row r="76" spans="1:55" s="89" customFormat="1" ht="22.5" customHeight="1" x14ac:dyDescent="0.35">
      <c r="A76" t="s">
        <v>3234</v>
      </c>
      <c r="B76" s="430" t="s">
        <v>3235</v>
      </c>
      <c r="C76" s="431">
        <v>4</v>
      </c>
      <c r="D76" s="432" t="s">
        <v>3236</v>
      </c>
      <c r="E76" s="432" t="s">
        <v>3237</v>
      </c>
      <c r="F76" s="433" t="s">
        <v>3165</v>
      </c>
      <c r="G76" s="433" t="s">
        <v>3166</v>
      </c>
      <c r="H76" s="270" t="s">
        <v>1314</v>
      </c>
      <c r="I76" s="271" t="s">
        <v>1314</v>
      </c>
      <c r="J76" s="328" t="s">
        <v>3167</v>
      </c>
      <c r="K76" s="329" t="s">
        <v>3168</v>
      </c>
      <c r="L76" s="256">
        <f>CONTINUA!BV76</f>
        <v>0</v>
      </c>
      <c r="M76" s="256">
        <f>CONTINUA!BW76</f>
        <v>0</v>
      </c>
      <c r="N76" s="565"/>
      <c r="O76" s="566" t="s">
        <v>3324</v>
      </c>
      <c r="P76" s="567">
        <v>0</v>
      </c>
      <c r="Q76" s="319"/>
      <c r="R76" s="320"/>
      <c r="S76" s="319"/>
      <c r="T76" s="320"/>
      <c r="U76" s="807" t="s">
        <v>3376</v>
      </c>
      <c r="V76" s="808">
        <f>Q76+Q77+Q78</f>
        <v>6</v>
      </c>
      <c r="W76" s="853" t="s">
        <v>3381</v>
      </c>
      <c r="X76" s="854">
        <f>(R76+R77+R78+T76+T77+T78)</f>
        <v>0</v>
      </c>
      <c r="Y76" s="855" t="s">
        <v>3386</v>
      </c>
      <c r="Z76" s="854">
        <f>SUM(L76:L80)</f>
        <v>0</v>
      </c>
      <c r="AA76" s="813" t="s">
        <v>306</v>
      </c>
      <c r="AB76" s="814" t="s">
        <v>3388</v>
      </c>
      <c r="AC76" s="815" t="s">
        <v>19</v>
      </c>
      <c r="AD76" s="856"/>
      <c r="AE76" s="857" t="s">
        <v>3389</v>
      </c>
      <c r="AF76" s="858"/>
      <c r="AG76" s="842" t="s">
        <v>3393</v>
      </c>
      <c r="AH76" s="825" t="s">
        <v>3388</v>
      </c>
      <c r="AI76" s="826" t="s">
        <v>19</v>
      </c>
      <c r="AJ76" s="827"/>
      <c r="AK76" s="856">
        <v>1</v>
      </c>
      <c r="AL76" s="858"/>
      <c r="AM76" s="842" t="s">
        <v>3400</v>
      </c>
      <c r="AN76" s="825" t="s">
        <v>3388</v>
      </c>
      <c r="AO76" s="826" t="s">
        <v>19</v>
      </c>
      <c r="AP76" s="827"/>
      <c r="AQ76" s="856"/>
      <c r="AR76" s="858"/>
      <c r="AS76" s="841" t="s">
        <v>3401</v>
      </c>
      <c r="AT76" s="838"/>
      <c r="AU76" s="838"/>
      <c r="AV76" s="839"/>
      <c r="AW76" s="858"/>
      <c r="AX76" s="845" t="s">
        <v>3402</v>
      </c>
      <c r="AY76" s="858"/>
      <c r="AZ76" s="845" t="s">
        <v>3403</v>
      </c>
      <c r="BA76" s="846" t="s">
        <v>3404</v>
      </c>
      <c r="BB76" s="847" t="s">
        <v>3405</v>
      </c>
      <c r="BC76" s="848"/>
    </row>
    <row r="77" spans="1:55" s="89" customFormat="1" ht="22.5" customHeight="1" x14ac:dyDescent="0.2">
      <c r="A77" s="287" t="s">
        <v>3234</v>
      </c>
      <c r="B77" s="288" t="s">
        <v>3235</v>
      </c>
      <c r="C77" s="289" t="s">
        <v>3176</v>
      </c>
      <c r="D77" s="290" t="s">
        <v>3236</v>
      </c>
      <c r="E77" s="290" t="s">
        <v>3237</v>
      </c>
      <c r="F77" s="291" t="s">
        <v>3165</v>
      </c>
      <c r="G77" s="291" t="s">
        <v>3166</v>
      </c>
      <c r="H77" s="292" t="s">
        <v>1314</v>
      </c>
      <c r="I77" s="293" t="s">
        <v>1314</v>
      </c>
      <c r="J77" s="340" t="s">
        <v>3167</v>
      </c>
      <c r="K77" s="340" t="s">
        <v>3169</v>
      </c>
      <c r="L77" s="256">
        <f>CONTINUA!BV77</f>
        <v>0</v>
      </c>
      <c r="M77" s="256">
        <f>CONTINUA!BW77</f>
        <v>0</v>
      </c>
      <c r="N77" s="565"/>
      <c r="O77" s="566" t="s">
        <v>3324</v>
      </c>
      <c r="P77" s="567">
        <v>0</v>
      </c>
      <c r="Q77" s="319"/>
      <c r="R77" s="320"/>
      <c r="S77" s="319"/>
      <c r="T77" s="320"/>
      <c r="U77" s="809" t="s">
        <v>3377</v>
      </c>
      <c r="V77" s="859">
        <f>+S76+S77+S78</f>
        <v>0</v>
      </c>
      <c r="W77" s="810" t="s">
        <v>3382</v>
      </c>
      <c r="X77" s="860">
        <f>(Q79+S79)</f>
        <v>0</v>
      </c>
      <c r="Y77" s="812" t="s">
        <v>3387</v>
      </c>
      <c r="Z77" s="860">
        <f>SUM(M76:M80)</f>
        <v>0</v>
      </c>
      <c r="AA77" s="816" t="s">
        <v>3390</v>
      </c>
      <c r="AB77" s="817">
        <f>IF(X79&lt;=15,X79*385.23,0)/30</f>
        <v>77.046000000000006</v>
      </c>
      <c r="AC77" s="818"/>
      <c r="AD77" s="819">
        <f>SUM(AB77:AC79)</f>
        <v>-51.36399999999999</v>
      </c>
      <c r="AE77" s="861"/>
      <c r="AF77" s="859"/>
      <c r="AG77" s="828" t="s">
        <v>3394</v>
      </c>
      <c r="AH77" s="829">
        <f>IF(V80=AK76,2043.65,0)/30</f>
        <v>0</v>
      </c>
      <c r="AI77" s="830"/>
      <c r="AJ77" s="831"/>
      <c r="AK77" s="862">
        <v>2</v>
      </c>
      <c r="AL77" s="859"/>
      <c r="AM77" s="828" t="s">
        <v>3397</v>
      </c>
      <c r="AN77" s="829">
        <f>IF(X77&lt;=AQ77,621.14*X77,0)/30</f>
        <v>0</v>
      </c>
      <c r="AO77" s="830"/>
      <c r="AP77" s="831"/>
      <c r="AQ77" s="862">
        <v>9</v>
      </c>
      <c r="AR77" s="859"/>
      <c r="AS77" s="830">
        <f>IF((SUM(V76:V79))&gt;=1,11465.63,0)/30</f>
        <v>382.18766666666664</v>
      </c>
      <c r="AT77" s="830">
        <f>IF((V76+V77)&gt;=1,(V76+V77)*385.23,0)/30</f>
        <v>77.046000000000006</v>
      </c>
      <c r="AU77" s="830">
        <f>IF((V78+V79)&gt;=1,(V78+V79)*2043.65,0)</f>
        <v>0</v>
      </c>
      <c r="AV77" s="828">
        <f>SUM(AS77:AU77)</f>
        <v>459.23366666666664</v>
      </c>
      <c r="AW77" s="859"/>
      <c r="AX77" s="843">
        <f>IF(X80&gt;0,X80*1.28,0)</f>
        <v>0</v>
      </c>
      <c r="AY77" s="859"/>
      <c r="AZ77" s="849" t="s">
        <v>19</v>
      </c>
      <c r="BA77" s="850" t="s">
        <v>3406</v>
      </c>
      <c r="BB77" s="851"/>
      <c r="BC77" s="838"/>
    </row>
    <row r="78" spans="1:55" s="89" customFormat="1" ht="22.5" customHeight="1" x14ac:dyDescent="0.2">
      <c r="A78" s="287" t="s">
        <v>3234</v>
      </c>
      <c r="B78" s="288" t="s">
        <v>3235</v>
      </c>
      <c r="C78" s="294" t="s">
        <v>3176</v>
      </c>
      <c r="D78" s="290" t="s">
        <v>3236</v>
      </c>
      <c r="E78" s="290" t="s">
        <v>3237</v>
      </c>
      <c r="F78" s="295" t="s">
        <v>3165</v>
      </c>
      <c r="G78" s="295" t="s">
        <v>3166</v>
      </c>
      <c r="H78" s="292" t="s">
        <v>1314</v>
      </c>
      <c r="I78" s="293" t="s">
        <v>1314</v>
      </c>
      <c r="J78" s="340" t="s">
        <v>3167</v>
      </c>
      <c r="K78" s="341" t="s">
        <v>3170</v>
      </c>
      <c r="L78" s="256">
        <f>CONTINUA!BV78</f>
        <v>0</v>
      </c>
      <c r="M78" s="256">
        <f>CONTINUA!BW78</f>
        <v>0</v>
      </c>
      <c r="N78" s="565"/>
      <c r="O78" s="566" t="s">
        <v>3324</v>
      </c>
      <c r="P78" s="567">
        <v>0</v>
      </c>
      <c r="Q78" s="319">
        <v>6</v>
      </c>
      <c r="R78" s="320"/>
      <c r="S78" s="319"/>
      <c r="T78" s="320"/>
      <c r="U78" s="809" t="s">
        <v>3378</v>
      </c>
      <c r="V78" s="859">
        <f>+R76+R77+R78</f>
        <v>0</v>
      </c>
      <c r="W78" s="811" t="s">
        <v>3383</v>
      </c>
      <c r="X78" s="860">
        <f>SUM(V76:V79)</f>
        <v>6</v>
      </c>
      <c r="Y78" s="859"/>
      <c r="Z78" s="859"/>
      <c r="AA78" s="863" t="s">
        <v>3391</v>
      </c>
      <c r="AB78" s="820"/>
      <c r="AC78" s="820">
        <f>IF(X79&gt;15,7492.52)/30</f>
        <v>0</v>
      </c>
      <c r="AD78" s="821"/>
      <c r="AE78" s="864">
        <v>15</v>
      </c>
      <c r="AF78" s="859"/>
      <c r="AG78" s="828" t="s">
        <v>3395</v>
      </c>
      <c r="AH78" s="829"/>
      <c r="AI78" s="832">
        <f>IF(V80&gt;=AK77,7492.52,0)/30</f>
        <v>0</v>
      </c>
      <c r="AJ78" s="833">
        <f>SUM(AH77:AI79)</f>
        <v>0</v>
      </c>
      <c r="AK78" s="862"/>
      <c r="AL78" s="859"/>
      <c r="AM78" s="828" t="s">
        <v>3398</v>
      </c>
      <c r="AN78" s="829"/>
      <c r="AO78" s="832">
        <f>IF(X77&gt;=AQ78,7492.52,0)/30</f>
        <v>0</v>
      </c>
      <c r="AP78" s="833">
        <f>SUM(AN77:AO79)</f>
        <v>0</v>
      </c>
      <c r="AQ78" s="862">
        <v>10</v>
      </c>
      <c r="AR78" s="859"/>
      <c r="AS78" s="830"/>
      <c r="AT78" s="830"/>
      <c r="AU78" s="830"/>
      <c r="AV78" s="828"/>
      <c r="AW78" s="859"/>
      <c r="AX78" s="843"/>
      <c r="AY78" s="859"/>
      <c r="AZ78" s="830" t="s">
        <v>3407</v>
      </c>
      <c r="BA78" s="829">
        <f>IF(Z76&gt;0,Z76*9.64,0)</f>
        <v>0</v>
      </c>
      <c r="BB78" s="865">
        <f>IF(Z77&gt;0,Z77*56.2,0)</f>
        <v>0</v>
      </c>
      <c r="BC78" s="830">
        <f>SUM(BA78:BB78)</f>
        <v>0</v>
      </c>
    </row>
    <row r="79" spans="1:55" s="89" customFormat="1" ht="22.5" customHeight="1" x14ac:dyDescent="0.2">
      <c r="A79" s="287" t="s">
        <v>3234</v>
      </c>
      <c r="B79" s="288" t="s">
        <v>3235</v>
      </c>
      <c r="C79" s="294" t="s">
        <v>3176</v>
      </c>
      <c r="D79" s="290" t="s">
        <v>3236</v>
      </c>
      <c r="E79" s="290" t="s">
        <v>3237</v>
      </c>
      <c r="F79" s="295" t="s">
        <v>3165</v>
      </c>
      <c r="G79" s="295" t="s">
        <v>3166</v>
      </c>
      <c r="H79" s="292" t="s">
        <v>1314</v>
      </c>
      <c r="I79" s="293" t="s">
        <v>1314</v>
      </c>
      <c r="J79" s="340" t="s">
        <v>3167</v>
      </c>
      <c r="K79" s="342" t="s">
        <v>3171</v>
      </c>
      <c r="L79" s="256">
        <f>CONTINUA!BV79</f>
        <v>0</v>
      </c>
      <c r="M79" s="256">
        <f>CONTINUA!BW79</f>
        <v>0</v>
      </c>
      <c r="N79" s="565"/>
      <c r="O79" s="566" t="s">
        <v>3324</v>
      </c>
      <c r="P79" s="567">
        <v>0</v>
      </c>
      <c r="Q79" s="319"/>
      <c r="R79" s="320"/>
      <c r="S79" s="319"/>
      <c r="T79" s="320"/>
      <c r="U79" s="809" t="s">
        <v>3379</v>
      </c>
      <c r="V79" s="866">
        <f>+T76+T77+T78</f>
        <v>0</v>
      </c>
      <c r="W79" s="812" t="s">
        <v>3384</v>
      </c>
      <c r="X79" s="860">
        <f>SUM(V76:V77)</f>
        <v>6</v>
      </c>
      <c r="Y79" s="866"/>
      <c r="Z79" s="866"/>
      <c r="AA79" s="822" t="s">
        <v>3392</v>
      </c>
      <c r="AB79" s="823">
        <f>((X79-16)*385.23)/30</f>
        <v>-128.41</v>
      </c>
      <c r="AC79" s="823"/>
      <c r="AD79" s="824"/>
      <c r="AE79" s="864">
        <v>16</v>
      </c>
      <c r="AF79" s="866"/>
      <c r="AG79" s="834" t="s">
        <v>3396</v>
      </c>
      <c r="AH79" s="835">
        <f>IF(V80&gt;AK77,(V80-AK77)*2043.65,0)/30</f>
        <v>0</v>
      </c>
      <c r="AI79" s="836"/>
      <c r="AJ79" s="837"/>
      <c r="AK79" s="862"/>
      <c r="AL79" s="866"/>
      <c r="AM79" s="834" t="s">
        <v>3399</v>
      </c>
      <c r="AN79" s="835">
        <f>IF(X77&gt;AQ78,(X77-AQ78)*621.14,0)/30</f>
        <v>0</v>
      </c>
      <c r="AO79" s="836"/>
      <c r="AP79" s="837"/>
      <c r="AQ79" s="862"/>
      <c r="AR79" s="866"/>
      <c r="AS79" s="836"/>
      <c r="AT79" s="836"/>
      <c r="AU79" s="836"/>
      <c r="AV79" s="840"/>
      <c r="AW79" s="866"/>
      <c r="AX79" s="844"/>
      <c r="AY79" s="866"/>
      <c r="AZ79" s="836"/>
      <c r="BA79" s="835"/>
      <c r="BB79" s="852"/>
      <c r="BC79" s="836"/>
    </row>
    <row r="80" spans="1:55" s="89" customFormat="1" ht="22.5" customHeight="1" thickBot="1" x14ac:dyDescent="0.25">
      <c r="A80" s="296" t="s">
        <v>3234</v>
      </c>
      <c r="B80" s="297" t="s">
        <v>3235</v>
      </c>
      <c r="C80" s="298" t="s">
        <v>3176</v>
      </c>
      <c r="D80" s="299" t="s">
        <v>3236</v>
      </c>
      <c r="E80" s="299" t="s">
        <v>3237</v>
      </c>
      <c r="F80" s="300" t="s">
        <v>3165</v>
      </c>
      <c r="G80" s="300" t="s">
        <v>3166</v>
      </c>
      <c r="H80" s="301" t="s">
        <v>1314</v>
      </c>
      <c r="I80" s="302" t="s">
        <v>1314</v>
      </c>
      <c r="J80" s="340" t="s">
        <v>3167</v>
      </c>
      <c r="K80" s="343" t="s">
        <v>53</v>
      </c>
      <c r="L80" s="256">
        <f>CONTINUA!BV80</f>
        <v>0</v>
      </c>
      <c r="M80" s="256">
        <f>CONTINUA!BW80</f>
        <v>0</v>
      </c>
      <c r="N80" s="565"/>
      <c r="O80" s="566" t="s">
        <v>3324</v>
      </c>
      <c r="P80" s="567">
        <v>0</v>
      </c>
      <c r="Q80" s="319"/>
      <c r="R80" s="320"/>
      <c r="S80" s="319"/>
      <c r="T80" s="320"/>
      <c r="U80" s="867" t="s">
        <v>3380</v>
      </c>
      <c r="V80" s="868">
        <f>R76+R77+R78+R79+T76+T77+T78+T79</f>
        <v>0</v>
      </c>
      <c r="W80" s="812" t="s">
        <v>3385</v>
      </c>
      <c r="X80" s="869">
        <f>SUM(N76:N80)</f>
        <v>0</v>
      </c>
      <c r="Y80" s="868"/>
      <c r="Z80" s="868"/>
      <c r="AA80" s="868"/>
      <c r="AB80" s="868"/>
      <c r="AC80" s="868"/>
      <c r="AD80" s="868"/>
      <c r="AE80" s="868"/>
      <c r="AF80" s="868"/>
      <c r="AG80" s="868"/>
      <c r="AH80" s="868"/>
      <c r="AI80" s="868"/>
      <c r="AJ80" s="868"/>
      <c r="AK80" s="868"/>
      <c r="AL80" s="868"/>
      <c r="AM80" s="868"/>
      <c r="AN80" s="868"/>
      <c r="AO80" s="868"/>
      <c r="AP80" s="868"/>
      <c r="AQ80" s="868"/>
      <c r="AR80" s="868"/>
      <c r="AS80" s="868"/>
      <c r="AT80" s="868"/>
      <c r="AU80" s="868"/>
      <c r="AV80" s="868"/>
      <c r="AW80" s="868"/>
      <c r="AX80" s="868"/>
      <c r="AY80" s="868"/>
      <c r="AZ80" s="868"/>
      <c r="BA80" s="868"/>
      <c r="BB80" s="868"/>
      <c r="BC80" s="870"/>
    </row>
    <row r="81" spans="1:57" s="89" customFormat="1" ht="22.5" customHeight="1" x14ac:dyDescent="0.35">
      <c r="A81" t="s">
        <v>3238</v>
      </c>
      <c r="B81" s="430" t="s">
        <v>3239</v>
      </c>
      <c r="C81" s="431">
        <v>1</v>
      </c>
      <c r="D81" s="432" t="s">
        <v>3240</v>
      </c>
      <c r="E81" s="432" t="s">
        <v>3241</v>
      </c>
      <c r="F81" s="433" t="s">
        <v>3165</v>
      </c>
      <c r="G81" s="433" t="s">
        <v>3166</v>
      </c>
      <c r="H81" s="270" t="s">
        <v>1315</v>
      </c>
      <c r="I81" s="271" t="s">
        <v>1315</v>
      </c>
      <c r="J81" s="328" t="s">
        <v>3167</v>
      </c>
      <c r="K81" s="329" t="s">
        <v>3168</v>
      </c>
      <c r="L81" s="256">
        <f>CONTINUA!BV81</f>
        <v>0</v>
      </c>
      <c r="M81" s="256">
        <f>CONTINUA!BW81</f>
        <v>0</v>
      </c>
      <c r="N81" s="565"/>
      <c r="O81" s="566" t="s">
        <v>3325</v>
      </c>
      <c r="P81" s="567">
        <v>0</v>
      </c>
      <c r="Q81" s="319">
        <v>27</v>
      </c>
      <c r="R81" s="320"/>
      <c r="S81" s="319"/>
      <c r="T81" s="320"/>
      <c r="U81" s="807" t="s">
        <v>3376</v>
      </c>
      <c r="V81" s="808">
        <f>Q81+Q82+Q83</f>
        <v>46</v>
      </c>
      <c r="W81" s="853" t="s">
        <v>3381</v>
      </c>
      <c r="X81" s="854">
        <f>(R81+R82+R83+T81+T82+T83)</f>
        <v>0</v>
      </c>
      <c r="Y81" s="855" t="s">
        <v>3386</v>
      </c>
      <c r="Z81" s="854">
        <f>SUM(L81:L85)</f>
        <v>0</v>
      </c>
      <c r="AA81" s="813" t="s">
        <v>306</v>
      </c>
      <c r="AB81" s="814" t="s">
        <v>3388</v>
      </c>
      <c r="AC81" s="815" t="s">
        <v>19</v>
      </c>
      <c r="AD81" s="856"/>
      <c r="AE81" s="857" t="s">
        <v>3389</v>
      </c>
      <c r="AF81" s="858"/>
      <c r="AG81" s="842" t="s">
        <v>3393</v>
      </c>
      <c r="AH81" s="825" t="s">
        <v>3388</v>
      </c>
      <c r="AI81" s="826" t="s">
        <v>19</v>
      </c>
      <c r="AJ81" s="827"/>
      <c r="AK81" s="856">
        <v>1</v>
      </c>
      <c r="AL81" s="858"/>
      <c r="AM81" s="842" t="s">
        <v>3400</v>
      </c>
      <c r="AN81" s="825" t="s">
        <v>3388</v>
      </c>
      <c r="AO81" s="826" t="s">
        <v>19</v>
      </c>
      <c r="AP81" s="827"/>
      <c r="AQ81" s="856"/>
      <c r="AR81" s="858"/>
      <c r="AS81" s="841" t="s">
        <v>3401</v>
      </c>
      <c r="AT81" s="838"/>
      <c r="AU81" s="838"/>
      <c r="AV81" s="839"/>
      <c r="AW81" s="858"/>
      <c r="AX81" s="845" t="s">
        <v>3402</v>
      </c>
      <c r="AY81" s="858"/>
      <c r="AZ81" s="845" t="s">
        <v>3403</v>
      </c>
      <c r="BA81" s="846" t="s">
        <v>3404</v>
      </c>
      <c r="BB81" s="847" t="s">
        <v>3405</v>
      </c>
      <c r="BC81" s="848"/>
    </row>
    <row r="82" spans="1:57" s="89" customFormat="1" ht="22.5" customHeight="1" x14ac:dyDescent="0.2">
      <c r="A82" s="287" t="s">
        <v>3238</v>
      </c>
      <c r="B82" s="288" t="s">
        <v>3239</v>
      </c>
      <c r="C82" s="289" t="s">
        <v>3175</v>
      </c>
      <c r="D82" s="290" t="s">
        <v>3240</v>
      </c>
      <c r="E82" s="290" t="s">
        <v>3241</v>
      </c>
      <c r="F82" s="291" t="s">
        <v>3165</v>
      </c>
      <c r="G82" s="291" t="s">
        <v>3166</v>
      </c>
      <c r="H82" s="292" t="s">
        <v>1315</v>
      </c>
      <c r="I82" s="293" t="s">
        <v>1315</v>
      </c>
      <c r="J82" s="340" t="s">
        <v>3167</v>
      </c>
      <c r="K82" s="340" t="s">
        <v>3169</v>
      </c>
      <c r="L82" s="256">
        <f>CONTINUA!BV82</f>
        <v>0</v>
      </c>
      <c r="M82" s="256">
        <f>CONTINUA!BW82</f>
        <v>0</v>
      </c>
      <c r="N82" s="565"/>
      <c r="O82" s="566" t="s">
        <v>3325</v>
      </c>
      <c r="P82" s="567">
        <v>0</v>
      </c>
      <c r="Q82" s="319">
        <v>19</v>
      </c>
      <c r="R82" s="320"/>
      <c r="S82" s="319"/>
      <c r="T82" s="320"/>
      <c r="U82" s="809" t="s">
        <v>3377</v>
      </c>
      <c r="V82" s="859">
        <f>+S81+S82+S83</f>
        <v>0</v>
      </c>
      <c r="W82" s="810" t="s">
        <v>3382</v>
      </c>
      <c r="X82" s="860">
        <f>(Q84+S84)</f>
        <v>0</v>
      </c>
      <c r="Y82" s="812" t="s">
        <v>3387</v>
      </c>
      <c r="Z82" s="860">
        <f>SUM(M81:M85)</f>
        <v>0</v>
      </c>
      <c r="AA82" s="816" t="s">
        <v>3390</v>
      </c>
      <c r="AB82" s="817">
        <f>IF(X84&lt;=15,X84*385.23,0)/30</f>
        <v>0</v>
      </c>
      <c r="AC82" s="818"/>
      <c r="AD82" s="819">
        <f>SUM(AB82:AC84)</f>
        <v>634.98066666666682</v>
      </c>
      <c r="AE82" s="861"/>
      <c r="AF82" s="859"/>
      <c r="AG82" s="828" t="s">
        <v>3394</v>
      </c>
      <c r="AH82" s="829">
        <f>IF(V85=AK81,2043.65,0)/30</f>
        <v>0</v>
      </c>
      <c r="AI82" s="830"/>
      <c r="AJ82" s="831"/>
      <c r="AK82" s="862">
        <v>2</v>
      </c>
      <c r="AL82" s="859"/>
      <c r="AM82" s="828" t="s">
        <v>3397</v>
      </c>
      <c r="AN82" s="829">
        <f>IF(X82&lt;=AQ82,621.14*X82,0)/30</f>
        <v>0</v>
      </c>
      <c r="AO82" s="830"/>
      <c r="AP82" s="831"/>
      <c r="AQ82" s="862">
        <v>9</v>
      </c>
      <c r="AR82" s="859"/>
      <c r="AS82" s="830">
        <f>IF((SUM(V81:V84))&gt;=1,11465.63,0)/30</f>
        <v>382.18766666666664</v>
      </c>
      <c r="AT82" s="830">
        <f>IF((V81+V82)&gt;=1,(V81+V82)*385.23,0)/30</f>
        <v>590.68600000000004</v>
      </c>
      <c r="AU82" s="830">
        <f>IF((V83+V84)&gt;=1,(V83+V84)*2043.65,0)</f>
        <v>0</v>
      </c>
      <c r="AV82" s="828">
        <f>SUM(AS82:AU82)</f>
        <v>972.87366666666662</v>
      </c>
      <c r="AW82" s="859"/>
      <c r="AX82" s="843">
        <f>IF(X85&gt;0,X85*1.28,0)</f>
        <v>0</v>
      </c>
      <c r="AY82" s="859"/>
      <c r="AZ82" s="849" t="s">
        <v>19</v>
      </c>
      <c r="BA82" s="850" t="s">
        <v>3406</v>
      </c>
      <c r="BB82" s="851"/>
      <c r="BC82" s="838"/>
    </row>
    <row r="83" spans="1:57" s="89" customFormat="1" ht="22.5" customHeight="1" x14ac:dyDescent="0.2">
      <c r="A83" s="287" t="s">
        <v>3238</v>
      </c>
      <c r="B83" s="288" t="s">
        <v>3239</v>
      </c>
      <c r="C83" s="294" t="s">
        <v>3175</v>
      </c>
      <c r="D83" s="290" t="s">
        <v>3240</v>
      </c>
      <c r="E83" s="290" t="s">
        <v>3241</v>
      </c>
      <c r="F83" s="295" t="s">
        <v>3165</v>
      </c>
      <c r="G83" s="295" t="s">
        <v>3166</v>
      </c>
      <c r="H83" s="292" t="s">
        <v>1315</v>
      </c>
      <c r="I83" s="293" t="s">
        <v>1315</v>
      </c>
      <c r="J83" s="340" t="s">
        <v>3167</v>
      </c>
      <c r="K83" s="341" t="s">
        <v>3170</v>
      </c>
      <c r="L83" s="256">
        <f>CONTINUA!BV83</f>
        <v>0</v>
      </c>
      <c r="M83" s="256">
        <f>CONTINUA!BW83</f>
        <v>0</v>
      </c>
      <c r="N83" s="565"/>
      <c r="O83" s="566" t="s">
        <v>3325</v>
      </c>
      <c r="P83" s="567">
        <v>0</v>
      </c>
      <c r="Q83" s="319"/>
      <c r="R83" s="320"/>
      <c r="S83" s="319"/>
      <c r="T83" s="320"/>
      <c r="U83" s="809" t="s">
        <v>3378</v>
      </c>
      <c r="V83" s="859">
        <f>+R81+R82+R83</f>
        <v>0</v>
      </c>
      <c r="W83" s="811" t="s">
        <v>3383</v>
      </c>
      <c r="X83" s="860">
        <f>SUM(V81:V84)</f>
        <v>46</v>
      </c>
      <c r="Y83" s="859"/>
      <c r="Z83" s="859"/>
      <c r="AA83" s="863" t="s">
        <v>3391</v>
      </c>
      <c r="AB83" s="820"/>
      <c r="AC83" s="820">
        <f>IF(X84&gt;15,7492.52)/30</f>
        <v>249.75066666666669</v>
      </c>
      <c r="AD83" s="821"/>
      <c r="AE83" s="864">
        <v>15</v>
      </c>
      <c r="AF83" s="859"/>
      <c r="AG83" s="828" t="s">
        <v>3395</v>
      </c>
      <c r="AH83" s="829"/>
      <c r="AI83" s="832">
        <f>IF(V85&gt;=AK82,7492.52,0)/30</f>
        <v>0</v>
      </c>
      <c r="AJ83" s="833">
        <f>SUM(AH82:AI84)</f>
        <v>0</v>
      </c>
      <c r="AK83" s="862"/>
      <c r="AL83" s="859"/>
      <c r="AM83" s="828" t="s">
        <v>3398</v>
      </c>
      <c r="AN83" s="829"/>
      <c r="AO83" s="832">
        <f>IF(X82&gt;=AQ83,7492.52,0)/30</f>
        <v>0</v>
      </c>
      <c r="AP83" s="833">
        <f>SUM(AN82:AO84)</f>
        <v>0</v>
      </c>
      <c r="AQ83" s="862">
        <v>10</v>
      </c>
      <c r="AR83" s="859"/>
      <c r="AS83" s="830"/>
      <c r="AT83" s="830"/>
      <c r="AU83" s="830"/>
      <c r="AV83" s="828"/>
      <c r="AW83" s="859"/>
      <c r="AX83" s="843"/>
      <c r="AY83" s="859"/>
      <c r="AZ83" s="830" t="s">
        <v>3407</v>
      </c>
      <c r="BA83" s="829">
        <f>IF(Z81&gt;0,Z81*9.64,0)</f>
        <v>0</v>
      </c>
      <c r="BB83" s="865">
        <f>IF(Z82&gt;0,Z82*56.2,0)</f>
        <v>0</v>
      </c>
      <c r="BC83" s="830">
        <f>SUM(BA83:BB83)</f>
        <v>0</v>
      </c>
    </row>
    <row r="84" spans="1:57" s="89" customFormat="1" ht="22.5" customHeight="1" x14ac:dyDescent="0.2">
      <c r="A84" s="287" t="s">
        <v>3238</v>
      </c>
      <c r="B84" s="288" t="s">
        <v>3239</v>
      </c>
      <c r="C84" s="294" t="s">
        <v>3175</v>
      </c>
      <c r="D84" s="290" t="s">
        <v>3240</v>
      </c>
      <c r="E84" s="290" t="s">
        <v>3241</v>
      </c>
      <c r="F84" s="295" t="s">
        <v>3165</v>
      </c>
      <c r="G84" s="295" t="s">
        <v>3166</v>
      </c>
      <c r="H84" s="292" t="s">
        <v>1315</v>
      </c>
      <c r="I84" s="293" t="s">
        <v>1315</v>
      </c>
      <c r="J84" s="340" t="s">
        <v>3167</v>
      </c>
      <c r="K84" s="342" t="s">
        <v>3171</v>
      </c>
      <c r="L84" s="256">
        <f>CONTINUA!BV84</f>
        <v>0</v>
      </c>
      <c r="M84" s="256">
        <f>CONTINUA!BW84</f>
        <v>0</v>
      </c>
      <c r="N84" s="565"/>
      <c r="O84" s="566" t="s">
        <v>3325</v>
      </c>
      <c r="P84" s="567">
        <v>0</v>
      </c>
      <c r="Q84" s="319"/>
      <c r="R84" s="320"/>
      <c r="S84" s="319"/>
      <c r="T84" s="320"/>
      <c r="U84" s="809" t="s">
        <v>3379</v>
      </c>
      <c r="V84" s="866">
        <f>+T81+T82+T83</f>
        <v>0</v>
      </c>
      <c r="W84" s="812" t="s">
        <v>3384</v>
      </c>
      <c r="X84" s="860">
        <f>SUM(V81:V82)</f>
        <v>46</v>
      </c>
      <c r="Y84" s="866"/>
      <c r="Z84" s="866"/>
      <c r="AA84" s="822" t="s">
        <v>3392</v>
      </c>
      <c r="AB84" s="823">
        <f>((X84-16)*385.23)/30</f>
        <v>385.23000000000008</v>
      </c>
      <c r="AC84" s="823"/>
      <c r="AD84" s="824"/>
      <c r="AE84" s="864">
        <v>16</v>
      </c>
      <c r="AF84" s="866"/>
      <c r="AG84" s="834" t="s">
        <v>3396</v>
      </c>
      <c r="AH84" s="835">
        <f>IF(V85&gt;AK82,(V85-AK82)*2043.65,0)/30</f>
        <v>0</v>
      </c>
      <c r="AI84" s="836"/>
      <c r="AJ84" s="837"/>
      <c r="AK84" s="862"/>
      <c r="AL84" s="866"/>
      <c r="AM84" s="834" t="s">
        <v>3399</v>
      </c>
      <c r="AN84" s="835">
        <f>IF(X82&gt;AQ83,(X82-AQ83)*621.14,0)/30</f>
        <v>0</v>
      </c>
      <c r="AO84" s="836"/>
      <c r="AP84" s="837"/>
      <c r="AQ84" s="862"/>
      <c r="AR84" s="866"/>
      <c r="AS84" s="836"/>
      <c r="AT84" s="836"/>
      <c r="AU84" s="836"/>
      <c r="AV84" s="840"/>
      <c r="AW84" s="866"/>
      <c r="AX84" s="844"/>
      <c r="AY84" s="866"/>
      <c r="AZ84" s="836"/>
      <c r="BA84" s="835"/>
      <c r="BB84" s="852"/>
      <c r="BC84" s="836"/>
    </row>
    <row r="85" spans="1:57" s="89" customFormat="1" ht="22.5" customHeight="1" thickBot="1" x14ac:dyDescent="0.25">
      <c r="A85" s="296" t="s">
        <v>3238</v>
      </c>
      <c r="B85" s="297" t="s">
        <v>3239</v>
      </c>
      <c r="C85" s="298" t="s">
        <v>3175</v>
      </c>
      <c r="D85" s="299" t="s">
        <v>3240</v>
      </c>
      <c r="E85" s="299" t="s">
        <v>3241</v>
      </c>
      <c r="F85" s="300" t="s">
        <v>3165</v>
      </c>
      <c r="G85" s="300" t="s">
        <v>3166</v>
      </c>
      <c r="H85" s="301" t="s">
        <v>1315</v>
      </c>
      <c r="I85" s="302" t="s">
        <v>1315</v>
      </c>
      <c r="J85" s="340" t="s">
        <v>3167</v>
      </c>
      <c r="K85" s="343" t="s">
        <v>53</v>
      </c>
      <c r="L85" s="256">
        <f>CONTINUA!BV85</f>
        <v>0</v>
      </c>
      <c r="M85" s="256">
        <f>CONTINUA!BW85</f>
        <v>0</v>
      </c>
      <c r="N85" s="565"/>
      <c r="O85" s="566" t="s">
        <v>3325</v>
      </c>
      <c r="P85" s="567">
        <v>0</v>
      </c>
      <c r="Q85" s="319"/>
      <c r="R85" s="320"/>
      <c r="S85" s="319"/>
      <c r="T85" s="320"/>
      <c r="U85" s="867" t="s">
        <v>3380</v>
      </c>
      <c r="V85" s="868">
        <f>R81+R82+R83+R84+T81+T82+T83+T84</f>
        <v>0</v>
      </c>
      <c r="W85" s="812" t="s">
        <v>3385</v>
      </c>
      <c r="X85" s="869">
        <f>SUM(N81:N85)</f>
        <v>0</v>
      </c>
      <c r="Y85" s="868"/>
      <c r="Z85" s="868"/>
      <c r="AA85" s="868"/>
      <c r="AB85" s="868"/>
      <c r="AC85" s="868"/>
      <c r="AD85" s="868"/>
      <c r="AE85" s="868"/>
      <c r="AF85" s="868"/>
      <c r="AG85" s="868"/>
      <c r="AH85" s="868"/>
      <c r="AI85" s="868"/>
      <c r="AJ85" s="868"/>
      <c r="AK85" s="868"/>
      <c r="AL85" s="868"/>
      <c r="AM85" s="868"/>
      <c r="AN85" s="868"/>
      <c r="AO85" s="868"/>
      <c r="AP85" s="868"/>
      <c r="AQ85" s="868"/>
      <c r="AR85" s="868"/>
      <c r="AS85" s="868"/>
      <c r="AT85" s="868"/>
      <c r="AU85" s="868"/>
      <c r="AV85" s="868"/>
      <c r="AW85" s="868"/>
      <c r="AX85" s="868"/>
      <c r="AY85" s="868"/>
      <c r="AZ85" s="868"/>
      <c r="BA85" s="868"/>
      <c r="BB85" s="868"/>
      <c r="BC85" s="870"/>
    </row>
    <row r="86" spans="1:57" s="89" customFormat="1" ht="22.5" customHeight="1" x14ac:dyDescent="0.35">
      <c r="A86" t="s">
        <v>3242</v>
      </c>
      <c r="B86" s="430" t="s">
        <v>3243</v>
      </c>
      <c r="C86" s="431">
        <v>1</v>
      </c>
      <c r="D86" s="432" t="s">
        <v>3244</v>
      </c>
      <c r="E86" s="432" t="s">
        <v>3245</v>
      </c>
      <c r="F86" s="433" t="s">
        <v>3165</v>
      </c>
      <c r="G86" s="433" t="s">
        <v>3166</v>
      </c>
      <c r="H86" s="270" t="s">
        <v>1316</v>
      </c>
      <c r="I86" s="271" t="s">
        <v>1316</v>
      </c>
      <c r="J86" s="328" t="s">
        <v>3167</v>
      </c>
      <c r="K86" s="329" t="s">
        <v>3168</v>
      </c>
      <c r="L86" s="256">
        <f>CONTINUA!BV86</f>
        <v>0</v>
      </c>
      <c r="M86" s="256">
        <f>CONTINUA!BW86</f>
        <v>0</v>
      </c>
      <c r="N86" s="565"/>
      <c r="O86" s="566" t="s">
        <v>3326</v>
      </c>
      <c r="P86" s="567">
        <v>0</v>
      </c>
      <c r="Q86" s="319">
        <v>4</v>
      </c>
      <c r="R86" s="320"/>
      <c r="S86" s="319"/>
      <c r="T86" s="320"/>
      <c r="U86" s="807" t="s">
        <v>3376</v>
      </c>
      <c r="V86" s="808">
        <f>Q86+Q87+Q88</f>
        <v>45</v>
      </c>
      <c r="W86" s="853" t="s">
        <v>3381</v>
      </c>
      <c r="X86" s="854">
        <f>(R86+R87+R88+T86+T87+T88)</f>
        <v>0</v>
      </c>
      <c r="Y86" s="855" t="s">
        <v>3386</v>
      </c>
      <c r="Z86" s="854">
        <f>SUM(L86:L90)</f>
        <v>0</v>
      </c>
      <c r="AA86" s="813" t="s">
        <v>306</v>
      </c>
      <c r="AB86" s="814" t="s">
        <v>3388</v>
      </c>
      <c r="AC86" s="815" t="s">
        <v>19</v>
      </c>
      <c r="AD86" s="856"/>
      <c r="AE86" s="857" t="s">
        <v>3389</v>
      </c>
      <c r="AF86" s="858"/>
      <c r="AG86" s="842" t="s">
        <v>3393</v>
      </c>
      <c r="AH86" s="825" t="s">
        <v>3388</v>
      </c>
      <c r="AI86" s="826" t="s">
        <v>19</v>
      </c>
      <c r="AJ86" s="827"/>
      <c r="AK86" s="856">
        <v>1</v>
      </c>
      <c r="AL86" s="858"/>
      <c r="AM86" s="842" t="s">
        <v>3400</v>
      </c>
      <c r="AN86" s="825" t="s">
        <v>3388</v>
      </c>
      <c r="AO86" s="826" t="s">
        <v>19</v>
      </c>
      <c r="AP86" s="827"/>
      <c r="AQ86" s="856"/>
      <c r="AR86" s="858"/>
      <c r="AS86" s="841" t="s">
        <v>3401</v>
      </c>
      <c r="AT86" s="838"/>
      <c r="AU86" s="838"/>
      <c r="AV86" s="839"/>
      <c r="AW86" s="858"/>
      <c r="AX86" s="845" t="s">
        <v>3402</v>
      </c>
      <c r="AY86" s="858"/>
      <c r="AZ86" s="845" t="s">
        <v>3403</v>
      </c>
      <c r="BA86" s="846" t="s">
        <v>3404</v>
      </c>
      <c r="BB86" s="847" t="s">
        <v>3405</v>
      </c>
      <c r="BC86" s="848"/>
    </row>
    <row r="87" spans="1:57" s="89" customFormat="1" ht="22.5" customHeight="1" x14ac:dyDescent="0.2">
      <c r="A87" s="287" t="s">
        <v>3242</v>
      </c>
      <c r="B87" s="288" t="s">
        <v>3243</v>
      </c>
      <c r="C87" s="289" t="s">
        <v>3175</v>
      </c>
      <c r="D87" s="290" t="s">
        <v>3244</v>
      </c>
      <c r="E87" s="290" t="s">
        <v>3245</v>
      </c>
      <c r="F87" s="291" t="s">
        <v>3165</v>
      </c>
      <c r="G87" s="291" t="s">
        <v>3166</v>
      </c>
      <c r="H87" s="292" t="s">
        <v>1316</v>
      </c>
      <c r="I87" s="293" t="s">
        <v>1316</v>
      </c>
      <c r="J87" s="340" t="s">
        <v>3167</v>
      </c>
      <c r="K87" s="340" t="s">
        <v>3169</v>
      </c>
      <c r="L87" s="256">
        <f>CONTINUA!BV87</f>
        <v>0</v>
      </c>
      <c r="M87" s="256">
        <f>CONTINUA!BW87</f>
        <v>0</v>
      </c>
      <c r="N87" s="565"/>
      <c r="O87" s="566" t="s">
        <v>3326</v>
      </c>
      <c r="P87" s="567">
        <v>0</v>
      </c>
      <c r="Q87" s="319">
        <v>41</v>
      </c>
      <c r="R87" s="320"/>
      <c r="S87" s="319"/>
      <c r="T87" s="320"/>
      <c r="U87" s="809" t="s">
        <v>3377</v>
      </c>
      <c r="V87" s="859">
        <f>+S86+S87+S88</f>
        <v>0</v>
      </c>
      <c r="W87" s="810" t="s">
        <v>3382</v>
      </c>
      <c r="X87" s="860">
        <f>(Q89+S89)</f>
        <v>0</v>
      </c>
      <c r="Y87" s="812" t="s">
        <v>3387</v>
      </c>
      <c r="Z87" s="860">
        <f>SUM(M86:M90)</f>
        <v>0</v>
      </c>
      <c r="AA87" s="816" t="s">
        <v>3390</v>
      </c>
      <c r="AB87" s="817">
        <f>IF(X89&lt;=15,X89*385.23,0)/30</f>
        <v>0</v>
      </c>
      <c r="AC87" s="818"/>
      <c r="AD87" s="819">
        <f>SUM(AB87:AC89)</f>
        <v>622.1396666666667</v>
      </c>
      <c r="AE87" s="861"/>
      <c r="AF87" s="859"/>
      <c r="AG87" s="828" t="s">
        <v>3394</v>
      </c>
      <c r="AH87" s="829">
        <f>IF(V90=AK86,2043.65,0)/30</f>
        <v>0</v>
      </c>
      <c r="AI87" s="830"/>
      <c r="AJ87" s="831"/>
      <c r="AK87" s="862">
        <v>2</v>
      </c>
      <c r="AL87" s="859"/>
      <c r="AM87" s="828" t="s">
        <v>3397</v>
      </c>
      <c r="AN87" s="829">
        <f>IF(X87&lt;=AQ87,621.14*X87,0)/30</f>
        <v>0</v>
      </c>
      <c r="AO87" s="830"/>
      <c r="AP87" s="831"/>
      <c r="AQ87" s="862">
        <v>9</v>
      </c>
      <c r="AR87" s="859"/>
      <c r="AS87" s="830">
        <f>IF((SUM(V86:V89))&gt;=1,11465.63,0)/30</f>
        <v>382.18766666666664</v>
      </c>
      <c r="AT87" s="830">
        <f>IF((V86+V87)&gt;=1,(V86+V87)*385.23,0)/30</f>
        <v>577.84500000000003</v>
      </c>
      <c r="AU87" s="830">
        <f>IF((V88+V89)&gt;=1,(V88+V89)*2043.65,0)</f>
        <v>0</v>
      </c>
      <c r="AV87" s="828">
        <f>SUM(AS87:AU87)</f>
        <v>960.03266666666673</v>
      </c>
      <c r="AW87" s="859"/>
      <c r="AX87" s="843">
        <f>IF(X90&gt;0,X90*1.28,0)</f>
        <v>0</v>
      </c>
      <c r="AY87" s="859"/>
      <c r="AZ87" s="849" t="s">
        <v>19</v>
      </c>
      <c r="BA87" s="850" t="s">
        <v>3406</v>
      </c>
      <c r="BB87" s="851"/>
      <c r="BC87" s="838"/>
    </row>
    <row r="88" spans="1:57" s="89" customFormat="1" ht="22.5" customHeight="1" x14ac:dyDescent="0.2">
      <c r="A88" s="287" t="s">
        <v>3242</v>
      </c>
      <c r="B88" s="288" t="s">
        <v>3243</v>
      </c>
      <c r="C88" s="294" t="s">
        <v>3175</v>
      </c>
      <c r="D88" s="290" t="s">
        <v>3244</v>
      </c>
      <c r="E88" s="290" t="s">
        <v>3245</v>
      </c>
      <c r="F88" s="295" t="s">
        <v>3165</v>
      </c>
      <c r="G88" s="295" t="s">
        <v>3166</v>
      </c>
      <c r="H88" s="292" t="s">
        <v>1316</v>
      </c>
      <c r="I88" s="293" t="s">
        <v>1316</v>
      </c>
      <c r="J88" s="340" t="s">
        <v>3167</v>
      </c>
      <c r="K88" s="341" t="s">
        <v>3170</v>
      </c>
      <c r="L88" s="256">
        <f>CONTINUA!BV88</f>
        <v>0</v>
      </c>
      <c r="M88" s="256">
        <f>CONTINUA!BW88</f>
        <v>0</v>
      </c>
      <c r="N88" s="565"/>
      <c r="O88" s="566" t="s">
        <v>3326</v>
      </c>
      <c r="P88" s="567">
        <v>0</v>
      </c>
      <c r="Q88" s="319"/>
      <c r="R88" s="320"/>
      <c r="S88" s="319"/>
      <c r="T88" s="320"/>
      <c r="U88" s="809" t="s">
        <v>3378</v>
      </c>
      <c r="V88" s="859">
        <f>+R86+R87+R88</f>
        <v>0</v>
      </c>
      <c r="W88" s="811" t="s">
        <v>3383</v>
      </c>
      <c r="X88" s="860">
        <f>SUM(V86:V89)</f>
        <v>45</v>
      </c>
      <c r="Y88" s="859"/>
      <c r="Z88" s="859"/>
      <c r="AA88" s="863" t="s">
        <v>3391</v>
      </c>
      <c r="AB88" s="820"/>
      <c r="AC88" s="820">
        <f>IF(X89&gt;15,7492.52)/30</f>
        <v>249.75066666666669</v>
      </c>
      <c r="AD88" s="821"/>
      <c r="AE88" s="864">
        <v>15</v>
      </c>
      <c r="AF88" s="859"/>
      <c r="AG88" s="828" t="s">
        <v>3395</v>
      </c>
      <c r="AH88" s="829"/>
      <c r="AI88" s="832">
        <f>IF(V90&gt;=AK87,7492.52,0)/30</f>
        <v>0</v>
      </c>
      <c r="AJ88" s="833">
        <f>SUM(AH87:AI89)</f>
        <v>0</v>
      </c>
      <c r="AK88" s="862"/>
      <c r="AL88" s="859"/>
      <c r="AM88" s="828" t="s">
        <v>3398</v>
      </c>
      <c r="AN88" s="829"/>
      <c r="AO88" s="832">
        <f>IF(X87&gt;=AQ88,7492.52,0)/30</f>
        <v>0</v>
      </c>
      <c r="AP88" s="833">
        <f>SUM(AN87:AO89)</f>
        <v>0</v>
      </c>
      <c r="AQ88" s="862">
        <v>10</v>
      </c>
      <c r="AR88" s="859"/>
      <c r="AS88" s="830"/>
      <c r="AT88" s="830"/>
      <c r="AU88" s="830"/>
      <c r="AV88" s="828"/>
      <c r="AW88" s="859"/>
      <c r="AX88" s="843"/>
      <c r="AY88" s="859"/>
      <c r="AZ88" s="830" t="s">
        <v>3407</v>
      </c>
      <c r="BA88" s="829">
        <f>IF(Z86&gt;0,Z86*9.64,0)</f>
        <v>0</v>
      </c>
      <c r="BB88" s="865">
        <f>IF(Z87&gt;0,Z87*56.2,0)</f>
        <v>0</v>
      </c>
      <c r="BC88" s="830">
        <f>SUM(BA88:BB88)</f>
        <v>0</v>
      </c>
    </row>
    <row r="89" spans="1:57" s="89" customFormat="1" ht="22.5" customHeight="1" x14ac:dyDescent="0.2">
      <c r="A89" s="287" t="s">
        <v>3242</v>
      </c>
      <c r="B89" s="288" t="s">
        <v>3243</v>
      </c>
      <c r="C89" s="294" t="s">
        <v>3175</v>
      </c>
      <c r="D89" s="290" t="s">
        <v>3244</v>
      </c>
      <c r="E89" s="290" t="s">
        <v>3245</v>
      </c>
      <c r="F89" s="295" t="s">
        <v>3165</v>
      </c>
      <c r="G89" s="295" t="s">
        <v>3166</v>
      </c>
      <c r="H89" s="292" t="s">
        <v>1316</v>
      </c>
      <c r="I89" s="293" t="s">
        <v>1316</v>
      </c>
      <c r="J89" s="340" t="s">
        <v>3167</v>
      </c>
      <c r="K89" s="342" t="s">
        <v>3171</v>
      </c>
      <c r="L89" s="256">
        <f>CONTINUA!BV89</f>
        <v>0</v>
      </c>
      <c r="M89" s="256">
        <f>CONTINUA!BW89</f>
        <v>0</v>
      </c>
      <c r="N89" s="565"/>
      <c r="O89" s="566" t="s">
        <v>3326</v>
      </c>
      <c r="P89" s="567">
        <v>0</v>
      </c>
      <c r="Q89" s="319"/>
      <c r="R89" s="320"/>
      <c r="S89" s="319"/>
      <c r="T89" s="320"/>
      <c r="U89" s="809" t="s">
        <v>3379</v>
      </c>
      <c r="V89" s="866">
        <f>+T86+T87+T88</f>
        <v>0</v>
      </c>
      <c r="W89" s="812" t="s">
        <v>3384</v>
      </c>
      <c r="X89" s="860">
        <f>SUM(V86:V87)</f>
        <v>45</v>
      </c>
      <c r="Y89" s="866"/>
      <c r="Z89" s="866"/>
      <c r="AA89" s="822" t="s">
        <v>3392</v>
      </c>
      <c r="AB89" s="823">
        <f>((X89-16)*385.23)/30</f>
        <v>372.38900000000001</v>
      </c>
      <c r="AC89" s="823"/>
      <c r="AD89" s="824"/>
      <c r="AE89" s="864">
        <v>16</v>
      </c>
      <c r="AF89" s="866"/>
      <c r="AG89" s="834" t="s">
        <v>3396</v>
      </c>
      <c r="AH89" s="835">
        <f>IF(V90&gt;AK87,(V90-AK87)*2043.65,0)/30</f>
        <v>0</v>
      </c>
      <c r="AI89" s="836"/>
      <c r="AJ89" s="837"/>
      <c r="AK89" s="862"/>
      <c r="AL89" s="866"/>
      <c r="AM89" s="834" t="s">
        <v>3399</v>
      </c>
      <c r="AN89" s="835">
        <f>IF(X87&gt;AQ88,(X87-AQ88)*621.14,0)/30</f>
        <v>0</v>
      </c>
      <c r="AO89" s="836"/>
      <c r="AP89" s="837"/>
      <c r="AQ89" s="862"/>
      <c r="AR89" s="866"/>
      <c r="AS89" s="836"/>
      <c r="AT89" s="836"/>
      <c r="AU89" s="836"/>
      <c r="AV89" s="840"/>
      <c r="AW89" s="866"/>
      <c r="AX89" s="844"/>
      <c r="AY89" s="866"/>
      <c r="AZ89" s="836"/>
      <c r="BA89" s="835"/>
      <c r="BB89" s="852"/>
      <c r="BC89" s="836"/>
    </row>
    <row r="90" spans="1:57" s="89" customFormat="1" ht="22.5" customHeight="1" thickBot="1" x14ac:dyDescent="0.25">
      <c r="A90" s="296" t="s">
        <v>3242</v>
      </c>
      <c r="B90" s="297" t="s">
        <v>3243</v>
      </c>
      <c r="C90" s="298" t="s">
        <v>3175</v>
      </c>
      <c r="D90" s="299" t="s">
        <v>3244</v>
      </c>
      <c r="E90" s="299" t="s">
        <v>3245</v>
      </c>
      <c r="F90" s="300" t="s">
        <v>3165</v>
      </c>
      <c r="G90" s="300" t="s">
        <v>3166</v>
      </c>
      <c r="H90" s="301" t="s">
        <v>1316</v>
      </c>
      <c r="I90" s="302" t="s">
        <v>1316</v>
      </c>
      <c r="J90" s="340" t="s">
        <v>3167</v>
      </c>
      <c r="K90" s="343" t="s">
        <v>53</v>
      </c>
      <c r="L90" s="256">
        <f>CONTINUA!BV90</f>
        <v>0</v>
      </c>
      <c r="M90" s="256">
        <f>CONTINUA!BW90</f>
        <v>0</v>
      </c>
      <c r="N90" s="565"/>
      <c r="O90" s="566" t="s">
        <v>3326</v>
      </c>
      <c r="P90" s="567">
        <v>0</v>
      </c>
      <c r="Q90" s="319"/>
      <c r="R90" s="320"/>
      <c r="S90" s="319"/>
      <c r="T90" s="320"/>
      <c r="U90" s="867" t="s">
        <v>3380</v>
      </c>
      <c r="V90" s="868">
        <f>R86+R87+R88+R89+T86+T87+T88+T89</f>
        <v>0</v>
      </c>
      <c r="W90" s="812" t="s">
        <v>3385</v>
      </c>
      <c r="X90" s="869">
        <f>SUM(N86:N90)</f>
        <v>0</v>
      </c>
      <c r="Y90" s="868"/>
      <c r="Z90" s="868"/>
      <c r="AA90" s="868"/>
      <c r="AB90" s="868"/>
      <c r="AC90" s="868"/>
      <c r="AD90" s="868"/>
      <c r="AE90" s="868"/>
      <c r="AF90" s="868"/>
      <c r="AG90" s="868"/>
      <c r="AH90" s="868"/>
      <c r="AI90" s="868"/>
      <c r="AJ90" s="868"/>
      <c r="AK90" s="868"/>
      <c r="AL90" s="868"/>
      <c r="AM90" s="868"/>
      <c r="AN90" s="868"/>
      <c r="AO90" s="868"/>
      <c r="AP90" s="868"/>
      <c r="AQ90" s="868"/>
      <c r="AR90" s="868"/>
      <c r="AS90" s="868"/>
      <c r="AT90" s="868"/>
      <c r="AU90" s="868"/>
      <c r="AV90" s="868"/>
      <c r="AW90" s="868"/>
      <c r="AX90" s="868"/>
      <c r="AY90" s="868"/>
      <c r="AZ90" s="868"/>
      <c r="BA90" s="868"/>
      <c r="BB90" s="868"/>
      <c r="BC90" s="870"/>
    </row>
    <row r="91" spans="1:57" s="89" customFormat="1" ht="22.5" customHeight="1" x14ac:dyDescent="0.35">
      <c r="A91" t="s">
        <v>3246</v>
      </c>
      <c r="B91" s="430" t="s">
        <v>3247</v>
      </c>
      <c r="C91" s="431">
        <v>1</v>
      </c>
      <c r="D91" s="432" t="s">
        <v>3248</v>
      </c>
      <c r="E91" s="432" t="s">
        <v>3249</v>
      </c>
      <c r="F91" s="433" t="s">
        <v>3165</v>
      </c>
      <c r="G91" s="433" t="s">
        <v>3166</v>
      </c>
      <c r="H91" s="270" t="s">
        <v>1318</v>
      </c>
      <c r="I91" s="271" t="s">
        <v>1318</v>
      </c>
      <c r="J91" s="328" t="s">
        <v>3167</v>
      </c>
      <c r="K91" s="329" t="s">
        <v>3168</v>
      </c>
      <c r="L91" s="256">
        <f>CONTINUA!BV91</f>
        <v>0</v>
      </c>
      <c r="M91" s="256">
        <f>CONTINUA!BW91</f>
        <v>0</v>
      </c>
      <c r="N91" s="565"/>
      <c r="O91" s="566" t="s">
        <v>3327</v>
      </c>
      <c r="P91" s="567">
        <v>0</v>
      </c>
      <c r="Q91" s="319"/>
      <c r="R91" s="320"/>
      <c r="S91" s="319"/>
      <c r="T91" s="320"/>
      <c r="U91" s="807" t="s">
        <v>3376</v>
      </c>
      <c r="V91" s="808">
        <f>Q91+Q92+Q93</f>
        <v>55</v>
      </c>
      <c r="W91" s="853" t="s">
        <v>3381</v>
      </c>
      <c r="X91" s="854">
        <f>(R91+R92+R93+T91+T92+T93)</f>
        <v>0</v>
      </c>
      <c r="Y91" s="855" t="s">
        <v>3386</v>
      </c>
      <c r="Z91" s="854">
        <f>SUM(L91:L95)</f>
        <v>18</v>
      </c>
      <c r="AA91" s="813" t="s">
        <v>306</v>
      </c>
      <c r="AB91" s="814" t="s">
        <v>3388</v>
      </c>
      <c r="AC91" s="815" t="s">
        <v>19</v>
      </c>
      <c r="AD91" s="856"/>
      <c r="AE91" s="857" t="s">
        <v>3389</v>
      </c>
      <c r="AF91" s="858"/>
      <c r="AG91" s="842" t="s">
        <v>3393</v>
      </c>
      <c r="AH91" s="825" t="s">
        <v>3388</v>
      </c>
      <c r="AI91" s="826" t="s">
        <v>19</v>
      </c>
      <c r="AJ91" s="827"/>
      <c r="AK91" s="856">
        <v>1</v>
      </c>
      <c r="AL91" s="858"/>
      <c r="AM91" s="842" t="s">
        <v>3400</v>
      </c>
      <c r="AN91" s="825" t="s">
        <v>3388</v>
      </c>
      <c r="AO91" s="826" t="s">
        <v>19</v>
      </c>
      <c r="AP91" s="827"/>
      <c r="AQ91" s="856"/>
      <c r="AR91" s="858"/>
      <c r="AS91" s="841" t="s">
        <v>3401</v>
      </c>
      <c r="AT91" s="838"/>
      <c r="AU91" s="838"/>
      <c r="AV91" s="839"/>
      <c r="AW91" s="858"/>
      <c r="AX91" s="845" t="s">
        <v>3402</v>
      </c>
      <c r="AY91" s="858"/>
      <c r="AZ91" s="845" t="s">
        <v>3403</v>
      </c>
      <c r="BA91" s="846" t="s">
        <v>3404</v>
      </c>
      <c r="BB91" s="847" t="s">
        <v>3405</v>
      </c>
      <c r="BC91" s="848"/>
    </row>
    <row r="92" spans="1:57" s="89" customFormat="1" ht="22.5" customHeight="1" x14ac:dyDescent="0.2">
      <c r="A92" s="287" t="s">
        <v>3246</v>
      </c>
      <c r="B92" s="288" t="s">
        <v>3247</v>
      </c>
      <c r="C92" s="289" t="s">
        <v>3175</v>
      </c>
      <c r="D92" s="290" t="s">
        <v>3248</v>
      </c>
      <c r="E92" s="290" t="s">
        <v>3249</v>
      </c>
      <c r="F92" s="291" t="s">
        <v>3165</v>
      </c>
      <c r="G92" s="291" t="s">
        <v>3166</v>
      </c>
      <c r="H92" s="292" t="s">
        <v>1318</v>
      </c>
      <c r="I92" s="293" t="s">
        <v>1318</v>
      </c>
      <c r="J92" s="340" t="s">
        <v>3167</v>
      </c>
      <c r="K92" s="340" t="s">
        <v>3169</v>
      </c>
      <c r="L92" s="256">
        <f>CONTINUA!BV92</f>
        <v>18</v>
      </c>
      <c r="M92" s="256">
        <f>CONTINUA!BW92</f>
        <v>0</v>
      </c>
      <c r="N92" s="565"/>
      <c r="O92" s="566" t="s">
        <v>3327</v>
      </c>
      <c r="P92" s="567">
        <v>0</v>
      </c>
      <c r="Q92" s="319">
        <v>55</v>
      </c>
      <c r="R92" s="320"/>
      <c r="S92" s="319">
        <v>9</v>
      </c>
      <c r="T92" s="320"/>
      <c r="U92" s="809" t="s">
        <v>3377</v>
      </c>
      <c r="V92" s="859">
        <f>+S91+S92+S93</f>
        <v>9</v>
      </c>
      <c r="W92" s="810" t="s">
        <v>3382</v>
      </c>
      <c r="X92" s="860">
        <f>(Q94+S94)</f>
        <v>0</v>
      </c>
      <c r="Y92" s="812" t="s">
        <v>3387</v>
      </c>
      <c r="Z92" s="860">
        <f>SUM(M91:M95)</f>
        <v>0</v>
      </c>
      <c r="AA92" s="816" t="s">
        <v>3390</v>
      </c>
      <c r="AB92" s="817">
        <f>IF(X94&lt;=15,X94*385.23,0)/30</f>
        <v>0</v>
      </c>
      <c r="AC92" s="818"/>
      <c r="AD92" s="819">
        <f>SUM(AB92:AC94)</f>
        <v>866.11866666666674</v>
      </c>
      <c r="AE92" s="861"/>
      <c r="AF92" s="859"/>
      <c r="AG92" s="828" t="s">
        <v>3394</v>
      </c>
      <c r="AH92" s="829">
        <f>IF(V95=AK91,2043.65,0)/30</f>
        <v>0</v>
      </c>
      <c r="AI92" s="830"/>
      <c r="AJ92" s="831"/>
      <c r="AK92" s="862">
        <v>2</v>
      </c>
      <c r="AL92" s="859"/>
      <c r="AM92" s="828" t="s">
        <v>3397</v>
      </c>
      <c r="AN92" s="829">
        <f>IF(X92&lt;=AQ92,621.14*X92,0)/30</f>
        <v>0</v>
      </c>
      <c r="AO92" s="830"/>
      <c r="AP92" s="831"/>
      <c r="AQ92" s="862">
        <v>9</v>
      </c>
      <c r="AR92" s="859"/>
      <c r="AS92" s="830">
        <f>IF((SUM(V91:V94))&gt;=1,11465.63,0)/30</f>
        <v>382.18766666666664</v>
      </c>
      <c r="AT92" s="830">
        <f>IF((V91+V92)&gt;=1,(V91+V92)*385.23,0)/30</f>
        <v>821.82400000000007</v>
      </c>
      <c r="AU92" s="830">
        <f>IF((V93+V94)&gt;=1,(V93+V94)*2043.65,0)</f>
        <v>0</v>
      </c>
      <c r="AV92" s="828">
        <f>SUM(AS92:AU92)</f>
        <v>1204.0116666666668</v>
      </c>
      <c r="AW92" s="859"/>
      <c r="AX92" s="843">
        <f>IF(X95&gt;0,X95*1.28,0)</f>
        <v>0</v>
      </c>
      <c r="AY92" s="859"/>
      <c r="AZ92" s="849" t="s">
        <v>19</v>
      </c>
      <c r="BA92" s="850" t="s">
        <v>3406</v>
      </c>
      <c r="BB92" s="851"/>
      <c r="BC92" s="838"/>
    </row>
    <row r="93" spans="1:57" s="89" customFormat="1" ht="22.5" customHeight="1" x14ac:dyDescent="0.2">
      <c r="A93" s="287" t="s">
        <v>3246</v>
      </c>
      <c r="B93" s="288" t="s">
        <v>3247</v>
      </c>
      <c r="C93" s="294" t="s">
        <v>3175</v>
      </c>
      <c r="D93" s="290" t="s">
        <v>3248</v>
      </c>
      <c r="E93" s="290" t="s">
        <v>3249</v>
      </c>
      <c r="F93" s="295" t="s">
        <v>3165</v>
      </c>
      <c r="G93" s="295" t="s">
        <v>3166</v>
      </c>
      <c r="H93" s="292" t="s">
        <v>1318</v>
      </c>
      <c r="I93" s="293" t="s">
        <v>1318</v>
      </c>
      <c r="J93" s="340" t="s">
        <v>3167</v>
      </c>
      <c r="K93" s="341" t="s">
        <v>3170</v>
      </c>
      <c r="L93" s="256">
        <f>CONTINUA!BV93</f>
        <v>0</v>
      </c>
      <c r="M93" s="256">
        <f>CONTINUA!BW93</f>
        <v>0</v>
      </c>
      <c r="N93" s="565"/>
      <c r="O93" s="566" t="s">
        <v>3327</v>
      </c>
      <c r="P93" s="567">
        <v>0</v>
      </c>
      <c r="Q93" s="319"/>
      <c r="R93" s="320"/>
      <c r="S93" s="319"/>
      <c r="T93" s="320"/>
      <c r="U93" s="809" t="s">
        <v>3378</v>
      </c>
      <c r="V93" s="859">
        <f>+R91+R92+R93</f>
        <v>0</v>
      </c>
      <c r="W93" s="811" t="s">
        <v>3383</v>
      </c>
      <c r="X93" s="860">
        <f>SUM(V91:V94)</f>
        <v>64</v>
      </c>
      <c r="Y93" s="859"/>
      <c r="Z93" s="859"/>
      <c r="AA93" s="863" t="s">
        <v>3391</v>
      </c>
      <c r="AB93" s="820"/>
      <c r="AC93" s="820">
        <f>IF(X94&gt;15,7492.52)/30</f>
        <v>249.75066666666669</v>
      </c>
      <c r="AD93" s="821"/>
      <c r="AE93" s="864">
        <v>15</v>
      </c>
      <c r="AF93" s="859"/>
      <c r="AG93" s="828" t="s">
        <v>3395</v>
      </c>
      <c r="AH93" s="829"/>
      <c r="AI93" s="832">
        <f>IF(V95&gt;=AK92,7492.52,0)/30</f>
        <v>0</v>
      </c>
      <c r="AJ93" s="833">
        <f>SUM(AH92:AI94)</f>
        <v>0</v>
      </c>
      <c r="AK93" s="862"/>
      <c r="AL93" s="859"/>
      <c r="AM93" s="828" t="s">
        <v>3398</v>
      </c>
      <c r="AN93" s="829"/>
      <c r="AO93" s="832">
        <f>IF(X92&gt;=AQ93,7492.52,0)/30</f>
        <v>0</v>
      </c>
      <c r="AP93" s="833">
        <f>SUM(AN92:AO94)</f>
        <v>0</v>
      </c>
      <c r="AQ93" s="862">
        <v>10</v>
      </c>
      <c r="AR93" s="859"/>
      <c r="AS93" s="830"/>
      <c r="AT93" s="830"/>
      <c r="AU93" s="830"/>
      <c r="AV93" s="828"/>
      <c r="AW93" s="859"/>
      <c r="AX93" s="843"/>
      <c r="AY93" s="859"/>
      <c r="AZ93" s="830" t="s">
        <v>3407</v>
      </c>
      <c r="BA93" s="829">
        <f>IF(Z91&gt;0,Z91*9.64,0)</f>
        <v>173.52</v>
      </c>
      <c r="BB93" s="865">
        <f>IF(Z92&gt;0,Z92*56.2,0)</f>
        <v>0</v>
      </c>
      <c r="BC93" s="830">
        <f>SUM(BA93:BB93)</f>
        <v>173.52</v>
      </c>
    </row>
    <row r="94" spans="1:57" s="89" customFormat="1" ht="22.5" customHeight="1" x14ac:dyDescent="0.2">
      <c r="A94" s="287" t="s">
        <v>3246</v>
      </c>
      <c r="B94" s="288" t="s">
        <v>3247</v>
      </c>
      <c r="C94" s="294" t="s">
        <v>3175</v>
      </c>
      <c r="D94" s="290" t="s">
        <v>3248</v>
      </c>
      <c r="E94" s="290" t="s">
        <v>3249</v>
      </c>
      <c r="F94" s="295" t="s">
        <v>3165</v>
      </c>
      <c r="G94" s="295" t="s">
        <v>3166</v>
      </c>
      <c r="H94" s="292" t="s">
        <v>1318</v>
      </c>
      <c r="I94" s="293" t="s">
        <v>1318</v>
      </c>
      <c r="J94" s="340" t="s">
        <v>3167</v>
      </c>
      <c r="K94" s="342" t="s">
        <v>3171</v>
      </c>
      <c r="L94" s="256">
        <f>CONTINUA!BV94</f>
        <v>0</v>
      </c>
      <c r="M94" s="256">
        <f>CONTINUA!BW94</f>
        <v>0</v>
      </c>
      <c r="N94" s="565"/>
      <c r="O94" s="566" t="s">
        <v>3327</v>
      </c>
      <c r="P94" s="567">
        <v>0</v>
      </c>
      <c r="Q94" s="319"/>
      <c r="R94" s="320"/>
      <c r="S94" s="319"/>
      <c r="T94" s="320"/>
      <c r="U94" s="809" t="s">
        <v>3379</v>
      </c>
      <c r="V94" s="866">
        <f>+T91+T92+T93</f>
        <v>0</v>
      </c>
      <c r="W94" s="812" t="s">
        <v>3384</v>
      </c>
      <c r="X94" s="860">
        <f>SUM(V91:V92)</f>
        <v>64</v>
      </c>
      <c r="Y94" s="866"/>
      <c r="Z94" s="866"/>
      <c r="AA94" s="822" t="s">
        <v>3392</v>
      </c>
      <c r="AB94" s="823">
        <f>((X94-16)*385.23)/30</f>
        <v>616.36800000000005</v>
      </c>
      <c r="AC94" s="823"/>
      <c r="AD94" s="824"/>
      <c r="AE94" s="864">
        <v>16</v>
      </c>
      <c r="AF94" s="866"/>
      <c r="AG94" s="834" t="s">
        <v>3396</v>
      </c>
      <c r="AH94" s="835">
        <f>IF(V95&gt;AK92,(V95-AK92)*2043.65,0)/30</f>
        <v>0</v>
      </c>
      <c r="AI94" s="836"/>
      <c r="AJ94" s="837"/>
      <c r="AK94" s="862"/>
      <c r="AL94" s="866"/>
      <c r="AM94" s="834" t="s">
        <v>3399</v>
      </c>
      <c r="AN94" s="835">
        <f>IF(X92&gt;AQ93,(X92-AQ93)*621.14,0)/30</f>
        <v>0</v>
      </c>
      <c r="AO94" s="836"/>
      <c r="AP94" s="837"/>
      <c r="AQ94" s="862"/>
      <c r="AR94" s="866"/>
      <c r="AS94" s="836"/>
      <c r="AT94" s="836"/>
      <c r="AU94" s="836"/>
      <c r="AV94" s="840"/>
      <c r="AW94" s="866"/>
      <c r="AX94" s="844"/>
      <c r="AY94" s="866"/>
      <c r="AZ94" s="836"/>
      <c r="BA94" s="835"/>
      <c r="BB94" s="852"/>
      <c r="BC94" s="836"/>
    </row>
    <row r="95" spans="1:57" s="89" customFormat="1" ht="22.5" customHeight="1" thickBot="1" x14ac:dyDescent="0.25">
      <c r="A95" s="296" t="s">
        <v>3246</v>
      </c>
      <c r="B95" s="297" t="s">
        <v>3247</v>
      </c>
      <c r="C95" s="298" t="s">
        <v>3175</v>
      </c>
      <c r="D95" s="299" t="s">
        <v>3248</v>
      </c>
      <c r="E95" s="299" t="s">
        <v>3249</v>
      </c>
      <c r="F95" s="300" t="s">
        <v>3165</v>
      </c>
      <c r="G95" s="300" t="s">
        <v>3166</v>
      </c>
      <c r="H95" s="301" t="s">
        <v>1318</v>
      </c>
      <c r="I95" s="302" t="s">
        <v>1318</v>
      </c>
      <c r="J95" s="340" t="s">
        <v>3167</v>
      </c>
      <c r="K95" s="343" t="s">
        <v>53</v>
      </c>
      <c r="L95" s="256">
        <f>CONTINUA!BV95</f>
        <v>0</v>
      </c>
      <c r="M95" s="256">
        <f>CONTINUA!BW95</f>
        <v>0</v>
      </c>
      <c r="N95" s="565"/>
      <c r="O95" s="566" t="s">
        <v>3327</v>
      </c>
      <c r="P95" s="567">
        <v>0</v>
      </c>
      <c r="Q95" s="319"/>
      <c r="R95" s="320"/>
      <c r="S95" s="319"/>
      <c r="T95" s="320"/>
      <c r="U95" s="867" t="s">
        <v>3380</v>
      </c>
      <c r="V95" s="868">
        <f>R91+R92+R93+R94+T91+T92+T93+T94</f>
        <v>0</v>
      </c>
      <c r="W95" s="812" t="s">
        <v>3385</v>
      </c>
      <c r="X95" s="869">
        <f>SUM(N91:N95)</f>
        <v>0</v>
      </c>
      <c r="Y95" s="868"/>
      <c r="Z95" s="868"/>
      <c r="AA95" s="868"/>
      <c r="AB95" s="868"/>
      <c r="AC95" s="868"/>
      <c r="AD95" s="868"/>
      <c r="AE95" s="868"/>
      <c r="AF95" s="868"/>
      <c r="AG95" s="868"/>
      <c r="AH95" s="868"/>
      <c r="AI95" s="868"/>
      <c r="AJ95" s="868"/>
      <c r="AK95" s="868"/>
      <c r="AL95" s="868"/>
      <c r="AM95" s="868"/>
      <c r="AN95" s="868"/>
      <c r="AO95" s="868"/>
      <c r="AP95" s="868"/>
      <c r="AQ95" s="868"/>
      <c r="AR95" s="868"/>
      <c r="AS95" s="868"/>
      <c r="AT95" s="868"/>
      <c r="AU95" s="868"/>
      <c r="AV95" s="868"/>
      <c r="AW95" s="868"/>
      <c r="AX95" s="868"/>
      <c r="AY95" s="868"/>
      <c r="AZ95" s="868"/>
      <c r="BA95" s="868"/>
      <c r="BB95" s="868"/>
      <c r="BC95" s="870"/>
    </row>
    <row r="96" spans="1:57" s="89" customFormat="1" ht="22.5" customHeight="1" x14ac:dyDescent="0.35">
      <c r="A96" t="s">
        <v>3250</v>
      </c>
      <c r="B96" s="430" t="s">
        <v>3251</v>
      </c>
      <c r="C96" s="431">
        <v>1</v>
      </c>
      <c r="D96" s="432" t="s">
        <v>3252</v>
      </c>
      <c r="E96" s="432" t="s">
        <v>3253</v>
      </c>
      <c r="F96" s="433" t="s">
        <v>3165</v>
      </c>
      <c r="G96" s="433" t="s">
        <v>3166</v>
      </c>
      <c r="H96" s="270" t="s">
        <v>1327</v>
      </c>
      <c r="I96" s="271" t="s">
        <v>1327</v>
      </c>
      <c r="J96" s="328" t="s">
        <v>3167</v>
      </c>
      <c r="K96" s="329" t="s">
        <v>3168</v>
      </c>
      <c r="L96" s="256">
        <f>CONTINUA!BV96</f>
        <v>0</v>
      </c>
      <c r="M96" s="256">
        <f>CONTINUA!BW96</f>
        <v>0</v>
      </c>
      <c r="N96" s="565"/>
      <c r="O96" s="566" t="s">
        <v>3328</v>
      </c>
      <c r="P96" s="567">
        <v>0</v>
      </c>
      <c r="Q96" s="319">
        <v>28</v>
      </c>
      <c r="R96" s="320"/>
      <c r="S96" s="319"/>
      <c r="T96" s="320"/>
      <c r="U96" s="807" t="s">
        <v>3376</v>
      </c>
      <c r="V96" s="808">
        <f>Q96+Q97+Q98</f>
        <v>28</v>
      </c>
      <c r="W96" s="853" t="s">
        <v>3381</v>
      </c>
      <c r="X96" s="854">
        <f>(R96+R97+R98+T96+T97+T98)</f>
        <v>0</v>
      </c>
      <c r="Y96" s="855" t="s">
        <v>3386</v>
      </c>
      <c r="Z96" s="854">
        <f>SUM(L96:L100)</f>
        <v>0</v>
      </c>
      <c r="AA96" s="813" t="s">
        <v>306</v>
      </c>
      <c r="AB96" s="814" t="s">
        <v>3388</v>
      </c>
      <c r="AC96" s="815" t="s">
        <v>19</v>
      </c>
      <c r="AD96" s="856"/>
      <c r="AE96" s="857" t="s">
        <v>3389</v>
      </c>
      <c r="AF96" s="858"/>
      <c r="AG96" s="842" t="s">
        <v>3393</v>
      </c>
      <c r="AH96" s="825" t="s">
        <v>3388</v>
      </c>
      <c r="AI96" s="826" t="s">
        <v>19</v>
      </c>
      <c r="AJ96" s="827"/>
      <c r="AK96" s="856">
        <v>1</v>
      </c>
      <c r="AL96" s="858"/>
      <c r="AM96" s="842" t="s">
        <v>3400</v>
      </c>
      <c r="AN96" s="825" t="s">
        <v>3388</v>
      </c>
      <c r="AO96" s="826" t="s">
        <v>19</v>
      </c>
      <c r="AP96" s="827"/>
      <c r="AQ96" s="856"/>
      <c r="AR96" s="858"/>
      <c r="AS96" s="841" t="s">
        <v>3401</v>
      </c>
      <c r="AT96" s="838"/>
      <c r="AU96" s="838"/>
      <c r="AV96" s="839"/>
      <c r="AW96" s="858"/>
      <c r="AX96" s="845" t="s">
        <v>3402</v>
      </c>
      <c r="AY96" s="858"/>
      <c r="AZ96" s="845" t="s">
        <v>3403</v>
      </c>
      <c r="BA96" s="846" t="s">
        <v>3404</v>
      </c>
      <c r="BB96" s="847" t="s">
        <v>3405</v>
      </c>
      <c r="BC96" s="848"/>
      <c r="BD96" s="62"/>
      <c r="BE96" s="62"/>
    </row>
    <row r="97" spans="1:57" s="89" customFormat="1" ht="22.5" customHeight="1" x14ac:dyDescent="0.2">
      <c r="A97" s="287" t="s">
        <v>3250</v>
      </c>
      <c r="B97" s="288" t="s">
        <v>3251</v>
      </c>
      <c r="C97" s="289" t="s">
        <v>3175</v>
      </c>
      <c r="D97" s="290" t="s">
        <v>3252</v>
      </c>
      <c r="E97" s="290" t="s">
        <v>3253</v>
      </c>
      <c r="F97" s="291" t="s">
        <v>3165</v>
      </c>
      <c r="G97" s="291" t="s">
        <v>3166</v>
      </c>
      <c r="H97" s="292" t="s">
        <v>1327</v>
      </c>
      <c r="I97" s="293" t="s">
        <v>1327</v>
      </c>
      <c r="J97" s="340" t="s">
        <v>3167</v>
      </c>
      <c r="K97" s="340" t="s">
        <v>3169</v>
      </c>
      <c r="L97" s="256">
        <f>CONTINUA!BV97</f>
        <v>0</v>
      </c>
      <c r="M97" s="256">
        <f>CONTINUA!BW97</f>
        <v>0</v>
      </c>
      <c r="N97" s="565"/>
      <c r="O97" s="566" t="s">
        <v>3328</v>
      </c>
      <c r="P97" s="567">
        <v>0</v>
      </c>
      <c r="Q97" s="319"/>
      <c r="R97" s="320"/>
      <c r="S97" s="319"/>
      <c r="T97" s="320"/>
      <c r="U97" s="809" t="s">
        <v>3377</v>
      </c>
      <c r="V97" s="859">
        <f>+S96+S97+S98</f>
        <v>0</v>
      </c>
      <c r="W97" s="810" t="s">
        <v>3382</v>
      </c>
      <c r="X97" s="860">
        <f>(Q99+S99)</f>
        <v>0</v>
      </c>
      <c r="Y97" s="812" t="s">
        <v>3387</v>
      </c>
      <c r="Z97" s="860">
        <f>SUM(M96:M100)</f>
        <v>0</v>
      </c>
      <c r="AA97" s="816" t="s">
        <v>3390</v>
      </c>
      <c r="AB97" s="817">
        <f>IF(X99&lt;=15,X99*385.23,0)/30</f>
        <v>0</v>
      </c>
      <c r="AC97" s="818"/>
      <c r="AD97" s="819">
        <f>SUM(AB97:AC99)</f>
        <v>403.84266666666667</v>
      </c>
      <c r="AE97" s="861"/>
      <c r="AF97" s="859"/>
      <c r="AG97" s="828" t="s">
        <v>3394</v>
      </c>
      <c r="AH97" s="829">
        <f>IF(V100=AK96,2043.65,0)/30</f>
        <v>0</v>
      </c>
      <c r="AI97" s="830"/>
      <c r="AJ97" s="831"/>
      <c r="AK97" s="862">
        <v>2</v>
      </c>
      <c r="AL97" s="859"/>
      <c r="AM97" s="828" t="s">
        <v>3397</v>
      </c>
      <c r="AN97" s="829">
        <f>IF(X97&lt;=AQ97,621.14*X97,0)/30</f>
        <v>0</v>
      </c>
      <c r="AO97" s="830"/>
      <c r="AP97" s="831"/>
      <c r="AQ97" s="862">
        <v>9</v>
      </c>
      <c r="AR97" s="859"/>
      <c r="AS97" s="830">
        <f>IF((SUM(V96:V99))&gt;=1,11465.63,0)/30</f>
        <v>382.18766666666664</v>
      </c>
      <c r="AT97" s="830">
        <f>IF((V96+V97)&gt;=1,(V96+V97)*385.23,0)/30</f>
        <v>359.548</v>
      </c>
      <c r="AU97" s="830">
        <f>IF((V98+V99)&gt;=1,(V98+V99)*2043.65,0)</f>
        <v>0</v>
      </c>
      <c r="AV97" s="828">
        <f>SUM(AS97:AU97)</f>
        <v>741.7356666666667</v>
      </c>
      <c r="AW97" s="859"/>
      <c r="AX97" s="843">
        <f>IF(X100&gt;0,X100*1.28,0)</f>
        <v>0</v>
      </c>
      <c r="AY97" s="859"/>
      <c r="AZ97" s="849" t="s">
        <v>19</v>
      </c>
      <c r="BA97" s="850" t="s">
        <v>3406</v>
      </c>
      <c r="BB97" s="851"/>
      <c r="BC97" s="838"/>
      <c r="BD97" s="62"/>
      <c r="BE97" s="62"/>
    </row>
    <row r="98" spans="1:57" s="89" customFormat="1" ht="22.5" customHeight="1" x14ac:dyDescent="0.2">
      <c r="A98" s="287" t="s">
        <v>3250</v>
      </c>
      <c r="B98" s="288" t="s">
        <v>3251</v>
      </c>
      <c r="C98" s="294" t="s">
        <v>3175</v>
      </c>
      <c r="D98" s="290" t="s">
        <v>3252</v>
      </c>
      <c r="E98" s="290" t="s">
        <v>3253</v>
      </c>
      <c r="F98" s="295" t="s">
        <v>3165</v>
      </c>
      <c r="G98" s="295" t="s">
        <v>3166</v>
      </c>
      <c r="H98" s="292" t="s">
        <v>1327</v>
      </c>
      <c r="I98" s="293" t="s">
        <v>1327</v>
      </c>
      <c r="J98" s="340" t="s">
        <v>3167</v>
      </c>
      <c r="K98" s="341" t="s">
        <v>3170</v>
      </c>
      <c r="L98" s="256">
        <f>CONTINUA!BV98</f>
        <v>0</v>
      </c>
      <c r="M98" s="256">
        <f>CONTINUA!BW98</f>
        <v>0</v>
      </c>
      <c r="N98" s="565"/>
      <c r="O98" s="566" t="s">
        <v>3328</v>
      </c>
      <c r="P98" s="567">
        <v>0</v>
      </c>
      <c r="Q98" s="319"/>
      <c r="R98" s="320"/>
      <c r="S98" s="319"/>
      <c r="T98" s="320"/>
      <c r="U98" s="809" t="s">
        <v>3378</v>
      </c>
      <c r="V98" s="859">
        <f>+R96+R97+R98</f>
        <v>0</v>
      </c>
      <c r="W98" s="811" t="s">
        <v>3383</v>
      </c>
      <c r="X98" s="860">
        <f>SUM(V96:V99)</f>
        <v>28</v>
      </c>
      <c r="Y98" s="859"/>
      <c r="Z98" s="859"/>
      <c r="AA98" s="863" t="s">
        <v>3391</v>
      </c>
      <c r="AB98" s="820"/>
      <c r="AC98" s="820">
        <f>IF(X99&gt;15,7492.52)/30</f>
        <v>249.75066666666669</v>
      </c>
      <c r="AD98" s="821"/>
      <c r="AE98" s="864">
        <v>15</v>
      </c>
      <c r="AF98" s="859"/>
      <c r="AG98" s="828" t="s">
        <v>3395</v>
      </c>
      <c r="AH98" s="829"/>
      <c r="AI98" s="832">
        <f>IF(V100&gt;=AK97,7492.52,0)/30</f>
        <v>0</v>
      </c>
      <c r="AJ98" s="833">
        <f>SUM(AH97:AI99)</f>
        <v>0</v>
      </c>
      <c r="AK98" s="862"/>
      <c r="AL98" s="859"/>
      <c r="AM98" s="828" t="s">
        <v>3398</v>
      </c>
      <c r="AN98" s="829"/>
      <c r="AO98" s="832">
        <f>IF(X97&gt;=AQ98,7492.52,0)/30</f>
        <v>0</v>
      </c>
      <c r="AP98" s="833">
        <f>SUM(AN97:AO99)</f>
        <v>0</v>
      </c>
      <c r="AQ98" s="862">
        <v>10</v>
      </c>
      <c r="AR98" s="859"/>
      <c r="AS98" s="830"/>
      <c r="AT98" s="830"/>
      <c r="AU98" s="830"/>
      <c r="AV98" s="828"/>
      <c r="AW98" s="859"/>
      <c r="AX98" s="843"/>
      <c r="AY98" s="859"/>
      <c r="AZ98" s="830" t="s">
        <v>3407</v>
      </c>
      <c r="BA98" s="829">
        <f>IF(Z96&gt;0,Z96*9.64,0)</f>
        <v>0</v>
      </c>
      <c r="BB98" s="865">
        <f>IF(Z97&gt;0,Z97*56.2,0)</f>
        <v>0</v>
      </c>
      <c r="BC98" s="830">
        <f>SUM(BA98:BB98)</f>
        <v>0</v>
      </c>
      <c r="BD98" s="62"/>
      <c r="BE98" s="62"/>
    </row>
    <row r="99" spans="1:57" s="89" customFormat="1" ht="22.5" customHeight="1" x14ac:dyDescent="0.2">
      <c r="A99" s="287" t="s">
        <v>3250</v>
      </c>
      <c r="B99" s="288" t="s">
        <v>3251</v>
      </c>
      <c r="C99" s="294" t="s">
        <v>3175</v>
      </c>
      <c r="D99" s="290" t="s">
        <v>3252</v>
      </c>
      <c r="E99" s="290" t="s">
        <v>3253</v>
      </c>
      <c r="F99" s="295" t="s">
        <v>3165</v>
      </c>
      <c r="G99" s="295" t="s">
        <v>3166</v>
      </c>
      <c r="H99" s="292" t="s">
        <v>1327</v>
      </c>
      <c r="I99" s="293" t="s">
        <v>1327</v>
      </c>
      <c r="J99" s="340" t="s">
        <v>3167</v>
      </c>
      <c r="K99" s="342" t="s">
        <v>3171</v>
      </c>
      <c r="L99" s="256">
        <f>CONTINUA!BV99</f>
        <v>0</v>
      </c>
      <c r="M99" s="256">
        <f>CONTINUA!BW99</f>
        <v>0</v>
      </c>
      <c r="N99" s="565"/>
      <c r="O99" s="566" t="s">
        <v>3328</v>
      </c>
      <c r="P99" s="567">
        <v>0</v>
      </c>
      <c r="Q99" s="319"/>
      <c r="R99" s="320"/>
      <c r="S99" s="319"/>
      <c r="T99" s="320"/>
      <c r="U99" s="809" t="s">
        <v>3379</v>
      </c>
      <c r="V99" s="866">
        <f>+T96+T97+T98</f>
        <v>0</v>
      </c>
      <c r="W99" s="812" t="s">
        <v>3384</v>
      </c>
      <c r="X99" s="860">
        <f>SUM(V96:V97)</f>
        <v>28</v>
      </c>
      <c r="Y99" s="866"/>
      <c r="Z99" s="866"/>
      <c r="AA99" s="822" t="s">
        <v>3392</v>
      </c>
      <c r="AB99" s="823">
        <f>((X99-16)*385.23)/30</f>
        <v>154.09200000000001</v>
      </c>
      <c r="AC99" s="823"/>
      <c r="AD99" s="824"/>
      <c r="AE99" s="864">
        <v>16</v>
      </c>
      <c r="AF99" s="866"/>
      <c r="AG99" s="834" t="s">
        <v>3396</v>
      </c>
      <c r="AH99" s="835">
        <f>IF(V100&gt;AK97,(V100-AK97)*2043.65,0)/30</f>
        <v>0</v>
      </c>
      <c r="AI99" s="836"/>
      <c r="AJ99" s="837"/>
      <c r="AK99" s="862"/>
      <c r="AL99" s="866"/>
      <c r="AM99" s="834" t="s">
        <v>3399</v>
      </c>
      <c r="AN99" s="835">
        <f>IF(X97&gt;AQ98,(X97-AQ98)*621.14,0)/30</f>
        <v>0</v>
      </c>
      <c r="AO99" s="836"/>
      <c r="AP99" s="837"/>
      <c r="AQ99" s="862"/>
      <c r="AR99" s="866"/>
      <c r="AS99" s="836"/>
      <c r="AT99" s="836"/>
      <c r="AU99" s="836"/>
      <c r="AV99" s="840"/>
      <c r="AW99" s="866"/>
      <c r="AX99" s="844"/>
      <c r="AY99" s="866"/>
      <c r="AZ99" s="836"/>
      <c r="BA99" s="835"/>
      <c r="BB99" s="852"/>
      <c r="BC99" s="836"/>
      <c r="BD99" s="63"/>
      <c r="BE99" s="63"/>
    </row>
    <row r="100" spans="1:57" s="89" customFormat="1" ht="22.5" customHeight="1" thickBot="1" x14ac:dyDescent="0.25">
      <c r="A100" s="296" t="s">
        <v>3250</v>
      </c>
      <c r="B100" s="297" t="s">
        <v>3251</v>
      </c>
      <c r="C100" s="298" t="s">
        <v>3175</v>
      </c>
      <c r="D100" s="299" t="s">
        <v>3252</v>
      </c>
      <c r="E100" s="299" t="s">
        <v>3253</v>
      </c>
      <c r="F100" s="300" t="s">
        <v>3165</v>
      </c>
      <c r="G100" s="300" t="s">
        <v>3166</v>
      </c>
      <c r="H100" s="301" t="s">
        <v>1327</v>
      </c>
      <c r="I100" s="302" t="s">
        <v>1327</v>
      </c>
      <c r="J100" s="340" t="s">
        <v>3167</v>
      </c>
      <c r="K100" s="343" t="s">
        <v>53</v>
      </c>
      <c r="L100" s="256">
        <f>CONTINUA!BV100</f>
        <v>0</v>
      </c>
      <c r="M100" s="256">
        <f>CONTINUA!BW100</f>
        <v>0</v>
      </c>
      <c r="N100" s="565"/>
      <c r="O100" s="566" t="s">
        <v>3328</v>
      </c>
      <c r="P100" s="567">
        <v>0</v>
      </c>
      <c r="Q100" s="319"/>
      <c r="R100" s="320"/>
      <c r="S100" s="319"/>
      <c r="T100" s="320"/>
      <c r="U100" s="867" t="s">
        <v>3380</v>
      </c>
      <c r="V100" s="868">
        <f>R96+R97+R98+R99+T96+T97+T98+T99</f>
        <v>0</v>
      </c>
      <c r="W100" s="812" t="s">
        <v>3385</v>
      </c>
      <c r="X100" s="869">
        <f>SUM(N96:N100)</f>
        <v>0</v>
      </c>
      <c r="Y100" s="868"/>
      <c r="Z100" s="868"/>
      <c r="AA100" s="868"/>
      <c r="AB100" s="868"/>
      <c r="AC100" s="868"/>
      <c r="AD100" s="868"/>
      <c r="AE100" s="868"/>
      <c r="AF100" s="868"/>
      <c r="AG100" s="868"/>
      <c r="AH100" s="868"/>
      <c r="AI100" s="868"/>
      <c r="AJ100" s="868"/>
      <c r="AK100" s="868"/>
      <c r="AL100" s="868"/>
      <c r="AM100" s="868"/>
      <c r="AN100" s="868"/>
      <c r="AO100" s="868"/>
      <c r="AP100" s="868"/>
      <c r="AQ100" s="868"/>
      <c r="AR100" s="868"/>
      <c r="AS100" s="868"/>
      <c r="AT100" s="868"/>
      <c r="AU100" s="868"/>
      <c r="AV100" s="868"/>
      <c r="AW100" s="868"/>
      <c r="AX100" s="868"/>
      <c r="AY100" s="868"/>
      <c r="AZ100" s="868"/>
      <c r="BA100" s="868"/>
      <c r="BB100" s="868"/>
      <c r="BC100" s="870"/>
    </row>
    <row r="101" spans="1:57" s="89" customFormat="1" ht="22.5" customHeight="1" x14ac:dyDescent="0.35">
      <c r="A101" t="s">
        <v>3254</v>
      </c>
      <c r="B101" s="430" t="s">
        <v>3255</v>
      </c>
      <c r="C101" s="431">
        <v>3</v>
      </c>
      <c r="D101" s="432" t="s">
        <v>3256</v>
      </c>
      <c r="E101" s="432" t="s">
        <v>3257</v>
      </c>
      <c r="F101" s="433" t="s">
        <v>3165</v>
      </c>
      <c r="G101" s="433" t="s">
        <v>3166</v>
      </c>
      <c r="H101" s="270" t="s">
        <v>1328</v>
      </c>
      <c r="I101" s="271" t="s">
        <v>1328</v>
      </c>
      <c r="J101" s="328" t="s">
        <v>3172</v>
      </c>
      <c r="K101" s="329" t="s">
        <v>3168</v>
      </c>
      <c r="L101" s="256">
        <f>CONTINUA!BV101</f>
        <v>0</v>
      </c>
      <c r="M101" s="256">
        <f>CONTINUA!BW101</f>
        <v>0</v>
      </c>
      <c r="N101" s="565"/>
      <c r="O101" s="566" t="s">
        <v>3329</v>
      </c>
      <c r="P101" s="567">
        <v>0</v>
      </c>
      <c r="Q101" s="319"/>
      <c r="R101" s="320"/>
      <c r="S101" s="319"/>
      <c r="T101" s="320"/>
      <c r="U101" s="807" t="s">
        <v>3376</v>
      </c>
      <c r="V101" s="808">
        <f>Q101+Q102+Q103</f>
        <v>0</v>
      </c>
      <c r="W101" s="853" t="s">
        <v>3381</v>
      </c>
      <c r="X101" s="854">
        <f>(R101+R102+R103+T101+T102+T103)</f>
        <v>0</v>
      </c>
      <c r="Y101" s="855" t="s">
        <v>3386</v>
      </c>
      <c r="Z101" s="854">
        <f>SUM(L101:L105)</f>
        <v>0</v>
      </c>
      <c r="AA101" s="813" t="s">
        <v>306</v>
      </c>
      <c r="AB101" s="814" t="s">
        <v>3388</v>
      </c>
      <c r="AC101" s="815" t="s">
        <v>19</v>
      </c>
      <c r="AD101" s="856"/>
      <c r="AE101" s="857" t="s">
        <v>3389</v>
      </c>
      <c r="AF101" s="858"/>
      <c r="AG101" s="842" t="s">
        <v>3393</v>
      </c>
      <c r="AH101" s="825" t="s">
        <v>3388</v>
      </c>
      <c r="AI101" s="826" t="s">
        <v>19</v>
      </c>
      <c r="AJ101" s="827"/>
      <c r="AK101" s="856">
        <v>1</v>
      </c>
      <c r="AL101" s="858"/>
      <c r="AM101" s="842" t="s">
        <v>3400</v>
      </c>
      <c r="AN101" s="825" t="s">
        <v>3388</v>
      </c>
      <c r="AO101" s="826" t="s">
        <v>19</v>
      </c>
      <c r="AP101" s="827"/>
      <c r="AQ101" s="856"/>
      <c r="AR101" s="858"/>
      <c r="AS101" s="841" t="s">
        <v>3401</v>
      </c>
      <c r="AT101" s="838"/>
      <c r="AU101" s="838"/>
      <c r="AV101" s="839"/>
      <c r="AW101" s="858"/>
      <c r="AX101" s="845" t="s">
        <v>3402</v>
      </c>
      <c r="AY101" s="858"/>
      <c r="AZ101" s="845" t="s">
        <v>3403</v>
      </c>
      <c r="BA101" s="846" t="s">
        <v>3404</v>
      </c>
      <c r="BB101" s="847" t="s">
        <v>3405</v>
      </c>
      <c r="BC101" s="848"/>
    </row>
    <row r="102" spans="1:57" s="89" customFormat="1" ht="22.5" customHeight="1" x14ac:dyDescent="0.2">
      <c r="A102" s="287" t="s">
        <v>3254</v>
      </c>
      <c r="B102" s="288" t="s">
        <v>3255</v>
      </c>
      <c r="C102" s="289" t="s">
        <v>3177</v>
      </c>
      <c r="D102" s="290" t="s">
        <v>3256</v>
      </c>
      <c r="E102" s="290" t="s">
        <v>3257</v>
      </c>
      <c r="F102" s="291" t="s">
        <v>3165</v>
      </c>
      <c r="G102" s="291" t="s">
        <v>3166</v>
      </c>
      <c r="H102" s="292" t="s">
        <v>1328</v>
      </c>
      <c r="I102" s="293" t="s">
        <v>1328</v>
      </c>
      <c r="J102" s="340" t="s">
        <v>3172</v>
      </c>
      <c r="K102" s="340" t="s">
        <v>3169</v>
      </c>
      <c r="L102" s="256">
        <f>CONTINUA!BV102</f>
        <v>0</v>
      </c>
      <c r="M102" s="256">
        <f>CONTINUA!BW102</f>
        <v>0</v>
      </c>
      <c r="N102" s="565"/>
      <c r="O102" s="566" t="s">
        <v>3329</v>
      </c>
      <c r="P102" s="567">
        <v>0</v>
      </c>
      <c r="Q102" s="319"/>
      <c r="R102" s="320"/>
      <c r="S102" s="319"/>
      <c r="T102" s="320"/>
      <c r="U102" s="809" t="s">
        <v>3377</v>
      </c>
      <c r="V102" s="859">
        <f>+S101+S102+S103</f>
        <v>0</v>
      </c>
      <c r="W102" s="810" t="s">
        <v>3382</v>
      </c>
      <c r="X102" s="860">
        <f>(Q104+S104)</f>
        <v>24</v>
      </c>
      <c r="Y102" s="812" t="s">
        <v>3387</v>
      </c>
      <c r="Z102" s="860">
        <f>SUM(M101:M105)</f>
        <v>0</v>
      </c>
      <c r="AA102" s="816" t="s">
        <v>3390</v>
      </c>
      <c r="AB102" s="817">
        <f>IF(X104&lt;=15,X104*385.23,0)/30</f>
        <v>0</v>
      </c>
      <c r="AC102" s="818"/>
      <c r="AD102" s="819">
        <f>SUM(AB102:AC104)</f>
        <v>-205.45600000000002</v>
      </c>
      <c r="AE102" s="861"/>
      <c r="AF102" s="859"/>
      <c r="AG102" s="828" t="s">
        <v>3394</v>
      </c>
      <c r="AH102" s="829">
        <f>IF(V105=AK101,2043.65,0)/30</f>
        <v>0</v>
      </c>
      <c r="AI102" s="830"/>
      <c r="AJ102" s="831"/>
      <c r="AK102" s="862">
        <v>2</v>
      </c>
      <c r="AL102" s="859"/>
      <c r="AM102" s="828" t="s">
        <v>3397</v>
      </c>
      <c r="AN102" s="829">
        <f>IF(X102&lt;=AQ102,621.14*X102,0)/30</f>
        <v>0</v>
      </c>
      <c r="AO102" s="830"/>
      <c r="AP102" s="831"/>
      <c r="AQ102" s="862">
        <v>9</v>
      </c>
      <c r="AR102" s="859"/>
      <c r="AS102" s="830">
        <f>IF((SUM(V101:V104))&gt;=1,11465.63,0)/30</f>
        <v>0</v>
      </c>
      <c r="AT102" s="830">
        <f>IF((V101+V102)&gt;=1,(V101+V102)*385.23,0)/30</f>
        <v>0</v>
      </c>
      <c r="AU102" s="830">
        <f>IF((V103+V104)&gt;=1,(V103+V104)*2043.65,0)</f>
        <v>0</v>
      </c>
      <c r="AV102" s="828">
        <f>SUM(AS102:AU102)</f>
        <v>0</v>
      </c>
      <c r="AW102" s="859"/>
      <c r="AX102" s="843">
        <f>IF(X105&gt;0,X105*1.28,0)</f>
        <v>0</v>
      </c>
      <c r="AY102" s="859"/>
      <c r="AZ102" s="849" t="s">
        <v>19</v>
      </c>
      <c r="BA102" s="850" t="s">
        <v>3406</v>
      </c>
      <c r="BB102" s="851"/>
      <c r="BC102" s="838"/>
    </row>
    <row r="103" spans="1:57" s="89" customFormat="1" ht="22.5" customHeight="1" x14ac:dyDescent="0.2">
      <c r="A103" s="287" t="s">
        <v>3254</v>
      </c>
      <c r="B103" s="288" t="s">
        <v>3255</v>
      </c>
      <c r="C103" s="294" t="s">
        <v>3177</v>
      </c>
      <c r="D103" s="290" t="s">
        <v>3256</v>
      </c>
      <c r="E103" s="290" t="s">
        <v>3257</v>
      </c>
      <c r="F103" s="295" t="s">
        <v>3165</v>
      </c>
      <c r="G103" s="295" t="s">
        <v>3166</v>
      </c>
      <c r="H103" s="292" t="s">
        <v>1328</v>
      </c>
      <c r="I103" s="293" t="s">
        <v>1328</v>
      </c>
      <c r="J103" s="340" t="s">
        <v>3172</v>
      </c>
      <c r="K103" s="341" t="s">
        <v>3170</v>
      </c>
      <c r="L103" s="256">
        <f>CONTINUA!BV103</f>
        <v>0</v>
      </c>
      <c r="M103" s="256">
        <f>CONTINUA!BW103</f>
        <v>0</v>
      </c>
      <c r="N103" s="565"/>
      <c r="O103" s="566" t="s">
        <v>3329</v>
      </c>
      <c r="P103" s="567">
        <v>0</v>
      </c>
      <c r="Q103" s="319"/>
      <c r="R103" s="320"/>
      <c r="S103" s="319"/>
      <c r="T103" s="320"/>
      <c r="U103" s="809" t="s">
        <v>3378</v>
      </c>
      <c r="V103" s="859">
        <f>+R101+R102+R103</f>
        <v>0</v>
      </c>
      <c r="W103" s="811" t="s">
        <v>3383</v>
      </c>
      <c r="X103" s="860">
        <f>SUM(V101:V104)</f>
        <v>0</v>
      </c>
      <c r="Y103" s="859"/>
      <c r="Z103" s="859"/>
      <c r="AA103" s="863" t="s">
        <v>3391</v>
      </c>
      <c r="AB103" s="820"/>
      <c r="AC103" s="820">
        <f>IF(X104&gt;15,7492.52)/30</f>
        <v>0</v>
      </c>
      <c r="AD103" s="821"/>
      <c r="AE103" s="864">
        <v>15</v>
      </c>
      <c r="AF103" s="859"/>
      <c r="AG103" s="828" t="s">
        <v>3395</v>
      </c>
      <c r="AH103" s="829"/>
      <c r="AI103" s="832">
        <f>IF(V105&gt;=AK102,7492.52,0)/30</f>
        <v>0</v>
      </c>
      <c r="AJ103" s="833">
        <f>SUM(AH102:AI104)</f>
        <v>0</v>
      </c>
      <c r="AK103" s="862"/>
      <c r="AL103" s="859"/>
      <c r="AM103" s="828" t="s">
        <v>3398</v>
      </c>
      <c r="AN103" s="829"/>
      <c r="AO103" s="832">
        <f>IF(X102&gt;=AQ103,7492.52,0)/30</f>
        <v>249.75066666666669</v>
      </c>
      <c r="AP103" s="833">
        <f>SUM(AN102:AO104)</f>
        <v>539.61599999999999</v>
      </c>
      <c r="AQ103" s="862">
        <v>10</v>
      </c>
      <c r="AR103" s="859"/>
      <c r="AS103" s="830"/>
      <c r="AT103" s="830"/>
      <c r="AU103" s="830"/>
      <c r="AV103" s="828"/>
      <c r="AW103" s="859"/>
      <c r="AX103" s="843"/>
      <c r="AY103" s="859"/>
      <c r="AZ103" s="830" t="s">
        <v>3407</v>
      </c>
      <c r="BA103" s="829">
        <f>IF(Z101&gt;0,Z101*9.64,0)</f>
        <v>0</v>
      </c>
      <c r="BB103" s="865">
        <f>IF(Z102&gt;0,Z102*56.2,0)</f>
        <v>0</v>
      </c>
      <c r="BC103" s="830">
        <f>SUM(BA103:BB103)</f>
        <v>0</v>
      </c>
    </row>
    <row r="104" spans="1:57" s="89" customFormat="1" ht="22.5" customHeight="1" x14ac:dyDescent="0.2">
      <c r="A104" s="287" t="s">
        <v>3254</v>
      </c>
      <c r="B104" s="288" t="s">
        <v>3255</v>
      </c>
      <c r="C104" s="294" t="s">
        <v>3177</v>
      </c>
      <c r="D104" s="290" t="s">
        <v>3256</v>
      </c>
      <c r="E104" s="290" t="s">
        <v>3257</v>
      </c>
      <c r="F104" s="295" t="s">
        <v>3165</v>
      </c>
      <c r="G104" s="295" t="s">
        <v>3166</v>
      </c>
      <c r="H104" s="292" t="s">
        <v>1328</v>
      </c>
      <c r="I104" s="293" t="s">
        <v>1328</v>
      </c>
      <c r="J104" s="340" t="s">
        <v>3172</v>
      </c>
      <c r="K104" s="342" t="s">
        <v>3171</v>
      </c>
      <c r="L104" s="256">
        <f>CONTINUA!BV104</f>
        <v>0</v>
      </c>
      <c r="M104" s="256">
        <f>CONTINUA!BW104</f>
        <v>0</v>
      </c>
      <c r="N104" s="565"/>
      <c r="O104" s="566" t="s">
        <v>3329</v>
      </c>
      <c r="P104" s="567">
        <v>0</v>
      </c>
      <c r="Q104" s="319">
        <v>24</v>
      </c>
      <c r="R104" s="320"/>
      <c r="S104" s="319"/>
      <c r="T104" s="320"/>
      <c r="U104" s="809" t="s">
        <v>3379</v>
      </c>
      <c r="V104" s="866">
        <f>+T101+T102+T103</f>
        <v>0</v>
      </c>
      <c r="W104" s="812" t="s">
        <v>3384</v>
      </c>
      <c r="X104" s="860">
        <f>SUM(V101:V102)</f>
        <v>0</v>
      </c>
      <c r="Y104" s="866"/>
      <c r="Z104" s="866"/>
      <c r="AA104" s="822" t="s">
        <v>3392</v>
      </c>
      <c r="AB104" s="823">
        <f>((X104-16)*385.23)/30</f>
        <v>-205.45600000000002</v>
      </c>
      <c r="AC104" s="823"/>
      <c r="AD104" s="824"/>
      <c r="AE104" s="864">
        <v>16</v>
      </c>
      <c r="AF104" s="866"/>
      <c r="AG104" s="834" t="s">
        <v>3396</v>
      </c>
      <c r="AH104" s="835">
        <f>IF(V105&gt;AK102,(V105-AK102)*2043.65,0)/30</f>
        <v>0</v>
      </c>
      <c r="AI104" s="836"/>
      <c r="AJ104" s="837"/>
      <c r="AK104" s="862"/>
      <c r="AL104" s="866"/>
      <c r="AM104" s="834" t="s">
        <v>3399</v>
      </c>
      <c r="AN104" s="835">
        <f>IF(X102&gt;AQ103,(X102-AQ103)*621.14,0)/30</f>
        <v>289.8653333333333</v>
      </c>
      <c r="AO104" s="836"/>
      <c r="AP104" s="837"/>
      <c r="AQ104" s="862"/>
      <c r="AR104" s="866"/>
      <c r="AS104" s="836"/>
      <c r="AT104" s="836"/>
      <c r="AU104" s="836"/>
      <c r="AV104" s="840"/>
      <c r="AW104" s="866"/>
      <c r="AX104" s="844"/>
      <c r="AY104" s="866"/>
      <c r="AZ104" s="836"/>
      <c r="BA104" s="835"/>
      <c r="BB104" s="852"/>
      <c r="BC104" s="836"/>
    </row>
    <row r="105" spans="1:57" s="89" customFormat="1" ht="22.5" customHeight="1" thickBot="1" x14ac:dyDescent="0.25">
      <c r="A105" s="296" t="s">
        <v>3254</v>
      </c>
      <c r="B105" s="297" t="s">
        <v>3255</v>
      </c>
      <c r="C105" s="298" t="s">
        <v>3177</v>
      </c>
      <c r="D105" s="299" t="s">
        <v>3256</v>
      </c>
      <c r="E105" s="299" t="s">
        <v>3257</v>
      </c>
      <c r="F105" s="300" t="s">
        <v>3165</v>
      </c>
      <c r="G105" s="300" t="s">
        <v>3166</v>
      </c>
      <c r="H105" s="301" t="s">
        <v>1328</v>
      </c>
      <c r="I105" s="302" t="s">
        <v>1328</v>
      </c>
      <c r="J105" s="340" t="s">
        <v>3172</v>
      </c>
      <c r="K105" s="343" t="s">
        <v>53</v>
      </c>
      <c r="L105" s="256">
        <f>CONTINUA!BV105</f>
        <v>0</v>
      </c>
      <c r="M105" s="256">
        <f>CONTINUA!BW105</f>
        <v>0</v>
      </c>
      <c r="N105" s="565"/>
      <c r="O105" s="566" t="s">
        <v>3329</v>
      </c>
      <c r="P105" s="567">
        <v>0</v>
      </c>
      <c r="Q105" s="319"/>
      <c r="R105" s="320"/>
      <c r="S105" s="319"/>
      <c r="T105" s="320"/>
      <c r="U105" s="867" t="s">
        <v>3380</v>
      </c>
      <c r="V105" s="868">
        <f>R101+R102+R103+R104+T101+T102+T103+T104</f>
        <v>0</v>
      </c>
      <c r="W105" s="812" t="s">
        <v>3385</v>
      </c>
      <c r="X105" s="869">
        <f>SUM(N101:N105)</f>
        <v>0</v>
      </c>
      <c r="Y105" s="868"/>
      <c r="Z105" s="868"/>
      <c r="AA105" s="868"/>
      <c r="AB105" s="868"/>
      <c r="AC105" s="868"/>
      <c r="AD105" s="868"/>
      <c r="AE105" s="868"/>
      <c r="AF105" s="868"/>
      <c r="AG105" s="868"/>
      <c r="AH105" s="868"/>
      <c r="AI105" s="868"/>
      <c r="AJ105" s="868"/>
      <c r="AK105" s="868"/>
      <c r="AL105" s="868"/>
      <c r="AM105" s="868"/>
      <c r="AN105" s="868"/>
      <c r="AO105" s="868"/>
      <c r="AP105" s="868"/>
      <c r="AQ105" s="868"/>
      <c r="AR105" s="868"/>
      <c r="AS105" s="868"/>
      <c r="AT105" s="868"/>
      <c r="AU105" s="868"/>
      <c r="AV105" s="868"/>
      <c r="AW105" s="868"/>
      <c r="AX105" s="868"/>
      <c r="AY105" s="868"/>
      <c r="AZ105" s="868"/>
      <c r="BA105" s="868"/>
      <c r="BB105" s="868"/>
      <c r="BC105" s="870"/>
    </row>
    <row r="106" spans="1:57" s="89" customFormat="1" ht="22.5" customHeight="1" x14ac:dyDescent="0.35">
      <c r="A106" t="s">
        <v>3258</v>
      </c>
      <c r="B106" s="430" t="s">
        <v>3259</v>
      </c>
      <c r="C106" s="431">
        <v>4</v>
      </c>
      <c r="D106" s="432" t="s">
        <v>3260</v>
      </c>
      <c r="E106" s="432" t="s">
        <v>3261</v>
      </c>
      <c r="F106" s="433" t="s">
        <v>3165</v>
      </c>
      <c r="G106" s="433" t="s">
        <v>3166</v>
      </c>
      <c r="H106" s="270" t="s">
        <v>1333</v>
      </c>
      <c r="I106" s="271" t="s">
        <v>1333</v>
      </c>
      <c r="J106" s="328" t="s">
        <v>3167</v>
      </c>
      <c r="K106" s="329" t="s">
        <v>3168</v>
      </c>
      <c r="L106" s="256">
        <f>CONTINUA!BV106</f>
        <v>0</v>
      </c>
      <c r="M106" s="256">
        <f>CONTINUA!BW106</f>
        <v>0</v>
      </c>
      <c r="N106" s="565"/>
      <c r="O106" s="566" t="s">
        <v>3330</v>
      </c>
      <c r="P106" s="567">
        <v>0</v>
      </c>
      <c r="Q106" s="319"/>
      <c r="R106" s="320"/>
      <c r="S106" s="319"/>
      <c r="T106" s="320"/>
      <c r="U106" s="807" t="s">
        <v>3376</v>
      </c>
      <c r="V106" s="808">
        <f>Q106+Q107+Q108</f>
        <v>2</v>
      </c>
      <c r="W106" s="853" t="s">
        <v>3381</v>
      </c>
      <c r="X106" s="854">
        <f>(R106+R107+R108+T106+T107+T108)</f>
        <v>0</v>
      </c>
      <c r="Y106" s="855" t="s">
        <v>3386</v>
      </c>
      <c r="Z106" s="854">
        <f>SUM(L106:L110)</f>
        <v>16</v>
      </c>
      <c r="AA106" s="813" t="s">
        <v>306</v>
      </c>
      <c r="AB106" s="814" t="s">
        <v>3388</v>
      </c>
      <c r="AC106" s="815" t="s">
        <v>19</v>
      </c>
      <c r="AD106" s="856"/>
      <c r="AE106" s="857" t="s">
        <v>3389</v>
      </c>
      <c r="AF106" s="858"/>
      <c r="AG106" s="842" t="s">
        <v>3393</v>
      </c>
      <c r="AH106" s="825" t="s">
        <v>3388</v>
      </c>
      <c r="AI106" s="826" t="s">
        <v>19</v>
      </c>
      <c r="AJ106" s="827"/>
      <c r="AK106" s="856">
        <v>1</v>
      </c>
      <c r="AL106" s="858"/>
      <c r="AM106" s="842" t="s">
        <v>3400</v>
      </c>
      <c r="AN106" s="825" t="s">
        <v>3388</v>
      </c>
      <c r="AO106" s="826" t="s">
        <v>19</v>
      </c>
      <c r="AP106" s="827"/>
      <c r="AQ106" s="856"/>
      <c r="AR106" s="858"/>
      <c r="AS106" s="841" t="s">
        <v>3401</v>
      </c>
      <c r="AT106" s="838"/>
      <c r="AU106" s="838"/>
      <c r="AV106" s="839"/>
      <c r="AW106" s="858"/>
      <c r="AX106" s="845" t="s">
        <v>3402</v>
      </c>
      <c r="AY106" s="858"/>
      <c r="AZ106" s="845" t="s">
        <v>3403</v>
      </c>
      <c r="BA106" s="846" t="s">
        <v>3404</v>
      </c>
      <c r="BB106" s="847" t="s">
        <v>3405</v>
      </c>
      <c r="BC106" s="848"/>
    </row>
    <row r="107" spans="1:57" s="89" customFormat="1" ht="22.5" customHeight="1" x14ac:dyDescent="0.2">
      <c r="A107" s="287" t="s">
        <v>3258</v>
      </c>
      <c r="B107" s="288" t="s">
        <v>3259</v>
      </c>
      <c r="C107" s="289" t="s">
        <v>3176</v>
      </c>
      <c r="D107" s="290" t="s">
        <v>3260</v>
      </c>
      <c r="E107" s="290" t="s">
        <v>3261</v>
      </c>
      <c r="F107" s="291" t="s">
        <v>3165</v>
      </c>
      <c r="G107" s="291" t="s">
        <v>3166</v>
      </c>
      <c r="H107" s="292" t="s">
        <v>1333</v>
      </c>
      <c r="I107" s="293" t="s">
        <v>1333</v>
      </c>
      <c r="J107" s="340" t="s">
        <v>3167</v>
      </c>
      <c r="K107" s="340" t="s">
        <v>3169</v>
      </c>
      <c r="L107" s="256">
        <f>CONTINUA!BV107</f>
        <v>0</v>
      </c>
      <c r="M107" s="256">
        <f>CONTINUA!BW107</f>
        <v>0</v>
      </c>
      <c r="N107" s="565"/>
      <c r="O107" s="566" t="s">
        <v>3330</v>
      </c>
      <c r="P107" s="567">
        <v>0</v>
      </c>
      <c r="Q107" s="319"/>
      <c r="R107" s="320"/>
      <c r="S107" s="319"/>
      <c r="T107" s="320"/>
      <c r="U107" s="809" t="s">
        <v>3377</v>
      </c>
      <c r="V107" s="859">
        <f>+S106+S107+S108</f>
        <v>0</v>
      </c>
      <c r="W107" s="810" t="s">
        <v>3382</v>
      </c>
      <c r="X107" s="860">
        <f>(Q109+S109)</f>
        <v>0</v>
      </c>
      <c r="Y107" s="812" t="s">
        <v>3387</v>
      </c>
      <c r="Z107" s="860">
        <f>SUM(M106:M110)</f>
        <v>0</v>
      </c>
      <c r="AA107" s="816" t="s">
        <v>3390</v>
      </c>
      <c r="AB107" s="817">
        <f>IF(X109&lt;=15,X109*385.23,0)/30</f>
        <v>25.682000000000002</v>
      </c>
      <c r="AC107" s="818"/>
      <c r="AD107" s="819">
        <f>SUM(AB107:AC109)</f>
        <v>-154.09199999999998</v>
      </c>
      <c r="AE107" s="861"/>
      <c r="AF107" s="859"/>
      <c r="AG107" s="828" t="s">
        <v>3394</v>
      </c>
      <c r="AH107" s="829">
        <f>IF(V110=AK106,2043.65,0)/30</f>
        <v>0</v>
      </c>
      <c r="AI107" s="830"/>
      <c r="AJ107" s="831"/>
      <c r="AK107" s="862">
        <v>2</v>
      </c>
      <c r="AL107" s="859"/>
      <c r="AM107" s="828" t="s">
        <v>3397</v>
      </c>
      <c r="AN107" s="829">
        <f>IF(X107&lt;=AQ107,621.14*X107,0)/30</f>
        <v>0</v>
      </c>
      <c r="AO107" s="830"/>
      <c r="AP107" s="831"/>
      <c r="AQ107" s="862">
        <v>9</v>
      </c>
      <c r="AR107" s="859"/>
      <c r="AS107" s="830">
        <f>IF((SUM(V106:V109))&gt;=1,11465.63,0)/30</f>
        <v>382.18766666666664</v>
      </c>
      <c r="AT107" s="830">
        <f>IF((V106+V107)&gt;=1,(V106+V107)*385.23,0)/30</f>
        <v>25.682000000000002</v>
      </c>
      <c r="AU107" s="830">
        <f>IF((V108+V109)&gt;=1,(V108+V109)*2043.65,0)</f>
        <v>0</v>
      </c>
      <c r="AV107" s="828">
        <f>SUM(AS107:AU107)</f>
        <v>407.86966666666666</v>
      </c>
      <c r="AW107" s="859"/>
      <c r="AX107" s="843">
        <f>IF(X110&gt;0,X110*1.28,0)</f>
        <v>0</v>
      </c>
      <c r="AY107" s="859"/>
      <c r="AZ107" s="849" t="s">
        <v>19</v>
      </c>
      <c r="BA107" s="850" t="s">
        <v>3406</v>
      </c>
      <c r="BB107" s="851"/>
      <c r="BC107" s="838"/>
    </row>
    <row r="108" spans="1:57" s="89" customFormat="1" ht="22.5" customHeight="1" x14ac:dyDescent="0.2">
      <c r="A108" s="287" t="s">
        <v>3258</v>
      </c>
      <c r="B108" s="288" t="s">
        <v>3259</v>
      </c>
      <c r="C108" s="294" t="s">
        <v>3176</v>
      </c>
      <c r="D108" s="290" t="s">
        <v>3260</v>
      </c>
      <c r="E108" s="290" t="s">
        <v>3261</v>
      </c>
      <c r="F108" s="295" t="s">
        <v>3165</v>
      </c>
      <c r="G108" s="295" t="s">
        <v>3166</v>
      </c>
      <c r="H108" s="292" t="s">
        <v>1333</v>
      </c>
      <c r="I108" s="293" t="s">
        <v>1333</v>
      </c>
      <c r="J108" s="340" t="s">
        <v>3167</v>
      </c>
      <c r="K108" s="341" t="s">
        <v>3170</v>
      </c>
      <c r="L108" s="256">
        <f>CONTINUA!BV108</f>
        <v>16</v>
      </c>
      <c r="M108" s="256">
        <f>CONTINUA!BW108</f>
        <v>0</v>
      </c>
      <c r="N108" s="565"/>
      <c r="O108" s="566" t="s">
        <v>3330</v>
      </c>
      <c r="P108" s="567">
        <v>0</v>
      </c>
      <c r="Q108" s="319">
        <v>2</v>
      </c>
      <c r="R108" s="320"/>
      <c r="S108" s="319"/>
      <c r="T108" s="320"/>
      <c r="U108" s="809" t="s">
        <v>3378</v>
      </c>
      <c r="V108" s="859">
        <f>+R106+R107+R108</f>
        <v>0</v>
      </c>
      <c r="W108" s="811" t="s">
        <v>3383</v>
      </c>
      <c r="X108" s="860">
        <f>SUM(V106:V109)</f>
        <v>2</v>
      </c>
      <c r="Y108" s="859"/>
      <c r="Z108" s="859"/>
      <c r="AA108" s="863" t="s">
        <v>3391</v>
      </c>
      <c r="AB108" s="820"/>
      <c r="AC108" s="820">
        <f>IF(X109&gt;15,7492.52)/30</f>
        <v>0</v>
      </c>
      <c r="AD108" s="821"/>
      <c r="AE108" s="864">
        <v>15</v>
      </c>
      <c r="AF108" s="859"/>
      <c r="AG108" s="828" t="s">
        <v>3395</v>
      </c>
      <c r="AH108" s="829"/>
      <c r="AI108" s="832">
        <f>IF(V110&gt;=AK107,7492.52,0)/30</f>
        <v>0</v>
      </c>
      <c r="AJ108" s="833">
        <f>SUM(AH107:AI109)</f>
        <v>0</v>
      </c>
      <c r="AK108" s="862"/>
      <c r="AL108" s="859"/>
      <c r="AM108" s="828" t="s">
        <v>3398</v>
      </c>
      <c r="AN108" s="829"/>
      <c r="AO108" s="832">
        <f>IF(X107&gt;=AQ108,7492.52,0)/30</f>
        <v>0</v>
      </c>
      <c r="AP108" s="833">
        <f>SUM(AN107:AO109)</f>
        <v>0</v>
      </c>
      <c r="AQ108" s="862">
        <v>10</v>
      </c>
      <c r="AR108" s="859"/>
      <c r="AS108" s="830"/>
      <c r="AT108" s="830"/>
      <c r="AU108" s="830"/>
      <c r="AV108" s="828"/>
      <c r="AW108" s="859"/>
      <c r="AX108" s="843"/>
      <c r="AY108" s="859"/>
      <c r="AZ108" s="830" t="s">
        <v>3407</v>
      </c>
      <c r="BA108" s="829">
        <f>IF(Z106&gt;0,Z106*9.64,0)</f>
        <v>154.24</v>
      </c>
      <c r="BB108" s="865">
        <f>IF(Z107&gt;0,Z107*56.2,0)</f>
        <v>0</v>
      </c>
      <c r="BC108" s="830">
        <f>SUM(BA108:BB108)</f>
        <v>154.24</v>
      </c>
    </row>
    <row r="109" spans="1:57" s="89" customFormat="1" ht="22.5" customHeight="1" x14ac:dyDescent="0.2">
      <c r="A109" s="287" t="s">
        <v>3258</v>
      </c>
      <c r="B109" s="288" t="s">
        <v>3259</v>
      </c>
      <c r="C109" s="294" t="s">
        <v>3176</v>
      </c>
      <c r="D109" s="290" t="s">
        <v>3260</v>
      </c>
      <c r="E109" s="290" t="s">
        <v>3261</v>
      </c>
      <c r="F109" s="295" t="s">
        <v>3165</v>
      </c>
      <c r="G109" s="295" t="s">
        <v>3166</v>
      </c>
      <c r="H109" s="292" t="s">
        <v>1333</v>
      </c>
      <c r="I109" s="293" t="s">
        <v>1333</v>
      </c>
      <c r="J109" s="340" t="s">
        <v>3167</v>
      </c>
      <c r="K109" s="342" t="s">
        <v>3171</v>
      </c>
      <c r="L109" s="256">
        <f>CONTINUA!BV109</f>
        <v>0</v>
      </c>
      <c r="M109" s="256">
        <f>CONTINUA!BW109</f>
        <v>0</v>
      </c>
      <c r="N109" s="565"/>
      <c r="O109" s="566" t="s">
        <v>3330</v>
      </c>
      <c r="P109" s="567">
        <v>0</v>
      </c>
      <c r="Q109" s="319"/>
      <c r="R109" s="320"/>
      <c r="S109" s="319"/>
      <c r="T109" s="320"/>
      <c r="U109" s="809" t="s">
        <v>3379</v>
      </c>
      <c r="V109" s="866">
        <f>+T106+T107+T108</f>
        <v>0</v>
      </c>
      <c r="W109" s="812" t="s">
        <v>3384</v>
      </c>
      <c r="X109" s="860">
        <f>SUM(V106:V107)</f>
        <v>2</v>
      </c>
      <c r="Y109" s="866"/>
      <c r="Z109" s="866"/>
      <c r="AA109" s="822" t="s">
        <v>3392</v>
      </c>
      <c r="AB109" s="823">
        <f>((X109-16)*385.23)/30</f>
        <v>-179.774</v>
      </c>
      <c r="AC109" s="823"/>
      <c r="AD109" s="824"/>
      <c r="AE109" s="864">
        <v>16</v>
      </c>
      <c r="AF109" s="866"/>
      <c r="AG109" s="834" t="s">
        <v>3396</v>
      </c>
      <c r="AH109" s="835">
        <f>IF(V110&gt;AK107,(V110-AK107)*2043.65,0)/30</f>
        <v>0</v>
      </c>
      <c r="AI109" s="836"/>
      <c r="AJ109" s="837"/>
      <c r="AK109" s="862"/>
      <c r="AL109" s="866"/>
      <c r="AM109" s="834" t="s">
        <v>3399</v>
      </c>
      <c r="AN109" s="835">
        <f>IF(X107&gt;AQ108,(X107-AQ108)*621.14,0)/30</f>
        <v>0</v>
      </c>
      <c r="AO109" s="836"/>
      <c r="AP109" s="837"/>
      <c r="AQ109" s="862"/>
      <c r="AR109" s="866"/>
      <c r="AS109" s="836"/>
      <c r="AT109" s="836"/>
      <c r="AU109" s="836"/>
      <c r="AV109" s="840"/>
      <c r="AW109" s="866"/>
      <c r="AX109" s="844"/>
      <c r="AY109" s="866"/>
      <c r="AZ109" s="836"/>
      <c r="BA109" s="835"/>
      <c r="BB109" s="852"/>
      <c r="BC109" s="836"/>
    </row>
    <row r="110" spans="1:57" s="89" customFormat="1" ht="22.5" customHeight="1" thickBot="1" x14ac:dyDescent="0.25">
      <c r="A110" s="296" t="s">
        <v>3258</v>
      </c>
      <c r="B110" s="297" t="s">
        <v>3259</v>
      </c>
      <c r="C110" s="298" t="s">
        <v>3176</v>
      </c>
      <c r="D110" s="299" t="s">
        <v>3260</v>
      </c>
      <c r="E110" s="299" t="s">
        <v>3261</v>
      </c>
      <c r="F110" s="300" t="s">
        <v>3165</v>
      </c>
      <c r="G110" s="300" t="s">
        <v>3166</v>
      </c>
      <c r="H110" s="301" t="s">
        <v>1333</v>
      </c>
      <c r="I110" s="302" t="s">
        <v>1333</v>
      </c>
      <c r="J110" s="340" t="s">
        <v>3167</v>
      </c>
      <c r="K110" s="343" t="s">
        <v>53</v>
      </c>
      <c r="L110" s="256">
        <f>CONTINUA!BV110</f>
        <v>0</v>
      </c>
      <c r="M110" s="256">
        <f>CONTINUA!BW110</f>
        <v>0</v>
      </c>
      <c r="N110" s="565"/>
      <c r="O110" s="566" t="s">
        <v>3330</v>
      </c>
      <c r="P110" s="567">
        <v>0</v>
      </c>
      <c r="Q110" s="319"/>
      <c r="R110" s="320"/>
      <c r="S110" s="319"/>
      <c r="T110" s="320"/>
      <c r="U110" s="867" t="s">
        <v>3380</v>
      </c>
      <c r="V110" s="868">
        <f>R106+R107+R108+R109+T106+T107+T108+T109</f>
        <v>0</v>
      </c>
      <c r="W110" s="812" t="s">
        <v>3385</v>
      </c>
      <c r="X110" s="869">
        <f>SUM(N106:N110)</f>
        <v>0</v>
      </c>
      <c r="Y110" s="868"/>
      <c r="Z110" s="868"/>
      <c r="AA110" s="868"/>
      <c r="AB110" s="868"/>
      <c r="AC110" s="868"/>
      <c r="AD110" s="868"/>
      <c r="AE110" s="868"/>
      <c r="AF110" s="868"/>
      <c r="AG110" s="868"/>
      <c r="AH110" s="868"/>
      <c r="AI110" s="868"/>
      <c r="AJ110" s="868"/>
      <c r="AK110" s="868"/>
      <c r="AL110" s="868"/>
      <c r="AM110" s="868"/>
      <c r="AN110" s="868"/>
      <c r="AO110" s="868"/>
      <c r="AP110" s="868"/>
      <c r="AQ110" s="868"/>
      <c r="AR110" s="868"/>
      <c r="AS110" s="868"/>
      <c r="AT110" s="868"/>
      <c r="AU110" s="868"/>
      <c r="AV110" s="868"/>
      <c r="AW110" s="868"/>
      <c r="AX110" s="868"/>
      <c r="AY110" s="868"/>
      <c r="AZ110" s="868"/>
      <c r="BA110" s="868"/>
      <c r="BB110" s="868"/>
      <c r="BC110" s="870"/>
    </row>
    <row r="111" spans="1:57" s="89" customFormat="1" ht="22.5" customHeight="1" x14ac:dyDescent="0.35">
      <c r="A111" t="s">
        <v>3262</v>
      </c>
      <c r="B111" s="430" t="s">
        <v>3263</v>
      </c>
      <c r="C111" s="431">
        <v>1</v>
      </c>
      <c r="D111" s="432" t="s">
        <v>3264</v>
      </c>
      <c r="E111" s="432" t="s">
        <v>3265</v>
      </c>
      <c r="F111" s="433" t="s">
        <v>3165</v>
      </c>
      <c r="G111" s="433" t="s">
        <v>3166</v>
      </c>
      <c r="H111" s="270" t="s">
        <v>1334</v>
      </c>
      <c r="I111" s="271" t="s">
        <v>1334</v>
      </c>
      <c r="J111" s="328" t="s">
        <v>3167</v>
      </c>
      <c r="K111" s="329" t="s">
        <v>3168</v>
      </c>
      <c r="L111" s="256">
        <f>CONTINUA!BV111</f>
        <v>0</v>
      </c>
      <c r="M111" s="256">
        <f>CONTINUA!BW111</f>
        <v>0</v>
      </c>
      <c r="N111" s="565"/>
      <c r="O111" s="566" t="s">
        <v>3331</v>
      </c>
      <c r="P111" s="567">
        <v>0</v>
      </c>
      <c r="Q111" s="319">
        <v>19</v>
      </c>
      <c r="R111" s="320"/>
      <c r="S111" s="319"/>
      <c r="T111" s="320"/>
      <c r="U111" s="807" t="s">
        <v>3376</v>
      </c>
      <c r="V111" s="808">
        <f>Q111+Q112+Q113</f>
        <v>27</v>
      </c>
      <c r="W111" s="853" t="s">
        <v>3381</v>
      </c>
      <c r="X111" s="854">
        <f>(R111+R112+R113+T111+T112+T113)</f>
        <v>0</v>
      </c>
      <c r="Y111" s="855" t="s">
        <v>3386</v>
      </c>
      <c r="Z111" s="854">
        <f>SUM(L111:L115)</f>
        <v>0</v>
      </c>
      <c r="AA111" s="813" t="s">
        <v>306</v>
      </c>
      <c r="AB111" s="814" t="s">
        <v>3388</v>
      </c>
      <c r="AC111" s="815" t="s">
        <v>19</v>
      </c>
      <c r="AD111" s="856"/>
      <c r="AE111" s="857" t="s">
        <v>3389</v>
      </c>
      <c r="AF111" s="858"/>
      <c r="AG111" s="842" t="s">
        <v>3393</v>
      </c>
      <c r="AH111" s="825" t="s">
        <v>3388</v>
      </c>
      <c r="AI111" s="826" t="s">
        <v>19</v>
      </c>
      <c r="AJ111" s="827"/>
      <c r="AK111" s="856">
        <v>1</v>
      </c>
      <c r="AL111" s="858"/>
      <c r="AM111" s="842" t="s">
        <v>3400</v>
      </c>
      <c r="AN111" s="825" t="s">
        <v>3388</v>
      </c>
      <c r="AO111" s="826" t="s">
        <v>19</v>
      </c>
      <c r="AP111" s="827"/>
      <c r="AQ111" s="856"/>
      <c r="AR111" s="858"/>
      <c r="AS111" s="841" t="s">
        <v>3401</v>
      </c>
      <c r="AT111" s="838"/>
      <c r="AU111" s="838"/>
      <c r="AV111" s="839"/>
      <c r="AW111" s="858"/>
      <c r="AX111" s="845" t="s">
        <v>3402</v>
      </c>
      <c r="AY111" s="858"/>
      <c r="AZ111" s="845" t="s">
        <v>3403</v>
      </c>
      <c r="BA111" s="846" t="s">
        <v>3404</v>
      </c>
      <c r="BB111" s="847" t="s">
        <v>3405</v>
      </c>
      <c r="BC111" s="848"/>
      <c r="BD111" s="62"/>
      <c r="BE111" s="62"/>
    </row>
    <row r="112" spans="1:57" s="89" customFormat="1" ht="22.5" customHeight="1" x14ac:dyDescent="0.2">
      <c r="A112" s="287" t="s">
        <v>3262</v>
      </c>
      <c r="B112" s="288" t="s">
        <v>3263</v>
      </c>
      <c r="C112" s="289" t="s">
        <v>3175</v>
      </c>
      <c r="D112" s="290" t="s">
        <v>3264</v>
      </c>
      <c r="E112" s="290" t="s">
        <v>3265</v>
      </c>
      <c r="F112" s="291" t="s">
        <v>3165</v>
      </c>
      <c r="G112" s="291" t="s">
        <v>3166</v>
      </c>
      <c r="H112" s="292" t="s">
        <v>1334</v>
      </c>
      <c r="I112" s="293" t="s">
        <v>1334</v>
      </c>
      <c r="J112" s="340" t="s">
        <v>3167</v>
      </c>
      <c r="K112" s="340" t="s">
        <v>3169</v>
      </c>
      <c r="L112" s="256">
        <f>CONTINUA!BV112</f>
        <v>0</v>
      </c>
      <c r="M112" s="256">
        <f>CONTINUA!BW112</f>
        <v>0</v>
      </c>
      <c r="N112" s="565"/>
      <c r="O112" s="566" t="s">
        <v>3331</v>
      </c>
      <c r="P112" s="567">
        <v>0</v>
      </c>
      <c r="Q112" s="319">
        <v>8</v>
      </c>
      <c r="R112" s="320"/>
      <c r="S112" s="319"/>
      <c r="T112" s="320"/>
      <c r="U112" s="809" t="s">
        <v>3377</v>
      </c>
      <c r="V112" s="859">
        <f>+S111+S112+S113</f>
        <v>0</v>
      </c>
      <c r="W112" s="810" t="s">
        <v>3382</v>
      </c>
      <c r="X112" s="860">
        <f>(Q114+S114)</f>
        <v>0</v>
      </c>
      <c r="Y112" s="812" t="s">
        <v>3387</v>
      </c>
      <c r="Z112" s="860">
        <f>SUM(M111:M115)</f>
        <v>0</v>
      </c>
      <c r="AA112" s="816" t="s">
        <v>3390</v>
      </c>
      <c r="AB112" s="817">
        <f>IF(X114&lt;=15,X114*385.23,0)/30</f>
        <v>0</v>
      </c>
      <c r="AC112" s="818"/>
      <c r="AD112" s="819">
        <f>SUM(AB112:AC114)</f>
        <v>391.00166666666672</v>
      </c>
      <c r="AE112" s="861"/>
      <c r="AF112" s="859"/>
      <c r="AG112" s="828" t="s">
        <v>3394</v>
      </c>
      <c r="AH112" s="829">
        <f>IF(V115=AK111,2043.65,0)/30</f>
        <v>0</v>
      </c>
      <c r="AI112" s="830"/>
      <c r="AJ112" s="831"/>
      <c r="AK112" s="862">
        <v>2</v>
      </c>
      <c r="AL112" s="859"/>
      <c r="AM112" s="828" t="s">
        <v>3397</v>
      </c>
      <c r="AN112" s="829">
        <f>IF(X112&lt;=AQ112,621.14*X112,0)/30</f>
        <v>0</v>
      </c>
      <c r="AO112" s="830"/>
      <c r="AP112" s="831"/>
      <c r="AQ112" s="862">
        <v>9</v>
      </c>
      <c r="AR112" s="859"/>
      <c r="AS112" s="830">
        <f>IF((SUM(V111:V114))&gt;=1,11465.63,0)/30</f>
        <v>382.18766666666664</v>
      </c>
      <c r="AT112" s="830">
        <f>IF((V111+V112)&gt;=1,(V111+V112)*385.23,0)/30</f>
        <v>346.70700000000005</v>
      </c>
      <c r="AU112" s="830">
        <f>IF((V113+V114)&gt;=1,(V113+V114)*2043.65,0)</f>
        <v>0</v>
      </c>
      <c r="AV112" s="828">
        <f>SUM(AS112:AU112)</f>
        <v>728.89466666666669</v>
      </c>
      <c r="AW112" s="859"/>
      <c r="AX112" s="843">
        <f>IF(X115&gt;0,X115*1.28,0)</f>
        <v>0</v>
      </c>
      <c r="AY112" s="859"/>
      <c r="AZ112" s="849" t="s">
        <v>19</v>
      </c>
      <c r="BA112" s="850" t="s">
        <v>3406</v>
      </c>
      <c r="BB112" s="851"/>
      <c r="BC112" s="838"/>
      <c r="BD112" s="62"/>
      <c r="BE112" s="62"/>
    </row>
    <row r="113" spans="1:57" s="89" customFormat="1" ht="22.5" customHeight="1" x14ac:dyDescent="0.2">
      <c r="A113" s="287" t="s">
        <v>3262</v>
      </c>
      <c r="B113" s="288" t="s">
        <v>3263</v>
      </c>
      <c r="C113" s="294" t="s">
        <v>3175</v>
      </c>
      <c r="D113" s="290" t="s">
        <v>3264</v>
      </c>
      <c r="E113" s="290" t="s">
        <v>3265</v>
      </c>
      <c r="F113" s="295" t="s">
        <v>3165</v>
      </c>
      <c r="G113" s="295" t="s">
        <v>3166</v>
      </c>
      <c r="H113" s="292" t="s">
        <v>1334</v>
      </c>
      <c r="I113" s="293" t="s">
        <v>1334</v>
      </c>
      <c r="J113" s="340" t="s">
        <v>3167</v>
      </c>
      <c r="K113" s="341" t="s">
        <v>3170</v>
      </c>
      <c r="L113" s="256">
        <f>CONTINUA!BV113</f>
        <v>0</v>
      </c>
      <c r="M113" s="256">
        <f>CONTINUA!BW113</f>
        <v>0</v>
      </c>
      <c r="N113" s="565"/>
      <c r="O113" s="566" t="s">
        <v>3331</v>
      </c>
      <c r="P113" s="567">
        <v>0</v>
      </c>
      <c r="Q113" s="319"/>
      <c r="R113" s="320"/>
      <c r="S113" s="319"/>
      <c r="T113" s="320"/>
      <c r="U113" s="809" t="s">
        <v>3378</v>
      </c>
      <c r="V113" s="859">
        <f>+R111+R112+R113</f>
        <v>0</v>
      </c>
      <c r="W113" s="811" t="s">
        <v>3383</v>
      </c>
      <c r="X113" s="860">
        <f>SUM(V111:V114)</f>
        <v>27</v>
      </c>
      <c r="Y113" s="859"/>
      <c r="Z113" s="859"/>
      <c r="AA113" s="863" t="s">
        <v>3391</v>
      </c>
      <c r="AB113" s="820"/>
      <c r="AC113" s="820">
        <f>IF(X114&gt;15,7492.52)/30</f>
        <v>249.75066666666669</v>
      </c>
      <c r="AD113" s="821"/>
      <c r="AE113" s="864">
        <v>15</v>
      </c>
      <c r="AF113" s="859"/>
      <c r="AG113" s="828" t="s">
        <v>3395</v>
      </c>
      <c r="AH113" s="829"/>
      <c r="AI113" s="832">
        <f>IF(V115&gt;=AK112,7492.52,0)/30</f>
        <v>0</v>
      </c>
      <c r="AJ113" s="833">
        <f>SUM(AH112:AI114)</f>
        <v>0</v>
      </c>
      <c r="AK113" s="862"/>
      <c r="AL113" s="859"/>
      <c r="AM113" s="828" t="s">
        <v>3398</v>
      </c>
      <c r="AN113" s="829"/>
      <c r="AO113" s="832">
        <f>IF(X112&gt;=AQ113,7492.52,0)/30</f>
        <v>0</v>
      </c>
      <c r="AP113" s="833">
        <f>SUM(AN112:AO114)</f>
        <v>0</v>
      </c>
      <c r="AQ113" s="862">
        <v>10</v>
      </c>
      <c r="AR113" s="859"/>
      <c r="AS113" s="830"/>
      <c r="AT113" s="830"/>
      <c r="AU113" s="830"/>
      <c r="AV113" s="828"/>
      <c r="AW113" s="859"/>
      <c r="AX113" s="843"/>
      <c r="AY113" s="859"/>
      <c r="AZ113" s="830" t="s">
        <v>3407</v>
      </c>
      <c r="BA113" s="829">
        <f>IF(Z111&gt;0,Z111*9.64,0)</f>
        <v>0</v>
      </c>
      <c r="BB113" s="865">
        <f>IF(Z112&gt;0,Z112*56.2,0)</f>
        <v>0</v>
      </c>
      <c r="BC113" s="830">
        <f>SUM(BA113:BB113)</f>
        <v>0</v>
      </c>
      <c r="BD113" s="62"/>
      <c r="BE113" s="62"/>
    </row>
    <row r="114" spans="1:57" s="89" customFormat="1" ht="22.5" customHeight="1" x14ac:dyDescent="0.2">
      <c r="A114" s="287" t="s">
        <v>3262</v>
      </c>
      <c r="B114" s="288" t="s">
        <v>3263</v>
      </c>
      <c r="C114" s="294" t="s">
        <v>3175</v>
      </c>
      <c r="D114" s="290" t="s">
        <v>3264</v>
      </c>
      <c r="E114" s="290" t="s">
        <v>3265</v>
      </c>
      <c r="F114" s="295" t="s">
        <v>3165</v>
      </c>
      <c r="G114" s="295" t="s">
        <v>3166</v>
      </c>
      <c r="H114" s="292" t="s">
        <v>1334</v>
      </c>
      <c r="I114" s="293" t="s">
        <v>1334</v>
      </c>
      <c r="J114" s="340" t="s">
        <v>3167</v>
      </c>
      <c r="K114" s="342" t="s">
        <v>3171</v>
      </c>
      <c r="L114" s="256">
        <f>CONTINUA!BV114</f>
        <v>0</v>
      </c>
      <c r="M114" s="256">
        <f>CONTINUA!BW114</f>
        <v>0</v>
      </c>
      <c r="N114" s="565"/>
      <c r="O114" s="566" t="s">
        <v>3331</v>
      </c>
      <c r="P114" s="567">
        <v>0</v>
      </c>
      <c r="Q114" s="319"/>
      <c r="R114" s="320"/>
      <c r="S114" s="319"/>
      <c r="T114" s="320"/>
      <c r="U114" s="809" t="s">
        <v>3379</v>
      </c>
      <c r="V114" s="866">
        <f>+T111+T112+T113</f>
        <v>0</v>
      </c>
      <c r="W114" s="812" t="s">
        <v>3384</v>
      </c>
      <c r="X114" s="860">
        <f>SUM(V111:V112)</f>
        <v>27</v>
      </c>
      <c r="Y114" s="866"/>
      <c r="Z114" s="866"/>
      <c r="AA114" s="822" t="s">
        <v>3392</v>
      </c>
      <c r="AB114" s="823">
        <f>((X114-16)*385.23)/30</f>
        <v>141.25100000000003</v>
      </c>
      <c r="AC114" s="823"/>
      <c r="AD114" s="824"/>
      <c r="AE114" s="864">
        <v>16</v>
      </c>
      <c r="AF114" s="866"/>
      <c r="AG114" s="834" t="s">
        <v>3396</v>
      </c>
      <c r="AH114" s="835">
        <f>IF(V115&gt;AK112,(V115-AK112)*2043.65,0)/30</f>
        <v>0</v>
      </c>
      <c r="AI114" s="836"/>
      <c r="AJ114" s="837"/>
      <c r="AK114" s="862"/>
      <c r="AL114" s="866"/>
      <c r="AM114" s="834" t="s">
        <v>3399</v>
      </c>
      <c r="AN114" s="835">
        <f>IF(X112&gt;AQ113,(X112-AQ113)*621.14,0)/30</f>
        <v>0</v>
      </c>
      <c r="AO114" s="836"/>
      <c r="AP114" s="837"/>
      <c r="AQ114" s="862"/>
      <c r="AR114" s="866"/>
      <c r="AS114" s="836"/>
      <c r="AT114" s="836"/>
      <c r="AU114" s="836"/>
      <c r="AV114" s="840"/>
      <c r="AW114" s="866"/>
      <c r="AX114" s="844"/>
      <c r="AY114" s="866"/>
      <c r="AZ114" s="836"/>
      <c r="BA114" s="835"/>
      <c r="BB114" s="852"/>
      <c r="BC114" s="836"/>
      <c r="BD114" s="63"/>
      <c r="BE114" s="63"/>
    </row>
    <row r="115" spans="1:57" s="89" customFormat="1" ht="22.5" customHeight="1" thickBot="1" x14ac:dyDescent="0.25">
      <c r="A115" s="296" t="s">
        <v>3262</v>
      </c>
      <c r="B115" s="297" t="s">
        <v>3263</v>
      </c>
      <c r="C115" s="298" t="s">
        <v>3175</v>
      </c>
      <c r="D115" s="299" t="s">
        <v>3264</v>
      </c>
      <c r="E115" s="299" t="s">
        <v>3265</v>
      </c>
      <c r="F115" s="300" t="s">
        <v>3165</v>
      </c>
      <c r="G115" s="300" t="s">
        <v>3166</v>
      </c>
      <c r="H115" s="301" t="s">
        <v>1334</v>
      </c>
      <c r="I115" s="302" t="s">
        <v>1334</v>
      </c>
      <c r="J115" s="340" t="s">
        <v>3167</v>
      </c>
      <c r="K115" s="343" t="s">
        <v>53</v>
      </c>
      <c r="L115" s="256">
        <f>CONTINUA!BV115</f>
        <v>0</v>
      </c>
      <c r="M115" s="256">
        <f>CONTINUA!BW115</f>
        <v>0</v>
      </c>
      <c r="N115" s="565"/>
      <c r="O115" s="566" t="s">
        <v>3331</v>
      </c>
      <c r="P115" s="567">
        <v>0</v>
      </c>
      <c r="Q115" s="319"/>
      <c r="R115" s="320"/>
      <c r="S115" s="319"/>
      <c r="T115" s="320"/>
      <c r="U115" s="867" t="s">
        <v>3380</v>
      </c>
      <c r="V115" s="868">
        <f>R111+R112+R113+R114+T111+T112+T113+T114</f>
        <v>0</v>
      </c>
      <c r="W115" s="812" t="s">
        <v>3385</v>
      </c>
      <c r="X115" s="869">
        <f>SUM(N111:N115)</f>
        <v>0</v>
      </c>
      <c r="Y115" s="868"/>
      <c r="Z115" s="868"/>
      <c r="AA115" s="868"/>
      <c r="AB115" s="868"/>
      <c r="AC115" s="868"/>
      <c r="AD115" s="868"/>
      <c r="AE115" s="868"/>
      <c r="AF115" s="868"/>
      <c r="AG115" s="868"/>
      <c r="AH115" s="868"/>
      <c r="AI115" s="868"/>
      <c r="AJ115" s="868"/>
      <c r="AK115" s="868"/>
      <c r="AL115" s="868"/>
      <c r="AM115" s="868"/>
      <c r="AN115" s="868"/>
      <c r="AO115" s="868"/>
      <c r="AP115" s="868"/>
      <c r="AQ115" s="868"/>
      <c r="AR115" s="868"/>
      <c r="AS115" s="868"/>
      <c r="AT115" s="868"/>
      <c r="AU115" s="868"/>
      <c r="AV115" s="868"/>
      <c r="AW115" s="868"/>
      <c r="AX115" s="868"/>
      <c r="AY115" s="868"/>
      <c r="AZ115" s="868"/>
      <c r="BA115" s="868"/>
      <c r="BB115" s="868"/>
      <c r="BC115" s="870"/>
    </row>
    <row r="116" spans="1:57" s="89" customFormat="1" ht="22.5" customHeight="1" x14ac:dyDescent="0.35">
      <c r="A116" t="s">
        <v>3266</v>
      </c>
      <c r="B116" s="430" t="s">
        <v>3267</v>
      </c>
      <c r="C116" s="431">
        <v>1</v>
      </c>
      <c r="D116" s="432" t="s">
        <v>3268</v>
      </c>
      <c r="E116" s="432" t="s">
        <v>3269</v>
      </c>
      <c r="F116" s="433" t="s">
        <v>3165</v>
      </c>
      <c r="G116" s="433" t="s">
        <v>3166</v>
      </c>
      <c r="H116" s="270" t="s">
        <v>1335</v>
      </c>
      <c r="I116" s="271" t="s">
        <v>1335</v>
      </c>
      <c r="J116" s="328" t="s">
        <v>3167</v>
      </c>
      <c r="K116" s="329" t="s">
        <v>3168</v>
      </c>
      <c r="L116" s="256">
        <f>CONTINUA!BV116</f>
        <v>0</v>
      </c>
      <c r="M116" s="256">
        <f>CONTINUA!BW116</f>
        <v>0</v>
      </c>
      <c r="N116" s="565"/>
      <c r="O116" s="566" t="s">
        <v>3332</v>
      </c>
      <c r="P116" s="567">
        <v>0</v>
      </c>
      <c r="Q116" s="319">
        <v>11</v>
      </c>
      <c r="R116" s="320"/>
      <c r="S116" s="319"/>
      <c r="T116" s="320"/>
      <c r="U116" s="807" t="s">
        <v>3376</v>
      </c>
      <c r="V116" s="808">
        <f>Q116+Q117+Q118</f>
        <v>28</v>
      </c>
      <c r="W116" s="853" t="s">
        <v>3381</v>
      </c>
      <c r="X116" s="854">
        <f>(R116+R117+R118+T116+T117+T118)</f>
        <v>0</v>
      </c>
      <c r="Y116" s="855" t="s">
        <v>3386</v>
      </c>
      <c r="Z116" s="854">
        <f>SUM(L116:L120)</f>
        <v>7</v>
      </c>
      <c r="AA116" s="813" t="s">
        <v>306</v>
      </c>
      <c r="AB116" s="814" t="s">
        <v>3388</v>
      </c>
      <c r="AC116" s="815" t="s">
        <v>19</v>
      </c>
      <c r="AD116" s="856"/>
      <c r="AE116" s="857" t="s">
        <v>3389</v>
      </c>
      <c r="AF116" s="858"/>
      <c r="AG116" s="842" t="s">
        <v>3393</v>
      </c>
      <c r="AH116" s="825" t="s">
        <v>3388</v>
      </c>
      <c r="AI116" s="826" t="s">
        <v>19</v>
      </c>
      <c r="AJ116" s="827"/>
      <c r="AK116" s="856">
        <v>1</v>
      </c>
      <c r="AL116" s="858"/>
      <c r="AM116" s="842" t="s">
        <v>3400</v>
      </c>
      <c r="AN116" s="825" t="s">
        <v>3388</v>
      </c>
      <c r="AO116" s="826" t="s">
        <v>19</v>
      </c>
      <c r="AP116" s="827"/>
      <c r="AQ116" s="856"/>
      <c r="AR116" s="858"/>
      <c r="AS116" s="841" t="s">
        <v>3401</v>
      </c>
      <c r="AT116" s="838"/>
      <c r="AU116" s="838"/>
      <c r="AV116" s="839"/>
      <c r="AW116" s="858"/>
      <c r="AX116" s="845" t="s">
        <v>3402</v>
      </c>
      <c r="AY116" s="858"/>
      <c r="AZ116" s="845" t="s">
        <v>3403</v>
      </c>
      <c r="BA116" s="846" t="s">
        <v>3404</v>
      </c>
      <c r="BB116" s="847" t="s">
        <v>3405</v>
      </c>
      <c r="BC116" s="848"/>
    </row>
    <row r="117" spans="1:57" s="89" customFormat="1" ht="22.5" customHeight="1" x14ac:dyDescent="0.2">
      <c r="A117" s="287" t="s">
        <v>3266</v>
      </c>
      <c r="B117" s="288" t="s">
        <v>3267</v>
      </c>
      <c r="C117" s="289" t="s">
        <v>3175</v>
      </c>
      <c r="D117" s="290" t="s">
        <v>3268</v>
      </c>
      <c r="E117" s="290" t="s">
        <v>3269</v>
      </c>
      <c r="F117" s="291" t="s">
        <v>3165</v>
      </c>
      <c r="G117" s="291" t="s">
        <v>3166</v>
      </c>
      <c r="H117" s="292" t="s">
        <v>1335</v>
      </c>
      <c r="I117" s="293" t="s">
        <v>1335</v>
      </c>
      <c r="J117" s="340" t="s">
        <v>3167</v>
      </c>
      <c r="K117" s="340" t="s">
        <v>3169</v>
      </c>
      <c r="L117" s="256">
        <f>CONTINUA!BV117</f>
        <v>7</v>
      </c>
      <c r="M117" s="256">
        <f>CONTINUA!BW117</f>
        <v>0</v>
      </c>
      <c r="N117" s="565"/>
      <c r="O117" s="566" t="s">
        <v>3332</v>
      </c>
      <c r="P117" s="567">
        <v>0</v>
      </c>
      <c r="Q117" s="319">
        <v>17</v>
      </c>
      <c r="R117" s="320"/>
      <c r="S117" s="319"/>
      <c r="T117" s="320"/>
      <c r="U117" s="809" t="s">
        <v>3377</v>
      </c>
      <c r="V117" s="859">
        <f>+S116+S117+S118</f>
        <v>0</v>
      </c>
      <c r="W117" s="810" t="s">
        <v>3382</v>
      </c>
      <c r="X117" s="860">
        <f>(Q119+S119)</f>
        <v>0</v>
      </c>
      <c r="Y117" s="812" t="s">
        <v>3387</v>
      </c>
      <c r="Z117" s="860">
        <f>SUM(M116:M120)</f>
        <v>0</v>
      </c>
      <c r="AA117" s="816" t="s">
        <v>3390</v>
      </c>
      <c r="AB117" s="817">
        <f>IF(X119&lt;=15,X119*385.23,0)/30</f>
        <v>0</v>
      </c>
      <c r="AC117" s="818"/>
      <c r="AD117" s="819">
        <f>SUM(AB117:AC119)</f>
        <v>403.84266666666667</v>
      </c>
      <c r="AE117" s="861"/>
      <c r="AF117" s="859"/>
      <c r="AG117" s="828" t="s">
        <v>3394</v>
      </c>
      <c r="AH117" s="829">
        <f>IF(V120=AK116,2043.65,0)/30</f>
        <v>0</v>
      </c>
      <c r="AI117" s="830"/>
      <c r="AJ117" s="831"/>
      <c r="AK117" s="862">
        <v>2</v>
      </c>
      <c r="AL117" s="859"/>
      <c r="AM117" s="828" t="s">
        <v>3397</v>
      </c>
      <c r="AN117" s="829">
        <f>IF(X117&lt;=AQ117,621.14*X117,0)/30</f>
        <v>0</v>
      </c>
      <c r="AO117" s="830"/>
      <c r="AP117" s="831"/>
      <c r="AQ117" s="862">
        <v>9</v>
      </c>
      <c r="AR117" s="859"/>
      <c r="AS117" s="830">
        <f>IF((SUM(V116:V119))&gt;=1,11465.63,0)/30</f>
        <v>382.18766666666664</v>
      </c>
      <c r="AT117" s="830">
        <f>IF((V116+V117)&gt;=1,(V116+V117)*385.23,0)/30</f>
        <v>359.548</v>
      </c>
      <c r="AU117" s="830">
        <f>IF((V118+V119)&gt;=1,(V118+V119)*2043.65,0)</f>
        <v>0</v>
      </c>
      <c r="AV117" s="828">
        <f>SUM(AS117:AU117)</f>
        <v>741.7356666666667</v>
      </c>
      <c r="AW117" s="859"/>
      <c r="AX117" s="843">
        <f>IF(X120&gt;0,X120*1.28,0)</f>
        <v>0</v>
      </c>
      <c r="AY117" s="859"/>
      <c r="AZ117" s="849" t="s">
        <v>19</v>
      </c>
      <c r="BA117" s="850" t="s">
        <v>3406</v>
      </c>
      <c r="BB117" s="851"/>
      <c r="BC117" s="838"/>
    </row>
    <row r="118" spans="1:57" s="89" customFormat="1" ht="22.5" customHeight="1" x14ac:dyDescent="0.2">
      <c r="A118" s="287" t="s">
        <v>3266</v>
      </c>
      <c r="B118" s="288" t="s">
        <v>3267</v>
      </c>
      <c r="C118" s="294" t="s">
        <v>3175</v>
      </c>
      <c r="D118" s="290" t="s">
        <v>3268</v>
      </c>
      <c r="E118" s="290" t="s">
        <v>3269</v>
      </c>
      <c r="F118" s="295" t="s">
        <v>3165</v>
      </c>
      <c r="G118" s="295" t="s">
        <v>3166</v>
      </c>
      <c r="H118" s="292" t="s">
        <v>1335</v>
      </c>
      <c r="I118" s="293" t="s">
        <v>1335</v>
      </c>
      <c r="J118" s="340" t="s">
        <v>3167</v>
      </c>
      <c r="K118" s="341" t="s">
        <v>3170</v>
      </c>
      <c r="L118" s="256">
        <f>CONTINUA!BV118</f>
        <v>0</v>
      </c>
      <c r="M118" s="256">
        <f>CONTINUA!BW118</f>
        <v>0</v>
      </c>
      <c r="N118" s="565"/>
      <c r="O118" s="566" t="s">
        <v>3332</v>
      </c>
      <c r="P118" s="567">
        <v>0</v>
      </c>
      <c r="Q118" s="319"/>
      <c r="R118" s="320"/>
      <c r="S118" s="319"/>
      <c r="T118" s="320"/>
      <c r="U118" s="809" t="s">
        <v>3378</v>
      </c>
      <c r="V118" s="859">
        <f>+R116+R117+R118</f>
        <v>0</v>
      </c>
      <c r="W118" s="811" t="s">
        <v>3383</v>
      </c>
      <c r="X118" s="860">
        <f>SUM(V116:V119)</f>
        <v>28</v>
      </c>
      <c r="Y118" s="859"/>
      <c r="Z118" s="859"/>
      <c r="AA118" s="863" t="s">
        <v>3391</v>
      </c>
      <c r="AB118" s="820"/>
      <c r="AC118" s="820">
        <f>IF(X119&gt;15,7492.52)/30</f>
        <v>249.75066666666669</v>
      </c>
      <c r="AD118" s="821"/>
      <c r="AE118" s="864">
        <v>15</v>
      </c>
      <c r="AF118" s="859"/>
      <c r="AG118" s="828" t="s">
        <v>3395</v>
      </c>
      <c r="AH118" s="829"/>
      <c r="AI118" s="832">
        <f>IF(V120&gt;=AK117,7492.52,0)/30</f>
        <v>0</v>
      </c>
      <c r="AJ118" s="833">
        <f>SUM(AH117:AI119)</f>
        <v>0</v>
      </c>
      <c r="AK118" s="862"/>
      <c r="AL118" s="859"/>
      <c r="AM118" s="828" t="s">
        <v>3398</v>
      </c>
      <c r="AN118" s="829"/>
      <c r="AO118" s="832">
        <f>IF(X117&gt;=AQ118,7492.52,0)/30</f>
        <v>0</v>
      </c>
      <c r="AP118" s="833">
        <f>SUM(AN117:AO119)</f>
        <v>0</v>
      </c>
      <c r="AQ118" s="862">
        <v>10</v>
      </c>
      <c r="AR118" s="859"/>
      <c r="AS118" s="830"/>
      <c r="AT118" s="830"/>
      <c r="AU118" s="830"/>
      <c r="AV118" s="828"/>
      <c r="AW118" s="859"/>
      <c r="AX118" s="843"/>
      <c r="AY118" s="859"/>
      <c r="AZ118" s="830" t="s">
        <v>3407</v>
      </c>
      <c r="BA118" s="829">
        <f>IF(Z116&gt;0,Z116*9.64,0)</f>
        <v>67.48</v>
      </c>
      <c r="BB118" s="865">
        <f>IF(Z117&gt;0,Z117*56.2,0)</f>
        <v>0</v>
      </c>
      <c r="BC118" s="830">
        <f>SUM(BA118:BB118)</f>
        <v>67.48</v>
      </c>
    </row>
    <row r="119" spans="1:57" s="89" customFormat="1" ht="22.5" customHeight="1" x14ac:dyDescent="0.2">
      <c r="A119" s="287" t="s">
        <v>3266</v>
      </c>
      <c r="B119" s="288" t="s">
        <v>3267</v>
      </c>
      <c r="C119" s="294" t="s">
        <v>3175</v>
      </c>
      <c r="D119" s="290" t="s">
        <v>3268</v>
      </c>
      <c r="E119" s="290" t="s">
        <v>3269</v>
      </c>
      <c r="F119" s="295" t="s">
        <v>3165</v>
      </c>
      <c r="G119" s="295" t="s">
        <v>3166</v>
      </c>
      <c r="H119" s="292" t="s">
        <v>1335</v>
      </c>
      <c r="I119" s="293" t="s">
        <v>1335</v>
      </c>
      <c r="J119" s="340" t="s">
        <v>3167</v>
      </c>
      <c r="K119" s="342" t="s">
        <v>3171</v>
      </c>
      <c r="L119" s="256">
        <f>CONTINUA!BV119</f>
        <v>0</v>
      </c>
      <c r="M119" s="256">
        <f>CONTINUA!BW119</f>
        <v>0</v>
      </c>
      <c r="N119" s="565"/>
      <c r="O119" s="566" t="s">
        <v>3332</v>
      </c>
      <c r="P119" s="567">
        <v>0</v>
      </c>
      <c r="Q119" s="319"/>
      <c r="R119" s="320"/>
      <c r="S119" s="319"/>
      <c r="T119" s="320"/>
      <c r="U119" s="809" t="s">
        <v>3379</v>
      </c>
      <c r="V119" s="866">
        <f>+T116+T117+T118</f>
        <v>0</v>
      </c>
      <c r="W119" s="812" t="s">
        <v>3384</v>
      </c>
      <c r="X119" s="860">
        <f>SUM(V116:V117)</f>
        <v>28</v>
      </c>
      <c r="Y119" s="866"/>
      <c r="Z119" s="866"/>
      <c r="AA119" s="822" t="s">
        <v>3392</v>
      </c>
      <c r="AB119" s="823">
        <f>((X119-16)*385.23)/30</f>
        <v>154.09200000000001</v>
      </c>
      <c r="AC119" s="823"/>
      <c r="AD119" s="824"/>
      <c r="AE119" s="864">
        <v>16</v>
      </c>
      <c r="AF119" s="866"/>
      <c r="AG119" s="834" t="s">
        <v>3396</v>
      </c>
      <c r="AH119" s="835">
        <f>IF(V120&gt;AK117,(V120-AK117)*2043.65,0)/30</f>
        <v>0</v>
      </c>
      <c r="AI119" s="836"/>
      <c r="AJ119" s="837"/>
      <c r="AK119" s="862"/>
      <c r="AL119" s="866"/>
      <c r="AM119" s="834" t="s">
        <v>3399</v>
      </c>
      <c r="AN119" s="835">
        <f>IF(X117&gt;AQ118,(X117-AQ118)*621.14,0)/30</f>
        <v>0</v>
      </c>
      <c r="AO119" s="836"/>
      <c r="AP119" s="837"/>
      <c r="AQ119" s="862"/>
      <c r="AR119" s="866"/>
      <c r="AS119" s="836"/>
      <c r="AT119" s="836"/>
      <c r="AU119" s="836"/>
      <c r="AV119" s="840"/>
      <c r="AW119" s="866"/>
      <c r="AX119" s="844"/>
      <c r="AY119" s="866"/>
      <c r="AZ119" s="836"/>
      <c r="BA119" s="835"/>
      <c r="BB119" s="852"/>
      <c r="BC119" s="836"/>
    </row>
    <row r="120" spans="1:57" s="89" customFormat="1" ht="22.5" customHeight="1" thickBot="1" x14ac:dyDescent="0.25">
      <c r="A120" s="296" t="s">
        <v>3266</v>
      </c>
      <c r="B120" s="297" t="s">
        <v>3267</v>
      </c>
      <c r="C120" s="298" t="s">
        <v>3175</v>
      </c>
      <c r="D120" s="299" t="s">
        <v>3268</v>
      </c>
      <c r="E120" s="299" t="s">
        <v>3269</v>
      </c>
      <c r="F120" s="300" t="s">
        <v>3165</v>
      </c>
      <c r="G120" s="300" t="s">
        <v>3166</v>
      </c>
      <c r="H120" s="301" t="s">
        <v>1335</v>
      </c>
      <c r="I120" s="302" t="s">
        <v>1335</v>
      </c>
      <c r="J120" s="340" t="s">
        <v>3167</v>
      </c>
      <c r="K120" s="343" t="s">
        <v>53</v>
      </c>
      <c r="L120" s="256">
        <f>CONTINUA!BV120</f>
        <v>0</v>
      </c>
      <c r="M120" s="256">
        <f>CONTINUA!BW120</f>
        <v>0</v>
      </c>
      <c r="N120" s="565"/>
      <c r="O120" s="566" t="s">
        <v>3332</v>
      </c>
      <c r="P120" s="567">
        <v>0</v>
      </c>
      <c r="Q120" s="319"/>
      <c r="R120" s="320"/>
      <c r="S120" s="319"/>
      <c r="T120" s="320"/>
      <c r="U120" s="867" t="s">
        <v>3380</v>
      </c>
      <c r="V120" s="868">
        <f>R116+R117+R118+R119+T116+T117+T118+T119</f>
        <v>0</v>
      </c>
      <c r="W120" s="812" t="s">
        <v>3385</v>
      </c>
      <c r="X120" s="869">
        <f>SUM(N116:N120)</f>
        <v>0</v>
      </c>
      <c r="Y120" s="868"/>
      <c r="Z120" s="868"/>
      <c r="AA120" s="868"/>
      <c r="AB120" s="868"/>
      <c r="AC120" s="868"/>
      <c r="AD120" s="868"/>
      <c r="AE120" s="868"/>
      <c r="AF120" s="868"/>
      <c r="AG120" s="868"/>
      <c r="AH120" s="868"/>
      <c r="AI120" s="868"/>
      <c r="AJ120" s="868"/>
      <c r="AK120" s="868"/>
      <c r="AL120" s="868"/>
      <c r="AM120" s="868"/>
      <c r="AN120" s="868"/>
      <c r="AO120" s="868"/>
      <c r="AP120" s="868"/>
      <c r="AQ120" s="868"/>
      <c r="AR120" s="868"/>
      <c r="AS120" s="868"/>
      <c r="AT120" s="868"/>
      <c r="AU120" s="868"/>
      <c r="AV120" s="868"/>
      <c r="AW120" s="868"/>
      <c r="AX120" s="868"/>
      <c r="AY120" s="868"/>
      <c r="AZ120" s="868"/>
      <c r="BA120" s="868"/>
      <c r="BB120" s="868"/>
      <c r="BC120" s="870"/>
    </row>
    <row r="121" spans="1:57" s="89" customFormat="1" ht="22.5" customHeight="1" x14ac:dyDescent="0.35">
      <c r="A121" t="s">
        <v>3270</v>
      </c>
      <c r="B121" s="430" t="s">
        <v>3271</v>
      </c>
      <c r="C121" s="431">
        <v>4</v>
      </c>
      <c r="D121" s="432" t="s">
        <v>3272</v>
      </c>
      <c r="E121" s="432" t="s">
        <v>3273</v>
      </c>
      <c r="F121" s="433" t="s">
        <v>3165</v>
      </c>
      <c r="G121" s="433" t="s">
        <v>3166</v>
      </c>
      <c r="H121" s="270" t="s">
        <v>1336</v>
      </c>
      <c r="I121" s="271" t="s">
        <v>1336</v>
      </c>
      <c r="J121" s="328" t="s">
        <v>3167</v>
      </c>
      <c r="K121" s="329" t="s">
        <v>3168</v>
      </c>
      <c r="L121" s="256">
        <f>CONTINUA!BV121</f>
        <v>0</v>
      </c>
      <c r="M121" s="256">
        <f>CONTINUA!BW121</f>
        <v>0</v>
      </c>
      <c r="N121" s="565"/>
      <c r="O121" s="566" t="s">
        <v>3333</v>
      </c>
      <c r="P121" s="567">
        <v>0</v>
      </c>
      <c r="Q121" s="319"/>
      <c r="R121" s="320"/>
      <c r="S121" s="319"/>
      <c r="T121" s="320"/>
      <c r="U121" s="807" t="s">
        <v>3376</v>
      </c>
      <c r="V121" s="808">
        <f>Q121+Q122+Q123</f>
        <v>12</v>
      </c>
      <c r="W121" s="853" t="s">
        <v>3381</v>
      </c>
      <c r="X121" s="854">
        <f>(R121+R122+R123+T121+T122+T123)</f>
        <v>0</v>
      </c>
      <c r="Y121" s="855" t="s">
        <v>3386</v>
      </c>
      <c r="Z121" s="854">
        <f>SUM(L121:L125)</f>
        <v>0</v>
      </c>
      <c r="AA121" s="813" t="s">
        <v>306</v>
      </c>
      <c r="AB121" s="814" t="s">
        <v>3388</v>
      </c>
      <c r="AC121" s="815" t="s">
        <v>19</v>
      </c>
      <c r="AD121" s="856"/>
      <c r="AE121" s="857" t="s">
        <v>3389</v>
      </c>
      <c r="AF121" s="858"/>
      <c r="AG121" s="842" t="s">
        <v>3393</v>
      </c>
      <c r="AH121" s="825" t="s">
        <v>3388</v>
      </c>
      <c r="AI121" s="826" t="s">
        <v>19</v>
      </c>
      <c r="AJ121" s="827"/>
      <c r="AK121" s="856">
        <v>1</v>
      </c>
      <c r="AL121" s="858"/>
      <c r="AM121" s="842" t="s">
        <v>3400</v>
      </c>
      <c r="AN121" s="825" t="s">
        <v>3388</v>
      </c>
      <c r="AO121" s="826" t="s">
        <v>19</v>
      </c>
      <c r="AP121" s="827"/>
      <c r="AQ121" s="856"/>
      <c r="AR121" s="858"/>
      <c r="AS121" s="841" t="s">
        <v>3401</v>
      </c>
      <c r="AT121" s="838"/>
      <c r="AU121" s="838"/>
      <c r="AV121" s="839"/>
      <c r="AW121" s="858"/>
      <c r="AX121" s="845" t="s">
        <v>3402</v>
      </c>
      <c r="AY121" s="858"/>
      <c r="AZ121" s="845" t="s">
        <v>3403</v>
      </c>
      <c r="BA121" s="846" t="s">
        <v>3404</v>
      </c>
      <c r="BB121" s="847" t="s">
        <v>3405</v>
      </c>
      <c r="BC121" s="848"/>
    </row>
    <row r="122" spans="1:57" s="89" customFormat="1" ht="22.5" customHeight="1" x14ac:dyDescent="0.2">
      <c r="A122" s="287" t="s">
        <v>3270</v>
      </c>
      <c r="B122" s="288" t="s">
        <v>3271</v>
      </c>
      <c r="C122" s="289" t="s">
        <v>3176</v>
      </c>
      <c r="D122" s="290" t="s">
        <v>3272</v>
      </c>
      <c r="E122" s="290" t="s">
        <v>3273</v>
      </c>
      <c r="F122" s="291" t="s">
        <v>3165</v>
      </c>
      <c r="G122" s="291" t="s">
        <v>3166</v>
      </c>
      <c r="H122" s="292" t="s">
        <v>1336</v>
      </c>
      <c r="I122" s="293" t="s">
        <v>1336</v>
      </c>
      <c r="J122" s="340" t="s">
        <v>3167</v>
      </c>
      <c r="K122" s="340" t="s">
        <v>3169</v>
      </c>
      <c r="L122" s="256">
        <f>CONTINUA!BV122</f>
        <v>0</v>
      </c>
      <c r="M122" s="256">
        <f>CONTINUA!BW122</f>
        <v>0</v>
      </c>
      <c r="N122" s="565"/>
      <c r="O122" s="566" t="s">
        <v>3333</v>
      </c>
      <c r="P122" s="567">
        <v>0</v>
      </c>
      <c r="Q122" s="319"/>
      <c r="R122" s="320"/>
      <c r="S122" s="319"/>
      <c r="T122" s="320"/>
      <c r="U122" s="809" t="s">
        <v>3377</v>
      </c>
      <c r="V122" s="859">
        <f>+S121+S122+S123</f>
        <v>0</v>
      </c>
      <c r="W122" s="810" t="s">
        <v>3382</v>
      </c>
      <c r="X122" s="860">
        <f>(Q124+S124)</f>
        <v>0</v>
      </c>
      <c r="Y122" s="812" t="s">
        <v>3387</v>
      </c>
      <c r="Z122" s="860">
        <f>SUM(M121:M125)</f>
        <v>0</v>
      </c>
      <c r="AA122" s="816" t="s">
        <v>3390</v>
      </c>
      <c r="AB122" s="817">
        <f>IF(X124&lt;=15,X124*385.23,0)/30</f>
        <v>154.09200000000001</v>
      </c>
      <c r="AC122" s="818"/>
      <c r="AD122" s="819">
        <f>SUM(AB122:AC124)</f>
        <v>102.72800000000001</v>
      </c>
      <c r="AE122" s="861"/>
      <c r="AF122" s="859"/>
      <c r="AG122" s="828" t="s">
        <v>3394</v>
      </c>
      <c r="AH122" s="829">
        <f>IF(V125=AK121,2043.65,0)/30</f>
        <v>0</v>
      </c>
      <c r="AI122" s="830"/>
      <c r="AJ122" s="831"/>
      <c r="AK122" s="862">
        <v>2</v>
      </c>
      <c r="AL122" s="859"/>
      <c r="AM122" s="828" t="s">
        <v>3397</v>
      </c>
      <c r="AN122" s="829">
        <f>IF(X122&lt;=AQ122,621.14*X122,0)/30</f>
        <v>0</v>
      </c>
      <c r="AO122" s="830"/>
      <c r="AP122" s="831"/>
      <c r="AQ122" s="862">
        <v>9</v>
      </c>
      <c r="AR122" s="859"/>
      <c r="AS122" s="830">
        <f>IF((SUM(V121:V124))&gt;=1,11465.63,0)/30</f>
        <v>382.18766666666664</v>
      </c>
      <c r="AT122" s="830">
        <f>IF((V121+V122)&gt;=1,(V121+V122)*385.23,0)/30</f>
        <v>154.09200000000001</v>
      </c>
      <c r="AU122" s="830">
        <f>IF((V123+V124)&gt;=1,(V123+V124)*2043.65,0)</f>
        <v>0</v>
      </c>
      <c r="AV122" s="828">
        <f>SUM(AS122:AU122)</f>
        <v>536.27966666666669</v>
      </c>
      <c r="AW122" s="859"/>
      <c r="AX122" s="843">
        <f>IF(X125&gt;0,X125*1.28,0)</f>
        <v>0</v>
      </c>
      <c r="AY122" s="859"/>
      <c r="AZ122" s="849" t="s">
        <v>19</v>
      </c>
      <c r="BA122" s="850" t="s">
        <v>3406</v>
      </c>
      <c r="BB122" s="851"/>
      <c r="BC122" s="838"/>
    </row>
    <row r="123" spans="1:57" s="89" customFormat="1" ht="22.5" customHeight="1" x14ac:dyDescent="0.2">
      <c r="A123" s="287" t="s">
        <v>3270</v>
      </c>
      <c r="B123" s="288" t="s">
        <v>3271</v>
      </c>
      <c r="C123" s="294" t="s">
        <v>3176</v>
      </c>
      <c r="D123" s="290" t="s">
        <v>3272</v>
      </c>
      <c r="E123" s="290" t="s">
        <v>3273</v>
      </c>
      <c r="F123" s="295" t="s">
        <v>3165</v>
      </c>
      <c r="G123" s="295" t="s">
        <v>3166</v>
      </c>
      <c r="H123" s="292" t="s">
        <v>1336</v>
      </c>
      <c r="I123" s="293" t="s">
        <v>1336</v>
      </c>
      <c r="J123" s="340" t="s">
        <v>3167</v>
      </c>
      <c r="K123" s="341" t="s">
        <v>3170</v>
      </c>
      <c r="L123" s="256">
        <f>CONTINUA!BV123</f>
        <v>0</v>
      </c>
      <c r="M123" s="256">
        <f>CONTINUA!BW123</f>
        <v>0</v>
      </c>
      <c r="N123" s="565"/>
      <c r="O123" s="566" t="s">
        <v>3333</v>
      </c>
      <c r="P123" s="567">
        <v>0</v>
      </c>
      <c r="Q123" s="319">
        <v>12</v>
      </c>
      <c r="R123" s="320"/>
      <c r="S123" s="319"/>
      <c r="T123" s="320"/>
      <c r="U123" s="809" t="s">
        <v>3378</v>
      </c>
      <c r="V123" s="859">
        <f>+R121+R122+R123</f>
        <v>0</v>
      </c>
      <c r="W123" s="811" t="s">
        <v>3383</v>
      </c>
      <c r="X123" s="860">
        <f>SUM(V121:V124)</f>
        <v>12</v>
      </c>
      <c r="Y123" s="859"/>
      <c r="Z123" s="859"/>
      <c r="AA123" s="863" t="s">
        <v>3391</v>
      </c>
      <c r="AB123" s="820"/>
      <c r="AC123" s="820">
        <f>IF(X124&gt;15,7492.52)/30</f>
        <v>0</v>
      </c>
      <c r="AD123" s="821"/>
      <c r="AE123" s="864">
        <v>15</v>
      </c>
      <c r="AF123" s="859"/>
      <c r="AG123" s="828" t="s">
        <v>3395</v>
      </c>
      <c r="AH123" s="829"/>
      <c r="AI123" s="832">
        <f>IF(V125&gt;=AK122,7492.52,0)/30</f>
        <v>0</v>
      </c>
      <c r="AJ123" s="833">
        <f>SUM(AH122:AI124)</f>
        <v>0</v>
      </c>
      <c r="AK123" s="862"/>
      <c r="AL123" s="859"/>
      <c r="AM123" s="828" t="s">
        <v>3398</v>
      </c>
      <c r="AN123" s="829"/>
      <c r="AO123" s="832">
        <f>IF(X122&gt;=AQ123,7492.52,0)/30</f>
        <v>0</v>
      </c>
      <c r="AP123" s="833">
        <f>SUM(AN122:AO124)</f>
        <v>0</v>
      </c>
      <c r="AQ123" s="862">
        <v>10</v>
      </c>
      <c r="AR123" s="859"/>
      <c r="AS123" s="830"/>
      <c r="AT123" s="830"/>
      <c r="AU123" s="830"/>
      <c r="AV123" s="828"/>
      <c r="AW123" s="859"/>
      <c r="AX123" s="843"/>
      <c r="AY123" s="859"/>
      <c r="AZ123" s="830" t="s">
        <v>3407</v>
      </c>
      <c r="BA123" s="829">
        <f>IF(Z121&gt;0,Z121*9.64,0)</f>
        <v>0</v>
      </c>
      <c r="BB123" s="865">
        <f>IF(Z122&gt;0,Z122*56.2,0)</f>
        <v>0</v>
      </c>
      <c r="BC123" s="830">
        <f>SUM(BA123:BB123)</f>
        <v>0</v>
      </c>
    </row>
    <row r="124" spans="1:57" s="89" customFormat="1" ht="22.5" customHeight="1" x14ac:dyDescent="0.2">
      <c r="A124" s="287" t="s">
        <v>3270</v>
      </c>
      <c r="B124" s="288" t="s">
        <v>3271</v>
      </c>
      <c r="C124" s="294" t="s">
        <v>3176</v>
      </c>
      <c r="D124" s="290" t="s">
        <v>3272</v>
      </c>
      <c r="E124" s="290" t="s">
        <v>3273</v>
      </c>
      <c r="F124" s="295" t="s">
        <v>3165</v>
      </c>
      <c r="G124" s="295" t="s">
        <v>3166</v>
      </c>
      <c r="H124" s="292" t="s">
        <v>1336</v>
      </c>
      <c r="I124" s="293" t="s">
        <v>1336</v>
      </c>
      <c r="J124" s="340" t="s">
        <v>3167</v>
      </c>
      <c r="K124" s="342" t="s">
        <v>3171</v>
      </c>
      <c r="L124" s="256">
        <f>CONTINUA!BV124</f>
        <v>0</v>
      </c>
      <c r="M124" s="256">
        <f>CONTINUA!BW124</f>
        <v>0</v>
      </c>
      <c r="N124" s="565"/>
      <c r="O124" s="566" t="s">
        <v>3333</v>
      </c>
      <c r="P124" s="567">
        <v>0</v>
      </c>
      <c r="Q124" s="319"/>
      <c r="R124" s="320"/>
      <c r="S124" s="319"/>
      <c r="T124" s="320"/>
      <c r="U124" s="809" t="s">
        <v>3379</v>
      </c>
      <c r="V124" s="866">
        <f>+T121+T122+T123</f>
        <v>0</v>
      </c>
      <c r="W124" s="812" t="s">
        <v>3384</v>
      </c>
      <c r="X124" s="860">
        <f>SUM(V121:V122)</f>
        <v>12</v>
      </c>
      <c r="Y124" s="866"/>
      <c r="Z124" s="866"/>
      <c r="AA124" s="822" t="s">
        <v>3392</v>
      </c>
      <c r="AB124" s="823">
        <f>((X124-16)*385.23)/30</f>
        <v>-51.364000000000004</v>
      </c>
      <c r="AC124" s="823"/>
      <c r="AD124" s="824"/>
      <c r="AE124" s="864">
        <v>16</v>
      </c>
      <c r="AF124" s="866"/>
      <c r="AG124" s="834" t="s">
        <v>3396</v>
      </c>
      <c r="AH124" s="835">
        <f>IF(V125&gt;AK122,(V125-AK122)*2043.65,0)/30</f>
        <v>0</v>
      </c>
      <c r="AI124" s="836"/>
      <c r="AJ124" s="837"/>
      <c r="AK124" s="862"/>
      <c r="AL124" s="866"/>
      <c r="AM124" s="834" t="s">
        <v>3399</v>
      </c>
      <c r="AN124" s="835">
        <f>IF(X122&gt;AQ123,(X122-AQ123)*621.14,0)/30</f>
        <v>0</v>
      </c>
      <c r="AO124" s="836"/>
      <c r="AP124" s="837"/>
      <c r="AQ124" s="862"/>
      <c r="AR124" s="866"/>
      <c r="AS124" s="836"/>
      <c r="AT124" s="836"/>
      <c r="AU124" s="836"/>
      <c r="AV124" s="840"/>
      <c r="AW124" s="866"/>
      <c r="AX124" s="844"/>
      <c r="AY124" s="866"/>
      <c r="AZ124" s="836"/>
      <c r="BA124" s="835"/>
      <c r="BB124" s="852"/>
      <c r="BC124" s="836"/>
    </row>
    <row r="125" spans="1:57" s="89" customFormat="1" ht="22.5" customHeight="1" thickBot="1" x14ac:dyDescent="0.25">
      <c r="A125" s="296" t="s">
        <v>3270</v>
      </c>
      <c r="B125" s="297" t="s">
        <v>3271</v>
      </c>
      <c r="C125" s="298" t="s">
        <v>3176</v>
      </c>
      <c r="D125" s="299" t="s">
        <v>3272</v>
      </c>
      <c r="E125" s="299" t="s">
        <v>3273</v>
      </c>
      <c r="F125" s="300" t="s">
        <v>3165</v>
      </c>
      <c r="G125" s="300" t="s">
        <v>3166</v>
      </c>
      <c r="H125" s="301" t="s">
        <v>1336</v>
      </c>
      <c r="I125" s="302" t="s">
        <v>1336</v>
      </c>
      <c r="J125" s="340" t="s">
        <v>3167</v>
      </c>
      <c r="K125" s="343" t="s">
        <v>53</v>
      </c>
      <c r="L125" s="256">
        <f>CONTINUA!BV125</f>
        <v>0</v>
      </c>
      <c r="M125" s="256">
        <f>CONTINUA!BW125</f>
        <v>0</v>
      </c>
      <c r="N125" s="565"/>
      <c r="O125" s="566" t="s">
        <v>3333</v>
      </c>
      <c r="P125" s="567">
        <v>0</v>
      </c>
      <c r="Q125" s="319"/>
      <c r="R125" s="320"/>
      <c r="S125" s="319"/>
      <c r="T125" s="320"/>
      <c r="U125" s="867" t="s">
        <v>3380</v>
      </c>
      <c r="V125" s="868">
        <f>R121+R122+R123+R124+T121+T122+T123+T124</f>
        <v>0</v>
      </c>
      <c r="W125" s="812" t="s">
        <v>3385</v>
      </c>
      <c r="X125" s="869">
        <f>SUM(N121:N125)</f>
        <v>0</v>
      </c>
      <c r="Y125" s="868"/>
      <c r="Z125" s="868"/>
      <c r="AA125" s="868"/>
      <c r="AB125" s="868"/>
      <c r="AC125" s="868"/>
      <c r="AD125" s="868"/>
      <c r="AE125" s="868"/>
      <c r="AF125" s="868"/>
      <c r="AG125" s="868"/>
      <c r="AH125" s="868"/>
      <c r="AI125" s="868"/>
      <c r="AJ125" s="868"/>
      <c r="AK125" s="868"/>
      <c r="AL125" s="868"/>
      <c r="AM125" s="868"/>
      <c r="AN125" s="868"/>
      <c r="AO125" s="868"/>
      <c r="AP125" s="868"/>
      <c r="AQ125" s="868"/>
      <c r="AR125" s="868"/>
      <c r="AS125" s="868"/>
      <c r="AT125" s="868"/>
      <c r="AU125" s="868"/>
      <c r="AV125" s="868"/>
      <c r="AW125" s="868"/>
      <c r="AX125" s="868"/>
      <c r="AY125" s="868"/>
      <c r="AZ125" s="868"/>
      <c r="BA125" s="868"/>
      <c r="BB125" s="868"/>
      <c r="BC125" s="870"/>
    </row>
    <row r="126" spans="1:57" s="89" customFormat="1" ht="22.5" customHeight="1" x14ac:dyDescent="0.35">
      <c r="A126" t="s">
        <v>3274</v>
      </c>
      <c r="B126" s="430" t="s">
        <v>3275</v>
      </c>
      <c r="C126" s="431">
        <v>1</v>
      </c>
      <c r="D126" s="432" t="s">
        <v>3276</v>
      </c>
      <c r="E126" s="432" t="s">
        <v>3277</v>
      </c>
      <c r="F126" s="433" t="s">
        <v>3165</v>
      </c>
      <c r="G126" s="433" t="s">
        <v>3166</v>
      </c>
      <c r="H126" s="270" t="s">
        <v>1339</v>
      </c>
      <c r="I126" s="271" t="s">
        <v>1339</v>
      </c>
      <c r="J126" s="328" t="s">
        <v>3167</v>
      </c>
      <c r="K126" s="329" t="s">
        <v>3168</v>
      </c>
      <c r="L126" s="256">
        <f>CONTINUA!BV126</f>
        <v>0</v>
      </c>
      <c r="M126" s="256">
        <f>CONTINUA!BW126</f>
        <v>0</v>
      </c>
      <c r="N126" s="565"/>
      <c r="O126" s="566" t="s">
        <v>3334</v>
      </c>
      <c r="P126" s="567">
        <v>0</v>
      </c>
      <c r="Q126" s="319">
        <v>31</v>
      </c>
      <c r="R126" s="320"/>
      <c r="S126" s="319"/>
      <c r="T126" s="320"/>
      <c r="U126" s="807" t="s">
        <v>3376</v>
      </c>
      <c r="V126" s="808">
        <f>Q126+Q127+Q128</f>
        <v>58</v>
      </c>
      <c r="W126" s="853" t="s">
        <v>3381</v>
      </c>
      <c r="X126" s="854">
        <f>(R126+R127+R128+T126+T127+T128)</f>
        <v>0</v>
      </c>
      <c r="Y126" s="855" t="s">
        <v>3386</v>
      </c>
      <c r="Z126" s="854">
        <f>SUM(L126:L130)</f>
        <v>42</v>
      </c>
      <c r="AA126" s="813" t="s">
        <v>306</v>
      </c>
      <c r="AB126" s="814" t="s">
        <v>3388</v>
      </c>
      <c r="AC126" s="815" t="s">
        <v>19</v>
      </c>
      <c r="AD126" s="856"/>
      <c r="AE126" s="857" t="s">
        <v>3389</v>
      </c>
      <c r="AF126" s="858"/>
      <c r="AG126" s="842" t="s">
        <v>3393</v>
      </c>
      <c r="AH126" s="825" t="s">
        <v>3388</v>
      </c>
      <c r="AI126" s="826" t="s">
        <v>19</v>
      </c>
      <c r="AJ126" s="827"/>
      <c r="AK126" s="856">
        <v>1</v>
      </c>
      <c r="AL126" s="858"/>
      <c r="AM126" s="842" t="s">
        <v>3400</v>
      </c>
      <c r="AN126" s="825" t="s">
        <v>3388</v>
      </c>
      <c r="AO126" s="826" t="s">
        <v>19</v>
      </c>
      <c r="AP126" s="827"/>
      <c r="AQ126" s="856"/>
      <c r="AR126" s="858"/>
      <c r="AS126" s="841" t="s">
        <v>3401</v>
      </c>
      <c r="AT126" s="838"/>
      <c r="AU126" s="838"/>
      <c r="AV126" s="839"/>
      <c r="AW126" s="858"/>
      <c r="AX126" s="845" t="s">
        <v>3402</v>
      </c>
      <c r="AY126" s="858"/>
      <c r="AZ126" s="845" t="s">
        <v>3403</v>
      </c>
      <c r="BA126" s="846" t="s">
        <v>3404</v>
      </c>
      <c r="BB126" s="847" t="s">
        <v>3405</v>
      </c>
      <c r="BC126" s="848"/>
    </row>
    <row r="127" spans="1:57" s="89" customFormat="1" ht="22.5" customHeight="1" x14ac:dyDescent="0.2">
      <c r="A127" s="287" t="s">
        <v>3274</v>
      </c>
      <c r="B127" s="288" t="s">
        <v>3275</v>
      </c>
      <c r="C127" s="289" t="s">
        <v>3175</v>
      </c>
      <c r="D127" s="290" t="s">
        <v>3276</v>
      </c>
      <c r="E127" s="290" t="s">
        <v>3277</v>
      </c>
      <c r="F127" s="291" t="s">
        <v>3165</v>
      </c>
      <c r="G127" s="291" t="s">
        <v>3166</v>
      </c>
      <c r="H127" s="292" t="s">
        <v>1339</v>
      </c>
      <c r="I127" s="293" t="s">
        <v>1339</v>
      </c>
      <c r="J127" s="340" t="s">
        <v>3167</v>
      </c>
      <c r="K127" s="340" t="s">
        <v>3169</v>
      </c>
      <c r="L127" s="256">
        <f>CONTINUA!BV127</f>
        <v>42</v>
      </c>
      <c r="M127" s="256">
        <f>CONTINUA!BW127</f>
        <v>0</v>
      </c>
      <c r="N127" s="565"/>
      <c r="O127" s="566" t="s">
        <v>3334</v>
      </c>
      <c r="P127" s="567">
        <v>0</v>
      </c>
      <c r="Q127" s="319">
        <v>27</v>
      </c>
      <c r="R127" s="320"/>
      <c r="S127" s="319">
        <v>9</v>
      </c>
      <c r="T127" s="320"/>
      <c r="U127" s="809" t="s">
        <v>3377</v>
      </c>
      <c r="V127" s="859">
        <f>+S126+S127+S128</f>
        <v>9</v>
      </c>
      <c r="W127" s="810" t="s">
        <v>3382</v>
      </c>
      <c r="X127" s="860">
        <f>(Q129+S129)</f>
        <v>0</v>
      </c>
      <c r="Y127" s="812" t="s">
        <v>3387</v>
      </c>
      <c r="Z127" s="860">
        <f>SUM(M126:M130)</f>
        <v>0</v>
      </c>
      <c r="AA127" s="816" t="s">
        <v>3390</v>
      </c>
      <c r="AB127" s="817">
        <f>IF(X129&lt;=15,X129*385.23,0)/30</f>
        <v>0</v>
      </c>
      <c r="AC127" s="818"/>
      <c r="AD127" s="819">
        <f>SUM(AB127:AC129)</f>
        <v>904.64166666666665</v>
      </c>
      <c r="AE127" s="861"/>
      <c r="AF127" s="859"/>
      <c r="AG127" s="828" t="s">
        <v>3394</v>
      </c>
      <c r="AH127" s="829">
        <f>IF(V130=AK126,2043.65,0)/30</f>
        <v>0</v>
      </c>
      <c r="AI127" s="830"/>
      <c r="AJ127" s="831"/>
      <c r="AK127" s="862">
        <v>2</v>
      </c>
      <c r="AL127" s="859"/>
      <c r="AM127" s="828" t="s">
        <v>3397</v>
      </c>
      <c r="AN127" s="829">
        <f>IF(X127&lt;=AQ127,621.14*X127,0)/30</f>
        <v>0</v>
      </c>
      <c r="AO127" s="830"/>
      <c r="AP127" s="831"/>
      <c r="AQ127" s="862">
        <v>9</v>
      </c>
      <c r="AR127" s="859"/>
      <c r="AS127" s="830">
        <f>IF((SUM(V126:V129))&gt;=1,11465.63,0)/30</f>
        <v>382.18766666666664</v>
      </c>
      <c r="AT127" s="830">
        <f>IF((V126+V127)&gt;=1,(V126+V127)*385.23,0)/30</f>
        <v>860.34699999999998</v>
      </c>
      <c r="AU127" s="830">
        <f>IF((V128+V129)&gt;=1,(V128+V129)*2043.65,0)</f>
        <v>0</v>
      </c>
      <c r="AV127" s="828">
        <f>SUM(AS127:AU127)</f>
        <v>1242.5346666666667</v>
      </c>
      <c r="AW127" s="859"/>
      <c r="AX127" s="843">
        <f>IF(X130&gt;0,X130*1.28,0)</f>
        <v>0</v>
      </c>
      <c r="AY127" s="859"/>
      <c r="AZ127" s="849" t="s">
        <v>19</v>
      </c>
      <c r="BA127" s="850" t="s">
        <v>3406</v>
      </c>
      <c r="BB127" s="851"/>
      <c r="BC127" s="838"/>
    </row>
    <row r="128" spans="1:57" s="89" customFormat="1" ht="22.5" customHeight="1" x14ac:dyDescent="0.2">
      <c r="A128" s="287" t="s">
        <v>3274</v>
      </c>
      <c r="B128" s="288" t="s">
        <v>3275</v>
      </c>
      <c r="C128" s="294" t="s">
        <v>3175</v>
      </c>
      <c r="D128" s="290" t="s">
        <v>3276</v>
      </c>
      <c r="E128" s="290" t="s">
        <v>3277</v>
      </c>
      <c r="F128" s="295" t="s">
        <v>3165</v>
      </c>
      <c r="G128" s="295" t="s">
        <v>3166</v>
      </c>
      <c r="H128" s="292" t="s">
        <v>1339</v>
      </c>
      <c r="I128" s="293" t="s">
        <v>1339</v>
      </c>
      <c r="J128" s="340" t="s">
        <v>3167</v>
      </c>
      <c r="K128" s="341" t="s">
        <v>3170</v>
      </c>
      <c r="L128" s="256">
        <f>CONTINUA!BV128</f>
        <v>0</v>
      </c>
      <c r="M128" s="256">
        <f>CONTINUA!BW128</f>
        <v>0</v>
      </c>
      <c r="N128" s="565"/>
      <c r="O128" s="566" t="s">
        <v>3334</v>
      </c>
      <c r="P128" s="567">
        <v>0</v>
      </c>
      <c r="Q128" s="319"/>
      <c r="R128" s="320"/>
      <c r="S128" s="319"/>
      <c r="T128" s="320"/>
      <c r="U128" s="809" t="s">
        <v>3378</v>
      </c>
      <c r="V128" s="859">
        <f>+R126+R127+R128</f>
        <v>0</v>
      </c>
      <c r="W128" s="811" t="s">
        <v>3383</v>
      </c>
      <c r="X128" s="860">
        <f>SUM(V126:V129)</f>
        <v>67</v>
      </c>
      <c r="Y128" s="859"/>
      <c r="Z128" s="859"/>
      <c r="AA128" s="863" t="s">
        <v>3391</v>
      </c>
      <c r="AB128" s="820"/>
      <c r="AC128" s="820">
        <f>IF(X129&gt;15,7492.52)/30</f>
        <v>249.75066666666669</v>
      </c>
      <c r="AD128" s="821"/>
      <c r="AE128" s="864">
        <v>15</v>
      </c>
      <c r="AF128" s="859"/>
      <c r="AG128" s="828" t="s">
        <v>3395</v>
      </c>
      <c r="AH128" s="829"/>
      <c r="AI128" s="832">
        <f>IF(V130&gt;=AK127,7492.52,0)/30</f>
        <v>0</v>
      </c>
      <c r="AJ128" s="833">
        <f>SUM(AH127:AI129)</f>
        <v>0</v>
      </c>
      <c r="AK128" s="862"/>
      <c r="AL128" s="859"/>
      <c r="AM128" s="828" t="s">
        <v>3398</v>
      </c>
      <c r="AN128" s="829"/>
      <c r="AO128" s="832">
        <f>IF(X127&gt;=AQ128,7492.52,0)/30</f>
        <v>0</v>
      </c>
      <c r="AP128" s="833">
        <f>SUM(AN127:AO129)</f>
        <v>0</v>
      </c>
      <c r="AQ128" s="862">
        <v>10</v>
      </c>
      <c r="AR128" s="859"/>
      <c r="AS128" s="830"/>
      <c r="AT128" s="830"/>
      <c r="AU128" s="830"/>
      <c r="AV128" s="828"/>
      <c r="AW128" s="859"/>
      <c r="AX128" s="843"/>
      <c r="AY128" s="859"/>
      <c r="AZ128" s="830" t="s">
        <v>3407</v>
      </c>
      <c r="BA128" s="829">
        <f>IF(Z126&gt;0,Z126*9.64,0)</f>
        <v>404.88</v>
      </c>
      <c r="BB128" s="865">
        <f>IF(Z127&gt;0,Z127*56.2,0)</f>
        <v>0</v>
      </c>
      <c r="BC128" s="830">
        <f>SUM(BA128:BB128)</f>
        <v>404.88</v>
      </c>
    </row>
    <row r="129" spans="1:55" s="89" customFormat="1" ht="22.5" customHeight="1" x14ac:dyDescent="0.2">
      <c r="A129" s="287" t="s">
        <v>3274</v>
      </c>
      <c r="B129" s="288" t="s">
        <v>3275</v>
      </c>
      <c r="C129" s="294" t="s">
        <v>3175</v>
      </c>
      <c r="D129" s="290" t="s">
        <v>3276</v>
      </c>
      <c r="E129" s="290" t="s">
        <v>3277</v>
      </c>
      <c r="F129" s="295" t="s">
        <v>3165</v>
      </c>
      <c r="G129" s="295" t="s">
        <v>3166</v>
      </c>
      <c r="H129" s="292" t="s">
        <v>1339</v>
      </c>
      <c r="I129" s="293" t="s">
        <v>1339</v>
      </c>
      <c r="J129" s="340" t="s">
        <v>3167</v>
      </c>
      <c r="K129" s="342" t="s">
        <v>3171</v>
      </c>
      <c r="L129" s="256">
        <f>CONTINUA!BV129</f>
        <v>0</v>
      </c>
      <c r="M129" s="256">
        <f>CONTINUA!BW129</f>
        <v>0</v>
      </c>
      <c r="N129" s="565"/>
      <c r="O129" s="566" t="s">
        <v>3334</v>
      </c>
      <c r="P129" s="567">
        <v>0</v>
      </c>
      <c r="Q129" s="319"/>
      <c r="R129" s="320"/>
      <c r="S129" s="319"/>
      <c r="T129" s="320"/>
      <c r="U129" s="809" t="s">
        <v>3379</v>
      </c>
      <c r="V129" s="866">
        <f>+T126+T127+T128</f>
        <v>0</v>
      </c>
      <c r="W129" s="812" t="s">
        <v>3384</v>
      </c>
      <c r="X129" s="860">
        <f>SUM(V126:V127)</f>
        <v>67</v>
      </c>
      <c r="Y129" s="866"/>
      <c r="Z129" s="866"/>
      <c r="AA129" s="822" t="s">
        <v>3392</v>
      </c>
      <c r="AB129" s="823">
        <f>((X129-16)*385.23)/30</f>
        <v>654.89099999999996</v>
      </c>
      <c r="AC129" s="823"/>
      <c r="AD129" s="824"/>
      <c r="AE129" s="864">
        <v>16</v>
      </c>
      <c r="AF129" s="866"/>
      <c r="AG129" s="834" t="s">
        <v>3396</v>
      </c>
      <c r="AH129" s="835">
        <f>IF(V130&gt;AK127,(V130-AK127)*2043.65,0)/30</f>
        <v>0</v>
      </c>
      <c r="AI129" s="836"/>
      <c r="AJ129" s="837"/>
      <c r="AK129" s="862"/>
      <c r="AL129" s="866"/>
      <c r="AM129" s="834" t="s">
        <v>3399</v>
      </c>
      <c r="AN129" s="835">
        <f>IF(X127&gt;AQ128,(X127-AQ128)*621.14,0)/30</f>
        <v>0</v>
      </c>
      <c r="AO129" s="836"/>
      <c r="AP129" s="837"/>
      <c r="AQ129" s="862"/>
      <c r="AR129" s="866"/>
      <c r="AS129" s="836"/>
      <c r="AT129" s="836"/>
      <c r="AU129" s="836"/>
      <c r="AV129" s="840"/>
      <c r="AW129" s="866"/>
      <c r="AX129" s="844"/>
      <c r="AY129" s="866"/>
      <c r="AZ129" s="836"/>
      <c r="BA129" s="835"/>
      <c r="BB129" s="852"/>
      <c r="BC129" s="836"/>
    </row>
    <row r="130" spans="1:55" s="89" customFormat="1" ht="22.5" customHeight="1" thickBot="1" x14ac:dyDescent="0.25">
      <c r="A130" s="296" t="s">
        <v>3274</v>
      </c>
      <c r="B130" s="297" t="s">
        <v>3275</v>
      </c>
      <c r="C130" s="298" t="s">
        <v>3175</v>
      </c>
      <c r="D130" s="299" t="s">
        <v>3276</v>
      </c>
      <c r="E130" s="299" t="s">
        <v>3277</v>
      </c>
      <c r="F130" s="300" t="s">
        <v>3165</v>
      </c>
      <c r="G130" s="300" t="s">
        <v>3166</v>
      </c>
      <c r="H130" s="301" t="s">
        <v>1339</v>
      </c>
      <c r="I130" s="302" t="s">
        <v>1339</v>
      </c>
      <c r="J130" s="340" t="s">
        <v>3167</v>
      </c>
      <c r="K130" s="343" t="s">
        <v>53</v>
      </c>
      <c r="L130" s="256">
        <f>CONTINUA!BV130</f>
        <v>0</v>
      </c>
      <c r="M130" s="256">
        <f>CONTINUA!BW130</f>
        <v>0</v>
      </c>
      <c r="N130" s="565"/>
      <c r="O130" s="566" t="s">
        <v>3334</v>
      </c>
      <c r="P130" s="567">
        <v>0</v>
      </c>
      <c r="Q130" s="319"/>
      <c r="R130" s="320"/>
      <c r="S130" s="319"/>
      <c r="T130" s="320"/>
      <c r="U130" s="867" t="s">
        <v>3380</v>
      </c>
      <c r="V130" s="868">
        <f>R126+R127+R128+R129+T126+T127+T128+T129</f>
        <v>0</v>
      </c>
      <c r="W130" s="812" t="s">
        <v>3385</v>
      </c>
      <c r="X130" s="869">
        <f>SUM(N126:N130)</f>
        <v>0</v>
      </c>
      <c r="Y130" s="868"/>
      <c r="Z130" s="868"/>
      <c r="AA130" s="868"/>
      <c r="AB130" s="868"/>
      <c r="AC130" s="868"/>
      <c r="AD130" s="868"/>
      <c r="AE130" s="868"/>
      <c r="AF130" s="868"/>
      <c r="AG130" s="868"/>
      <c r="AH130" s="868"/>
      <c r="AI130" s="868"/>
      <c r="AJ130" s="868"/>
      <c r="AK130" s="868"/>
      <c r="AL130" s="868"/>
      <c r="AM130" s="868"/>
      <c r="AN130" s="868"/>
      <c r="AO130" s="868"/>
      <c r="AP130" s="868"/>
      <c r="AQ130" s="868"/>
      <c r="AR130" s="868"/>
      <c r="AS130" s="868"/>
      <c r="AT130" s="868"/>
      <c r="AU130" s="868"/>
      <c r="AV130" s="868"/>
      <c r="AW130" s="868"/>
      <c r="AX130" s="868"/>
      <c r="AY130" s="868"/>
      <c r="AZ130" s="868"/>
      <c r="BA130" s="868"/>
      <c r="BB130" s="868"/>
      <c r="BC130" s="870"/>
    </row>
    <row r="131" spans="1:55" s="89" customFormat="1" ht="22.5" customHeight="1" x14ac:dyDescent="0.35">
      <c r="A131" t="s">
        <v>3278</v>
      </c>
      <c r="B131" s="430" t="s">
        <v>3279</v>
      </c>
      <c r="C131" s="431">
        <v>3</v>
      </c>
      <c r="D131" s="432" t="s">
        <v>3280</v>
      </c>
      <c r="E131" s="432" t="s">
        <v>3281</v>
      </c>
      <c r="F131" s="433" t="s">
        <v>3165</v>
      </c>
      <c r="G131" s="433" t="s">
        <v>3166</v>
      </c>
      <c r="H131" s="270" t="s">
        <v>1344</v>
      </c>
      <c r="I131" s="271" t="s">
        <v>1344</v>
      </c>
      <c r="J131" s="328" t="s">
        <v>3172</v>
      </c>
      <c r="K131" s="329" t="s">
        <v>3168</v>
      </c>
      <c r="L131" s="256">
        <f>CONTINUA!BV131</f>
        <v>0</v>
      </c>
      <c r="M131" s="256">
        <f>CONTINUA!BW131</f>
        <v>0</v>
      </c>
      <c r="N131" s="565"/>
      <c r="O131" s="566" t="s">
        <v>3335</v>
      </c>
      <c r="P131" s="567">
        <v>0</v>
      </c>
      <c r="Q131" s="319"/>
      <c r="R131" s="320"/>
      <c r="S131" s="319"/>
      <c r="T131" s="320"/>
      <c r="U131" s="807" t="s">
        <v>3376</v>
      </c>
      <c r="V131" s="808">
        <f>Q131+Q132+Q133</f>
        <v>0</v>
      </c>
      <c r="W131" s="853" t="s">
        <v>3381</v>
      </c>
      <c r="X131" s="854">
        <f>(R131+R132+R133+T131+T132+T133)</f>
        <v>0</v>
      </c>
      <c r="Y131" s="855" t="s">
        <v>3386</v>
      </c>
      <c r="Z131" s="854">
        <f>SUM(L131:L135)</f>
        <v>0</v>
      </c>
      <c r="AA131" s="813" t="s">
        <v>306</v>
      </c>
      <c r="AB131" s="814" t="s">
        <v>3388</v>
      </c>
      <c r="AC131" s="815" t="s">
        <v>19</v>
      </c>
      <c r="AD131" s="856"/>
      <c r="AE131" s="857" t="s">
        <v>3389</v>
      </c>
      <c r="AF131" s="858"/>
      <c r="AG131" s="842" t="s">
        <v>3393</v>
      </c>
      <c r="AH131" s="825" t="s">
        <v>3388</v>
      </c>
      <c r="AI131" s="826" t="s">
        <v>19</v>
      </c>
      <c r="AJ131" s="827"/>
      <c r="AK131" s="856">
        <v>1</v>
      </c>
      <c r="AL131" s="858"/>
      <c r="AM131" s="842" t="s">
        <v>3400</v>
      </c>
      <c r="AN131" s="825" t="s">
        <v>3388</v>
      </c>
      <c r="AO131" s="826" t="s">
        <v>19</v>
      </c>
      <c r="AP131" s="827"/>
      <c r="AQ131" s="856"/>
      <c r="AR131" s="858"/>
      <c r="AS131" s="841" t="s">
        <v>3401</v>
      </c>
      <c r="AT131" s="838"/>
      <c r="AU131" s="838"/>
      <c r="AV131" s="839"/>
      <c r="AW131" s="858"/>
      <c r="AX131" s="845" t="s">
        <v>3402</v>
      </c>
      <c r="AY131" s="858"/>
      <c r="AZ131" s="845" t="s">
        <v>3403</v>
      </c>
      <c r="BA131" s="846" t="s">
        <v>3404</v>
      </c>
      <c r="BB131" s="847" t="s">
        <v>3405</v>
      </c>
      <c r="BC131" s="848"/>
    </row>
    <row r="132" spans="1:55" s="89" customFormat="1" ht="22.5" customHeight="1" x14ac:dyDescent="0.2">
      <c r="A132" s="287" t="s">
        <v>3278</v>
      </c>
      <c r="B132" s="288" t="s">
        <v>3279</v>
      </c>
      <c r="C132" s="289" t="s">
        <v>3177</v>
      </c>
      <c r="D132" s="290" t="s">
        <v>3280</v>
      </c>
      <c r="E132" s="290" t="s">
        <v>3281</v>
      </c>
      <c r="F132" s="291" t="s">
        <v>3165</v>
      </c>
      <c r="G132" s="291" t="s">
        <v>3166</v>
      </c>
      <c r="H132" s="292" t="s">
        <v>1344</v>
      </c>
      <c r="I132" s="293" t="s">
        <v>1344</v>
      </c>
      <c r="J132" s="340" t="s">
        <v>3172</v>
      </c>
      <c r="K132" s="340" t="s">
        <v>3169</v>
      </c>
      <c r="L132" s="256">
        <f>CONTINUA!BV132</f>
        <v>0</v>
      </c>
      <c r="M132" s="256">
        <f>CONTINUA!BW132</f>
        <v>0</v>
      </c>
      <c r="N132" s="565"/>
      <c r="O132" s="566" t="s">
        <v>3335</v>
      </c>
      <c r="P132" s="567">
        <v>0</v>
      </c>
      <c r="Q132" s="319"/>
      <c r="R132" s="320"/>
      <c r="S132" s="319"/>
      <c r="T132" s="320"/>
      <c r="U132" s="809" t="s">
        <v>3377</v>
      </c>
      <c r="V132" s="859">
        <f>+S131+S132+S133</f>
        <v>0</v>
      </c>
      <c r="W132" s="810" t="s">
        <v>3382</v>
      </c>
      <c r="X132" s="860">
        <f>(Q134+S134)</f>
        <v>24</v>
      </c>
      <c r="Y132" s="812" t="s">
        <v>3387</v>
      </c>
      <c r="Z132" s="860">
        <f>SUM(M131:M135)</f>
        <v>0</v>
      </c>
      <c r="AA132" s="816" t="s">
        <v>3390</v>
      </c>
      <c r="AB132" s="817">
        <f>IF(X134&lt;=15,X134*385.23,0)/30</f>
        <v>0</v>
      </c>
      <c r="AC132" s="818"/>
      <c r="AD132" s="819">
        <f>SUM(AB132:AC134)</f>
        <v>-205.45600000000002</v>
      </c>
      <c r="AE132" s="861"/>
      <c r="AF132" s="859"/>
      <c r="AG132" s="828" t="s">
        <v>3394</v>
      </c>
      <c r="AH132" s="829">
        <f>IF(V135=AK131,2043.65,0)/30</f>
        <v>0</v>
      </c>
      <c r="AI132" s="830"/>
      <c r="AJ132" s="831"/>
      <c r="AK132" s="862">
        <v>2</v>
      </c>
      <c r="AL132" s="859"/>
      <c r="AM132" s="828" t="s">
        <v>3397</v>
      </c>
      <c r="AN132" s="829">
        <f>IF(X132&lt;=AQ132,621.14*X132,0)/30</f>
        <v>0</v>
      </c>
      <c r="AO132" s="830"/>
      <c r="AP132" s="831"/>
      <c r="AQ132" s="862">
        <v>9</v>
      </c>
      <c r="AR132" s="859"/>
      <c r="AS132" s="830">
        <f>IF((SUM(V131:V134))&gt;=1,11465.63,0)/30</f>
        <v>0</v>
      </c>
      <c r="AT132" s="830">
        <f>IF((V131+V132)&gt;=1,(V131+V132)*385.23,0)/30</f>
        <v>0</v>
      </c>
      <c r="AU132" s="830">
        <f>IF((V133+V134)&gt;=1,(V133+V134)*2043.65,0)</f>
        <v>0</v>
      </c>
      <c r="AV132" s="828">
        <f>SUM(AS132:AU132)</f>
        <v>0</v>
      </c>
      <c r="AW132" s="859"/>
      <c r="AX132" s="843">
        <f>IF(X135&gt;0,X135*1.28,0)</f>
        <v>0</v>
      </c>
      <c r="AY132" s="859"/>
      <c r="AZ132" s="849" t="s">
        <v>19</v>
      </c>
      <c r="BA132" s="850" t="s">
        <v>3406</v>
      </c>
      <c r="BB132" s="851"/>
      <c r="BC132" s="838"/>
    </row>
    <row r="133" spans="1:55" s="89" customFormat="1" ht="22.5" customHeight="1" x14ac:dyDescent="0.2">
      <c r="A133" s="287" t="s">
        <v>3278</v>
      </c>
      <c r="B133" s="288" t="s">
        <v>3279</v>
      </c>
      <c r="C133" s="294" t="s">
        <v>3177</v>
      </c>
      <c r="D133" s="290" t="s">
        <v>3280</v>
      </c>
      <c r="E133" s="290" t="s">
        <v>3281</v>
      </c>
      <c r="F133" s="295" t="s">
        <v>3165</v>
      </c>
      <c r="G133" s="295" t="s">
        <v>3166</v>
      </c>
      <c r="H133" s="292" t="s">
        <v>1344</v>
      </c>
      <c r="I133" s="293" t="s">
        <v>1344</v>
      </c>
      <c r="J133" s="340" t="s">
        <v>3172</v>
      </c>
      <c r="K133" s="341" t="s">
        <v>3170</v>
      </c>
      <c r="L133" s="256">
        <f>CONTINUA!BV133</f>
        <v>0</v>
      </c>
      <c r="M133" s="256">
        <f>CONTINUA!BW133</f>
        <v>0</v>
      </c>
      <c r="N133" s="565"/>
      <c r="O133" s="566" t="s">
        <v>3335</v>
      </c>
      <c r="P133" s="567">
        <v>0</v>
      </c>
      <c r="Q133" s="319"/>
      <c r="R133" s="320"/>
      <c r="S133" s="319"/>
      <c r="T133" s="320"/>
      <c r="U133" s="809" t="s">
        <v>3378</v>
      </c>
      <c r="V133" s="859">
        <f>+R131+R132+R133</f>
        <v>0</v>
      </c>
      <c r="W133" s="811" t="s">
        <v>3383</v>
      </c>
      <c r="X133" s="860">
        <f>SUM(V131:V134)</f>
        <v>0</v>
      </c>
      <c r="Y133" s="859"/>
      <c r="Z133" s="859"/>
      <c r="AA133" s="863" t="s">
        <v>3391</v>
      </c>
      <c r="AB133" s="820"/>
      <c r="AC133" s="820">
        <f>IF(X134&gt;15,7492.52)/30</f>
        <v>0</v>
      </c>
      <c r="AD133" s="821"/>
      <c r="AE133" s="864">
        <v>15</v>
      </c>
      <c r="AF133" s="859"/>
      <c r="AG133" s="828" t="s">
        <v>3395</v>
      </c>
      <c r="AH133" s="829"/>
      <c r="AI133" s="832">
        <f>IF(V135&gt;=AK132,7492.52,0)/30</f>
        <v>0</v>
      </c>
      <c r="AJ133" s="833">
        <f>SUM(AH132:AI134)</f>
        <v>0</v>
      </c>
      <c r="AK133" s="862"/>
      <c r="AL133" s="859"/>
      <c r="AM133" s="828" t="s">
        <v>3398</v>
      </c>
      <c r="AN133" s="829"/>
      <c r="AO133" s="832">
        <f>IF(X132&gt;=AQ133,7492.52,0)/30</f>
        <v>249.75066666666669</v>
      </c>
      <c r="AP133" s="833">
        <f>SUM(AN132:AO134)</f>
        <v>539.61599999999999</v>
      </c>
      <c r="AQ133" s="862">
        <v>10</v>
      </c>
      <c r="AR133" s="859"/>
      <c r="AS133" s="830"/>
      <c r="AT133" s="830"/>
      <c r="AU133" s="830"/>
      <c r="AV133" s="828"/>
      <c r="AW133" s="859"/>
      <c r="AX133" s="843"/>
      <c r="AY133" s="859"/>
      <c r="AZ133" s="830" t="s">
        <v>3407</v>
      </c>
      <c r="BA133" s="829">
        <f>IF(Z131&gt;0,Z131*9.64,0)</f>
        <v>0</v>
      </c>
      <c r="BB133" s="865">
        <f>IF(Z132&gt;0,Z132*56.2,0)</f>
        <v>0</v>
      </c>
      <c r="BC133" s="830">
        <f>SUM(BA133:BB133)</f>
        <v>0</v>
      </c>
    </row>
    <row r="134" spans="1:55" s="89" customFormat="1" ht="22.5" customHeight="1" x14ac:dyDescent="0.2">
      <c r="A134" s="287" t="s">
        <v>3278</v>
      </c>
      <c r="B134" s="288" t="s">
        <v>3279</v>
      </c>
      <c r="C134" s="294" t="s">
        <v>3177</v>
      </c>
      <c r="D134" s="290" t="s">
        <v>3280</v>
      </c>
      <c r="E134" s="290" t="s">
        <v>3281</v>
      </c>
      <c r="F134" s="295" t="s">
        <v>3165</v>
      </c>
      <c r="G134" s="295" t="s">
        <v>3166</v>
      </c>
      <c r="H134" s="292" t="s">
        <v>1344</v>
      </c>
      <c r="I134" s="293" t="s">
        <v>1344</v>
      </c>
      <c r="J134" s="340" t="s">
        <v>3172</v>
      </c>
      <c r="K134" s="342" t="s">
        <v>3171</v>
      </c>
      <c r="L134" s="256">
        <f>CONTINUA!BV134</f>
        <v>0</v>
      </c>
      <c r="M134" s="256">
        <f>CONTINUA!BW134</f>
        <v>0</v>
      </c>
      <c r="N134" s="565"/>
      <c r="O134" s="566" t="s">
        <v>3335</v>
      </c>
      <c r="P134" s="567">
        <v>0</v>
      </c>
      <c r="Q134" s="319">
        <v>24</v>
      </c>
      <c r="R134" s="320"/>
      <c r="S134" s="319"/>
      <c r="T134" s="320"/>
      <c r="U134" s="809" t="s">
        <v>3379</v>
      </c>
      <c r="V134" s="866">
        <f>+T131+T132+T133</f>
        <v>0</v>
      </c>
      <c r="W134" s="812" t="s">
        <v>3384</v>
      </c>
      <c r="X134" s="860">
        <f>SUM(V131:V132)</f>
        <v>0</v>
      </c>
      <c r="Y134" s="866"/>
      <c r="Z134" s="866"/>
      <c r="AA134" s="822" t="s">
        <v>3392</v>
      </c>
      <c r="AB134" s="823">
        <f>((X134-16)*385.23)/30</f>
        <v>-205.45600000000002</v>
      </c>
      <c r="AC134" s="823"/>
      <c r="AD134" s="824"/>
      <c r="AE134" s="864">
        <v>16</v>
      </c>
      <c r="AF134" s="866"/>
      <c r="AG134" s="834" t="s">
        <v>3396</v>
      </c>
      <c r="AH134" s="835">
        <f>IF(V135&gt;AK132,(V135-AK132)*2043.65,0)/30</f>
        <v>0</v>
      </c>
      <c r="AI134" s="836"/>
      <c r="AJ134" s="837"/>
      <c r="AK134" s="862"/>
      <c r="AL134" s="866"/>
      <c r="AM134" s="834" t="s">
        <v>3399</v>
      </c>
      <c r="AN134" s="835">
        <f>IF(X132&gt;AQ133,(X132-AQ133)*621.14,0)/30</f>
        <v>289.8653333333333</v>
      </c>
      <c r="AO134" s="836"/>
      <c r="AP134" s="837"/>
      <c r="AQ134" s="862"/>
      <c r="AR134" s="866"/>
      <c r="AS134" s="836"/>
      <c r="AT134" s="836"/>
      <c r="AU134" s="836"/>
      <c r="AV134" s="840"/>
      <c r="AW134" s="866"/>
      <c r="AX134" s="844"/>
      <c r="AY134" s="866"/>
      <c r="AZ134" s="836"/>
      <c r="BA134" s="835"/>
      <c r="BB134" s="852"/>
      <c r="BC134" s="836"/>
    </row>
    <row r="135" spans="1:55" s="89" customFormat="1" ht="22.5" customHeight="1" thickBot="1" x14ac:dyDescent="0.25">
      <c r="A135" s="296" t="s">
        <v>3278</v>
      </c>
      <c r="B135" s="297" t="s">
        <v>3279</v>
      </c>
      <c r="C135" s="298" t="s">
        <v>3177</v>
      </c>
      <c r="D135" s="299" t="s">
        <v>3280</v>
      </c>
      <c r="E135" s="299" t="s">
        <v>3281</v>
      </c>
      <c r="F135" s="300" t="s">
        <v>3165</v>
      </c>
      <c r="G135" s="300" t="s">
        <v>3166</v>
      </c>
      <c r="H135" s="301" t="s">
        <v>1344</v>
      </c>
      <c r="I135" s="302" t="s">
        <v>1344</v>
      </c>
      <c r="J135" s="340" t="s">
        <v>3172</v>
      </c>
      <c r="K135" s="343" t="s">
        <v>53</v>
      </c>
      <c r="L135" s="256">
        <f>CONTINUA!BV135</f>
        <v>0</v>
      </c>
      <c r="M135" s="256">
        <f>CONTINUA!BW135</f>
        <v>0</v>
      </c>
      <c r="N135" s="565"/>
      <c r="O135" s="566" t="s">
        <v>3335</v>
      </c>
      <c r="P135" s="567">
        <v>0</v>
      </c>
      <c r="Q135" s="319"/>
      <c r="R135" s="320"/>
      <c r="S135" s="319"/>
      <c r="T135" s="320"/>
      <c r="U135" s="867" t="s">
        <v>3380</v>
      </c>
      <c r="V135" s="868">
        <f>R131+R132+R133+R134+T131+T132+T133+T134</f>
        <v>0</v>
      </c>
      <c r="W135" s="812" t="s">
        <v>3385</v>
      </c>
      <c r="X135" s="869">
        <f>SUM(N131:N135)</f>
        <v>0</v>
      </c>
      <c r="Y135" s="868"/>
      <c r="Z135" s="868"/>
      <c r="AA135" s="868"/>
      <c r="AB135" s="868"/>
      <c r="AC135" s="868"/>
      <c r="AD135" s="868"/>
      <c r="AE135" s="868"/>
      <c r="AF135" s="868"/>
      <c r="AG135" s="868"/>
      <c r="AH135" s="868"/>
      <c r="AI135" s="868"/>
      <c r="AJ135" s="868"/>
      <c r="AK135" s="868"/>
      <c r="AL135" s="868"/>
      <c r="AM135" s="868"/>
      <c r="AN135" s="868"/>
      <c r="AO135" s="868"/>
      <c r="AP135" s="868"/>
      <c r="AQ135" s="868"/>
      <c r="AR135" s="868"/>
      <c r="AS135" s="868"/>
      <c r="AT135" s="868"/>
      <c r="AU135" s="868"/>
      <c r="AV135" s="868"/>
      <c r="AW135" s="868"/>
      <c r="AX135" s="868"/>
      <c r="AY135" s="868"/>
      <c r="AZ135" s="868"/>
      <c r="BA135" s="868"/>
      <c r="BB135" s="868"/>
      <c r="BC135" s="870"/>
    </row>
    <row r="136" spans="1:55" s="89" customFormat="1" ht="22.5" customHeight="1" x14ac:dyDescent="0.35">
      <c r="A136" t="s">
        <v>3282</v>
      </c>
      <c r="B136" s="430" t="s">
        <v>3283</v>
      </c>
      <c r="C136" s="431">
        <v>1</v>
      </c>
      <c r="D136" s="432" t="s">
        <v>3284</v>
      </c>
      <c r="E136" s="432" t="s">
        <v>3285</v>
      </c>
      <c r="F136" s="433" t="s">
        <v>3165</v>
      </c>
      <c r="G136" s="433" t="s">
        <v>3166</v>
      </c>
      <c r="H136" s="270" t="s">
        <v>1345</v>
      </c>
      <c r="I136" s="271" t="s">
        <v>1345</v>
      </c>
      <c r="J136" s="328" t="s">
        <v>3167</v>
      </c>
      <c r="K136" s="329" t="s">
        <v>3168</v>
      </c>
      <c r="L136" s="256">
        <f>CONTINUA!BV136</f>
        <v>0</v>
      </c>
      <c r="M136" s="256">
        <f>CONTINUA!BW136</f>
        <v>0</v>
      </c>
      <c r="N136" s="565"/>
      <c r="O136" s="566" t="s">
        <v>3336</v>
      </c>
      <c r="P136" s="567">
        <v>0</v>
      </c>
      <c r="Q136" s="319">
        <v>32</v>
      </c>
      <c r="R136" s="320"/>
      <c r="S136" s="319"/>
      <c r="T136" s="320"/>
      <c r="U136" s="807" t="s">
        <v>3376</v>
      </c>
      <c r="V136" s="808">
        <f>Q136+Q137+Q138</f>
        <v>32</v>
      </c>
      <c r="W136" s="853" t="s">
        <v>3381</v>
      </c>
      <c r="X136" s="854">
        <f>(R136+R137+R138+T136+T137+T138)</f>
        <v>0</v>
      </c>
      <c r="Y136" s="855" t="s">
        <v>3386</v>
      </c>
      <c r="Z136" s="854">
        <f>SUM(L136:L140)</f>
        <v>0</v>
      </c>
      <c r="AA136" s="813" t="s">
        <v>306</v>
      </c>
      <c r="AB136" s="814" t="s">
        <v>3388</v>
      </c>
      <c r="AC136" s="815" t="s">
        <v>19</v>
      </c>
      <c r="AD136" s="856"/>
      <c r="AE136" s="857" t="s">
        <v>3389</v>
      </c>
      <c r="AF136" s="858"/>
      <c r="AG136" s="842" t="s">
        <v>3393</v>
      </c>
      <c r="AH136" s="825" t="s">
        <v>3388</v>
      </c>
      <c r="AI136" s="826" t="s">
        <v>19</v>
      </c>
      <c r="AJ136" s="827"/>
      <c r="AK136" s="856">
        <v>1</v>
      </c>
      <c r="AL136" s="858"/>
      <c r="AM136" s="842" t="s">
        <v>3400</v>
      </c>
      <c r="AN136" s="825" t="s">
        <v>3388</v>
      </c>
      <c r="AO136" s="826" t="s">
        <v>19</v>
      </c>
      <c r="AP136" s="827"/>
      <c r="AQ136" s="856"/>
      <c r="AR136" s="858"/>
      <c r="AS136" s="841" t="s">
        <v>3401</v>
      </c>
      <c r="AT136" s="838"/>
      <c r="AU136" s="838"/>
      <c r="AV136" s="839"/>
      <c r="AW136" s="858"/>
      <c r="AX136" s="845" t="s">
        <v>3402</v>
      </c>
      <c r="AY136" s="858"/>
      <c r="AZ136" s="845" t="s">
        <v>3403</v>
      </c>
      <c r="BA136" s="846" t="s">
        <v>3404</v>
      </c>
      <c r="BB136" s="847" t="s">
        <v>3405</v>
      </c>
      <c r="BC136" s="848"/>
    </row>
    <row r="137" spans="1:55" s="89" customFormat="1" ht="22.5" customHeight="1" x14ac:dyDescent="0.2">
      <c r="A137" s="287" t="s">
        <v>3282</v>
      </c>
      <c r="B137" s="288" t="s">
        <v>3283</v>
      </c>
      <c r="C137" s="289" t="s">
        <v>3175</v>
      </c>
      <c r="D137" s="290" t="s">
        <v>3284</v>
      </c>
      <c r="E137" s="290" t="s">
        <v>3285</v>
      </c>
      <c r="F137" s="291" t="s">
        <v>3165</v>
      </c>
      <c r="G137" s="291" t="s">
        <v>3166</v>
      </c>
      <c r="H137" s="292" t="s">
        <v>1345</v>
      </c>
      <c r="I137" s="293" t="s">
        <v>1345</v>
      </c>
      <c r="J137" s="340" t="s">
        <v>3167</v>
      </c>
      <c r="K137" s="340" t="s">
        <v>3169</v>
      </c>
      <c r="L137" s="256">
        <f>CONTINUA!BV137</f>
        <v>0</v>
      </c>
      <c r="M137" s="256">
        <f>CONTINUA!BW137</f>
        <v>0</v>
      </c>
      <c r="N137" s="565"/>
      <c r="O137" s="566" t="s">
        <v>3336</v>
      </c>
      <c r="P137" s="567">
        <v>0</v>
      </c>
      <c r="Q137" s="319"/>
      <c r="R137" s="320"/>
      <c r="S137" s="319"/>
      <c r="T137" s="320"/>
      <c r="U137" s="809" t="s">
        <v>3377</v>
      </c>
      <c r="V137" s="859">
        <f>+S136+S137+S138</f>
        <v>0</v>
      </c>
      <c r="W137" s="810" t="s">
        <v>3382</v>
      </c>
      <c r="X137" s="860">
        <f>(Q139+S139)</f>
        <v>0</v>
      </c>
      <c r="Y137" s="812" t="s">
        <v>3387</v>
      </c>
      <c r="Z137" s="860">
        <f>SUM(M136:M140)</f>
        <v>0</v>
      </c>
      <c r="AA137" s="816" t="s">
        <v>3390</v>
      </c>
      <c r="AB137" s="817">
        <f>IF(X139&lt;=15,X139*385.23,0)/30</f>
        <v>0</v>
      </c>
      <c r="AC137" s="818"/>
      <c r="AD137" s="819">
        <f>SUM(AB137:AC139)</f>
        <v>455.20666666666671</v>
      </c>
      <c r="AE137" s="861"/>
      <c r="AF137" s="859"/>
      <c r="AG137" s="828" t="s">
        <v>3394</v>
      </c>
      <c r="AH137" s="829">
        <f>IF(V140=AK136,2043.65,0)/30</f>
        <v>0</v>
      </c>
      <c r="AI137" s="830"/>
      <c r="AJ137" s="831"/>
      <c r="AK137" s="862">
        <v>2</v>
      </c>
      <c r="AL137" s="859"/>
      <c r="AM137" s="828" t="s">
        <v>3397</v>
      </c>
      <c r="AN137" s="829">
        <f>IF(X137&lt;=AQ137,621.14*X137,0)/30</f>
        <v>0</v>
      </c>
      <c r="AO137" s="830"/>
      <c r="AP137" s="831"/>
      <c r="AQ137" s="862">
        <v>9</v>
      </c>
      <c r="AR137" s="859"/>
      <c r="AS137" s="830">
        <f>IF((SUM(V136:V139))&gt;=1,11465.63,0)/30</f>
        <v>382.18766666666664</v>
      </c>
      <c r="AT137" s="830">
        <f>IF((V136+V137)&gt;=1,(V136+V137)*385.23,0)/30</f>
        <v>410.91200000000003</v>
      </c>
      <c r="AU137" s="830">
        <f>IF((V138+V139)&gt;=1,(V138+V139)*2043.65,0)</f>
        <v>0</v>
      </c>
      <c r="AV137" s="828">
        <f>SUM(AS137:AU137)</f>
        <v>793.09966666666674</v>
      </c>
      <c r="AW137" s="859"/>
      <c r="AX137" s="843">
        <f>IF(X140&gt;0,X140*1.28,0)</f>
        <v>0</v>
      </c>
      <c r="AY137" s="859"/>
      <c r="AZ137" s="849" t="s">
        <v>19</v>
      </c>
      <c r="BA137" s="850" t="s">
        <v>3406</v>
      </c>
      <c r="BB137" s="851"/>
      <c r="BC137" s="838"/>
    </row>
    <row r="138" spans="1:55" s="89" customFormat="1" ht="22.5" customHeight="1" x14ac:dyDescent="0.2">
      <c r="A138" s="287" t="s">
        <v>3282</v>
      </c>
      <c r="B138" s="288" t="s">
        <v>3283</v>
      </c>
      <c r="C138" s="294" t="s">
        <v>3175</v>
      </c>
      <c r="D138" s="290" t="s">
        <v>3284</v>
      </c>
      <c r="E138" s="290" t="s">
        <v>3285</v>
      </c>
      <c r="F138" s="295" t="s">
        <v>3165</v>
      </c>
      <c r="G138" s="295" t="s">
        <v>3166</v>
      </c>
      <c r="H138" s="292" t="s">
        <v>1345</v>
      </c>
      <c r="I138" s="293" t="s">
        <v>1345</v>
      </c>
      <c r="J138" s="340" t="s">
        <v>3167</v>
      </c>
      <c r="K138" s="341" t="s">
        <v>3170</v>
      </c>
      <c r="L138" s="256">
        <f>CONTINUA!BV138</f>
        <v>0</v>
      </c>
      <c r="M138" s="256">
        <f>CONTINUA!BW138</f>
        <v>0</v>
      </c>
      <c r="N138" s="565"/>
      <c r="O138" s="566" t="s">
        <v>3336</v>
      </c>
      <c r="P138" s="567">
        <v>0</v>
      </c>
      <c r="Q138" s="319"/>
      <c r="R138" s="320"/>
      <c r="S138" s="319"/>
      <c r="T138" s="320"/>
      <c r="U138" s="809" t="s">
        <v>3378</v>
      </c>
      <c r="V138" s="859">
        <f>+R136+R137+R138</f>
        <v>0</v>
      </c>
      <c r="W138" s="811" t="s">
        <v>3383</v>
      </c>
      <c r="X138" s="860">
        <f>SUM(V136:V139)</f>
        <v>32</v>
      </c>
      <c r="Y138" s="859"/>
      <c r="Z138" s="859"/>
      <c r="AA138" s="863" t="s">
        <v>3391</v>
      </c>
      <c r="AB138" s="820"/>
      <c r="AC138" s="820">
        <f>IF(X139&gt;15,7492.52)/30</f>
        <v>249.75066666666669</v>
      </c>
      <c r="AD138" s="821"/>
      <c r="AE138" s="864">
        <v>15</v>
      </c>
      <c r="AF138" s="859"/>
      <c r="AG138" s="828" t="s">
        <v>3395</v>
      </c>
      <c r="AH138" s="829"/>
      <c r="AI138" s="832">
        <f>IF(V140&gt;=AK137,7492.52,0)/30</f>
        <v>0</v>
      </c>
      <c r="AJ138" s="833">
        <f>SUM(AH137:AI139)</f>
        <v>0</v>
      </c>
      <c r="AK138" s="862"/>
      <c r="AL138" s="859"/>
      <c r="AM138" s="828" t="s">
        <v>3398</v>
      </c>
      <c r="AN138" s="829"/>
      <c r="AO138" s="832">
        <f>IF(X137&gt;=AQ138,7492.52,0)/30</f>
        <v>0</v>
      </c>
      <c r="AP138" s="833">
        <f>SUM(AN137:AO139)</f>
        <v>0</v>
      </c>
      <c r="AQ138" s="862">
        <v>10</v>
      </c>
      <c r="AR138" s="859"/>
      <c r="AS138" s="830"/>
      <c r="AT138" s="830"/>
      <c r="AU138" s="830"/>
      <c r="AV138" s="828"/>
      <c r="AW138" s="859"/>
      <c r="AX138" s="843"/>
      <c r="AY138" s="859"/>
      <c r="AZ138" s="830" t="s">
        <v>3407</v>
      </c>
      <c r="BA138" s="829">
        <f>IF(Z136&gt;0,Z136*9.64,0)</f>
        <v>0</v>
      </c>
      <c r="BB138" s="865">
        <f>IF(Z137&gt;0,Z137*56.2,0)</f>
        <v>0</v>
      </c>
      <c r="BC138" s="830">
        <f>SUM(BA138:BB138)</f>
        <v>0</v>
      </c>
    </row>
    <row r="139" spans="1:55" s="89" customFormat="1" ht="22.5" customHeight="1" x14ac:dyDescent="0.2">
      <c r="A139" s="287" t="s">
        <v>3282</v>
      </c>
      <c r="B139" s="288" t="s">
        <v>3283</v>
      </c>
      <c r="C139" s="294" t="s">
        <v>3175</v>
      </c>
      <c r="D139" s="290" t="s">
        <v>3284</v>
      </c>
      <c r="E139" s="290" t="s">
        <v>3285</v>
      </c>
      <c r="F139" s="295" t="s">
        <v>3165</v>
      </c>
      <c r="G139" s="295" t="s">
        <v>3166</v>
      </c>
      <c r="H139" s="292" t="s">
        <v>1345</v>
      </c>
      <c r="I139" s="293" t="s">
        <v>1345</v>
      </c>
      <c r="J139" s="340" t="s">
        <v>3167</v>
      </c>
      <c r="K139" s="342" t="s">
        <v>3171</v>
      </c>
      <c r="L139" s="256">
        <f>CONTINUA!BV139</f>
        <v>0</v>
      </c>
      <c r="M139" s="256">
        <f>CONTINUA!BW139</f>
        <v>0</v>
      </c>
      <c r="N139" s="565"/>
      <c r="O139" s="566" t="s">
        <v>3336</v>
      </c>
      <c r="P139" s="567">
        <v>0</v>
      </c>
      <c r="Q139" s="319"/>
      <c r="R139" s="320"/>
      <c r="S139" s="319"/>
      <c r="T139" s="320"/>
      <c r="U139" s="809" t="s">
        <v>3379</v>
      </c>
      <c r="V139" s="866">
        <f>+T136+T137+T138</f>
        <v>0</v>
      </c>
      <c r="W139" s="812" t="s">
        <v>3384</v>
      </c>
      <c r="X139" s="860">
        <f>SUM(V136:V137)</f>
        <v>32</v>
      </c>
      <c r="Y139" s="866"/>
      <c r="Z139" s="866"/>
      <c r="AA139" s="822" t="s">
        <v>3392</v>
      </c>
      <c r="AB139" s="823">
        <f>((X139-16)*385.23)/30</f>
        <v>205.45600000000002</v>
      </c>
      <c r="AC139" s="823"/>
      <c r="AD139" s="824"/>
      <c r="AE139" s="864">
        <v>16</v>
      </c>
      <c r="AF139" s="866"/>
      <c r="AG139" s="834" t="s">
        <v>3396</v>
      </c>
      <c r="AH139" s="835">
        <f>IF(V140&gt;AK137,(V140-AK137)*2043.65,0)/30</f>
        <v>0</v>
      </c>
      <c r="AI139" s="836"/>
      <c r="AJ139" s="837"/>
      <c r="AK139" s="862"/>
      <c r="AL139" s="866"/>
      <c r="AM139" s="834" t="s">
        <v>3399</v>
      </c>
      <c r="AN139" s="835">
        <f>IF(X137&gt;AQ138,(X137-AQ138)*621.14,0)/30</f>
        <v>0</v>
      </c>
      <c r="AO139" s="836"/>
      <c r="AP139" s="837"/>
      <c r="AQ139" s="862"/>
      <c r="AR139" s="866"/>
      <c r="AS139" s="836"/>
      <c r="AT139" s="836"/>
      <c r="AU139" s="836"/>
      <c r="AV139" s="840"/>
      <c r="AW139" s="866"/>
      <c r="AX139" s="844"/>
      <c r="AY139" s="866"/>
      <c r="AZ139" s="836"/>
      <c r="BA139" s="835"/>
      <c r="BB139" s="852"/>
      <c r="BC139" s="836"/>
    </row>
    <row r="140" spans="1:55" s="89" customFormat="1" ht="22.5" customHeight="1" thickBot="1" x14ac:dyDescent="0.25">
      <c r="A140" s="296" t="s">
        <v>3282</v>
      </c>
      <c r="B140" s="297" t="s">
        <v>3283</v>
      </c>
      <c r="C140" s="298" t="s">
        <v>3175</v>
      </c>
      <c r="D140" s="299" t="s">
        <v>3284</v>
      </c>
      <c r="E140" s="299" t="s">
        <v>3285</v>
      </c>
      <c r="F140" s="300" t="s">
        <v>3165</v>
      </c>
      <c r="G140" s="300" t="s">
        <v>3166</v>
      </c>
      <c r="H140" s="301" t="s">
        <v>1345</v>
      </c>
      <c r="I140" s="302" t="s">
        <v>1345</v>
      </c>
      <c r="J140" s="340" t="s">
        <v>3167</v>
      </c>
      <c r="K140" s="343" t="s">
        <v>53</v>
      </c>
      <c r="L140" s="256">
        <f>CONTINUA!BV140</f>
        <v>0</v>
      </c>
      <c r="M140" s="256">
        <f>CONTINUA!BW140</f>
        <v>0</v>
      </c>
      <c r="N140" s="565"/>
      <c r="O140" s="566" t="s">
        <v>3336</v>
      </c>
      <c r="P140" s="567">
        <v>0</v>
      </c>
      <c r="Q140" s="319"/>
      <c r="R140" s="320"/>
      <c r="S140" s="319"/>
      <c r="T140" s="320"/>
      <c r="U140" s="867" t="s">
        <v>3380</v>
      </c>
      <c r="V140" s="868">
        <f>R136+R137+R138+R139+T136+T137+T138+T139</f>
        <v>0</v>
      </c>
      <c r="W140" s="812" t="s">
        <v>3385</v>
      </c>
      <c r="X140" s="869">
        <f>SUM(N136:N140)</f>
        <v>0</v>
      </c>
      <c r="Y140" s="868"/>
      <c r="Z140" s="868"/>
      <c r="AA140" s="868"/>
      <c r="AB140" s="868"/>
      <c r="AC140" s="868"/>
      <c r="AD140" s="868"/>
      <c r="AE140" s="868"/>
      <c r="AF140" s="868"/>
      <c r="AG140" s="868"/>
      <c r="AH140" s="868"/>
      <c r="AI140" s="868"/>
      <c r="AJ140" s="868"/>
      <c r="AK140" s="868"/>
      <c r="AL140" s="868"/>
      <c r="AM140" s="868"/>
      <c r="AN140" s="868"/>
      <c r="AO140" s="868"/>
      <c r="AP140" s="868"/>
      <c r="AQ140" s="868"/>
      <c r="AR140" s="868"/>
      <c r="AS140" s="868"/>
      <c r="AT140" s="868"/>
      <c r="AU140" s="868"/>
      <c r="AV140" s="868"/>
      <c r="AW140" s="868"/>
      <c r="AX140" s="868"/>
      <c r="AY140" s="868"/>
      <c r="AZ140" s="868"/>
      <c r="BA140" s="868"/>
      <c r="BB140" s="868"/>
      <c r="BC140" s="870"/>
    </row>
    <row r="141" spans="1:55" s="89" customFormat="1" ht="22.5" customHeight="1" x14ac:dyDescent="0.35">
      <c r="A141" t="s">
        <v>3286</v>
      </c>
      <c r="B141" s="430" t="s">
        <v>3287</v>
      </c>
      <c r="C141" s="431">
        <v>1</v>
      </c>
      <c r="D141" s="432" t="s">
        <v>3288</v>
      </c>
      <c r="E141" s="432" t="s">
        <v>3289</v>
      </c>
      <c r="F141" s="433" t="s">
        <v>3165</v>
      </c>
      <c r="G141" s="433" t="s">
        <v>3166</v>
      </c>
      <c r="H141" s="270" t="s">
        <v>1346</v>
      </c>
      <c r="I141" s="271" t="s">
        <v>1346</v>
      </c>
      <c r="J141" s="328" t="s">
        <v>3167</v>
      </c>
      <c r="K141" s="329" t="s">
        <v>3168</v>
      </c>
      <c r="L141" s="256">
        <f>CONTINUA!BV141</f>
        <v>0</v>
      </c>
      <c r="M141" s="256">
        <f>CONTINUA!BW141</f>
        <v>0</v>
      </c>
      <c r="N141" s="565"/>
      <c r="O141" s="566" t="s">
        <v>3337</v>
      </c>
      <c r="P141" s="567">
        <v>0</v>
      </c>
      <c r="Q141" s="319">
        <v>10</v>
      </c>
      <c r="R141" s="320"/>
      <c r="S141" s="319"/>
      <c r="T141" s="320"/>
      <c r="U141" s="807" t="s">
        <v>3376</v>
      </c>
      <c r="V141" s="808">
        <f>Q141+Q142+Q143</f>
        <v>36</v>
      </c>
      <c r="W141" s="853" t="s">
        <v>3381</v>
      </c>
      <c r="X141" s="854">
        <f>(R141+R142+R143+T141+T142+T143)</f>
        <v>0</v>
      </c>
      <c r="Y141" s="855" t="s">
        <v>3386</v>
      </c>
      <c r="Z141" s="854">
        <f>SUM(L141:L145)</f>
        <v>0</v>
      </c>
      <c r="AA141" s="813" t="s">
        <v>306</v>
      </c>
      <c r="AB141" s="814" t="s">
        <v>3388</v>
      </c>
      <c r="AC141" s="815" t="s">
        <v>19</v>
      </c>
      <c r="AD141" s="856"/>
      <c r="AE141" s="857" t="s">
        <v>3389</v>
      </c>
      <c r="AF141" s="858"/>
      <c r="AG141" s="842" t="s">
        <v>3393</v>
      </c>
      <c r="AH141" s="825" t="s">
        <v>3388</v>
      </c>
      <c r="AI141" s="826" t="s">
        <v>19</v>
      </c>
      <c r="AJ141" s="827"/>
      <c r="AK141" s="856">
        <v>1</v>
      </c>
      <c r="AL141" s="858"/>
      <c r="AM141" s="842" t="s">
        <v>3400</v>
      </c>
      <c r="AN141" s="825" t="s">
        <v>3388</v>
      </c>
      <c r="AO141" s="826" t="s">
        <v>19</v>
      </c>
      <c r="AP141" s="827"/>
      <c r="AQ141" s="856"/>
      <c r="AR141" s="858"/>
      <c r="AS141" s="841" t="s">
        <v>3401</v>
      </c>
      <c r="AT141" s="838"/>
      <c r="AU141" s="838"/>
      <c r="AV141" s="839"/>
      <c r="AW141" s="858"/>
      <c r="AX141" s="845" t="s">
        <v>3402</v>
      </c>
      <c r="AY141" s="858"/>
      <c r="AZ141" s="845" t="s">
        <v>3403</v>
      </c>
      <c r="BA141" s="846" t="s">
        <v>3404</v>
      </c>
      <c r="BB141" s="847" t="s">
        <v>3405</v>
      </c>
      <c r="BC141" s="848"/>
    </row>
    <row r="142" spans="1:55" s="89" customFormat="1" ht="22.5" customHeight="1" x14ac:dyDescent="0.2">
      <c r="A142" s="287" t="s">
        <v>3286</v>
      </c>
      <c r="B142" s="288" t="s">
        <v>3287</v>
      </c>
      <c r="C142" s="289" t="s">
        <v>3175</v>
      </c>
      <c r="D142" s="290" t="s">
        <v>3288</v>
      </c>
      <c r="E142" s="290" t="s">
        <v>3289</v>
      </c>
      <c r="F142" s="291" t="s">
        <v>3165</v>
      </c>
      <c r="G142" s="291" t="s">
        <v>3166</v>
      </c>
      <c r="H142" s="292" t="s">
        <v>1346</v>
      </c>
      <c r="I142" s="293" t="s">
        <v>1346</v>
      </c>
      <c r="J142" s="340" t="s">
        <v>3167</v>
      </c>
      <c r="K142" s="340" t="s">
        <v>3169</v>
      </c>
      <c r="L142" s="256">
        <f>CONTINUA!BV142</f>
        <v>0</v>
      </c>
      <c r="M142" s="256">
        <f>CONTINUA!BW142</f>
        <v>0</v>
      </c>
      <c r="N142" s="565"/>
      <c r="O142" s="566" t="s">
        <v>3337</v>
      </c>
      <c r="P142" s="567">
        <v>0</v>
      </c>
      <c r="Q142" s="319">
        <v>26</v>
      </c>
      <c r="R142" s="320"/>
      <c r="S142" s="319">
        <v>1</v>
      </c>
      <c r="T142" s="320"/>
      <c r="U142" s="809" t="s">
        <v>3377</v>
      </c>
      <c r="V142" s="859">
        <f>+S141+S142+S143</f>
        <v>1</v>
      </c>
      <c r="W142" s="810" t="s">
        <v>3382</v>
      </c>
      <c r="X142" s="860">
        <f>(Q144+S144)</f>
        <v>0</v>
      </c>
      <c r="Y142" s="812" t="s">
        <v>3387</v>
      </c>
      <c r="Z142" s="860">
        <f>SUM(M141:M145)</f>
        <v>0</v>
      </c>
      <c r="AA142" s="816" t="s">
        <v>3390</v>
      </c>
      <c r="AB142" s="817">
        <f>IF(X144&lt;=15,X144*385.23,0)/30</f>
        <v>0</v>
      </c>
      <c r="AC142" s="818"/>
      <c r="AD142" s="819">
        <f>SUM(AB142:AC144)</f>
        <v>519.41166666666663</v>
      </c>
      <c r="AE142" s="861"/>
      <c r="AF142" s="859"/>
      <c r="AG142" s="828" t="s">
        <v>3394</v>
      </c>
      <c r="AH142" s="829">
        <f>IF(V145=AK141,2043.65,0)/30</f>
        <v>0</v>
      </c>
      <c r="AI142" s="830"/>
      <c r="AJ142" s="831"/>
      <c r="AK142" s="862">
        <v>2</v>
      </c>
      <c r="AL142" s="859"/>
      <c r="AM142" s="828" t="s">
        <v>3397</v>
      </c>
      <c r="AN142" s="829">
        <f>IF(X142&lt;=AQ142,621.14*X142,0)/30</f>
        <v>0</v>
      </c>
      <c r="AO142" s="830"/>
      <c r="AP142" s="831"/>
      <c r="AQ142" s="862">
        <v>9</v>
      </c>
      <c r="AR142" s="859"/>
      <c r="AS142" s="830">
        <f>IF((SUM(V141:V144))&gt;=1,11465.63,0)/30</f>
        <v>382.18766666666664</v>
      </c>
      <c r="AT142" s="830">
        <f>IF((V141+V142)&gt;=1,(V141+V142)*385.23,0)/30</f>
        <v>475.11700000000002</v>
      </c>
      <c r="AU142" s="830">
        <f>IF((V143+V144)&gt;=1,(V143+V144)*2043.65,0)</f>
        <v>0</v>
      </c>
      <c r="AV142" s="828">
        <f>SUM(AS142:AU142)</f>
        <v>857.30466666666666</v>
      </c>
      <c r="AW142" s="859"/>
      <c r="AX142" s="843">
        <f>IF(X145&gt;0,X145*1.28,0)</f>
        <v>0</v>
      </c>
      <c r="AY142" s="859"/>
      <c r="AZ142" s="849" t="s">
        <v>19</v>
      </c>
      <c r="BA142" s="850" t="s">
        <v>3406</v>
      </c>
      <c r="BB142" s="851"/>
      <c r="BC142" s="838"/>
    </row>
    <row r="143" spans="1:55" s="89" customFormat="1" ht="22.5" customHeight="1" x14ac:dyDescent="0.2">
      <c r="A143" s="287" t="s">
        <v>3286</v>
      </c>
      <c r="B143" s="288" t="s">
        <v>3287</v>
      </c>
      <c r="C143" s="294" t="s">
        <v>3175</v>
      </c>
      <c r="D143" s="290" t="s">
        <v>3288</v>
      </c>
      <c r="E143" s="290" t="s">
        <v>3289</v>
      </c>
      <c r="F143" s="295" t="s">
        <v>3165</v>
      </c>
      <c r="G143" s="295" t="s">
        <v>3166</v>
      </c>
      <c r="H143" s="292" t="s">
        <v>1346</v>
      </c>
      <c r="I143" s="293" t="s">
        <v>1346</v>
      </c>
      <c r="J143" s="340" t="s">
        <v>3167</v>
      </c>
      <c r="K143" s="341" t="s">
        <v>3170</v>
      </c>
      <c r="L143" s="256">
        <f>CONTINUA!BV143</f>
        <v>0</v>
      </c>
      <c r="M143" s="256">
        <f>CONTINUA!BW143</f>
        <v>0</v>
      </c>
      <c r="N143" s="565"/>
      <c r="O143" s="566" t="s">
        <v>3337</v>
      </c>
      <c r="P143" s="567">
        <v>0</v>
      </c>
      <c r="Q143" s="319"/>
      <c r="R143" s="320"/>
      <c r="S143" s="319"/>
      <c r="T143" s="320"/>
      <c r="U143" s="809" t="s">
        <v>3378</v>
      </c>
      <c r="V143" s="859">
        <f>+R141+R142+R143</f>
        <v>0</v>
      </c>
      <c r="W143" s="811" t="s">
        <v>3383</v>
      </c>
      <c r="X143" s="860">
        <f>SUM(V141:V144)</f>
        <v>37</v>
      </c>
      <c r="Y143" s="859"/>
      <c r="Z143" s="859"/>
      <c r="AA143" s="863" t="s">
        <v>3391</v>
      </c>
      <c r="AB143" s="820"/>
      <c r="AC143" s="820">
        <f>IF(X144&gt;15,7492.52)/30</f>
        <v>249.75066666666669</v>
      </c>
      <c r="AD143" s="821"/>
      <c r="AE143" s="864">
        <v>15</v>
      </c>
      <c r="AF143" s="859"/>
      <c r="AG143" s="828" t="s">
        <v>3395</v>
      </c>
      <c r="AH143" s="829"/>
      <c r="AI143" s="832">
        <f>IF(V145&gt;=AK142,7492.52,0)/30</f>
        <v>0</v>
      </c>
      <c r="AJ143" s="833">
        <f>SUM(AH142:AI144)</f>
        <v>0</v>
      </c>
      <c r="AK143" s="862"/>
      <c r="AL143" s="859"/>
      <c r="AM143" s="828" t="s">
        <v>3398</v>
      </c>
      <c r="AN143" s="829"/>
      <c r="AO143" s="832">
        <f>IF(X142&gt;=AQ143,7492.52,0)/30</f>
        <v>0</v>
      </c>
      <c r="AP143" s="833">
        <f>SUM(AN142:AO144)</f>
        <v>0</v>
      </c>
      <c r="AQ143" s="862">
        <v>10</v>
      </c>
      <c r="AR143" s="859"/>
      <c r="AS143" s="830"/>
      <c r="AT143" s="830"/>
      <c r="AU143" s="830"/>
      <c r="AV143" s="828"/>
      <c r="AW143" s="859"/>
      <c r="AX143" s="843"/>
      <c r="AY143" s="859"/>
      <c r="AZ143" s="830" t="s">
        <v>3407</v>
      </c>
      <c r="BA143" s="829">
        <f>IF(Z141&gt;0,Z141*9.64,0)</f>
        <v>0</v>
      </c>
      <c r="BB143" s="865">
        <f>IF(Z142&gt;0,Z142*56.2,0)</f>
        <v>0</v>
      </c>
      <c r="BC143" s="830">
        <f>SUM(BA143:BB143)</f>
        <v>0</v>
      </c>
    </row>
    <row r="144" spans="1:55" s="89" customFormat="1" ht="22.5" customHeight="1" x14ac:dyDescent="0.2">
      <c r="A144" s="287" t="s">
        <v>3286</v>
      </c>
      <c r="B144" s="288" t="s">
        <v>3287</v>
      </c>
      <c r="C144" s="294" t="s">
        <v>3175</v>
      </c>
      <c r="D144" s="290" t="s">
        <v>3288</v>
      </c>
      <c r="E144" s="290" t="s">
        <v>3289</v>
      </c>
      <c r="F144" s="295" t="s">
        <v>3165</v>
      </c>
      <c r="G144" s="295" t="s">
        <v>3166</v>
      </c>
      <c r="H144" s="292" t="s">
        <v>1346</v>
      </c>
      <c r="I144" s="293" t="s">
        <v>1346</v>
      </c>
      <c r="J144" s="340" t="s">
        <v>3167</v>
      </c>
      <c r="K144" s="342" t="s">
        <v>3171</v>
      </c>
      <c r="L144" s="256">
        <f>CONTINUA!BV144</f>
        <v>0</v>
      </c>
      <c r="M144" s="256">
        <f>CONTINUA!BW144</f>
        <v>0</v>
      </c>
      <c r="N144" s="565"/>
      <c r="O144" s="566" t="s">
        <v>3337</v>
      </c>
      <c r="P144" s="567">
        <v>0</v>
      </c>
      <c r="Q144" s="319"/>
      <c r="R144" s="320"/>
      <c r="S144" s="319"/>
      <c r="T144" s="320"/>
      <c r="U144" s="809" t="s">
        <v>3379</v>
      </c>
      <c r="V144" s="866">
        <f>+T141+T142+T143</f>
        <v>0</v>
      </c>
      <c r="W144" s="812" t="s">
        <v>3384</v>
      </c>
      <c r="X144" s="860">
        <f>SUM(V141:V142)</f>
        <v>37</v>
      </c>
      <c r="Y144" s="866"/>
      <c r="Z144" s="866"/>
      <c r="AA144" s="822" t="s">
        <v>3392</v>
      </c>
      <c r="AB144" s="823">
        <f>((X144-16)*385.23)/30</f>
        <v>269.661</v>
      </c>
      <c r="AC144" s="823"/>
      <c r="AD144" s="824"/>
      <c r="AE144" s="864">
        <v>16</v>
      </c>
      <c r="AF144" s="866"/>
      <c r="AG144" s="834" t="s">
        <v>3396</v>
      </c>
      <c r="AH144" s="835">
        <f>IF(V145&gt;AK142,(V145-AK142)*2043.65,0)/30</f>
        <v>0</v>
      </c>
      <c r="AI144" s="836"/>
      <c r="AJ144" s="837"/>
      <c r="AK144" s="862"/>
      <c r="AL144" s="866"/>
      <c r="AM144" s="834" t="s">
        <v>3399</v>
      </c>
      <c r="AN144" s="835">
        <f>IF(X142&gt;AQ143,(X142-AQ143)*621.14,0)/30</f>
        <v>0</v>
      </c>
      <c r="AO144" s="836"/>
      <c r="AP144" s="837"/>
      <c r="AQ144" s="862"/>
      <c r="AR144" s="866"/>
      <c r="AS144" s="836"/>
      <c r="AT144" s="836"/>
      <c r="AU144" s="836"/>
      <c r="AV144" s="840"/>
      <c r="AW144" s="866"/>
      <c r="AX144" s="844"/>
      <c r="AY144" s="866"/>
      <c r="AZ144" s="836"/>
      <c r="BA144" s="835"/>
      <c r="BB144" s="852"/>
      <c r="BC144" s="836"/>
    </row>
    <row r="145" spans="1:55" s="89" customFormat="1" ht="22.5" customHeight="1" thickBot="1" x14ac:dyDescent="0.25">
      <c r="A145" s="296" t="s">
        <v>3286</v>
      </c>
      <c r="B145" s="297" t="s">
        <v>3287</v>
      </c>
      <c r="C145" s="298" t="s">
        <v>3175</v>
      </c>
      <c r="D145" s="299" t="s">
        <v>3288</v>
      </c>
      <c r="E145" s="299" t="s">
        <v>3289</v>
      </c>
      <c r="F145" s="300" t="s">
        <v>3165</v>
      </c>
      <c r="G145" s="300" t="s">
        <v>3166</v>
      </c>
      <c r="H145" s="301" t="s">
        <v>1346</v>
      </c>
      <c r="I145" s="302" t="s">
        <v>1346</v>
      </c>
      <c r="J145" s="340" t="s">
        <v>3167</v>
      </c>
      <c r="K145" s="343" t="s">
        <v>53</v>
      </c>
      <c r="L145" s="256">
        <f>CONTINUA!BV145</f>
        <v>0</v>
      </c>
      <c r="M145" s="256">
        <f>CONTINUA!BW145</f>
        <v>0</v>
      </c>
      <c r="N145" s="565"/>
      <c r="O145" s="566" t="s">
        <v>3337</v>
      </c>
      <c r="P145" s="567">
        <v>0</v>
      </c>
      <c r="Q145" s="319"/>
      <c r="R145" s="320"/>
      <c r="S145" s="319"/>
      <c r="T145" s="320"/>
      <c r="U145" s="867" t="s">
        <v>3380</v>
      </c>
      <c r="V145" s="868">
        <f>R141+R142+R143+R144+T141+T142+T143+T144</f>
        <v>0</v>
      </c>
      <c r="W145" s="812" t="s">
        <v>3385</v>
      </c>
      <c r="X145" s="869">
        <f>SUM(N141:N145)</f>
        <v>0</v>
      </c>
      <c r="Y145" s="868"/>
      <c r="Z145" s="868"/>
      <c r="AA145" s="868"/>
      <c r="AB145" s="868"/>
      <c r="AC145" s="868"/>
      <c r="AD145" s="868"/>
      <c r="AE145" s="868"/>
      <c r="AF145" s="868"/>
      <c r="AG145" s="868"/>
      <c r="AH145" s="868"/>
      <c r="AI145" s="868"/>
      <c r="AJ145" s="868"/>
      <c r="AK145" s="868"/>
      <c r="AL145" s="868"/>
      <c r="AM145" s="868"/>
      <c r="AN145" s="868"/>
      <c r="AO145" s="868"/>
      <c r="AP145" s="868"/>
      <c r="AQ145" s="868"/>
      <c r="AR145" s="868"/>
      <c r="AS145" s="868"/>
      <c r="AT145" s="868"/>
      <c r="AU145" s="868"/>
      <c r="AV145" s="868"/>
      <c r="AW145" s="868"/>
      <c r="AX145" s="868"/>
      <c r="AY145" s="868"/>
      <c r="AZ145" s="868"/>
      <c r="BA145" s="868"/>
      <c r="BB145" s="868"/>
      <c r="BC145" s="870"/>
    </row>
    <row r="146" spans="1:55" s="89" customFormat="1" ht="22.5" customHeight="1" x14ac:dyDescent="0.35">
      <c r="A146" t="s">
        <v>3290</v>
      </c>
      <c r="B146" s="430" t="s">
        <v>3291</v>
      </c>
      <c r="C146" s="431">
        <v>1</v>
      </c>
      <c r="D146" s="432" t="s">
        <v>3292</v>
      </c>
      <c r="E146" s="432" t="s">
        <v>3293</v>
      </c>
      <c r="F146" s="433" t="s">
        <v>3165</v>
      </c>
      <c r="G146" s="433" t="s">
        <v>3166</v>
      </c>
      <c r="H146" s="270" t="s">
        <v>1347</v>
      </c>
      <c r="I146" s="271" t="s">
        <v>1347</v>
      </c>
      <c r="J146" s="328" t="s">
        <v>3167</v>
      </c>
      <c r="K146" s="329" t="s">
        <v>3168</v>
      </c>
      <c r="L146" s="256">
        <f>CONTINUA!BV146</f>
        <v>0</v>
      </c>
      <c r="M146" s="256">
        <f>CONTINUA!BW146</f>
        <v>0</v>
      </c>
      <c r="N146" s="565"/>
      <c r="O146" s="566" t="s">
        <v>3338</v>
      </c>
      <c r="P146" s="567">
        <v>0</v>
      </c>
      <c r="Q146" s="319"/>
      <c r="R146" s="320"/>
      <c r="S146" s="319"/>
      <c r="T146" s="320"/>
      <c r="U146" s="807" t="s">
        <v>3376</v>
      </c>
      <c r="V146" s="808">
        <f>Q146+Q147+Q148</f>
        <v>35</v>
      </c>
      <c r="W146" s="853" t="s">
        <v>3381</v>
      </c>
      <c r="X146" s="854">
        <f>(R146+R147+R148+T146+T147+T148)</f>
        <v>0</v>
      </c>
      <c r="Y146" s="855" t="s">
        <v>3386</v>
      </c>
      <c r="Z146" s="854">
        <f>SUM(L146:L150)</f>
        <v>0</v>
      </c>
      <c r="AA146" s="813" t="s">
        <v>306</v>
      </c>
      <c r="AB146" s="814" t="s">
        <v>3388</v>
      </c>
      <c r="AC146" s="815" t="s">
        <v>19</v>
      </c>
      <c r="AD146" s="856"/>
      <c r="AE146" s="857" t="s">
        <v>3389</v>
      </c>
      <c r="AF146" s="858"/>
      <c r="AG146" s="842" t="s">
        <v>3393</v>
      </c>
      <c r="AH146" s="825" t="s">
        <v>3388</v>
      </c>
      <c r="AI146" s="826" t="s">
        <v>19</v>
      </c>
      <c r="AJ146" s="827"/>
      <c r="AK146" s="856">
        <v>1</v>
      </c>
      <c r="AL146" s="858"/>
      <c r="AM146" s="842" t="s">
        <v>3400</v>
      </c>
      <c r="AN146" s="825" t="s">
        <v>3388</v>
      </c>
      <c r="AO146" s="826" t="s">
        <v>19</v>
      </c>
      <c r="AP146" s="827"/>
      <c r="AQ146" s="856"/>
      <c r="AR146" s="858"/>
      <c r="AS146" s="841" t="s">
        <v>3401</v>
      </c>
      <c r="AT146" s="838"/>
      <c r="AU146" s="838"/>
      <c r="AV146" s="839"/>
      <c r="AW146" s="858"/>
      <c r="AX146" s="845" t="s">
        <v>3402</v>
      </c>
      <c r="AY146" s="858"/>
      <c r="AZ146" s="845" t="s">
        <v>3403</v>
      </c>
      <c r="BA146" s="846" t="s">
        <v>3404</v>
      </c>
      <c r="BB146" s="847" t="s">
        <v>3405</v>
      </c>
      <c r="BC146" s="848"/>
    </row>
    <row r="147" spans="1:55" s="89" customFormat="1" ht="22.5" customHeight="1" x14ac:dyDescent="0.2">
      <c r="A147" s="287" t="s">
        <v>3290</v>
      </c>
      <c r="B147" s="288" t="s">
        <v>3291</v>
      </c>
      <c r="C147" s="289" t="s">
        <v>3175</v>
      </c>
      <c r="D147" s="290" t="s">
        <v>3292</v>
      </c>
      <c r="E147" s="290" t="s">
        <v>3293</v>
      </c>
      <c r="F147" s="291" t="s">
        <v>3165</v>
      </c>
      <c r="G147" s="291" t="s">
        <v>3166</v>
      </c>
      <c r="H147" s="292" t="s">
        <v>1347</v>
      </c>
      <c r="I147" s="293" t="s">
        <v>1347</v>
      </c>
      <c r="J147" s="340" t="s">
        <v>3167</v>
      </c>
      <c r="K147" s="340" t="s">
        <v>3169</v>
      </c>
      <c r="L147" s="256">
        <f>CONTINUA!BV147</f>
        <v>0</v>
      </c>
      <c r="M147" s="256">
        <f>CONTINUA!BW147</f>
        <v>0</v>
      </c>
      <c r="N147" s="565"/>
      <c r="O147" s="566" t="s">
        <v>3338</v>
      </c>
      <c r="P147" s="567">
        <v>0</v>
      </c>
      <c r="Q147" s="319">
        <v>35</v>
      </c>
      <c r="R147" s="320"/>
      <c r="S147" s="319"/>
      <c r="T147" s="320"/>
      <c r="U147" s="809" t="s">
        <v>3377</v>
      </c>
      <c r="V147" s="859">
        <f>+S146+S147+S148</f>
        <v>0</v>
      </c>
      <c r="W147" s="810" t="s">
        <v>3382</v>
      </c>
      <c r="X147" s="860">
        <f>(Q149+S149)</f>
        <v>0</v>
      </c>
      <c r="Y147" s="812" t="s">
        <v>3387</v>
      </c>
      <c r="Z147" s="860">
        <f>SUM(M146:M150)</f>
        <v>0</v>
      </c>
      <c r="AA147" s="816" t="s">
        <v>3390</v>
      </c>
      <c r="AB147" s="817">
        <f>IF(X149&lt;=15,X149*385.23,0)/30</f>
        <v>0</v>
      </c>
      <c r="AC147" s="818"/>
      <c r="AD147" s="819">
        <f>SUM(AB147:AC149)</f>
        <v>493.72966666666673</v>
      </c>
      <c r="AE147" s="861"/>
      <c r="AF147" s="859"/>
      <c r="AG147" s="828" t="s">
        <v>3394</v>
      </c>
      <c r="AH147" s="829">
        <f>IF(V150=AK146,2043.65,0)/30</f>
        <v>0</v>
      </c>
      <c r="AI147" s="830"/>
      <c r="AJ147" s="831"/>
      <c r="AK147" s="862">
        <v>2</v>
      </c>
      <c r="AL147" s="859"/>
      <c r="AM147" s="828" t="s">
        <v>3397</v>
      </c>
      <c r="AN147" s="829">
        <f>IF(X147&lt;=AQ147,621.14*X147,0)/30</f>
        <v>0</v>
      </c>
      <c r="AO147" s="830"/>
      <c r="AP147" s="831"/>
      <c r="AQ147" s="862">
        <v>9</v>
      </c>
      <c r="AR147" s="859"/>
      <c r="AS147" s="830">
        <f>IF((SUM(V146:V149))&gt;=1,11465.63,0)/30</f>
        <v>382.18766666666664</v>
      </c>
      <c r="AT147" s="830">
        <f>IF((V146+V147)&gt;=1,(V146+V147)*385.23,0)/30</f>
        <v>449.43500000000006</v>
      </c>
      <c r="AU147" s="830">
        <f>IF((V148+V149)&gt;=1,(V148+V149)*2043.65,0)</f>
        <v>0</v>
      </c>
      <c r="AV147" s="828">
        <f>SUM(AS147:AU147)</f>
        <v>831.62266666666665</v>
      </c>
      <c r="AW147" s="859"/>
      <c r="AX147" s="843">
        <f>IF(X150&gt;0,X150*1.28,0)</f>
        <v>0</v>
      </c>
      <c r="AY147" s="859"/>
      <c r="AZ147" s="849" t="s">
        <v>19</v>
      </c>
      <c r="BA147" s="850" t="s">
        <v>3406</v>
      </c>
      <c r="BB147" s="851"/>
      <c r="BC147" s="838"/>
    </row>
    <row r="148" spans="1:55" s="89" customFormat="1" ht="22.5" customHeight="1" x14ac:dyDescent="0.2">
      <c r="A148" s="287" t="s">
        <v>3290</v>
      </c>
      <c r="B148" s="288" t="s">
        <v>3291</v>
      </c>
      <c r="C148" s="294" t="s">
        <v>3175</v>
      </c>
      <c r="D148" s="290" t="s">
        <v>3292</v>
      </c>
      <c r="E148" s="290" t="s">
        <v>3293</v>
      </c>
      <c r="F148" s="295" t="s">
        <v>3165</v>
      </c>
      <c r="G148" s="295" t="s">
        <v>3166</v>
      </c>
      <c r="H148" s="292" t="s">
        <v>1347</v>
      </c>
      <c r="I148" s="293" t="s">
        <v>1347</v>
      </c>
      <c r="J148" s="340" t="s">
        <v>3167</v>
      </c>
      <c r="K148" s="341" t="s">
        <v>3170</v>
      </c>
      <c r="L148" s="256">
        <f>CONTINUA!BV148</f>
        <v>0</v>
      </c>
      <c r="M148" s="256">
        <f>CONTINUA!BW148</f>
        <v>0</v>
      </c>
      <c r="N148" s="565"/>
      <c r="O148" s="566" t="s">
        <v>3338</v>
      </c>
      <c r="P148" s="567">
        <v>0</v>
      </c>
      <c r="Q148" s="319"/>
      <c r="R148" s="320"/>
      <c r="S148" s="319"/>
      <c r="T148" s="320"/>
      <c r="U148" s="809" t="s">
        <v>3378</v>
      </c>
      <c r="V148" s="859">
        <f>+R146+R147+R148</f>
        <v>0</v>
      </c>
      <c r="W148" s="811" t="s">
        <v>3383</v>
      </c>
      <c r="X148" s="860">
        <f>SUM(V146:V149)</f>
        <v>35</v>
      </c>
      <c r="Y148" s="859"/>
      <c r="Z148" s="859"/>
      <c r="AA148" s="863" t="s">
        <v>3391</v>
      </c>
      <c r="AB148" s="820"/>
      <c r="AC148" s="820">
        <f>IF(X149&gt;15,7492.52)/30</f>
        <v>249.75066666666669</v>
      </c>
      <c r="AD148" s="821"/>
      <c r="AE148" s="864">
        <v>15</v>
      </c>
      <c r="AF148" s="859"/>
      <c r="AG148" s="828" t="s">
        <v>3395</v>
      </c>
      <c r="AH148" s="829"/>
      <c r="AI148" s="832">
        <f>IF(V150&gt;=AK147,7492.52,0)/30</f>
        <v>0</v>
      </c>
      <c r="AJ148" s="833">
        <f>SUM(AH147:AI149)</f>
        <v>0</v>
      </c>
      <c r="AK148" s="862"/>
      <c r="AL148" s="859"/>
      <c r="AM148" s="828" t="s">
        <v>3398</v>
      </c>
      <c r="AN148" s="829"/>
      <c r="AO148" s="832">
        <f>IF(X147&gt;=AQ148,7492.52,0)/30</f>
        <v>0</v>
      </c>
      <c r="AP148" s="833">
        <f>SUM(AN147:AO149)</f>
        <v>0</v>
      </c>
      <c r="AQ148" s="862">
        <v>10</v>
      </c>
      <c r="AR148" s="859"/>
      <c r="AS148" s="830"/>
      <c r="AT148" s="830"/>
      <c r="AU148" s="830"/>
      <c r="AV148" s="828"/>
      <c r="AW148" s="859"/>
      <c r="AX148" s="843"/>
      <c r="AY148" s="859"/>
      <c r="AZ148" s="830" t="s">
        <v>3407</v>
      </c>
      <c r="BA148" s="829">
        <f>IF(Z146&gt;0,Z146*9.64,0)</f>
        <v>0</v>
      </c>
      <c r="BB148" s="865">
        <f>IF(Z147&gt;0,Z147*56.2,0)</f>
        <v>0</v>
      </c>
      <c r="BC148" s="830">
        <f>SUM(BA148:BB148)</f>
        <v>0</v>
      </c>
    </row>
    <row r="149" spans="1:55" s="89" customFormat="1" ht="22.5" customHeight="1" x14ac:dyDescent="0.2">
      <c r="A149" s="287" t="s">
        <v>3290</v>
      </c>
      <c r="B149" s="288" t="s">
        <v>3291</v>
      </c>
      <c r="C149" s="294" t="s">
        <v>3175</v>
      </c>
      <c r="D149" s="290" t="s">
        <v>3292</v>
      </c>
      <c r="E149" s="290" t="s">
        <v>3293</v>
      </c>
      <c r="F149" s="295" t="s">
        <v>3165</v>
      </c>
      <c r="G149" s="295" t="s">
        <v>3166</v>
      </c>
      <c r="H149" s="292" t="s">
        <v>1347</v>
      </c>
      <c r="I149" s="293" t="s">
        <v>1347</v>
      </c>
      <c r="J149" s="340" t="s">
        <v>3167</v>
      </c>
      <c r="K149" s="342" t="s">
        <v>3171</v>
      </c>
      <c r="L149" s="256">
        <f>CONTINUA!BV149</f>
        <v>0</v>
      </c>
      <c r="M149" s="256">
        <f>CONTINUA!BW149</f>
        <v>0</v>
      </c>
      <c r="N149" s="565"/>
      <c r="O149" s="566" t="s">
        <v>3338</v>
      </c>
      <c r="P149" s="567">
        <v>0</v>
      </c>
      <c r="Q149" s="319"/>
      <c r="R149" s="320"/>
      <c r="S149" s="319"/>
      <c r="T149" s="320"/>
      <c r="U149" s="809" t="s">
        <v>3379</v>
      </c>
      <c r="V149" s="866">
        <f>+T146+T147+T148</f>
        <v>0</v>
      </c>
      <c r="W149" s="812" t="s">
        <v>3384</v>
      </c>
      <c r="X149" s="860">
        <f>SUM(V146:V147)</f>
        <v>35</v>
      </c>
      <c r="Y149" s="866"/>
      <c r="Z149" s="866"/>
      <c r="AA149" s="822" t="s">
        <v>3392</v>
      </c>
      <c r="AB149" s="823">
        <f>((X149-16)*385.23)/30</f>
        <v>243.97900000000001</v>
      </c>
      <c r="AC149" s="823"/>
      <c r="AD149" s="824"/>
      <c r="AE149" s="864">
        <v>16</v>
      </c>
      <c r="AF149" s="866"/>
      <c r="AG149" s="834" t="s">
        <v>3396</v>
      </c>
      <c r="AH149" s="835">
        <f>IF(V150&gt;AK147,(V150-AK147)*2043.65,0)/30</f>
        <v>0</v>
      </c>
      <c r="AI149" s="836"/>
      <c r="AJ149" s="837"/>
      <c r="AK149" s="862"/>
      <c r="AL149" s="866"/>
      <c r="AM149" s="834" t="s">
        <v>3399</v>
      </c>
      <c r="AN149" s="835">
        <f>IF(X147&gt;AQ148,(X147-AQ148)*621.14,0)/30</f>
        <v>0</v>
      </c>
      <c r="AO149" s="836"/>
      <c r="AP149" s="837"/>
      <c r="AQ149" s="862"/>
      <c r="AR149" s="866"/>
      <c r="AS149" s="836"/>
      <c r="AT149" s="836"/>
      <c r="AU149" s="836"/>
      <c r="AV149" s="840"/>
      <c r="AW149" s="866"/>
      <c r="AX149" s="844"/>
      <c r="AY149" s="866"/>
      <c r="AZ149" s="836"/>
      <c r="BA149" s="835"/>
      <c r="BB149" s="852"/>
      <c r="BC149" s="836"/>
    </row>
    <row r="150" spans="1:55" s="89" customFormat="1" ht="22.5" customHeight="1" thickBot="1" x14ac:dyDescent="0.25">
      <c r="A150" s="296" t="s">
        <v>3290</v>
      </c>
      <c r="B150" s="297" t="s">
        <v>3291</v>
      </c>
      <c r="C150" s="298" t="s">
        <v>3175</v>
      </c>
      <c r="D150" s="299" t="s">
        <v>3292</v>
      </c>
      <c r="E150" s="299" t="s">
        <v>3293</v>
      </c>
      <c r="F150" s="300" t="s">
        <v>3165</v>
      </c>
      <c r="G150" s="300" t="s">
        <v>3166</v>
      </c>
      <c r="H150" s="301" t="s">
        <v>1347</v>
      </c>
      <c r="I150" s="302" t="s">
        <v>1347</v>
      </c>
      <c r="J150" s="340" t="s">
        <v>3167</v>
      </c>
      <c r="K150" s="343" t="s">
        <v>53</v>
      </c>
      <c r="L150" s="256">
        <f>CONTINUA!BV150</f>
        <v>0</v>
      </c>
      <c r="M150" s="256">
        <f>CONTINUA!BW150</f>
        <v>0</v>
      </c>
      <c r="N150" s="565"/>
      <c r="O150" s="566" t="s">
        <v>3338</v>
      </c>
      <c r="P150" s="567">
        <v>0</v>
      </c>
      <c r="Q150" s="319"/>
      <c r="R150" s="320"/>
      <c r="S150" s="319"/>
      <c r="T150" s="320"/>
      <c r="U150" s="867" t="s">
        <v>3380</v>
      </c>
      <c r="V150" s="868">
        <f>R146+R147+R148+R149+T146+T147+T148+T149</f>
        <v>0</v>
      </c>
      <c r="W150" s="812" t="s">
        <v>3385</v>
      </c>
      <c r="X150" s="869">
        <f>SUM(N146:N150)</f>
        <v>0</v>
      </c>
      <c r="Y150" s="868"/>
      <c r="Z150" s="868"/>
      <c r="AA150" s="868"/>
      <c r="AB150" s="868"/>
      <c r="AC150" s="868"/>
      <c r="AD150" s="868"/>
      <c r="AE150" s="868"/>
      <c r="AF150" s="868"/>
      <c r="AG150" s="868"/>
      <c r="AH150" s="868"/>
      <c r="AI150" s="868"/>
      <c r="AJ150" s="868"/>
      <c r="AK150" s="868"/>
      <c r="AL150" s="868"/>
      <c r="AM150" s="868"/>
      <c r="AN150" s="868"/>
      <c r="AO150" s="868"/>
      <c r="AP150" s="868"/>
      <c r="AQ150" s="868"/>
      <c r="AR150" s="868"/>
      <c r="AS150" s="868"/>
      <c r="AT150" s="868"/>
      <c r="AU150" s="868"/>
      <c r="AV150" s="868"/>
      <c r="AW150" s="868"/>
      <c r="AX150" s="868"/>
      <c r="AY150" s="868"/>
      <c r="AZ150" s="868"/>
      <c r="BA150" s="868"/>
      <c r="BB150" s="868"/>
      <c r="BC150" s="870"/>
    </row>
    <row r="151" spans="1:55" s="89" customFormat="1" ht="22.5" customHeight="1" x14ac:dyDescent="0.35">
      <c r="A151" t="s">
        <v>3294</v>
      </c>
      <c r="B151" s="430" t="s">
        <v>3295</v>
      </c>
      <c r="C151" s="431">
        <v>4</v>
      </c>
      <c r="D151" s="432" t="s">
        <v>3296</v>
      </c>
      <c r="E151" s="432" t="s">
        <v>3297</v>
      </c>
      <c r="F151" s="433" t="s">
        <v>3165</v>
      </c>
      <c r="G151" s="433" t="s">
        <v>3166</v>
      </c>
      <c r="H151" s="270" t="s">
        <v>1348</v>
      </c>
      <c r="I151" s="271" t="s">
        <v>1348</v>
      </c>
      <c r="J151" s="328" t="s">
        <v>3167</v>
      </c>
      <c r="K151" s="329" t="s">
        <v>3168</v>
      </c>
      <c r="L151" s="256">
        <f>CONTINUA!BV151</f>
        <v>0</v>
      </c>
      <c r="M151" s="256">
        <f>CONTINUA!BW151</f>
        <v>0</v>
      </c>
      <c r="N151" s="565"/>
      <c r="O151" s="566" t="s">
        <v>3339</v>
      </c>
      <c r="P151" s="567">
        <v>0</v>
      </c>
      <c r="Q151" s="319"/>
      <c r="R151" s="320"/>
      <c r="S151" s="319"/>
      <c r="T151" s="320"/>
      <c r="U151" s="807" t="s">
        <v>3376</v>
      </c>
      <c r="V151" s="808">
        <f>Q151+Q152+Q153</f>
        <v>14</v>
      </c>
      <c r="W151" s="853" t="s">
        <v>3381</v>
      </c>
      <c r="X151" s="854">
        <f>(R151+R152+R153+T151+T152+T153)</f>
        <v>0</v>
      </c>
      <c r="Y151" s="855" t="s">
        <v>3386</v>
      </c>
      <c r="Z151" s="854">
        <f>SUM(L151:L155)</f>
        <v>0</v>
      </c>
      <c r="AA151" s="813" t="s">
        <v>306</v>
      </c>
      <c r="AB151" s="814" t="s">
        <v>3388</v>
      </c>
      <c r="AC151" s="815" t="s">
        <v>19</v>
      </c>
      <c r="AD151" s="856"/>
      <c r="AE151" s="857" t="s">
        <v>3389</v>
      </c>
      <c r="AF151" s="858"/>
      <c r="AG151" s="842" t="s">
        <v>3393</v>
      </c>
      <c r="AH151" s="825" t="s">
        <v>3388</v>
      </c>
      <c r="AI151" s="826" t="s">
        <v>19</v>
      </c>
      <c r="AJ151" s="827"/>
      <c r="AK151" s="856">
        <v>1</v>
      </c>
      <c r="AL151" s="858"/>
      <c r="AM151" s="842" t="s">
        <v>3400</v>
      </c>
      <c r="AN151" s="825" t="s">
        <v>3388</v>
      </c>
      <c r="AO151" s="826" t="s">
        <v>19</v>
      </c>
      <c r="AP151" s="827"/>
      <c r="AQ151" s="856"/>
      <c r="AR151" s="858"/>
      <c r="AS151" s="841" t="s">
        <v>3401</v>
      </c>
      <c r="AT151" s="838"/>
      <c r="AU151" s="838"/>
      <c r="AV151" s="839"/>
      <c r="AW151" s="858"/>
      <c r="AX151" s="845" t="s">
        <v>3402</v>
      </c>
      <c r="AY151" s="858"/>
      <c r="AZ151" s="845" t="s">
        <v>3403</v>
      </c>
      <c r="BA151" s="846" t="s">
        <v>3404</v>
      </c>
      <c r="BB151" s="847" t="s">
        <v>3405</v>
      </c>
      <c r="BC151" s="848"/>
    </row>
    <row r="152" spans="1:55" s="89" customFormat="1" ht="22.5" customHeight="1" x14ac:dyDescent="0.2">
      <c r="A152" s="287" t="s">
        <v>3294</v>
      </c>
      <c r="B152" s="288" t="s">
        <v>3295</v>
      </c>
      <c r="C152" s="289" t="s">
        <v>3176</v>
      </c>
      <c r="D152" s="290" t="s">
        <v>3296</v>
      </c>
      <c r="E152" s="290" t="s">
        <v>3297</v>
      </c>
      <c r="F152" s="291" t="s">
        <v>3165</v>
      </c>
      <c r="G152" s="291" t="s">
        <v>3166</v>
      </c>
      <c r="H152" s="292" t="s">
        <v>1348</v>
      </c>
      <c r="I152" s="293" t="s">
        <v>1348</v>
      </c>
      <c r="J152" s="340" t="s">
        <v>3167</v>
      </c>
      <c r="K152" s="340" t="s">
        <v>3169</v>
      </c>
      <c r="L152" s="256">
        <f>CONTINUA!BV152</f>
        <v>0</v>
      </c>
      <c r="M152" s="256">
        <f>CONTINUA!BW152</f>
        <v>0</v>
      </c>
      <c r="N152" s="565"/>
      <c r="O152" s="566" t="s">
        <v>3339</v>
      </c>
      <c r="P152" s="567">
        <v>0</v>
      </c>
      <c r="Q152" s="319"/>
      <c r="R152" s="320"/>
      <c r="S152" s="319"/>
      <c r="T152" s="320"/>
      <c r="U152" s="809" t="s">
        <v>3377</v>
      </c>
      <c r="V152" s="859">
        <f>+S151+S152+S153</f>
        <v>0</v>
      </c>
      <c r="W152" s="810" t="s">
        <v>3382</v>
      </c>
      <c r="X152" s="860">
        <f>(Q154+S154)</f>
        <v>0</v>
      </c>
      <c r="Y152" s="812" t="s">
        <v>3387</v>
      </c>
      <c r="Z152" s="860">
        <f>SUM(M151:M155)</f>
        <v>0</v>
      </c>
      <c r="AA152" s="816" t="s">
        <v>3390</v>
      </c>
      <c r="AB152" s="817">
        <f>IF(X154&lt;=15,X154*385.23,0)/30</f>
        <v>179.774</v>
      </c>
      <c r="AC152" s="818"/>
      <c r="AD152" s="819">
        <f>SUM(AB152:AC154)</f>
        <v>154.09199999999998</v>
      </c>
      <c r="AE152" s="861"/>
      <c r="AF152" s="859"/>
      <c r="AG152" s="828" t="s">
        <v>3394</v>
      </c>
      <c r="AH152" s="829">
        <f>IF(V155=AK151,2043.65,0)/30</f>
        <v>0</v>
      </c>
      <c r="AI152" s="830"/>
      <c r="AJ152" s="831"/>
      <c r="AK152" s="862">
        <v>2</v>
      </c>
      <c r="AL152" s="859"/>
      <c r="AM152" s="828" t="s">
        <v>3397</v>
      </c>
      <c r="AN152" s="829">
        <f>IF(X152&lt;=AQ152,621.14*X152,0)/30</f>
        <v>0</v>
      </c>
      <c r="AO152" s="830"/>
      <c r="AP152" s="831"/>
      <c r="AQ152" s="862">
        <v>9</v>
      </c>
      <c r="AR152" s="859"/>
      <c r="AS152" s="830">
        <f>IF((SUM(V151:V154))&gt;=1,11465.63,0)/30</f>
        <v>382.18766666666664</v>
      </c>
      <c r="AT152" s="830">
        <f>IF((V151+V152)&gt;=1,(V151+V152)*385.23,0)/30</f>
        <v>179.774</v>
      </c>
      <c r="AU152" s="830">
        <f>IF((V153+V154)&gt;=1,(V153+V154)*2043.65,0)</f>
        <v>0</v>
      </c>
      <c r="AV152" s="828">
        <f>SUM(AS152:AU152)</f>
        <v>561.96166666666659</v>
      </c>
      <c r="AW152" s="859"/>
      <c r="AX152" s="843">
        <f>IF(X155&gt;0,X155*1.28,0)</f>
        <v>0</v>
      </c>
      <c r="AY152" s="859"/>
      <c r="AZ152" s="849" t="s">
        <v>19</v>
      </c>
      <c r="BA152" s="850" t="s">
        <v>3406</v>
      </c>
      <c r="BB152" s="851"/>
      <c r="BC152" s="838"/>
    </row>
    <row r="153" spans="1:55" s="89" customFormat="1" ht="22.5" customHeight="1" x14ac:dyDescent="0.2">
      <c r="A153" s="287" t="s">
        <v>3294</v>
      </c>
      <c r="B153" s="288" t="s">
        <v>3295</v>
      </c>
      <c r="C153" s="294" t="s">
        <v>3176</v>
      </c>
      <c r="D153" s="290" t="s">
        <v>3296</v>
      </c>
      <c r="E153" s="290" t="s">
        <v>3297</v>
      </c>
      <c r="F153" s="295" t="s">
        <v>3165</v>
      </c>
      <c r="G153" s="295" t="s">
        <v>3166</v>
      </c>
      <c r="H153" s="292" t="s">
        <v>1348</v>
      </c>
      <c r="I153" s="293" t="s">
        <v>1348</v>
      </c>
      <c r="J153" s="340" t="s">
        <v>3167</v>
      </c>
      <c r="K153" s="341" t="s">
        <v>3170</v>
      </c>
      <c r="L153" s="256">
        <f>CONTINUA!BV153</f>
        <v>0</v>
      </c>
      <c r="M153" s="256">
        <f>CONTINUA!BW153</f>
        <v>0</v>
      </c>
      <c r="N153" s="565"/>
      <c r="O153" s="566" t="s">
        <v>3339</v>
      </c>
      <c r="P153" s="567">
        <v>0</v>
      </c>
      <c r="Q153" s="319">
        <v>14</v>
      </c>
      <c r="R153" s="320"/>
      <c r="S153" s="319"/>
      <c r="T153" s="320"/>
      <c r="U153" s="809" t="s">
        <v>3378</v>
      </c>
      <c r="V153" s="859">
        <f>+R151+R152+R153</f>
        <v>0</v>
      </c>
      <c r="W153" s="811" t="s">
        <v>3383</v>
      </c>
      <c r="X153" s="860">
        <f>SUM(V151:V154)</f>
        <v>14</v>
      </c>
      <c r="Y153" s="859"/>
      <c r="Z153" s="859"/>
      <c r="AA153" s="863" t="s">
        <v>3391</v>
      </c>
      <c r="AB153" s="820"/>
      <c r="AC153" s="820">
        <f>IF(X154&gt;15,7492.52)/30</f>
        <v>0</v>
      </c>
      <c r="AD153" s="821"/>
      <c r="AE153" s="864">
        <v>15</v>
      </c>
      <c r="AF153" s="859"/>
      <c r="AG153" s="828" t="s">
        <v>3395</v>
      </c>
      <c r="AH153" s="829"/>
      <c r="AI153" s="832">
        <f>IF(V155&gt;=AK152,7492.52,0)/30</f>
        <v>0</v>
      </c>
      <c r="AJ153" s="833">
        <f>SUM(AH152:AI154)</f>
        <v>0</v>
      </c>
      <c r="AK153" s="862"/>
      <c r="AL153" s="859"/>
      <c r="AM153" s="828" t="s">
        <v>3398</v>
      </c>
      <c r="AN153" s="829"/>
      <c r="AO153" s="832">
        <f>IF(X152&gt;=AQ153,7492.52,0)/30</f>
        <v>0</v>
      </c>
      <c r="AP153" s="833">
        <f>SUM(AN152:AO154)</f>
        <v>0</v>
      </c>
      <c r="AQ153" s="862">
        <v>10</v>
      </c>
      <c r="AR153" s="859"/>
      <c r="AS153" s="830"/>
      <c r="AT153" s="830"/>
      <c r="AU153" s="830"/>
      <c r="AV153" s="828"/>
      <c r="AW153" s="859"/>
      <c r="AX153" s="843"/>
      <c r="AY153" s="859"/>
      <c r="AZ153" s="830" t="s">
        <v>3407</v>
      </c>
      <c r="BA153" s="829">
        <f>IF(Z151&gt;0,Z151*9.64,0)</f>
        <v>0</v>
      </c>
      <c r="BB153" s="865">
        <f>IF(Z152&gt;0,Z152*56.2,0)</f>
        <v>0</v>
      </c>
      <c r="BC153" s="830">
        <f>SUM(BA153:BB153)</f>
        <v>0</v>
      </c>
    </row>
    <row r="154" spans="1:55" s="89" customFormat="1" ht="22.5" customHeight="1" x14ac:dyDescent="0.2">
      <c r="A154" s="287" t="s">
        <v>3294</v>
      </c>
      <c r="B154" s="288" t="s">
        <v>3295</v>
      </c>
      <c r="C154" s="294" t="s">
        <v>3176</v>
      </c>
      <c r="D154" s="290" t="s">
        <v>3296</v>
      </c>
      <c r="E154" s="290" t="s">
        <v>3297</v>
      </c>
      <c r="F154" s="295" t="s">
        <v>3165</v>
      </c>
      <c r="G154" s="295" t="s">
        <v>3166</v>
      </c>
      <c r="H154" s="292" t="s">
        <v>1348</v>
      </c>
      <c r="I154" s="293" t="s">
        <v>1348</v>
      </c>
      <c r="J154" s="340" t="s">
        <v>3167</v>
      </c>
      <c r="K154" s="342" t="s">
        <v>3171</v>
      </c>
      <c r="L154" s="256">
        <f>CONTINUA!BV154</f>
        <v>0</v>
      </c>
      <c r="M154" s="256">
        <f>CONTINUA!BW154</f>
        <v>0</v>
      </c>
      <c r="N154" s="565"/>
      <c r="O154" s="566" t="s">
        <v>3339</v>
      </c>
      <c r="P154" s="567">
        <v>0</v>
      </c>
      <c r="Q154" s="319"/>
      <c r="R154" s="320"/>
      <c r="S154" s="319"/>
      <c r="T154" s="320"/>
      <c r="U154" s="809" t="s">
        <v>3379</v>
      </c>
      <c r="V154" s="866">
        <f>+T151+T152+T153</f>
        <v>0</v>
      </c>
      <c r="W154" s="812" t="s">
        <v>3384</v>
      </c>
      <c r="X154" s="860">
        <f>SUM(V151:V152)</f>
        <v>14</v>
      </c>
      <c r="Y154" s="866"/>
      <c r="Z154" s="866"/>
      <c r="AA154" s="822" t="s">
        <v>3392</v>
      </c>
      <c r="AB154" s="823">
        <f>((X154-16)*385.23)/30</f>
        <v>-25.682000000000002</v>
      </c>
      <c r="AC154" s="823"/>
      <c r="AD154" s="824"/>
      <c r="AE154" s="864">
        <v>16</v>
      </c>
      <c r="AF154" s="866"/>
      <c r="AG154" s="834" t="s">
        <v>3396</v>
      </c>
      <c r="AH154" s="835">
        <f>IF(V155&gt;AK152,(V155-AK152)*2043.65,0)/30</f>
        <v>0</v>
      </c>
      <c r="AI154" s="836"/>
      <c r="AJ154" s="837"/>
      <c r="AK154" s="862"/>
      <c r="AL154" s="866"/>
      <c r="AM154" s="834" t="s">
        <v>3399</v>
      </c>
      <c r="AN154" s="835">
        <f>IF(X152&gt;AQ153,(X152-AQ153)*621.14,0)/30</f>
        <v>0</v>
      </c>
      <c r="AO154" s="836"/>
      <c r="AP154" s="837"/>
      <c r="AQ154" s="862"/>
      <c r="AR154" s="866"/>
      <c r="AS154" s="836"/>
      <c r="AT154" s="836"/>
      <c r="AU154" s="836"/>
      <c r="AV154" s="840"/>
      <c r="AW154" s="866"/>
      <c r="AX154" s="844"/>
      <c r="AY154" s="866"/>
      <c r="AZ154" s="836"/>
      <c r="BA154" s="835"/>
      <c r="BB154" s="852"/>
      <c r="BC154" s="836"/>
    </row>
    <row r="155" spans="1:55" s="89" customFormat="1" ht="22.5" customHeight="1" thickBot="1" x14ac:dyDescent="0.25">
      <c r="A155" s="296" t="s">
        <v>3294</v>
      </c>
      <c r="B155" s="297" t="s">
        <v>3295</v>
      </c>
      <c r="C155" s="298" t="s">
        <v>3176</v>
      </c>
      <c r="D155" s="299" t="s">
        <v>3296</v>
      </c>
      <c r="E155" s="299" t="s">
        <v>3297</v>
      </c>
      <c r="F155" s="300" t="s">
        <v>3165</v>
      </c>
      <c r="G155" s="300" t="s">
        <v>3166</v>
      </c>
      <c r="H155" s="301" t="s">
        <v>1348</v>
      </c>
      <c r="I155" s="302" t="s">
        <v>1348</v>
      </c>
      <c r="J155" s="340" t="s">
        <v>3167</v>
      </c>
      <c r="K155" s="343" t="s">
        <v>53</v>
      </c>
      <c r="L155" s="256">
        <f>CONTINUA!BV155</f>
        <v>0</v>
      </c>
      <c r="M155" s="256">
        <f>CONTINUA!BW155</f>
        <v>0</v>
      </c>
      <c r="N155" s="565"/>
      <c r="O155" s="566" t="s">
        <v>3339</v>
      </c>
      <c r="P155" s="567">
        <v>0</v>
      </c>
      <c r="Q155" s="319"/>
      <c r="R155" s="320"/>
      <c r="S155" s="319"/>
      <c r="T155" s="320"/>
      <c r="U155" s="867" t="s">
        <v>3380</v>
      </c>
      <c r="V155" s="868">
        <f>R151+R152+R153+R154+T151+T152+T153+T154</f>
        <v>0</v>
      </c>
      <c r="W155" s="812" t="s">
        <v>3385</v>
      </c>
      <c r="X155" s="869">
        <f>SUM(N151:N155)</f>
        <v>0</v>
      </c>
      <c r="Y155" s="868"/>
      <c r="Z155" s="868"/>
      <c r="AA155" s="868"/>
      <c r="AB155" s="868"/>
      <c r="AC155" s="868"/>
      <c r="AD155" s="868"/>
      <c r="AE155" s="868"/>
      <c r="AF155" s="868"/>
      <c r="AG155" s="868"/>
      <c r="AH155" s="868"/>
      <c r="AI155" s="868"/>
      <c r="AJ155" s="868"/>
      <c r="AK155" s="868"/>
      <c r="AL155" s="868"/>
      <c r="AM155" s="868"/>
      <c r="AN155" s="868"/>
      <c r="AO155" s="868"/>
      <c r="AP155" s="868"/>
      <c r="AQ155" s="868"/>
      <c r="AR155" s="868"/>
      <c r="AS155" s="868"/>
      <c r="AT155" s="868"/>
      <c r="AU155" s="868"/>
      <c r="AV155" s="868"/>
      <c r="AW155" s="868"/>
      <c r="AX155" s="868"/>
      <c r="AY155" s="868"/>
      <c r="AZ155" s="868"/>
      <c r="BA155" s="868"/>
      <c r="BB155" s="868"/>
      <c r="BC155" s="870"/>
    </row>
    <row r="156" spans="1:55" s="89" customFormat="1" ht="22.5" customHeight="1" x14ac:dyDescent="0.35">
      <c r="A156" t="s">
        <v>3298</v>
      </c>
      <c r="B156" s="430" t="s">
        <v>3299</v>
      </c>
      <c r="C156" s="431">
        <v>1</v>
      </c>
      <c r="D156" s="432" t="s">
        <v>3300</v>
      </c>
      <c r="E156" s="432" t="s">
        <v>3301</v>
      </c>
      <c r="F156" s="433" t="s">
        <v>3165</v>
      </c>
      <c r="G156" s="433" t="s">
        <v>3166</v>
      </c>
      <c r="H156" s="270" t="s">
        <v>1349</v>
      </c>
      <c r="I156" s="271" t="s">
        <v>1349</v>
      </c>
      <c r="J156" s="328" t="s">
        <v>3167</v>
      </c>
      <c r="K156" s="329" t="s">
        <v>3168</v>
      </c>
      <c r="L156" s="256">
        <f>CONTINUA!BV156</f>
        <v>0</v>
      </c>
      <c r="M156" s="256">
        <f>CONTINUA!BW156</f>
        <v>0</v>
      </c>
      <c r="N156" s="565"/>
      <c r="O156" s="566" t="s">
        <v>3340</v>
      </c>
      <c r="P156" s="567">
        <v>0</v>
      </c>
      <c r="Q156" s="319">
        <v>27</v>
      </c>
      <c r="R156" s="320"/>
      <c r="S156" s="319"/>
      <c r="T156" s="320"/>
      <c r="U156" s="807" t="s">
        <v>3376</v>
      </c>
      <c r="V156" s="808">
        <f>Q156+Q157+Q158</f>
        <v>32</v>
      </c>
      <c r="W156" s="853" t="s">
        <v>3381</v>
      </c>
      <c r="X156" s="854">
        <f>(R156+R157+R158+T156+T157+T158)</f>
        <v>0</v>
      </c>
      <c r="Y156" s="855" t="s">
        <v>3386</v>
      </c>
      <c r="Z156" s="854">
        <f>SUM(L156:L160)</f>
        <v>0</v>
      </c>
      <c r="AA156" s="813" t="s">
        <v>306</v>
      </c>
      <c r="AB156" s="814" t="s">
        <v>3388</v>
      </c>
      <c r="AC156" s="815" t="s">
        <v>19</v>
      </c>
      <c r="AD156" s="856"/>
      <c r="AE156" s="857" t="s">
        <v>3389</v>
      </c>
      <c r="AF156" s="858"/>
      <c r="AG156" s="842" t="s">
        <v>3393</v>
      </c>
      <c r="AH156" s="825" t="s">
        <v>3388</v>
      </c>
      <c r="AI156" s="826" t="s">
        <v>19</v>
      </c>
      <c r="AJ156" s="827"/>
      <c r="AK156" s="856">
        <v>1</v>
      </c>
      <c r="AL156" s="858"/>
      <c r="AM156" s="842" t="s">
        <v>3400</v>
      </c>
      <c r="AN156" s="825" t="s">
        <v>3388</v>
      </c>
      <c r="AO156" s="826" t="s">
        <v>19</v>
      </c>
      <c r="AP156" s="827"/>
      <c r="AQ156" s="856"/>
      <c r="AR156" s="858"/>
      <c r="AS156" s="841" t="s">
        <v>3401</v>
      </c>
      <c r="AT156" s="838"/>
      <c r="AU156" s="838"/>
      <c r="AV156" s="839"/>
      <c r="AW156" s="858"/>
      <c r="AX156" s="845" t="s">
        <v>3402</v>
      </c>
      <c r="AY156" s="858"/>
      <c r="AZ156" s="845" t="s">
        <v>3403</v>
      </c>
      <c r="BA156" s="846" t="s">
        <v>3404</v>
      </c>
      <c r="BB156" s="847" t="s">
        <v>3405</v>
      </c>
      <c r="BC156" s="848"/>
    </row>
    <row r="157" spans="1:55" s="89" customFormat="1" ht="22.5" customHeight="1" x14ac:dyDescent="0.2">
      <c r="A157" s="287" t="s">
        <v>3298</v>
      </c>
      <c r="B157" s="288" t="s">
        <v>3299</v>
      </c>
      <c r="C157" s="289" t="s">
        <v>3175</v>
      </c>
      <c r="D157" s="290" t="s">
        <v>3300</v>
      </c>
      <c r="E157" s="290" t="s">
        <v>3301</v>
      </c>
      <c r="F157" s="291" t="s">
        <v>3165</v>
      </c>
      <c r="G157" s="291" t="s">
        <v>3166</v>
      </c>
      <c r="H157" s="292" t="s">
        <v>1349</v>
      </c>
      <c r="I157" s="293" t="s">
        <v>1349</v>
      </c>
      <c r="J157" s="340" t="s">
        <v>3167</v>
      </c>
      <c r="K157" s="340" t="s">
        <v>3169</v>
      </c>
      <c r="L157" s="256">
        <f>CONTINUA!BV157</f>
        <v>0</v>
      </c>
      <c r="M157" s="256">
        <f>CONTINUA!BW157</f>
        <v>0</v>
      </c>
      <c r="N157" s="565"/>
      <c r="O157" s="566" t="s">
        <v>3340</v>
      </c>
      <c r="P157" s="567">
        <v>0</v>
      </c>
      <c r="Q157" s="319">
        <v>5</v>
      </c>
      <c r="R157" s="320"/>
      <c r="S157" s="319"/>
      <c r="T157" s="320"/>
      <c r="U157" s="809" t="s">
        <v>3377</v>
      </c>
      <c r="V157" s="859">
        <f>+S156+S157+S158</f>
        <v>0</v>
      </c>
      <c r="W157" s="810" t="s">
        <v>3382</v>
      </c>
      <c r="X157" s="860">
        <f>(Q159+S159)</f>
        <v>0</v>
      </c>
      <c r="Y157" s="812" t="s">
        <v>3387</v>
      </c>
      <c r="Z157" s="860">
        <f>SUM(M156:M160)</f>
        <v>0</v>
      </c>
      <c r="AA157" s="816" t="s">
        <v>3390</v>
      </c>
      <c r="AB157" s="817">
        <f>IF(X159&lt;=15,X159*385.23,0)/30</f>
        <v>0</v>
      </c>
      <c r="AC157" s="818"/>
      <c r="AD157" s="819">
        <f>SUM(AB157:AC159)</f>
        <v>455.20666666666671</v>
      </c>
      <c r="AE157" s="861"/>
      <c r="AF157" s="859"/>
      <c r="AG157" s="828" t="s">
        <v>3394</v>
      </c>
      <c r="AH157" s="829">
        <f>IF(V160=AK156,2043.65,0)/30</f>
        <v>0</v>
      </c>
      <c r="AI157" s="830"/>
      <c r="AJ157" s="831"/>
      <c r="AK157" s="862">
        <v>2</v>
      </c>
      <c r="AL157" s="859"/>
      <c r="AM157" s="828" t="s">
        <v>3397</v>
      </c>
      <c r="AN157" s="829">
        <f>IF(X157&lt;=AQ157,621.14*X157,0)/30</f>
        <v>0</v>
      </c>
      <c r="AO157" s="830"/>
      <c r="AP157" s="831"/>
      <c r="AQ157" s="862">
        <v>9</v>
      </c>
      <c r="AR157" s="859"/>
      <c r="AS157" s="830">
        <f>IF((SUM(V156:V159))&gt;=1,11465.63,0)/30</f>
        <v>382.18766666666664</v>
      </c>
      <c r="AT157" s="830">
        <f>IF((V156+V157)&gt;=1,(V156+V157)*385.23,0)/30</f>
        <v>410.91200000000003</v>
      </c>
      <c r="AU157" s="830">
        <f>IF((V158+V159)&gt;=1,(V158+V159)*2043.65,0)</f>
        <v>0</v>
      </c>
      <c r="AV157" s="828">
        <f>SUM(AS157:AU157)</f>
        <v>793.09966666666674</v>
      </c>
      <c r="AW157" s="859"/>
      <c r="AX157" s="843">
        <f>IF(X160&gt;0,X160*1.28,0)</f>
        <v>0</v>
      </c>
      <c r="AY157" s="859"/>
      <c r="AZ157" s="849" t="s">
        <v>19</v>
      </c>
      <c r="BA157" s="850" t="s">
        <v>3406</v>
      </c>
      <c r="BB157" s="851"/>
      <c r="BC157" s="838"/>
    </row>
    <row r="158" spans="1:55" s="89" customFormat="1" ht="22.5" customHeight="1" x14ac:dyDescent="0.2">
      <c r="A158" s="287" t="s">
        <v>3298</v>
      </c>
      <c r="B158" s="288" t="s">
        <v>3299</v>
      </c>
      <c r="C158" s="294" t="s">
        <v>3175</v>
      </c>
      <c r="D158" s="290" t="s">
        <v>3300</v>
      </c>
      <c r="E158" s="290" t="s">
        <v>3301</v>
      </c>
      <c r="F158" s="295" t="s">
        <v>3165</v>
      </c>
      <c r="G158" s="295" t="s">
        <v>3166</v>
      </c>
      <c r="H158" s="292" t="s">
        <v>1349</v>
      </c>
      <c r="I158" s="293" t="s">
        <v>1349</v>
      </c>
      <c r="J158" s="340" t="s">
        <v>3167</v>
      </c>
      <c r="K158" s="341" t="s">
        <v>3170</v>
      </c>
      <c r="L158" s="256">
        <f>CONTINUA!BV158</f>
        <v>0</v>
      </c>
      <c r="M158" s="256">
        <f>CONTINUA!BW158</f>
        <v>0</v>
      </c>
      <c r="N158" s="565"/>
      <c r="O158" s="566" t="s">
        <v>3340</v>
      </c>
      <c r="P158" s="567">
        <v>0</v>
      </c>
      <c r="Q158" s="319"/>
      <c r="R158" s="320"/>
      <c r="S158" s="319"/>
      <c r="T158" s="320"/>
      <c r="U158" s="809" t="s">
        <v>3378</v>
      </c>
      <c r="V158" s="859">
        <f>+R156+R157+R158</f>
        <v>0</v>
      </c>
      <c r="W158" s="811" t="s">
        <v>3383</v>
      </c>
      <c r="X158" s="860">
        <f>SUM(V156:V159)</f>
        <v>32</v>
      </c>
      <c r="Y158" s="859"/>
      <c r="Z158" s="859"/>
      <c r="AA158" s="863" t="s">
        <v>3391</v>
      </c>
      <c r="AB158" s="820"/>
      <c r="AC158" s="820">
        <f>IF(X159&gt;15,7492.52)/30</f>
        <v>249.75066666666669</v>
      </c>
      <c r="AD158" s="821"/>
      <c r="AE158" s="864">
        <v>15</v>
      </c>
      <c r="AF158" s="859"/>
      <c r="AG158" s="828" t="s">
        <v>3395</v>
      </c>
      <c r="AH158" s="829"/>
      <c r="AI158" s="832">
        <f>IF(V160&gt;=AK157,7492.52,0)/30</f>
        <v>0</v>
      </c>
      <c r="AJ158" s="833">
        <f>SUM(AH157:AI159)</f>
        <v>0</v>
      </c>
      <c r="AK158" s="862"/>
      <c r="AL158" s="859"/>
      <c r="AM158" s="828" t="s">
        <v>3398</v>
      </c>
      <c r="AN158" s="829"/>
      <c r="AO158" s="832">
        <f>IF(X157&gt;=AQ158,7492.52,0)/30</f>
        <v>0</v>
      </c>
      <c r="AP158" s="833">
        <f>SUM(AN157:AO159)</f>
        <v>0</v>
      </c>
      <c r="AQ158" s="862">
        <v>10</v>
      </c>
      <c r="AR158" s="859"/>
      <c r="AS158" s="830"/>
      <c r="AT158" s="830"/>
      <c r="AU158" s="830"/>
      <c r="AV158" s="828"/>
      <c r="AW158" s="859"/>
      <c r="AX158" s="843"/>
      <c r="AY158" s="859"/>
      <c r="AZ158" s="830" t="s">
        <v>3407</v>
      </c>
      <c r="BA158" s="829">
        <f>IF(Z156&gt;0,Z156*9.64,0)</f>
        <v>0</v>
      </c>
      <c r="BB158" s="865">
        <f>IF(Z157&gt;0,Z157*56.2,0)</f>
        <v>0</v>
      </c>
      <c r="BC158" s="830">
        <f>SUM(BA158:BB158)</f>
        <v>0</v>
      </c>
    </row>
    <row r="159" spans="1:55" s="89" customFormat="1" ht="22.5" customHeight="1" x14ac:dyDescent="0.2">
      <c r="A159" s="287" t="s">
        <v>3298</v>
      </c>
      <c r="B159" s="288" t="s">
        <v>3299</v>
      </c>
      <c r="C159" s="294" t="s">
        <v>3175</v>
      </c>
      <c r="D159" s="290" t="s">
        <v>3300</v>
      </c>
      <c r="E159" s="290" t="s">
        <v>3301</v>
      </c>
      <c r="F159" s="295" t="s">
        <v>3165</v>
      </c>
      <c r="G159" s="295" t="s">
        <v>3166</v>
      </c>
      <c r="H159" s="292" t="s">
        <v>1349</v>
      </c>
      <c r="I159" s="293" t="s">
        <v>1349</v>
      </c>
      <c r="J159" s="340" t="s">
        <v>3167</v>
      </c>
      <c r="K159" s="342" t="s">
        <v>3171</v>
      </c>
      <c r="L159" s="256">
        <f>CONTINUA!BV159</f>
        <v>0</v>
      </c>
      <c r="M159" s="256">
        <f>CONTINUA!BW159</f>
        <v>0</v>
      </c>
      <c r="N159" s="565"/>
      <c r="O159" s="566" t="s">
        <v>3340</v>
      </c>
      <c r="P159" s="567">
        <v>0</v>
      </c>
      <c r="Q159" s="319"/>
      <c r="R159" s="320"/>
      <c r="S159" s="319"/>
      <c r="T159" s="320"/>
      <c r="U159" s="809" t="s">
        <v>3379</v>
      </c>
      <c r="V159" s="866">
        <f>+T156+T157+T158</f>
        <v>0</v>
      </c>
      <c r="W159" s="812" t="s">
        <v>3384</v>
      </c>
      <c r="X159" s="860">
        <f>SUM(V156:V157)</f>
        <v>32</v>
      </c>
      <c r="Y159" s="866"/>
      <c r="Z159" s="866"/>
      <c r="AA159" s="822" t="s">
        <v>3392</v>
      </c>
      <c r="AB159" s="823">
        <f>((X159-16)*385.23)/30</f>
        <v>205.45600000000002</v>
      </c>
      <c r="AC159" s="823"/>
      <c r="AD159" s="824"/>
      <c r="AE159" s="864">
        <v>16</v>
      </c>
      <c r="AF159" s="866"/>
      <c r="AG159" s="834" t="s">
        <v>3396</v>
      </c>
      <c r="AH159" s="835">
        <f>IF(V160&gt;AK157,(V160-AK157)*2043.65,0)/30</f>
        <v>0</v>
      </c>
      <c r="AI159" s="836"/>
      <c r="AJ159" s="837"/>
      <c r="AK159" s="862"/>
      <c r="AL159" s="866"/>
      <c r="AM159" s="834" t="s">
        <v>3399</v>
      </c>
      <c r="AN159" s="835">
        <f>IF(X157&gt;AQ158,(X157-AQ158)*621.14,0)/30</f>
        <v>0</v>
      </c>
      <c r="AO159" s="836"/>
      <c r="AP159" s="837"/>
      <c r="AQ159" s="862"/>
      <c r="AR159" s="866"/>
      <c r="AS159" s="836"/>
      <c r="AT159" s="836"/>
      <c r="AU159" s="836"/>
      <c r="AV159" s="840"/>
      <c r="AW159" s="866"/>
      <c r="AX159" s="844"/>
      <c r="AY159" s="866"/>
      <c r="AZ159" s="836"/>
      <c r="BA159" s="835"/>
      <c r="BB159" s="852"/>
      <c r="BC159" s="836"/>
    </row>
    <row r="160" spans="1:55" s="89" customFormat="1" ht="22.5" customHeight="1" thickBot="1" x14ac:dyDescent="0.25">
      <c r="A160" s="296" t="s">
        <v>3298</v>
      </c>
      <c r="B160" s="297" t="s">
        <v>3299</v>
      </c>
      <c r="C160" s="298" t="s">
        <v>3175</v>
      </c>
      <c r="D160" s="299" t="s">
        <v>3300</v>
      </c>
      <c r="E160" s="299" t="s">
        <v>3301</v>
      </c>
      <c r="F160" s="300" t="s">
        <v>3165</v>
      </c>
      <c r="G160" s="300" t="s">
        <v>3166</v>
      </c>
      <c r="H160" s="301" t="s">
        <v>1349</v>
      </c>
      <c r="I160" s="302" t="s">
        <v>1349</v>
      </c>
      <c r="J160" s="340" t="s">
        <v>3167</v>
      </c>
      <c r="K160" s="343" t="s">
        <v>53</v>
      </c>
      <c r="L160" s="256">
        <f>CONTINUA!BV160</f>
        <v>0</v>
      </c>
      <c r="M160" s="256">
        <f>CONTINUA!BW160</f>
        <v>0</v>
      </c>
      <c r="N160" s="565"/>
      <c r="O160" s="566" t="s">
        <v>3340</v>
      </c>
      <c r="P160" s="567">
        <v>0</v>
      </c>
      <c r="Q160" s="319"/>
      <c r="R160" s="320"/>
      <c r="S160" s="319"/>
      <c r="T160" s="320"/>
      <c r="U160" s="867" t="s">
        <v>3380</v>
      </c>
      <c r="V160" s="868">
        <f>R156+R157+R158+R159+T156+T157+T158+T159</f>
        <v>0</v>
      </c>
      <c r="W160" s="812" t="s">
        <v>3385</v>
      </c>
      <c r="X160" s="869">
        <f>SUM(N156:N160)</f>
        <v>0</v>
      </c>
      <c r="Y160" s="868"/>
      <c r="Z160" s="868"/>
      <c r="AA160" s="868"/>
      <c r="AB160" s="868"/>
      <c r="AC160" s="868"/>
      <c r="AD160" s="868"/>
      <c r="AE160" s="868"/>
      <c r="AF160" s="868"/>
      <c r="AG160" s="868"/>
      <c r="AH160" s="868"/>
      <c r="AI160" s="868"/>
      <c r="AJ160" s="868"/>
      <c r="AK160" s="868"/>
      <c r="AL160" s="868"/>
      <c r="AM160" s="868"/>
      <c r="AN160" s="868"/>
      <c r="AO160" s="868"/>
      <c r="AP160" s="868"/>
      <c r="AQ160" s="868"/>
      <c r="AR160" s="868"/>
      <c r="AS160" s="868"/>
      <c r="AT160" s="868"/>
      <c r="AU160" s="868"/>
      <c r="AV160" s="868"/>
      <c r="AW160" s="868"/>
      <c r="AX160" s="868"/>
      <c r="AY160" s="868"/>
      <c r="AZ160" s="868"/>
      <c r="BA160" s="868"/>
      <c r="BB160" s="868"/>
      <c r="BC160" s="870"/>
    </row>
    <row r="161" spans="1:55" s="89" customFormat="1" ht="22.5" customHeight="1" x14ac:dyDescent="0.35">
      <c r="A161" t="s">
        <v>3302</v>
      </c>
      <c r="B161" s="430" t="s">
        <v>3303</v>
      </c>
      <c r="C161" s="431">
        <v>1</v>
      </c>
      <c r="D161" s="432" t="s">
        <v>3304</v>
      </c>
      <c r="E161" s="432" t="s">
        <v>3305</v>
      </c>
      <c r="F161" s="433" t="s">
        <v>3165</v>
      </c>
      <c r="G161" s="433" t="s">
        <v>3166</v>
      </c>
      <c r="H161" s="270" t="s">
        <v>1350</v>
      </c>
      <c r="I161" s="271" t="s">
        <v>1350</v>
      </c>
      <c r="J161" s="328" t="s">
        <v>3167</v>
      </c>
      <c r="K161" s="329" t="s">
        <v>3168</v>
      </c>
      <c r="L161" s="256">
        <f>CONTINUA!BV161</f>
        <v>0</v>
      </c>
      <c r="M161" s="256">
        <f>CONTINUA!BW161</f>
        <v>0</v>
      </c>
      <c r="N161" s="565"/>
      <c r="O161" s="566" t="s">
        <v>3341</v>
      </c>
      <c r="P161" s="567">
        <v>0</v>
      </c>
      <c r="Q161" s="319"/>
      <c r="R161" s="320"/>
      <c r="S161" s="319"/>
      <c r="T161" s="320"/>
      <c r="U161" s="807" t="s">
        <v>3376</v>
      </c>
      <c r="V161" s="808">
        <f>Q161+Q162+Q163</f>
        <v>28</v>
      </c>
      <c r="W161" s="853" t="s">
        <v>3381</v>
      </c>
      <c r="X161" s="854">
        <f>(R161+R162+R163+T161+T162+T163)</f>
        <v>0</v>
      </c>
      <c r="Y161" s="855" t="s">
        <v>3386</v>
      </c>
      <c r="Z161" s="854">
        <f>SUM(L161:L165)</f>
        <v>0</v>
      </c>
      <c r="AA161" s="813" t="s">
        <v>306</v>
      </c>
      <c r="AB161" s="814" t="s">
        <v>3388</v>
      </c>
      <c r="AC161" s="815" t="s">
        <v>19</v>
      </c>
      <c r="AD161" s="856"/>
      <c r="AE161" s="857" t="s">
        <v>3389</v>
      </c>
      <c r="AF161" s="858"/>
      <c r="AG161" s="842" t="s">
        <v>3393</v>
      </c>
      <c r="AH161" s="825" t="s">
        <v>3388</v>
      </c>
      <c r="AI161" s="826" t="s">
        <v>19</v>
      </c>
      <c r="AJ161" s="827"/>
      <c r="AK161" s="856">
        <v>1</v>
      </c>
      <c r="AL161" s="858"/>
      <c r="AM161" s="842" t="s">
        <v>3400</v>
      </c>
      <c r="AN161" s="825" t="s">
        <v>3388</v>
      </c>
      <c r="AO161" s="826" t="s">
        <v>19</v>
      </c>
      <c r="AP161" s="827"/>
      <c r="AQ161" s="856"/>
      <c r="AR161" s="858"/>
      <c r="AS161" s="841" t="s">
        <v>3401</v>
      </c>
      <c r="AT161" s="838"/>
      <c r="AU161" s="838"/>
      <c r="AV161" s="839"/>
      <c r="AW161" s="858"/>
      <c r="AX161" s="845" t="s">
        <v>3402</v>
      </c>
      <c r="AY161" s="858"/>
      <c r="AZ161" s="845" t="s">
        <v>3403</v>
      </c>
      <c r="BA161" s="846" t="s">
        <v>3404</v>
      </c>
      <c r="BB161" s="847" t="s">
        <v>3405</v>
      </c>
      <c r="BC161" s="848"/>
    </row>
    <row r="162" spans="1:55" s="89" customFormat="1" ht="22.5" customHeight="1" x14ac:dyDescent="0.2">
      <c r="A162" s="287" t="s">
        <v>3302</v>
      </c>
      <c r="B162" s="288" t="s">
        <v>3303</v>
      </c>
      <c r="C162" s="289" t="s">
        <v>3175</v>
      </c>
      <c r="D162" s="290" t="s">
        <v>3304</v>
      </c>
      <c r="E162" s="290" t="s">
        <v>3305</v>
      </c>
      <c r="F162" s="291" t="s">
        <v>3165</v>
      </c>
      <c r="G162" s="291" t="s">
        <v>3166</v>
      </c>
      <c r="H162" s="292" t="s">
        <v>1350</v>
      </c>
      <c r="I162" s="293" t="s">
        <v>1350</v>
      </c>
      <c r="J162" s="340" t="s">
        <v>3167</v>
      </c>
      <c r="K162" s="340" t="s">
        <v>3169</v>
      </c>
      <c r="L162" s="256">
        <f>CONTINUA!BV162</f>
        <v>0</v>
      </c>
      <c r="M162" s="256">
        <f>CONTINUA!BW162</f>
        <v>0</v>
      </c>
      <c r="N162" s="565"/>
      <c r="O162" s="566" t="s">
        <v>3341</v>
      </c>
      <c r="P162" s="567">
        <v>0</v>
      </c>
      <c r="Q162" s="319">
        <v>28</v>
      </c>
      <c r="R162" s="320"/>
      <c r="S162" s="319"/>
      <c r="T162" s="320"/>
      <c r="U162" s="809" t="s">
        <v>3377</v>
      </c>
      <c r="V162" s="859">
        <f>+S161+S162+S163</f>
        <v>0</v>
      </c>
      <c r="W162" s="810" t="s">
        <v>3382</v>
      </c>
      <c r="X162" s="860">
        <f>(Q164+S164)</f>
        <v>0</v>
      </c>
      <c r="Y162" s="812" t="s">
        <v>3387</v>
      </c>
      <c r="Z162" s="860">
        <f>SUM(M161:M165)</f>
        <v>0</v>
      </c>
      <c r="AA162" s="816" t="s">
        <v>3390</v>
      </c>
      <c r="AB162" s="817">
        <f>IF(X164&lt;=15,X164*385.23,0)/30</f>
        <v>0</v>
      </c>
      <c r="AC162" s="818"/>
      <c r="AD162" s="819">
        <f>SUM(AB162:AC164)</f>
        <v>403.84266666666667</v>
      </c>
      <c r="AE162" s="861"/>
      <c r="AF162" s="859"/>
      <c r="AG162" s="828" t="s">
        <v>3394</v>
      </c>
      <c r="AH162" s="829">
        <f>IF(V165=AK161,2043.65,0)/30</f>
        <v>0</v>
      </c>
      <c r="AI162" s="830"/>
      <c r="AJ162" s="831"/>
      <c r="AK162" s="862">
        <v>2</v>
      </c>
      <c r="AL162" s="859"/>
      <c r="AM162" s="828" t="s">
        <v>3397</v>
      </c>
      <c r="AN162" s="829">
        <f>IF(X162&lt;=AQ162,621.14*X162,0)/30</f>
        <v>0</v>
      </c>
      <c r="AO162" s="830"/>
      <c r="AP162" s="831"/>
      <c r="AQ162" s="862">
        <v>9</v>
      </c>
      <c r="AR162" s="859"/>
      <c r="AS162" s="830">
        <f>IF((SUM(V161:V164))&gt;=1,11465.63,0)/30</f>
        <v>382.18766666666664</v>
      </c>
      <c r="AT162" s="830">
        <f>IF((V161+V162)&gt;=1,(V161+V162)*385.23,0)/30</f>
        <v>359.548</v>
      </c>
      <c r="AU162" s="830">
        <f>IF((V163+V164)&gt;=1,(V163+V164)*2043.65,0)</f>
        <v>0</v>
      </c>
      <c r="AV162" s="828">
        <f>SUM(AS162:AU162)</f>
        <v>741.7356666666667</v>
      </c>
      <c r="AW162" s="859"/>
      <c r="AX162" s="843">
        <f>IF(X165&gt;0,X165*1.28,0)</f>
        <v>0</v>
      </c>
      <c r="AY162" s="859"/>
      <c r="AZ162" s="849" t="s">
        <v>19</v>
      </c>
      <c r="BA162" s="850" t="s">
        <v>3406</v>
      </c>
      <c r="BB162" s="851"/>
      <c r="BC162" s="838"/>
    </row>
    <row r="163" spans="1:55" s="89" customFormat="1" ht="22.5" customHeight="1" x14ac:dyDescent="0.2">
      <c r="A163" s="287" t="s">
        <v>3302</v>
      </c>
      <c r="B163" s="288" t="s">
        <v>3303</v>
      </c>
      <c r="C163" s="294" t="s">
        <v>3175</v>
      </c>
      <c r="D163" s="290" t="s">
        <v>3304</v>
      </c>
      <c r="E163" s="290" t="s">
        <v>3305</v>
      </c>
      <c r="F163" s="295" t="s">
        <v>3165</v>
      </c>
      <c r="G163" s="295" t="s">
        <v>3166</v>
      </c>
      <c r="H163" s="292" t="s">
        <v>1350</v>
      </c>
      <c r="I163" s="293" t="s">
        <v>1350</v>
      </c>
      <c r="J163" s="340" t="s">
        <v>3167</v>
      </c>
      <c r="K163" s="341" t="s">
        <v>3170</v>
      </c>
      <c r="L163" s="256">
        <f>CONTINUA!BV163</f>
        <v>0</v>
      </c>
      <c r="M163" s="256">
        <f>CONTINUA!BW163</f>
        <v>0</v>
      </c>
      <c r="N163" s="565"/>
      <c r="O163" s="566" t="s">
        <v>3341</v>
      </c>
      <c r="P163" s="567">
        <v>0</v>
      </c>
      <c r="Q163" s="319"/>
      <c r="R163" s="320"/>
      <c r="S163" s="319"/>
      <c r="T163" s="320"/>
      <c r="U163" s="809" t="s">
        <v>3378</v>
      </c>
      <c r="V163" s="859">
        <f>+R161+R162+R163</f>
        <v>0</v>
      </c>
      <c r="W163" s="811" t="s">
        <v>3383</v>
      </c>
      <c r="X163" s="860">
        <f>SUM(V161:V164)</f>
        <v>28</v>
      </c>
      <c r="Y163" s="859"/>
      <c r="Z163" s="859"/>
      <c r="AA163" s="863" t="s">
        <v>3391</v>
      </c>
      <c r="AB163" s="820"/>
      <c r="AC163" s="820">
        <f>IF(X164&gt;15,7492.52)/30</f>
        <v>249.75066666666669</v>
      </c>
      <c r="AD163" s="821"/>
      <c r="AE163" s="864">
        <v>15</v>
      </c>
      <c r="AF163" s="859"/>
      <c r="AG163" s="828" t="s">
        <v>3395</v>
      </c>
      <c r="AH163" s="829"/>
      <c r="AI163" s="832">
        <f>IF(V165&gt;=AK162,7492.52,0)/30</f>
        <v>0</v>
      </c>
      <c r="AJ163" s="833">
        <f>SUM(AH162:AI164)</f>
        <v>0</v>
      </c>
      <c r="AK163" s="862"/>
      <c r="AL163" s="859"/>
      <c r="AM163" s="828" t="s">
        <v>3398</v>
      </c>
      <c r="AN163" s="829"/>
      <c r="AO163" s="832">
        <f>IF(X162&gt;=AQ163,7492.52,0)/30</f>
        <v>0</v>
      </c>
      <c r="AP163" s="833">
        <f>SUM(AN162:AO164)</f>
        <v>0</v>
      </c>
      <c r="AQ163" s="862">
        <v>10</v>
      </c>
      <c r="AR163" s="859"/>
      <c r="AS163" s="830"/>
      <c r="AT163" s="830"/>
      <c r="AU163" s="830"/>
      <c r="AV163" s="828"/>
      <c r="AW163" s="859"/>
      <c r="AX163" s="843"/>
      <c r="AY163" s="859"/>
      <c r="AZ163" s="830" t="s">
        <v>3407</v>
      </c>
      <c r="BA163" s="829">
        <f>IF(Z161&gt;0,Z161*9.64,0)</f>
        <v>0</v>
      </c>
      <c r="BB163" s="865">
        <f>IF(Z162&gt;0,Z162*56.2,0)</f>
        <v>0</v>
      </c>
      <c r="BC163" s="830">
        <f>SUM(BA163:BB163)</f>
        <v>0</v>
      </c>
    </row>
    <row r="164" spans="1:55" s="89" customFormat="1" ht="22.5" customHeight="1" x14ac:dyDescent="0.2">
      <c r="A164" s="287" t="s">
        <v>3302</v>
      </c>
      <c r="B164" s="288" t="s">
        <v>3303</v>
      </c>
      <c r="C164" s="294" t="s">
        <v>3175</v>
      </c>
      <c r="D164" s="290" t="s">
        <v>3304</v>
      </c>
      <c r="E164" s="290" t="s">
        <v>3305</v>
      </c>
      <c r="F164" s="295" t="s">
        <v>3165</v>
      </c>
      <c r="G164" s="295" t="s">
        <v>3166</v>
      </c>
      <c r="H164" s="292" t="s">
        <v>1350</v>
      </c>
      <c r="I164" s="293" t="s">
        <v>1350</v>
      </c>
      <c r="J164" s="340" t="s">
        <v>3167</v>
      </c>
      <c r="K164" s="342" t="s">
        <v>3171</v>
      </c>
      <c r="L164" s="256">
        <f>CONTINUA!BV164</f>
        <v>0</v>
      </c>
      <c r="M164" s="256">
        <f>CONTINUA!BW164</f>
        <v>0</v>
      </c>
      <c r="N164" s="565"/>
      <c r="O164" s="566" t="s">
        <v>3341</v>
      </c>
      <c r="P164" s="567">
        <v>0</v>
      </c>
      <c r="Q164" s="319"/>
      <c r="R164" s="320"/>
      <c r="S164" s="319"/>
      <c r="T164" s="320"/>
      <c r="U164" s="809" t="s">
        <v>3379</v>
      </c>
      <c r="V164" s="866">
        <f>+T161+T162+T163</f>
        <v>0</v>
      </c>
      <c r="W164" s="812" t="s">
        <v>3384</v>
      </c>
      <c r="X164" s="860">
        <f>SUM(V161:V162)</f>
        <v>28</v>
      </c>
      <c r="Y164" s="866"/>
      <c r="Z164" s="866"/>
      <c r="AA164" s="822" t="s">
        <v>3392</v>
      </c>
      <c r="AB164" s="823">
        <f>((X164-16)*385.23)/30</f>
        <v>154.09200000000001</v>
      </c>
      <c r="AC164" s="823"/>
      <c r="AD164" s="824"/>
      <c r="AE164" s="864">
        <v>16</v>
      </c>
      <c r="AF164" s="866"/>
      <c r="AG164" s="834" t="s">
        <v>3396</v>
      </c>
      <c r="AH164" s="835">
        <f>IF(V165&gt;AK162,(V165-AK162)*2043.65,0)/30</f>
        <v>0</v>
      </c>
      <c r="AI164" s="836"/>
      <c r="AJ164" s="837"/>
      <c r="AK164" s="862"/>
      <c r="AL164" s="866"/>
      <c r="AM164" s="834" t="s">
        <v>3399</v>
      </c>
      <c r="AN164" s="835">
        <f>IF(X162&gt;AQ163,(X162-AQ163)*621.14,0)/30</f>
        <v>0</v>
      </c>
      <c r="AO164" s="836"/>
      <c r="AP164" s="837"/>
      <c r="AQ164" s="862"/>
      <c r="AR164" s="866"/>
      <c r="AS164" s="836"/>
      <c r="AT164" s="836"/>
      <c r="AU164" s="836"/>
      <c r="AV164" s="840"/>
      <c r="AW164" s="866"/>
      <c r="AX164" s="844"/>
      <c r="AY164" s="866"/>
      <c r="AZ164" s="836"/>
      <c r="BA164" s="835"/>
      <c r="BB164" s="852"/>
      <c r="BC164" s="836"/>
    </row>
    <row r="165" spans="1:55" s="89" customFormat="1" ht="22.5" customHeight="1" thickBot="1" x14ac:dyDescent="0.25">
      <c r="A165" s="296" t="s">
        <v>3302</v>
      </c>
      <c r="B165" s="297" t="s">
        <v>3303</v>
      </c>
      <c r="C165" s="298" t="s">
        <v>3175</v>
      </c>
      <c r="D165" s="299" t="s">
        <v>3304</v>
      </c>
      <c r="E165" s="299" t="s">
        <v>3305</v>
      </c>
      <c r="F165" s="300" t="s">
        <v>3165</v>
      </c>
      <c r="G165" s="300" t="s">
        <v>3166</v>
      </c>
      <c r="H165" s="301" t="s">
        <v>1350</v>
      </c>
      <c r="I165" s="302" t="s">
        <v>1350</v>
      </c>
      <c r="J165" s="340" t="s">
        <v>3167</v>
      </c>
      <c r="K165" s="343" t="s">
        <v>53</v>
      </c>
      <c r="L165" s="256">
        <f>CONTINUA!BV165</f>
        <v>0</v>
      </c>
      <c r="M165" s="256">
        <f>CONTINUA!BW165</f>
        <v>0</v>
      </c>
      <c r="N165" s="565"/>
      <c r="O165" s="566" t="s">
        <v>3341</v>
      </c>
      <c r="P165" s="567">
        <v>0</v>
      </c>
      <c r="Q165" s="319"/>
      <c r="R165" s="320"/>
      <c r="S165" s="319"/>
      <c r="T165" s="320"/>
      <c r="U165" s="867" t="s">
        <v>3380</v>
      </c>
      <c r="V165" s="868">
        <f>R161+R162+R163+R164+T161+T162+T163+T164</f>
        <v>0</v>
      </c>
      <c r="W165" s="812" t="s">
        <v>3385</v>
      </c>
      <c r="X165" s="869">
        <f>SUM(N161:N165)</f>
        <v>0</v>
      </c>
      <c r="Y165" s="868"/>
      <c r="Z165" s="868"/>
      <c r="AA165" s="868"/>
      <c r="AB165" s="868"/>
      <c r="AC165" s="868"/>
      <c r="AD165" s="868"/>
      <c r="AE165" s="868"/>
      <c r="AF165" s="868"/>
      <c r="AG165" s="868"/>
      <c r="AH165" s="868"/>
      <c r="AI165" s="868"/>
      <c r="AJ165" s="868"/>
      <c r="AK165" s="868"/>
      <c r="AL165" s="868"/>
      <c r="AM165" s="868"/>
      <c r="AN165" s="868"/>
      <c r="AO165" s="868"/>
      <c r="AP165" s="868"/>
      <c r="AQ165" s="868"/>
      <c r="AR165" s="868"/>
      <c r="AS165" s="868"/>
      <c r="AT165" s="868"/>
      <c r="AU165" s="868"/>
      <c r="AV165" s="868"/>
      <c r="AW165" s="868"/>
      <c r="AX165" s="868"/>
      <c r="AY165" s="868"/>
      <c r="AZ165" s="868"/>
      <c r="BA165" s="868"/>
      <c r="BB165" s="868"/>
      <c r="BC165" s="870"/>
    </row>
    <row r="166" spans="1:55" s="89" customFormat="1" ht="22.5" customHeight="1" x14ac:dyDescent="0.35">
      <c r="A166" t="s">
        <v>3306</v>
      </c>
      <c r="B166" s="430" t="s">
        <v>3307</v>
      </c>
      <c r="C166" s="431">
        <v>1</v>
      </c>
      <c r="D166" s="432" t="s">
        <v>3308</v>
      </c>
      <c r="E166" s="432" t="s">
        <v>3309</v>
      </c>
      <c r="F166" s="433" t="s">
        <v>3165</v>
      </c>
      <c r="G166" s="433" t="s">
        <v>3166</v>
      </c>
      <c r="H166" s="270" t="s">
        <v>1351</v>
      </c>
      <c r="I166" s="271" t="s">
        <v>1351</v>
      </c>
      <c r="J166" s="328" t="s">
        <v>3167</v>
      </c>
      <c r="K166" s="329" t="s">
        <v>3168</v>
      </c>
      <c r="L166" s="256">
        <f>CONTINUA!BV166</f>
        <v>0</v>
      </c>
      <c r="M166" s="256">
        <f>CONTINUA!BW166</f>
        <v>0</v>
      </c>
      <c r="N166" s="565"/>
      <c r="O166" s="566" t="s">
        <v>3342</v>
      </c>
      <c r="P166" s="567">
        <v>0</v>
      </c>
      <c r="Q166" s="319">
        <v>25</v>
      </c>
      <c r="R166" s="320"/>
      <c r="S166" s="319"/>
      <c r="T166" s="320"/>
      <c r="U166" s="807" t="s">
        <v>3376</v>
      </c>
      <c r="V166" s="808">
        <f>Q166+Q167+Q168</f>
        <v>31</v>
      </c>
      <c r="W166" s="853" t="s">
        <v>3381</v>
      </c>
      <c r="X166" s="854">
        <f>(R166+R167+R168+T166+T167+T168)</f>
        <v>0</v>
      </c>
      <c r="Y166" s="855" t="s">
        <v>3386</v>
      </c>
      <c r="Z166" s="854">
        <f>SUM(L166:L170)</f>
        <v>0</v>
      </c>
      <c r="AA166" s="813" t="s">
        <v>306</v>
      </c>
      <c r="AB166" s="814" t="s">
        <v>3388</v>
      </c>
      <c r="AC166" s="815" t="s">
        <v>19</v>
      </c>
      <c r="AD166" s="856"/>
      <c r="AE166" s="857" t="s">
        <v>3389</v>
      </c>
      <c r="AF166" s="858"/>
      <c r="AG166" s="842" t="s">
        <v>3393</v>
      </c>
      <c r="AH166" s="825" t="s">
        <v>3388</v>
      </c>
      <c r="AI166" s="826" t="s">
        <v>19</v>
      </c>
      <c r="AJ166" s="827"/>
      <c r="AK166" s="856">
        <v>1</v>
      </c>
      <c r="AL166" s="858"/>
      <c r="AM166" s="842" t="s">
        <v>3400</v>
      </c>
      <c r="AN166" s="825" t="s">
        <v>3388</v>
      </c>
      <c r="AO166" s="826" t="s">
        <v>19</v>
      </c>
      <c r="AP166" s="827"/>
      <c r="AQ166" s="856"/>
      <c r="AR166" s="858"/>
      <c r="AS166" s="841" t="s">
        <v>3401</v>
      </c>
      <c r="AT166" s="838"/>
      <c r="AU166" s="838"/>
      <c r="AV166" s="839"/>
      <c r="AW166" s="858"/>
      <c r="AX166" s="845" t="s">
        <v>3402</v>
      </c>
      <c r="AY166" s="858"/>
      <c r="AZ166" s="845" t="s">
        <v>3403</v>
      </c>
      <c r="BA166" s="846" t="s">
        <v>3404</v>
      </c>
      <c r="BB166" s="847" t="s">
        <v>3405</v>
      </c>
      <c r="BC166" s="848"/>
    </row>
    <row r="167" spans="1:55" s="89" customFormat="1" ht="22.5" customHeight="1" x14ac:dyDescent="0.2">
      <c r="A167" s="287" t="s">
        <v>3306</v>
      </c>
      <c r="B167" s="288" t="s">
        <v>3307</v>
      </c>
      <c r="C167" s="289" t="s">
        <v>3175</v>
      </c>
      <c r="D167" s="290" t="s">
        <v>3308</v>
      </c>
      <c r="E167" s="290" t="s">
        <v>3309</v>
      </c>
      <c r="F167" s="291" t="s">
        <v>3165</v>
      </c>
      <c r="G167" s="291" t="s">
        <v>3166</v>
      </c>
      <c r="H167" s="292" t="s">
        <v>1351</v>
      </c>
      <c r="I167" s="293" t="s">
        <v>1351</v>
      </c>
      <c r="J167" s="340" t="s">
        <v>3167</v>
      </c>
      <c r="K167" s="340" t="s">
        <v>3169</v>
      </c>
      <c r="L167" s="256">
        <f>CONTINUA!BV167</f>
        <v>0</v>
      </c>
      <c r="M167" s="256">
        <f>CONTINUA!BW167</f>
        <v>0</v>
      </c>
      <c r="N167" s="565"/>
      <c r="O167" s="566" t="s">
        <v>3342</v>
      </c>
      <c r="P167" s="567">
        <v>0</v>
      </c>
      <c r="Q167" s="319">
        <v>6</v>
      </c>
      <c r="R167" s="320"/>
      <c r="S167" s="319"/>
      <c r="T167" s="320"/>
      <c r="U167" s="809" t="s">
        <v>3377</v>
      </c>
      <c r="V167" s="859">
        <f>+S166+S167+S168</f>
        <v>0</v>
      </c>
      <c r="W167" s="810" t="s">
        <v>3382</v>
      </c>
      <c r="X167" s="860">
        <f>(Q169+S169)</f>
        <v>0</v>
      </c>
      <c r="Y167" s="812" t="s">
        <v>3387</v>
      </c>
      <c r="Z167" s="860">
        <f>SUM(M166:M170)</f>
        <v>0</v>
      </c>
      <c r="AA167" s="816" t="s">
        <v>3390</v>
      </c>
      <c r="AB167" s="817">
        <f>IF(X169&lt;=15,X169*385.23,0)/30</f>
        <v>0</v>
      </c>
      <c r="AC167" s="818"/>
      <c r="AD167" s="819">
        <f>SUM(AB167:AC169)</f>
        <v>442.3656666666667</v>
      </c>
      <c r="AE167" s="861"/>
      <c r="AF167" s="859"/>
      <c r="AG167" s="828" t="s">
        <v>3394</v>
      </c>
      <c r="AH167" s="829">
        <f>IF(V170=AK166,2043.65,0)/30</f>
        <v>0</v>
      </c>
      <c r="AI167" s="830"/>
      <c r="AJ167" s="831"/>
      <c r="AK167" s="862">
        <v>2</v>
      </c>
      <c r="AL167" s="859"/>
      <c r="AM167" s="828" t="s">
        <v>3397</v>
      </c>
      <c r="AN167" s="829">
        <f>IF(X167&lt;=AQ167,621.14*X167,0)/30</f>
        <v>0</v>
      </c>
      <c r="AO167" s="830"/>
      <c r="AP167" s="831"/>
      <c r="AQ167" s="862">
        <v>9</v>
      </c>
      <c r="AR167" s="859"/>
      <c r="AS167" s="830">
        <f>IF((SUM(V166:V169))&gt;=1,11465.63,0)/30</f>
        <v>382.18766666666664</v>
      </c>
      <c r="AT167" s="830">
        <f>IF((V166+V167)&gt;=1,(V166+V167)*385.23,0)/30</f>
        <v>398.07100000000003</v>
      </c>
      <c r="AU167" s="830">
        <f>IF((V168+V169)&gt;=1,(V168+V169)*2043.65,0)</f>
        <v>0</v>
      </c>
      <c r="AV167" s="828">
        <f>SUM(AS167:AU167)</f>
        <v>780.25866666666661</v>
      </c>
      <c r="AW167" s="859"/>
      <c r="AX167" s="843">
        <f>IF(X170&gt;0,X170*1.28,0)</f>
        <v>0</v>
      </c>
      <c r="AY167" s="859"/>
      <c r="AZ167" s="849" t="s">
        <v>19</v>
      </c>
      <c r="BA167" s="850" t="s">
        <v>3406</v>
      </c>
      <c r="BB167" s="851"/>
      <c r="BC167" s="838"/>
    </row>
    <row r="168" spans="1:55" s="89" customFormat="1" ht="22.5" customHeight="1" x14ac:dyDescent="0.2">
      <c r="A168" s="287" t="s">
        <v>3306</v>
      </c>
      <c r="B168" s="288" t="s">
        <v>3307</v>
      </c>
      <c r="C168" s="294" t="s">
        <v>3175</v>
      </c>
      <c r="D168" s="290" t="s">
        <v>3308</v>
      </c>
      <c r="E168" s="290" t="s">
        <v>3309</v>
      </c>
      <c r="F168" s="295" t="s">
        <v>3165</v>
      </c>
      <c r="G168" s="295" t="s">
        <v>3166</v>
      </c>
      <c r="H168" s="292" t="s">
        <v>1351</v>
      </c>
      <c r="I168" s="293" t="s">
        <v>1351</v>
      </c>
      <c r="J168" s="340" t="s">
        <v>3167</v>
      </c>
      <c r="K168" s="341" t="s">
        <v>3170</v>
      </c>
      <c r="L168" s="256">
        <f>CONTINUA!BV168</f>
        <v>0</v>
      </c>
      <c r="M168" s="256">
        <f>CONTINUA!BW168</f>
        <v>0</v>
      </c>
      <c r="N168" s="565"/>
      <c r="O168" s="566" t="s">
        <v>3342</v>
      </c>
      <c r="P168" s="567">
        <v>0</v>
      </c>
      <c r="Q168" s="319"/>
      <c r="R168" s="320"/>
      <c r="S168" s="319"/>
      <c r="T168" s="320"/>
      <c r="U168" s="809" t="s">
        <v>3378</v>
      </c>
      <c r="V168" s="859">
        <f>+R166+R167+R168</f>
        <v>0</v>
      </c>
      <c r="W168" s="811" t="s">
        <v>3383</v>
      </c>
      <c r="X168" s="860">
        <f>SUM(V166:V169)</f>
        <v>31</v>
      </c>
      <c r="Y168" s="859"/>
      <c r="Z168" s="859"/>
      <c r="AA168" s="863" t="s">
        <v>3391</v>
      </c>
      <c r="AB168" s="820"/>
      <c r="AC168" s="820">
        <f>IF(X169&gt;15,7492.52)/30</f>
        <v>249.75066666666669</v>
      </c>
      <c r="AD168" s="821"/>
      <c r="AE168" s="864">
        <v>15</v>
      </c>
      <c r="AF168" s="859"/>
      <c r="AG168" s="828" t="s">
        <v>3395</v>
      </c>
      <c r="AH168" s="829"/>
      <c r="AI168" s="832">
        <f>IF(V170&gt;=AK167,7492.52,0)/30</f>
        <v>0</v>
      </c>
      <c r="AJ168" s="833">
        <f>SUM(AH167:AI169)</f>
        <v>0</v>
      </c>
      <c r="AK168" s="862"/>
      <c r="AL168" s="859"/>
      <c r="AM168" s="828" t="s">
        <v>3398</v>
      </c>
      <c r="AN168" s="829"/>
      <c r="AO168" s="832">
        <f>IF(X167&gt;=AQ168,7492.52,0)/30</f>
        <v>0</v>
      </c>
      <c r="AP168" s="833">
        <f>SUM(AN167:AO169)</f>
        <v>0</v>
      </c>
      <c r="AQ168" s="862">
        <v>10</v>
      </c>
      <c r="AR168" s="859"/>
      <c r="AS168" s="830"/>
      <c r="AT168" s="830"/>
      <c r="AU168" s="830"/>
      <c r="AV168" s="828"/>
      <c r="AW168" s="859"/>
      <c r="AX168" s="843"/>
      <c r="AY168" s="859"/>
      <c r="AZ168" s="830" t="s">
        <v>3407</v>
      </c>
      <c r="BA168" s="829">
        <f>IF(Z166&gt;0,Z166*9.64,0)</f>
        <v>0</v>
      </c>
      <c r="BB168" s="865">
        <f>IF(Z167&gt;0,Z167*56.2,0)</f>
        <v>0</v>
      </c>
      <c r="BC168" s="830">
        <f>SUM(BA168:BB168)</f>
        <v>0</v>
      </c>
    </row>
    <row r="169" spans="1:55" s="89" customFormat="1" ht="22.5" customHeight="1" x14ac:dyDescent="0.2">
      <c r="A169" s="287" t="s">
        <v>3306</v>
      </c>
      <c r="B169" s="288" t="s">
        <v>3307</v>
      </c>
      <c r="C169" s="294" t="s">
        <v>3175</v>
      </c>
      <c r="D169" s="290" t="s">
        <v>3308</v>
      </c>
      <c r="E169" s="290" t="s">
        <v>3309</v>
      </c>
      <c r="F169" s="295" t="s">
        <v>3165</v>
      </c>
      <c r="G169" s="295" t="s">
        <v>3166</v>
      </c>
      <c r="H169" s="292" t="s">
        <v>1351</v>
      </c>
      <c r="I169" s="293" t="s">
        <v>1351</v>
      </c>
      <c r="J169" s="340" t="s">
        <v>3167</v>
      </c>
      <c r="K169" s="342" t="s">
        <v>3171</v>
      </c>
      <c r="L169" s="256">
        <f>CONTINUA!BV169</f>
        <v>0</v>
      </c>
      <c r="M169" s="256">
        <f>CONTINUA!BW169</f>
        <v>0</v>
      </c>
      <c r="N169" s="565"/>
      <c r="O169" s="566" t="s">
        <v>3342</v>
      </c>
      <c r="P169" s="567">
        <v>0</v>
      </c>
      <c r="Q169" s="319"/>
      <c r="R169" s="320"/>
      <c r="S169" s="319"/>
      <c r="T169" s="320"/>
      <c r="U169" s="809" t="s">
        <v>3379</v>
      </c>
      <c r="V169" s="866">
        <f>+T166+T167+T168</f>
        <v>0</v>
      </c>
      <c r="W169" s="812" t="s">
        <v>3384</v>
      </c>
      <c r="X169" s="860">
        <f>SUM(V166:V167)</f>
        <v>31</v>
      </c>
      <c r="Y169" s="866"/>
      <c r="Z169" s="866"/>
      <c r="AA169" s="822" t="s">
        <v>3392</v>
      </c>
      <c r="AB169" s="823">
        <f>((X169-16)*385.23)/30</f>
        <v>192.61500000000004</v>
      </c>
      <c r="AC169" s="823"/>
      <c r="AD169" s="824"/>
      <c r="AE169" s="864">
        <v>16</v>
      </c>
      <c r="AF169" s="866"/>
      <c r="AG169" s="834" t="s">
        <v>3396</v>
      </c>
      <c r="AH169" s="835">
        <f>IF(V170&gt;AK167,(V170-AK167)*2043.65,0)/30</f>
        <v>0</v>
      </c>
      <c r="AI169" s="836"/>
      <c r="AJ169" s="837"/>
      <c r="AK169" s="862"/>
      <c r="AL169" s="866"/>
      <c r="AM169" s="834" t="s">
        <v>3399</v>
      </c>
      <c r="AN169" s="835">
        <f>IF(X167&gt;AQ168,(X167-AQ168)*621.14,0)/30</f>
        <v>0</v>
      </c>
      <c r="AO169" s="836"/>
      <c r="AP169" s="837"/>
      <c r="AQ169" s="862"/>
      <c r="AR169" s="866"/>
      <c r="AS169" s="836"/>
      <c r="AT169" s="836"/>
      <c r="AU169" s="836"/>
      <c r="AV169" s="840"/>
      <c r="AW169" s="866"/>
      <c r="AX169" s="844"/>
      <c r="AY169" s="866"/>
      <c r="AZ169" s="836"/>
      <c r="BA169" s="835"/>
      <c r="BB169" s="852"/>
      <c r="BC169" s="836"/>
    </row>
    <row r="170" spans="1:55" s="89" customFormat="1" ht="22.5" customHeight="1" thickBot="1" x14ac:dyDescent="0.25">
      <c r="A170" s="296" t="s">
        <v>3306</v>
      </c>
      <c r="B170" s="297" t="s">
        <v>3307</v>
      </c>
      <c r="C170" s="298" t="s">
        <v>3175</v>
      </c>
      <c r="D170" s="299" t="s">
        <v>3308</v>
      </c>
      <c r="E170" s="299" t="s">
        <v>3309</v>
      </c>
      <c r="F170" s="300" t="s">
        <v>3165</v>
      </c>
      <c r="G170" s="300" t="s">
        <v>3166</v>
      </c>
      <c r="H170" s="301" t="s">
        <v>1351</v>
      </c>
      <c r="I170" s="302" t="s">
        <v>1351</v>
      </c>
      <c r="J170" s="340" t="s">
        <v>3167</v>
      </c>
      <c r="K170" s="343" t="s">
        <v>53</v>
      </c>
      <c r="L170" s="256">
        <f>CONTINUA!BV170</f>
        <v>0</v>
      </c>
      <c r="M170" s="256">
        <f>CONTINUA!BW170</f>
        <v>0</v>
      </c>
      <c r="N170" s="565"/>
      <c r="O170" s="566" t="s">
        <v>3342</v>
      </c>
      <c r="P170" s="567">
        <v>0</v>
      </c>
      <c r="Q170" s="319"/>
      <c r="R170" s="320"/>
      <c r="S170" s="319"/>
      <c r="T170" s="320"/>
      <c r="U170" s="867" t="s">
        <v>3380</v>
      </c>
      <c r="V170" s="868">
        <f>R166+R167+R168+R169+T166+T167+T168+T169</f>
        <v>0</v>
      </c>
      <c r="W170" s="812" t="s">
        <v>3385</v>
      </c>
      <c r="X170" s="869">
        <f>SUM(N166:N170)</f>
        <v>0</v>
      </c>
      <c r="Y170" s="868"/>
      <c r="Z170" s="868"/>
      <c r="AA170" s="868"/>
      <c r="AB170" s="868"/>
      <c r="AC170" s="868"/>
      <c r="AD170" s="868"/>
      <c r="AE170" s="868"/>
      <c r="AF170" s="868"/>
      <c r="AG170" s="868"/>
      <c r="AH170" s="868"/>
      <c r="AI170" s="868"/>
      <c r="AJ170" s="868"/>
      <c r="AK170" s="868"/>
      <c r="AL170" s="868"/>
      <c r="AM170" s="868"/>
      <c r="AN170" s="868"/>
      <c r="AO170" s="868"/>
      <c r="AP170" s="868"/>
      <c r="AQ170" s="868"/>
      <c r="AR170" s="868"/>
      <c r="AS170" s="868"/>
      <c r="AT170" s="868"/>
      <c r="AU170" s="868"/>
      <c r="AV170" s="868"/>
      <c r="AW170" s="868"/>
      <c r="AX170" s="868"/>
      <c r="AY170" s="868"/>
      <c r="AZ170" s="868"/>
      <c r="BA170" s="868"/>
      <c r="BB170" s="868"/>
      <c r="BC170" s="870"/>
    </row>
    <row r="171" spans="1:55" x14ac:dyDescent="0.2">
      <c r="P171" s="81"/>
    </row>
    <row r="172" spans="1:55" x14ac:dyDescent="0.2">
      <c r="P172" s="81"/>
    </row>
    <row r="173" spans="1:55" x14ac:dyDescent="0.2">
      <c r="P173" s="81"/>
    </row>
    <row r="174" spans="1:55" x14ac:dyDescent="0.2">
      <c r="P174" s="81"/>
    </row>
    <row r="175" spans="1:55" x14ac:dyDescent="0.2">
      <c r="P175" s="81"/>
    </row>
    <row r="176" spans="1:55" x14ac:dyDescent="0.2">
      <c r="P176" s="81"/>
    </row>
    <row r="177" spans="16:16" x14ac:dyDescent="0.2">
      <c r="P177" s="81"/>
    </row>
    <row r="178" spans="16:16" x14ac:dyDescent="0.2">
      <c r="P178" s="81"/>
    </row>
    <row r="179" spans="16:16" x14ac:dyDescent="0.2">
      <c r="P179" s="81"/>
    </row>
    <row r="180" spans="16:16" x14ac:dyDescent="0.2">
      <c r="P180" s="81"/>
    </row>
    <row r="181" spans="16:16" x14ac:dyDescent="0.2">
      <c r="P181" s="81"/>
    </row>
    <row r="182" spans="16:16" x14ac:dyDescent="0.2">
      <c r="P182" s="81"/>
    </row>
    <row r="183" spans="16:16" x14ac:dyDescent="0.2">
      <c r="P183" s="81"/>
    </row>
    <row r="184" spans="16:16" x14ac:dyDescent="0.2">
      <c r="P184" s="81"/>
    </row>
    <row r="185" spans="16:16" x14ac:dyDescent="0.2">
      <c r="P185" s="81"/>
    </row>
    <row r="186" spans="16:16" x14ac:dyDescent="0.2">
      <c r="P186" s="81"/>
    </row>
    <row r="187" spans="16:16" x14ac:dyDescent="0.2">
      <c r="P187" s="81"/>
    </row>
    <row r="188" spans="16:16" x14ac:dyDescent="0.2">
      <c r="P188" s="81"/>
    </row>
    <row r="189" spans="16:16" x14ac:dyDescent="0.2">
      <c r="P189" s="81"/>
    </row>
    <row r="190" spans="16:16" x14ac:dyDescent="0.2">
      <c r="P190" s="81"/>
    </row>
    <row r="191" spans="16:16" x14ac:dyDescent="0.2">
      <c r="P191" s="81"/>
    </row>
    <row r="192" spans="16:16" x14ac:dyDescent="0.2">
      <c r="P192" s="81"/>
    </row>
    <row r="193" spans="16:16" x14ac:dyDescent="0.2">
      <c r="P193" s="81"/>
    </row>
    <row r="194" spans="16:16" x14ac:dyDescent="0.2">
      <c r="P194" s="81"/>
    </row>
    <row r="195" spans="16:16" x14ac:dyDescent="0.2">
      <c r="P195" s="81"/>
    </row>
    <row r="196" spans="16:16" x14ac:dyDescent="0.2">
      <c r="P196" s="81"/>
    </row>
    <row r="197" spans="16:16" x14ac:dyDescent="0.2">
      <c r="P197" s="81"/>
    </row>
    <row r="198" spans="16:16" x14ac:dyDescent="0.2">
      <c r="P198" s="81"/>
    </row>
    <row r="199" spans="16:16" x14ac:dyDescent="0.2">
      <c r="P199" s="81"/>
    </row>
    <row r="200" spans="16:16" x14ac:dyDescent="0.2">
      <c r="P200" s="81"/>
    </row>
    <row r="201" spans="16:16" x14ac:dyDescent="0.2">
      <c r="P201" s="81"/>
    </row>
    <row r="202" spans="16:16" x14ac:dyDescent="0.2">
      <c r="P202" s="81"/>
    </row>
    <row r="203" spans="16:16" x14ac:dyDescent="0.2">
      <c r="P203" s="81"/>
    </row>
    <row r="204" spans="16:16" x14ac:dyDescent="0.2">
      <c r="P204" s="81"/>
    </row>
    <row r="205" spans="16:16" x14ac:dyDescent="0.2">
      <c r="P205" s="81"/>
    </row>
    <row r="206" spans="16:16" x14ac:dyDescent="0.2">
      <c r="P206" s="81"/>
    </row>
    <row r="207" spans="16:16" x14ac:dyDescent="0.2">
      <c r="P207" s="81"/>
    </row>
    <row r="208" spans="16:16" x14ac:dyDescent="0.2">
      <c r="P208" s="81"/>
    </row>
    <row r="209" spans="16:16" x14ac:dyDescent="0.2">
      <c r="P209" s="81"/>
    </row>
    <row r="210" spans="16:16" x14ac:dyDescent="0.2">
      <c r="P210" s="81"/>
    </row>
    <row r="211" spans="16:16" x14ac:dyDescent="0.2">
      <c r="P211" s="81"/>
    </row>
    <row r="212" spans="16:16" x14ac:dyDescent="0.2">
      <c r="P212" s="81"/>
    </row>
  </sheetData>
  <sheetProtection autoFilter="0"/>
  <dataConsolidate/>
  <mergeCells count="36">
    <mergeCell ref="BA157:BB157"/>
    <mergeCell ref="BA162:BB162"/>
    <mergeCell ref="BA167:BB167"/>
    <mergeCell ref="BA132:BB132"/>
    <mergeCell ref="BA137:BB137"/>
    <mergeCell ref="BA142:BB142"/>
    <mergeCell ref="BA147:BB147"/>
    <mergeCell ref="BA152:BB152"/>
    <mergeCell ref="BA107:BB107"/>
    <mergeCell ref="BA112:BB112"/>
    <mergeCell ref="BA117:BB117"/>
    <mergeCell ref="BA122:BB122"/>
    <mergeCell ref="BA127:BB127"/>
    <mergeCell ref="BA82:BB82"/>
    <mergeCell ref="BA87:BB87"/>
    <mergeCell ref="BA92:BB92"/>
    <mergeCell ref="BA97:BB97"/>
    <mergeCell ref="BA102:BB102"/>
    <mergeCell ref="BA57:BB57"/>
    <mergeCell ref="BA62:BB62"/>
    <mergeCell ref="BA67:BB67"/>
    <mergeCell ref="BA72:BB72"/>
    <mergeCell ref="BA77:BB77"/>
    <mergeCell ref="BA32:BB32"/>
    <mergeCell ref="BA37:BB37"/>
    <mergeCell ref="BA42:BB42"/>
    <mergeCell ref="BA47:BB47"/>
    <mergeCell ref="BA52:BB52"/>
    <mergeCell ref="BA7:BB7"/>
    <mergeCell ref="BA12:BB12"/>
    <mergeCell ref="BA17:BB17"/>
    <mergeCell ref="BA22:BB22"/>
    <mergeCell ref="BA27:BB27"/>
    <mergeCell ref="A1:F2"/>
    <mergeCell ref="I1:J2"/>
    <mergeCell ref="Q4:T4"/>
  </mergeCells>
  <phoneticPr fontId="37" type="noConversion"/>
  <conditionalFormatting sqref="J6:J170">
    <cfRule type="cellIs" dxfId="405" priority="1" operator="equal">
      <formula>"CRECHE"</formula>
    </cfRule>
    <cfRule type="cellIs" dxfId="404" priority="2" operator="equal">
      <formula>"ADAPTADO"</formula>
    </cfRule>
  </conditionalFormatting>
  <dataValidations count="1">
    <dataValidation type="custom" allowBlank="1" showInputMessage="1" showErrorMessage="1" errorTitle="Atenção!" error="Veículo não é Adaptado" sqref="R6:R170 T6:T170" xr:uid="{00000000-0002-0000-0000-000000000000}">
      <formula1>$J6="ADAPTADO"</formula1>
    </dataValidation>
  </dataValidations>
  <printOptions horizontalCentered="1"/>
  <pageMargins left="0" right="0" top="0.35416666666666669" bottom="0.39374999999999999" header="0.51180555555555551" footer="0.51180555555555551"/>
  <pageSetup paperSize="9" firstPageNumber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9" filterMode="1">
    <tabColor indexed="40"/>
  </sheetPr>
  <dimension ref="A1:B3867"/>
  <sheetViews>
    <sheetView workbookViewId="0"/>
  </sheetViews>
  <sheetFormatPr defaultColWidth="33" defaultRowHeight="12.75" x14ac:dyDescent="0.2"/>
  <cols>
    <col min="1" max="1" width="61.85546875" customWidth="1"/>
  </cols>
  <sheetData>
    <row r="1" spans="1:2" ht="15" x14ac:dyDescent="0.25">
      <c r="A1" s="425" t="s">
        <v>307</v>
      </c>
      <c r="B1" s="425" t="s">
        <v>308</v>
      </c>
    </row>
    <row r="2" spans="1:2" ht="15" hidden="1" x14ac:dyDescent="0.25">
      <c r="A2" s="426" t="s">
        <v>208</v>
      </c>
      <c r="B2" s="426" t="s">
        <v>309</v>
      </c>
    </row>
    <row r="3" spans="1:2" ht="15" hidden="1" x14ac:dyDescent="0.25">
      <c r="A3" s="426" t="s">
        <v>178</v>
      </c>
      <c r="B3" s="426" t="s">
        <v>310</v>
      </c>
    </row>
    <row r="4" spans="1:2" ht="15" hidden="1" x14ac:dyDescent="0.25">
      <c r="A4" s="426" t="s">
        <v>178</v>
      </c>
      <c r="B4" s="426" t="s">
        <v>310</v>
      </c>
    </row>
    <row r="5" spans="1:2" ht="15" hidden="1" x14ac:dyDescent="0.25">
      <c r="A5" s="426" t="s">
        <v>178</v>
      </c>
      <c r="B5" s="426" t="s">
        <v>310</v>
      </c>
    </row>
    <row r="6" spans="1:2" ht="15" hidden="1" x14ac:dyDescent="0.25">
      <c r="A6" s="426" t="s">
        <v>178</v>
      </c>
      <c r="B6" s="426" t="s">
        <v>310</v>
      </c>
    </row>
    <row r="7" spans="1:2" ht="15" hidden="1" x14ac:dyDescent="0.25">
      <c r="A7" s="426" t="s">
        <v>178</v>
      </c>
      <c r="B7" s="426" t="s">
        <v>310</v>
      </c>
    </row>
    <row r="8" spans="1:2" ht="15" hidden="1" x14ac:dyDescent="0.25">
      <c r="A8" s="426" t="s">
        <v>178</v>
      </c>
      <c r="B8" s="426" t="s">
        <v>310</v>
      </c>
    </row>
    <row r="9" spans="1:2" ht="15" hidden="1" x14ac:dyDescent="0.25">
      <c r="A9" s="426" t="s">
        <v>179</v>
      </c>
      <c r="B9" s="426" t="s">
        <v>311</v>
      </c>
    </row>
    <row r="10" spans="1:2" ht="15" hidden="1" x14ac:dyDescent="0.25">
      <c r="A10" s="426" t="s">
        <v>179</v>
      </c>
      <c r="B10" s="426" t="s">
        <v>311</v>
      </c>
    </row>
    <row r="11" spans="1:2" ht="15" hidden="1" x14ac:dyDescent="0.25">
      <c r="A11" s="426" t="s">
        <v>179</v>
      </c>
      <c r="B11" s="426" t="s">
        <v>311</v>
      </c>
    </row>
    <row r="12" spans="1:2" ht="15" hidden="1" x14ac:dyDescent="0.25">
      <c r="A12" s="426" t="s">
        <v>180</v>
      </c>
      <c r="B12" s="426" t="s">
        <v>312</v>
      </c>
    </row>
    <row r="13" spans="1:2" ht="15" hidden="1" x14ac:dyDescent="0.25">
      <c r="A13" s="426" t="s">
        <v>180</v>
      </c>
      <c r="B13" s="426" t="s">
        <v>312</v>
      </c>
    </row>
    <row r="14" spans="1:2" ht="15" hidden="1" x14ac:dyDescent="0.25">
      <c r="A14" s="426" t="s">
        <v>180</v>
      </c>
      <c r="B14" s="426" t="s">
        <v>312</v>
      </c>
    </row>
    <row r="15" spans="1:2" ht="15" hidden="1" x14ac:dyDescent="0.25">
      <c r="A15" s="426" t="s">
        <v>180</v>
      </c>
      <c r="B15" s="426" t="s">
        <v>312</v>
      </c>
    </row>
    <row r="16" spans="1:2" ht="15" hidden="1" x14ac:dyDescent="0.25">
      <c r="A16" s="426" t="s">
        <v>180</v>
      </c>
      <c r="B16" s="426" t="s">
        <v>312</v>
      </c>
    </row>
    <row r="17" spans="1:2" ht="15" hidden="1" x14ac:dyDescent="0.25">
      <c r="A17" s="426" t="s">
        <v>181</v>
      </c>
      <c r="B17" s="426" t="s">
        <v>313</v>
      </c>
    </row>
    <row r="18" spans="1:2" ht="15" hidden="1" x14ac:dyDescent="0.25">
      <c r="A18" s="426" t="s">
        <v>181</v>
      </c>
      <c r="B18" s="426" t="s">
        <v>313</v>
      </c>
    </row>
    <row r="19" spans="1:2" ht="15" hidden="1" x14ac:dyDescent="0.25">
      <c r="A19" s="426" t="s">
        <v>181</v>
      </c>
      <c r="B19" s="426" t="s">
        <v>313</v>
      </c>
    </row>
    <row r="20" spans="1:2" ht="15" hidden="1" x14ac:dyDescent="0.25">
      <c r="A20" s="426" t="s">
        <v>181</v>
      </c>
      <c r="B20" s="426" t="s">
        <v>313</v>
      </c>
    </row>
    <row r="21" spans="1:2" ht="15" hidden="1" x14ac:dyDescent="0.25">
      <c r="A21" s="426" t="s">
        <v>181</v>
      </c>
      <c r="B21" s="426" t="s">
        <v>313</v>
      </c>
    </row>
    <row r="22" spans="1:2" ht="15" hidden="1" x14ac:dyDescent="0.25">
      <c r="A22" s="426" t="s">
        <v>181</v>
      </c>
      <c r="B22" s="426" t="s">
        <v>313</v>
      </c>
    </row>
    <row r="23" spans="1:2" ht="15" hidden="1" x14ac:dyDescent="0.25">
      <c r="A23" s="426" t="s">
        <v>181</v>
      </c>
      <c r="B23" s="426" t="s">
        <v>313</v>
      </c>
    </row>
    <row r="24" spans="1:2" ht="15" hidden="1" x14ac:dyDescent="0.25">
      <c r="A24" s="426" t="s">
        <v>181</v>
      </c>
      <c r="B24" s="426" t="s">
        <v>313</v>
      </c>
    </row>
    <row r="25" spans="1:2" ht="15" hidden="1" x14ac:dyDescent="0.25">
      <c r="A25" s="426" t="s">
        <v>181</v>
      </c>
      <c r="B25" s="426" t="s">
        <v>313</v>
      </c>
    </row>
    <row r="26" spans="1:2" ht="15" hidden="1" x14ac:dyDescent="0.25">
      <c r="A26" s="426" t="s">
        <v>181</v>
      </c>
      <c r="B26" s="426" t="s">
        <v>313</v>
      </c>
    </row>
    <row r="27" spans="1:2" ht="15" hidden="1" x14ac:dyDescent="0.25">
      <c r="A27" s="426" t="s">
        <v>181</v>
      </c>
      <c r="B27" s="426" t="s">
        <v>313</v>
      </c>
    </row>
    <row r="28" spans="1:2" ht="15" hidden="1" x14ac:dyDescent="0.25">
      <c r="A28" s="426" t="s">
        <v>181</v>
      </c>
      <c r="B28" s="426" t="s">
        <v>313</v>
      </c>
    </row>
    <row r="29" spans="1:2" ht="15" hidden="1" x14ac:dyDescent="0.25">
      <c r="A29" s="426" t="s">
        <v>181</v>
      </c>
      <c r="B29" s="426" t="s">
        <v>313</v>
      </c>
    </row>
    <row r="30" spans="1:2" ht="15" hidden="1" x14ac:dyDescent="0.25">
      <c r="A30" s="426" t="s">
        <v>209</v>
      </c>
      <c r="B30" s="426" t="s">
        <v>314</v>
      </c>
    </row>
    <row r="31" spans="1:2" ht="15" hidden="1" x14ac:dyDescent="0.25">
      <c r="A31" s="426" t="s">
        <v>182</v>
      </c>
      <c r="B31" s="426" t="s">
        <v>315</v>
      </c>
    </row>
    <row r="32" spans="1:2" ht="15" hidden="1" x14ac:dyDescent="0.25">
      <c r="A32" s="426" t="s">
        <v>182</v>
      </c>
      <c r="B32" s="426" t="s">
        <v>315</v>
      </c>
    </row>
    <row r="33" spans="1:2" ht="15" hidden="1" x14ac:dyDescent="0.25">
      <c r="A33" s="426" t="s">
        <v>182</v>
      </c>
      <c r="B33" s="426" t="s">
        <v>315</v>
      </c>
    </row>
    <row r="34" spans="1:2" ht="15" hidden="1" x14ac:dyDescent="0.25">
      <c r="A34" s="426" t="s">
        <v>182</v>
      </c>
      <c r="B34" s="426" t="s">
        <v>315</v>
      </c>
    </row>
    <row r="35" spans="1:2" ht="15" hidden="1" x14ac:dyDescent="0.25">
      <c r="A35" s="426" t="s">
        <v>182</v>
      </c>
      <c r="B35" s="426" t="s">
        <v>315</v>
      </c>
    </row>
    <row r="36" spans="1:2" ht="15" hidden="1" x14ac:dyDescent="0.25">
      <c r="A36" s="426" t="s">
        <v>182</v>
      </c>
      <c r="B36" s="426" t="s">
        <v>315</v>
      </c>
    </row>
    <row r="37" spans="1:2" ht="15" hidden="1" x14ac:dyDescent="0.25">
      <c r="A37" s="426" t="s">
        <v>182</v>
      </c>
      <c r="B37" s="426" t="s">
        <v>315</v>
      </c>
    </row>
    <row r="38" spans="1:2" ht="15" hidden="1" x14ac:dyDescent="0.25">
      <c r="A38" s="426" t="s">
        <v>182</v>
      </c>
      <c r="B38" s="426" t="s">
        <v>315</v>
      </c>
    </row>
    <row r="39" spans="1:2" ht="15" hidden="1" x14ac:dyDescent="0.25">
      <c r="A39" s="426" t="s">
        <v>182</v>
      </c>
      <c r="B39" s="426" t="s">
        <v>315</v>
      </c>
    </row>
    <row r="40" spans="1:2" ht="15" hidden="1" x14ac:dyDescent="0.25">
      <c r="A40" s="426" t="s">
        <v>182</v>
      </c>
      <c r="B40" s="426" t="s">
        <v>315</v>
      </c>
    </row>
    <row r="41" spans="1:2" ht="15" hidden="1" x14ac:dyDescent="0.25">
      <c r="A41" s="426" t="s">
        <v>182</v>
      </c>
      <c r="B41" s="426" t="s">
        <v>315</v>
      </c>
    </row>
    <row r="42" spans="1:2" ht="15" hidden="1" x14ac:dyDescent="0.25">
      <c r="A42" s="426" t="s">
        <v>182</v>
      </c>
      <c r="B42" s="426" t="s">
        <v>315</v>
      </c>
    </row>
    <row r="43" spans="1:2" ht="15" hidden="1" x14ac:dyDescent="0.25">
      <c r="A43" s="426" t="s">
        <v>210</v>
      </c>
      <c r="B43" s="426" t="s">
        <v>316</v>
      </c>
    </row>
    <row r="44" spans="1:2" ht="15" hidden="1" x14ac:dyDescent="0.25">
      <c r="A44" s="426" t="s">
        <v>183</v>
      </c>
      <c r="B44" s="426" t="s">
        <v>317</v>
      </c>
    </row>
    <row r="45" spans="1:2" ht="15" hidden="1" x14ac:dyDescent="0.25">
      <c r="A45" s="426" t="s">
        <v>184</v>
      </c>
      <c r="B45" s="426" t="s">
        <v>318</v>
      </c>
    </row>
    <row r="46" spans="1:2" ht="15" hidden="1" x14ac:dyDescent="0.25">
      <c r="A46" s="426" t="s">
        <v>184</v>
      </c>
      <c r="B46" s="426" t="s">
        <v>318</v>
      </c>
    </row>
    <row r="47" spans="1:2" ht="15" hidden="1" x14ac:dyDescent="0.25">
      <c r="A47" s="426" t="s">
        <v>184</v>
      </c>
      <c r="B47" s="426" t="s">
        <v>318</v>
      </c>
    </row>
    <row r="48" spans="1:2" ht="15" hidden="1" x14ac:dyDescent="0.25">
      <c r="A48" s="426" t="s">
        <v>184</v>
      </c>
      <c r="B48" s="426" t="s">
        <v>318</v>
      </c>
    </row>
    <row r="49" spans="1:2" ht="15" hidden="1" x14ac:dyDescent="0.25">
      <c r="A49" s="426" t="s">
        <v>184</v>
      </c>
      <c r="B49" s="426" t="s">
        <v>318</v>
      </c>
    </row>
    <row r="50" spans="1:2" ht="15" hidden="1" x14ac:dyDescent="0.25">
      <c r="A50" s="426" t="s">
        <v>184</v>
      </c>
      <c r="B50" s="426" t="s">
        <v>318</v>
      </c>
    </row>
    <row r="51" spans="1:2" ht="15" hidden="1" x14ac:dyDescent="0.25">
      <c r="A51" s="426" t="s">
        <v>184</v>
      </c>
      <c r="B51" s="426" t="s">
        <v>318</v>
      </c>
    </row>
    <row r="52" spans="1:2" ht="15" hidden="1" x14ac:dyDescent="0.25">
      <c r="A52" s="426" t="s">
        <v>184</v>
      </c>
      <c r="B52" s="426" t="s">
        <v>318</v>
      </c>
    </row>
    <row r="53" spans="1:2" ht="15" hidden="1" x14ac:dyDescent="0.25">
      <c r="A53" s="426" t="s">
        <v>184</v>
      </c>
      <c r="B53" s="426" t="s">
        <v>318</v>
      </c>
    </row>
    <row r="54" spans="1:2" ht="15" hidden="1" x14ac:dyDescent="0.25">
      <c r="A54" s="426" t="s">
        <v>184</v>
      </c>
      <c r="B54" s="426" t="s">
        <v>318</v>
      </c>
    </row>
    <row r="55" spans="1:2" ht="15" hidden="1" x14ac:dyDescent="0.25">
      <c r="A55" s="426" t="s">
        <v>184</v>
      </c>
      <c r="B55" s="426" t="s">
        <v>318</v>
      </c>
    </row>
    <row r="56" spans="1:2" ht="15" hidden="1" x14ac:dyDescent="0.25">
      <c r="A56" s="426" t="s">
        <v>184</v>
      </c>
      <c r="B56" s="426" t="s">
        <v>318</v>
      </c>
    </row>
    <row r="57" spans="1:2" ht="15" hidden="1" x14ac:dyDescent="0.25">
      <c r="A57" s="426" t="s">
        <v>185</v>
      </c>
      <c r="B57" s="426" t="s">
        <v>319</v>
      </c>
    </row>
    <row r="58" spans="1:2" ht="15" hidden="1" x14ac:dyDescent="0.25">
      <c r="A58" s="426" t="s">
        <v>185</v>
      </c>
      <c r="B58" s="426" t="s">
        <v>319</v>
      </c>
    </row>
    <row r="59" spans="1:2" ht="15" hidden="1" x14ac:dyDescent="0.25">
      <c r="A59" s="426" t="s">
        <v>185</v>
      </c>
      <c r="B59" s="426" t="s">
        <v>319</v>
      </c>
    </row>
    <row r="60" spans="1:2" ht="15" hidden="1" x14ac:dyDescent="0.25">
      <c r="A60" s="426" t="s">
        <v>185</v>
      </c>
      <c r="B60" s="426" t="s">
        <v>319</v>
      </c>
    </row>
    <row r="61" spans="1:2" ht="15" hidden="1" x14ac:dyDescent="0.25">
      <c r="A61" s="426" t="s">
        <v>185</v>
      </c>
      <c r="B61" s="426" t="s">
        <v>319</v>
      </c>
    </row>
    <row r="62" spans="1:2" ht="15" hidden="1" x14ac:dyDescent="0.25">
      <c r="A62" s="426" t="s">
        <v>185</v>
      </c>
      <c r="B62" s="426" t="s">
        <v>319</v>
      </c>
    </row>
    <row r="63" spans="1:2" ht="15" hidden="1" x14ac:dyDescent="0.25">
      <c r="A63" s="426" t="s">
        <v>185</v>
      </c>
      <c r="B63" s="426" t="s">
        <v>319</v>
      </c>
    </row>
    <row r="64" spans="1:2" ht="15" hidden="1" x14ac:dyDescent="0.25">
      <c r="A64" s="426" t="s">
        <v>185</v>
      </c>
      <c r="B64" s="426" t="s">
        <v>319</v>
      </c>
    </row>
    <row r="65" spans="1:2" ht="15" hidden="1" x14ac:dyDescent="0.25">
      <c r="A65" s="426" t="s">
        <v>185</v>
      </c>
      <c r="B65" s="426" t="s">
        <v>319</v>
      </c>
    </row>
    <row r="66" spans="1:2" ht="15" hidden="1" x14ac:dyDescent="0.25">
      <c r="A66" s="426" t="s">
        <v>185</v>
      </c>
      <c r="B66" s="426" t="s">
        <v>319</v>
      </c>
    </row>
    <row r="67" spans="1:2" ht="15" hidden="1" x14ac:dyDescent="0.25">
      <c r="A67" s="426" t="s">
        <v>185</v>
      </c>
      <c r="B67" s="426" t="s">
        <v>319</v>
      </c>
    </row>
    <row r="68" spans="1:2" ht="15" hidden="1" x14ac:dyDescent="0.25">
      <c r="A68" s="426" t="s">
        <v>185</v>
      </c>
      <c r="B68" s="426" t="s">
        <v>319</v>
      </c>
    </row>
    <row r="69" spans="1:2" ht="15" hidden="1" x14ac:dyDescent="0.25">
      <c r="A69" s="426" t="s">
        <v>185</v>
      </c>
      <c r="B69" s="426" t="s">
        <v>319</v>
      </c>
    </row>
    <row r="70" spans="1:2" ht="15" hidden="1" x14ac:dyDescent="0.25">
      <c r="A70" s="426" t="s">
        <v>211</v>
      </c>
      <c r="B70" s="426" t="s">
        <v>320</v>
      </c>
    </row>
    <row r="71" spans="1:2" ht="15" hidden="1" x14ac:dyDescent="0.25">
      <c r="A71" s="426" t="s">
        <v>186</v>
      </c>
      <c r="B71" s="426" t="s">
        <v>321</v>
      </c>
    </row>
    <row r="72" spans="1:2" ht="15" hidden="1" x14ac:dyDescent="0.25">
      <c r="A72" s="426" t="s">
        <v>186</v>
      </c>
      <c r="B72" s="426" t="s">
        <v>321</v>
      </c>
    </row>
    <row r="73" spans="1:2" ht="15" hidden="1" x14ac:dyDescent="0.25">
      <c r="A73" s="426" t="s">
        <v>186</v>
      </c>
      <c r="B73" s="426" t="s">
        <v>321</v>
      </c>
    </row>
    <row r="74" spans="1:2" ht="15" hidden="1" x14ac:dyDescent="0.25">
      <c r="A74" s="426" t="s">
        <v>187</v>
      </c>
      <c r="B74" s="426" t="s">
        <v>322</v>
      </c>
    </row>
    <row r="75" spans="1:2" ht="15" hidden="1" x14ac:dyDescent="0.25">
      <c r="A75" s="426" t="s">
        <v>187</v>
      </c>
      <c r="B75" s="426" t="s">
        <v>322</v>
      </c>
    </row>
    <row r="76" spans="1:2" ht="15" hidden="1" x14ac:dyDescent="0.25">
      <c r="A76" s="426" t="s">
        <v>187</v>
      </c>
      <c r="B76" s="426" t="s">
        <v>322</v>
      </c>
    </row>
    <row r="77" spans="1:2" ht="15" hidden="1" x14ac:dyDescent="0.25">
      <c r="A77" s="426" t="s">
        <v>187</v>
      </c>
      <c r="B77" s="426" t="s">
        <v>322</v>
      </c>
    </row>
    <row r="78" spans="1:2" ht="15" hidden="1" x14ac:dyDescent="0.25">
      <c r="A78" s="426" t="s">
        <v>188</v>
      </c>
      <c r="B78" s="426" t="s">
        <v>323</v>
      </c>
    </row>
    <row r="79" spans="1:2" ht="15" hidden="1" x14ac:dyDescent="0.25">
      <c r="A79" s="426" t="s">
        <v>286</v>
      </c>
      <c r="B79" s="426" t="s">
        <v>286</v>
      </c>
    </row>
    <row r="80" spans="1:2" ht="15" hidden="1" x14ac:dyDescent="0.25">
      <c r="A80" s="426" t="s">
        <v>324</v>
      </c>
      <c r="B80" s="426" t="s">
        <v>324</v>
      </c>
    </row>
    <row r="81" spans="1:2" ht="15" hidden="1" x14ac:dyDescent="0.25">
      <c r="A81" s="426" t="s">
        <v>324</v>
      </c>
      <c r="B81" s="426" t="s">
        <v>324</v>
      </c>
    </row>
    <row r="82" spans="1:2" ht="15" hidden="1" x14ac:dyDescent="0.25">
      <c r="A82" s="426" t="s">
        <v>325</v>
      </c>
      <c r="B82" s="426" t="s">
        <v>325</v>
      </c>
    </row>
    <row r="83" spans="1:2" ht="15" hidden="1" x14ac:dyDescent="0.25">
      <c r="A83" s="426" t="s">
        <v>326</v>
      </c>
      <c r="B83" s="426" t="s">
        <v>326</v>
      </c>
    </row>
    <row r="84" spans="1:2" ht="15" hidden="1" x14ac:dyDescent="0.25">
      <c r="A84" s="426" t="s">
        <v>288</v>
      </c>
      <c r="B84" s="426" t="s">
        <v>288</v>
      </c>
    </row>
    <row r="85" spans="1:2" ht="15" hidden="1" x14ac:dyDescent="0.25">
      <c r="A85" s="426" t="s">
        <v>327</v>
      </c>
      <c r="B85" s="426" t="s">
        <v>327</v>
      </c>
    </row>
    <row r="86" spans="1:2" ht="15" hidden="1" x14ac:dyDescent="0.25">
      <c r="A86" s="426" t="s">
        <v>328</v>
      </c>
      <c r="B86" s="426" t="s">
        <v>328</v>
      </c>
    </row>
    <row r="87" spans="1:2" ht="15" hidden="1" x14ac:dyDescent="0.25">
      <c r="A87" s="426" t="s">
        <v>328</v>
      </c>
      <c r="B87" s="426" t="s">
        <v>328</v>
      </c>
    </row>
    <row r="88" spans="1:2" ht="15" hidden="1" x14ac:dyDescent="0.25">
      <c r="A88" s="426" t="s">
        <v>329</v>
      </c>
      <c r="B88" s="426" t="s">
        <v>329</v>
      </c>
    </row>
    <row r="89" spans="1:2" ht="15" hidden="1" x14ac:dyDescent="0.25">
      <c r="A89" s="426" t="s">
        <v>289</v>
      </c>
      <c r="B89" s="426" t="s">
        <v>289</v>
      </c>
    </row>
    <row r="90" spans="1:2" ht="15" hidden="1" x14ac:dyDescent="0.25">
      <c r="A90" s="426" t="s">
        <v>330</v>
      </c>
      <c r="B90" s="426" t="s">
        <v>330</v>
      </c>
    </row>
    <row r="91" spans="1:2" ht="15" hidden="1" x14ac:dyDescent="0.25">
      <c r="A91" s="426" t="s">
        <v>331</v>
      </c>
      <c r="B91" s="426" t="s">
        <v>331</v>
      </c>
    </row>
    <row r="92" spans="1:2" ht="15" hidden="1" x14ac:dyDescent="0.25">
      <c r="A92" s="426" t="s">
        <v>332</v>
      </c>
      <c r="B92" s="426" t="s">
        <v>332</v>
      </c>
    </row>
    <row r="93" spans="1:2" ht="15" hidden="1" x14ac:dyDescent="0.25">
      <c r="A93" s="426" t="s">
        <v>293</v>
      </c>
      <c r="B93" s="426" t="s">
        <v>293</v>
      </c>
    </row>
    <row r="94" spans="1:2" ht="15" hidden="1" x14ac:dyDescent="0.25">
      <c r="A94" s="426" t="s">
        <v>333</v>
      </c>
      <c r="B94" s="426" t="s">
        <v>333</v>
      </c>
    </row>
    <row r="95" spans="1:2" ht="15" hidden="1" x14ac:dyDescent="0.25">
      <c r="A95" s="426" t="s">
        <v>334</v>
      </c>
      <c r="B95" s="426" t="s">
        <v>334</v>
      </c>
    </row>
    <row r="96" spans="1:2" ht="15" hidden="1" x14ac:dyDescent="0.25">
      <c r="A96" s="426" t="s">
        <v>335</v>
      </c>
      <c r="B96" s="426" t="s">
        <v>335</v>
      </c>
    </row>
    <row r="97" spans="1:2" ht="15" hidden="1" x14ac:dyDescent="0.25">
      <c r="A97" s="426" t="s">
        <v>335</v>
      </c>
      <c r="B97" s="426" t="s">
        <v>335</v>
      </c>
    </row>
    <row r="98" spans="1:2" ht="15" hidden="1" x14ac:dyDescent="0.25">
      <c r="A98" s="426" t="s">
        <v>336</v>
      </c>
      <c r="B98" s="426" t="s">
        <v>336</v>
      </c>
    </row>
    <row r="99" spans="1:2" ht="15" hidden="1" x14ac:dyDescent="0.25">
      <c r="A99" s="426" t="s">
        <v>291</v>
      </c>
      <c r="B99" s="426" t="s">
        <v>291</v>
      </c>
    </row>
    <row r="100" spans="1:2" ht="15" hidden="1" x14ac:dyDescent="0.25">
      <c r="A100" s="426" t="s">
        <v>291</v>
      </c>
      <c r="B100" s="426" t="s">
        <v>291</v>
      </c>
    </row>
    <row r="101" spans="1:2" ht="15" hidden="1" x14ac:dyDescent="0.25">
      <c r="A101" s="426" t="s">
        <v>290</v>
      </c>
      <c r="B101" s="426" t="s">
        <v>290</v>
      </c>
    </row>
    <row r="102" spans="1:2" ht="15" hidden="1" x14ac:dyDescent="0.25">
      <c r="A102" s="426" t="s">
        <v>337</v>
      </c>
      <c r="B102" s="426" t="s">
        <v>337</v>
      </c>
    </row>
    <row r="103" spans="1:2" ht="15" hidden="1" x14ac:dyDescent="0.25">
      <c r="A103" s="426" t="s">
        <v>337</v>
      </c>
      <c r="B103" s="426" t="s">
        <v>337</v>
      </c>
    </row>
    <row r="104" spans="1:2" ht="15" hidden="1" x14ac:dyDescent="0.25">
      <c r="A104" s="426" t="s">
        <v>337</v>
      </c>
      <c r="B104" s="426" t="s">
        <v>337</v>
      </c>
    </row>
    <row r="105" spans="1:2" ht="15" hidden="1" x14ac:dyDescent="0.25">
      <c r="A105" s="426" t="s">
        <v>338</v>
      </c>
      <c r="B105" s="426" t="s">
        <v>338</v>
      </c>
    </row>
    <row r="106" spans="1:2" ht="15" hidden="1" x14ac:dyDescent="0.25">
      <c r="A106" s="426" t="s">
        <v>338</v>
      </c>
      <c r="B106" s="426" t="s">
        <v>338</v>
      </c>
    </row>
    <row r="107" spans="1:2" ht="15" hidden="1" x14ac:dyDescent="0.25">
      <c r="A107" s="426" t="s">
        <v>339</v>
      </c>
      <c r="B107" s="426" t="s">
        <v>339</v>
      </c>
    </row>
    <row r="108" spans="1:2" ht="15" hidden="1" x14ac:dyDescent="0.25">
      <c r="A108" s="426" t="s">
        <v>340</v>
      </c>
      <c r="B108" s="426" t="s">
        <v>340</v>
      </c>
    </row>
    <row r="109" spans="1:2" ht="15" hidden="1" x14ac:dyDescent="0.25">
      <c r="A109" s="426" t="s">
        <v>341</v>
      </c>
      <c r="B109" s="426" t="s">
        <v>341</v>
      </c>
    </row>
    <row r="110" spans="1:2" ht="15" hidden="1" x14ac:dyDescent="0.25">
      <c r="A110" s="426" t="s">
        <v>342</v>
      </c>
      <c r="B110" s="426" t="s">
        <v>342</v>
      </c>
    </row>
    <row r="111" spans="1:2" ht="15" hidden="1" x14ac:dyDescent="0.25">
      <c r="A111" s="426" t="s">
        <v>343</v>
      </c>
      <c r="B111" s="426" t="s">
        <v>343</v>
      </c>
    </row>
    <row r="112" spans="1:2" ht="15" hidden="1" x14ac:dyDescent="0.25">
      <c r="A112" s="426" t="s">
        <v>343</v>
      </c>
      <c r="B112" s="426" t="s">
        <v>343</v>
      </c>
    </row>
    <row r="113" spans="1:2" ht="15" hidden="1" x14ac:dyDescent="0.25">
      <c r="A113" s="426" t="s">
        <v>292</v>
      </c>
      <c r="B113" s="426" t="s">
        <v>292</v>
      </c>
    </row>
    <row r="114" spans="1:2" ht="15" hidden="1" x14ac:dyDescent="0.25">
      <c r="A114" s="426" t="s">
        <v>344</v>
      </c>
      <c r="B114" s="426" t="s">
        <v>344</v>
      </c>
    </row>
    <row r="115" spans="1:2" ht="15" hidden="1" x14ac:dyDescent="0.25">
      <c r="A115" s="426" t="s">
        <v>345</v>
      </c>
      <c r="B115" s="426" t="s">
        <v>345</v>
      </c>
    </row>
    <row r="116" spans="1:2" ht="15" hidden="1" x14ac:dyDescent="0.25">
      <c r="A116" s="426" t="s">
        <v>346</v>
      </c>
      <c r="B116" s="426" t="s">
        <v>346</v>
      </c>
    </row>
    <row r="117" spans="1:2" ht="15" hidden="1" x14ac:dyDescent="0.25">
      <c r="A117" s="426" t="s">
        <v>347</v>
      </c>
      <c r="B117" s="426" t="s">
        <v>347</v>
      </c>
    </row>
    <row r="118" spans="1:2" ht="15" hidden="1" x14ac:dyDescent="0.25">
      <c r="A118" s="426" t="s">
        <v>347</v>
      </c>
      <c r="B118" s="426" t="s">
        <v>347</v>
      </c>
    </row>
    <row r="119" spans="1:2" ht="15" hidden="1" x14ac:dyDescent="0.25">
      <c r="A119" s="426" t="s">
        <v>348</v>
      </c>
      <c r="B119" s="426" t="s">
        <v>348</v>
      </c>
    </row>
    <row r="120" spans="1:2" ht="15" hidden="1" x14ac:dyDescent="0.25">
      <c r="A120" s="426" t="s">
        <v>349</v>
      </c>
      <c r="B120" s="426" t="s">
        <v>349</v>
      </c>
    </row>
    <row r="121" spans="1:2" ht="15" hidden="1" x14ac:dyDescent="0.25">
      <c r="A121" s="426" t="s">
        <v>202</v>
      </c>
      <c r="B121" s="426" t="s">
        <v>350</v>
      </c>
    </row>
    <row r="122" spans="1:2" ht="15" hidden="1" x14ac:dyDescent="0.25">
      <c r="A122" s="426" t="s">
        <v>202</v>
      </c>
      <c r="B122" s="426" t="s">
        <v>350</v>
      </c>
    </row>
    <row r="123" spans="1:2" ht="15" hidden="1" x14ac:dyDescent="0.25">
      <c r="A123" s="426" t="s">
        <v>203</v>
      </c>
      <c r="B123" s="426" t="s">
        <v>351</v>
      </c>
    </row>
    <row r="124" spans="1:2" ht="15" hidden="1" x14ac:dyDescent="0.25">
      <c r="A124" s="426" t="s">
        <v>204</v>
      </c>
      <c r="B124" s="426" t="s">
        <v>352</v>
      </c>
    </row>
    <row r="125" spans="1:2" ht="15" hidden="1" x14ac:dyDescent="0.25">
      <c r="A125" s="426" t="s">
        <v>204</v>
      </c>
      <c r="B125" s="426" t="s">
        <v>352</v>
      </c>
    </row>
    <row r="126" spans="1:2" ht="15" hidden="1" x14ac:dyDescent="0.25">
      <c r="A126" s="426" t="s">
        <v>204</v>
      </c>
      <c r="B126" s="426" t="s">
        <v>352</v>
      </c>
    </row>
    <row r="127" spans="1:2" ht="15" hidden="1" x14ac:dyDescent="0.25">
      <c r="A127" s="426" t="s">
        <v>204</v>
      </c>
      <c r="B127" s="426" t="s">
        <v>352</v>
      </c>
    </row>
    <row r="128" spans="1:2" ht="15" hidden="1" x14ac:dyDescent="0.25">
      <c r="A128" s="426" t="s">
        <v>205</v>
      </c>
      <c r="B128" s="426" t="s">
        <v>353</v>
      </c>
    </row>
    <row r="129" spans="1:2" ht="15" hidden="1" x14ac:dyDescent="0.25">
      <c r="A129" s="426" t="s">
        <v>206</v>
      </c>
      <c r="B129" s="426" t="s">
        <v>354</v>
      </c>
    </row>
    <row r="130" spans="1:2" ht="15" hidden="1" x14ac:dyDescent="0.25">
      <c r="A130" s="426" t="s">
        <v>207</v>
      </c>
      <c r="B130" s="426" t="s">
        <v>355</v>
      </c>
    </row>
    <row r="131" spans="1:2" ht="15" hidden="1" x14ac:dyDescent="0.25">
      <c r="A131" s="426" t="s">
        <v>212</v>
      </c>
      <c r="B131" s="426" t="s">
        <v>356</v>
      </c>
    </row>
    <row r="132" spans="1:2" ht="15" hidden="1" x14ac:dyDescent="0.25">
      <c r="A132" s="426" t="s">
        <v>212</v>
      </c>
      <c r="B132" s="426" t="s">
        <v>356</v>
      </c>
    </row>
    <row r="133" spans="1:2" ht="15" hidden="1" x14ac:dyDescent="0.25">
      <c r="A133" s="426" t="s">
        <v>213</v>
      </c>
      <c r="B133" s="426" t="s">
        <v>357</v>
      </c>
    </row>
    <row r="134" spans="1:2" ht="15" hidden="1" x14ac:dyDescent="0.25">
      <c r="A134" s="426" t="s">
        <v>189</v>
      </c>
      <c r="B134" s="426" t="s">
        <v>358</v>
      </c>
    </row>
    <row r="135" spans="1:2" ht="15" hidden="1" x14ac:dyDescent="0.25">
      <c r="A135" s="426" t="s">
        <v>189</v>
      </c>
      <c r="B135" s="426" t="s">
        <v>358</v>
      </c>
    </row>
    <row r="136" spans="1:2" ht="15" hidden="1" x14ac:dyDescent="0.25">
      <c r="A136" s="426" t="s">
        <v>189</v>
      </c>
      <c r="B136" s="426" t="s">
        <v>358</v>
      </c>
    </row>
    <row r="137" spans="1:2" ht="15" hidden="1" x14ac:dyDescent="0.25">
      <c r="A137" s="426" t="s">
        <v>214</v>
      </c>
      <c r="B137" s="426" t="s">
        <v>359</v>
      </c>
    </row>
    <row r="138" spans="1:2" ht="15" hidden="1" x14ac:dyDescent="0.25">
      <c r="A138" s="426" t="s">
        <v>215</v>
      </c>
      <c r="B138" s="426" t="s">
        <v>360</v>
      </c>
    </row>
    <row r="139" spans="1:2" ht="15" hidden="1" x14ac:dyDescent="0.25">
      <c r="A139" s="426" t="s">
        <v>215</v>
      </c>
      <c r="B139" s="426" t="s">
        <v>360</v>
      </c>
    </row>
    <row r="140" spans="1:2" ht="15" hidden="1" x14ac:dyDescent="0.25">
      <c r="A140" s="426" t="s">
        <v>216</v>
      </c>
      <c r="B140" s="426" t="s">
        <v>361</v>
      </c>
    </row>
    <row r="141" spans="1:2" ht="15" hidden="1" x14ac:dyDescent="0.25">
      <c r="A141" s="426" t="s">
        <v>216</v>
      </c>
      <c r="B141" s="426" t="s">
        <v>361</v>
      </c>
    </row>
    <row r="142" spans="1:2" ht="15" hidden="1" x14ac:dyDescent="0.25">
      <c r="A142" s="426" t="s">
        <v>217</v>
      </c>
      <c r="B142" s="426" t="s">
        <v>362</v>
      </c>
    </row>
    <row r="143" spans="1:2" ht="15" hidden="1" x14ac:dyDescent="0.25">
      <c r="A143" s="426" t="s">
        <v>218</v>
      </c>
      <c r="B143" s="426" t="s">
        <v>363</v>
      </c>
    </row>
    <row r="144" spans="1:2" ht="15" hidden="1" x14ac:dyDescent="0.25">
      <c r="A144" s="426" t="s">
        <v>218</v>
      </c>
      <c r="B144" s="426" t="s">
        <v>363</v>
      </c>
    </row>
    <row r="145" spans="1:2" ht="15" hidden="1" x14ac:dyDescent="0.25">
      <c r="A145" s="426" t="s">
        <v>218</v>
      </c>
      <c r="B145" s="426" t="s">
        <v>363</v>
      </c>
    </row>
    <row r="146" spans="1:2" ht="15" hidden="1" x14ac:dyDescent="0.25">
      <c r="A146" s="426" t="s">
        <v>219</v>
      </c>
      <c r="B146" s="426" t="s">
        <v>364</v>
      </c>
    </row>
    <row r="147" spans="1:2" ht="15" hidden="1" x14ac:dyDescent="0.25">
      <c r="A147" s="426" t="s">
        <v>220</v>
      </c>
      <c r="B147" s="426" t="s">
        <v>289</v>
      </c>
    </row>
    <row r="148" spans="1:2" ht="15" hidden="1" x14ac:dyDescent="0.25">
      <c r="A148" s="426" t="s">
        <v>221</v>
      </c>
      <c r="B148" s="426" t="s">
        <v>365</v>
      </c>
    </row>
    <row r="149" spans="1:2" ht="15" hidden="1" x14ac:dyDescent="0.25">
      <c r="A149" s="426" t="s">
        <v>222</v>
      </c>
      <c r="B149" s="426" t="s">
        <v>366</v>
      </c>
    </row>
    <row r="150" spans="1:2" ht="15" hidden="1" x14ac:dyDescent="0.25">
      <c r="A150" s="426" t="s">
        <v>223</v>
      </c>
      <c r="B150" s="426" t="s">
        <v>367</v>
      </c>
    </row>
    <row r="151" spans="1:2" ht="15" hidden="1" x14ac:dyDescent="0.25">
      <c r="A151" s="426" t="s">
        <v>223</v>
      </c>
      <c r="B151" s="426" t="s">
        <v>367</v>
      </c>
    </row>
    <row r="152" spans="1:2" ht="15" hidden="1" x14ac:dyDescent="0.25">
      <c r="A152" s="426" t="s">
        <v>190</v>
      </c>
      <c r="B152" s="426" t="s">
        <v>368</v>
      </c>
    </row>
    <row r="153" spans="1:2" ht="15" hidden="1" x14ac:dyDescent="0.25">
      <c r="A153" s="426" t="s">
        <v>224</v>
      </c>
      <c r="B153" s="426" t="s">
        <v>369</v>
      </c>
    </row>
    <row r="154" spans="1:2" ht="15" hidden="1" x14ac:dyDescent="0.25">
      <c r="A154" s="426" t="s">
        <v>224</v>
      </c>
      <c r="B154" s="426" t="s">
        <v>369</v>
      </c>
    </row>
    <row r="155" spans="1:2" ht="15" hidden="1" x14ac:dyDescent="0.25">
      <c r="A155" s="426" t="s">
        <v>225</v>
      </c>
      <c r="B155" s="426" t="s">
        <v>370</v>
      </c>
    </row>
    <row r="156" spans="1:2" ht="15" hidden="1" x14ac:dyDescent="0.25">
      <c r="A156" s="426" t="s">
        <v>225</v>
      </c>
      <c r="B156" s="426" t="s">
        <v>370</v>
      </c>
    </row>
    <row r="157" spans="1:2" ht="15" hidden="1" x14ac:dyDescent="0.25">
      <c r="A157" s="426" t="s">
        <v>371</v>
      </c>
      <c r="B157" s="426" t="s">
        <v>372</v>
      </c>
    </row>
    <row r="158" spans="1:2" ht="15" hidden="1" x14ac:dyDescent="0.25">
      <c r="A158" s="426" t="s">
        <v>226</v>
      </c>
      <c r="B158" s="426" t="s">
        <v>373</v>
      </c>
    </row>
    <row r="159" spans="1:2" ht="15" hidden="1" x14ac:dyDescent="0.25">
      <c r="A159" s="426" t="s">
        <v>226</v>
      </c>
      <c r="B159" s="426" t="s">
        <v>373</v>
      </c>
    </row>
    <row r="160" spans="1:2" ht="15" hidden="1" x14ac:dyDescent="0.25">
      <c r="A160" s="426" t="s">
        <v>227</v>
      </c>
      <c r="B160" s="426" t="s">
        <v>374</v>
      </c>
    </row>
    <row r="161" spans="1:2" ht="15" hidden="1" x14ac:dyDescent="0.25">
      <c r="A161" s="426" t="s">
        <v>227</v>
      </c>
      <c r="B161" s="426" t="s">
        <v>374</v>
      </c>
    </row>
    <row r="162" spans="1:2" ht="15" hidden="1" x14ac:dyDescent="0.25">
      <c r="A162" s="426" t="s">
        <v>228</v>
      </c>
      <c r="B162" s="426" t="s">
        <v>375</v>
      </c>
    </row>
    <row r="163" spans="1:2" ht="15" hidden="1" x14ac:dyDescent="0.25">
      <c r="A163" s="426" t="s">
        <v>228</v>
      </c>
      <c r="B163" s="426" t="s">
        <v>375</v>
      </c>
    </row>
    <row r="164" spans="1:2" ht="15" hidden="1" x14ac:dyDescent="0.25">
      <c r="A164" s="426" t="s">
        <v>228</v>
      </c>
      <c r="B164" s="426" t="s">
        <v>375</v>
      </c>
    </row>
    <row r="165" spans="1:2" ht="15" hidden="1" x14ac:dyDescent="0.25">
      <c r="A165" s="426" t="s">
        <v>228</v>
      </c>
      <c r="B165" s="426" t="s">
        <v>375</v>
      </c>
    </row>
    <row r="166" spans="1:2" ht="15" hidden="1" x14ac:dyDescent="0.25">
      <c r="A166" s="426" t="s">
        <v>229</v>
      </c>
      <c r="B166" s="426" t="s">
        <v>376</v>
      </c>
    </row>
    <row r="167" spans="1:2" ht="15" hidden="1" x14ac:dyDescent="0.25">
      <c r="A167" s="426" t="s">
        <v>191</v>
      </c>
      <c r="B167" s="426" t="s">
        <v>377</v>
      </c>
    </row>
    <row r="168" spans="1:2" ht="15" hidden="1" x14ac:dyDescent="0.25">
      <c r="A168" s="426" t="s">
        <v>230</v>
      </c>
      <c r="B168" s="426" t="s">
        <v>378</v>
      </c>
    </row>
    <row r="169" spans="1:2" ht="15" hidden="1" x14ac:dyDescent="0.25">
      <c r="A169" s="426" t="s">
        <v>230</v>
      </c>
      <c r="B169" s="426" t="s">
        <v>378</v>
      </c>
    </row>
    <row r="170" spans="1:2" ht="15" hidden="1" x14ac:dyDescent="0.25">
      <c r="A170" s="426" t="s">
        <v>230</v>
      </c>
      <c r="B170" s="426" t="s">
        <v>378</v>
      </c>
    </row>
    <row r="171" spans="1:2" ht="15" hidden="1" x14ac:dyDescent="0.25">
      <c r="A171" s="426" t="s">
        <v>230</v>
      </c>
      <c r="B171" s="426" t="s">
        <v>378</v>
      </c>
    </row>
    <row r="172" spans="1:2" ht="15" hidden="1" x14ac:dyDescent="0.25">
      <c r="A172" s="426" t="s">
        <v>231</v>
      </c>
      <c r="B172" s="426" t="s">
        <v>379</v>
      </c>
    </row>
    <row r="173" spans="1:2" ht="15" hidden="1" x14ac:dyDescent="0.25">
      <c r="A173" s="426" t="s">
        <v>232</v>
      </c>
      <c r="B173" s="426" t="s">
        <v>380</v>
      </c>
    </row>
    <row r="174" spans="1:2" ht="15" hidden="1" x14ac:dyDescent="0.25">
      <c r="A174" s="426" t="s">
        <v>233</v>
      </c>
      <c r="B174" s="426" t="s">
        <v>381</v>
      </c>
    </row>
    <row r="175" spans="1:2" ht="15" hidden="1" x14ac:dyDescent="0.25">
      <c r="A175" s="426" t="s">
        <v>382</v>
      </c>
      <c r="B175" s="426" t="s">
        <v>383</v>
      </c>
    </row>
    <row r="176" spans="1:2" ht="15" hidden="1" x14ac:dyDescent="0.25">
      <c r="A176" s="426" t="s">
        <v>234</v>
      </c>
      <c r="B176" s="426" t="s">
        <v>384</v>
      </c>
    </row>
    <row r="177" spans="1:2" ht="15" hidden="1" x14ac:dyDescent="0.25">
      <c r="A177" s="426" t="s">
        <v>235</v>
      </c>
      <c r="B177" s="426" t="s">
        <v>385</v>
      </c>
    </row>
    <row r="178" spans="1:2" ht="15" hidden="1" x14ac:dyDescent="0.25">
      <c r="A178" s="426" t="s">
        <v>235</v>
      </c>
      <c r="B178" s="426" t="s">
        <v>385</v>
      </c>
    </row>
    <row r="179" spans="1:2" ht="15" hidden="1" x14ac:dyDescent="0.25">
      <c r="A179" s="426" t="s">
        <v>236</v>
      </c>
      <c r="B179" s="426" t="s">
        <v>386</v>
      </c>
    </row>
    <row r="180" spans="1:2" ht="15" hidden="1" x14ac:dyDescent="0.25">
      <c r="A180" s="426" t="s">
        <v>237</v>
      </c>
      <c r="B180" s="426" t="s">
        <v>387</v>
      </c>
    </row>
    <row r="181" spans="1:2" ht="15" hidden="1" x14ac:dyDescent="0.25">
      <c r="A181" s="426" t="s">
        <v>192</v>
      </c>
      <c r="B181" s="426" t="s">
        <v>388</v>
      </c>
    </row>
    <row r="182" spans="1:2" ht="15" hidden="1" x14ac:dyDescent="0.25">
      <c r="A182" s="426" t="s">
        <v>238</v>
      </c>
      <c r="B182" s="426" t="s">
        <v>389</v>
      </c>
    </row>
    <row r="183" spans="1:2" ht="15" hidden="1" x14ac:dyDescent="0.25">
      <c r="A183" s="426" t="s">
        <v>239</v>
      </c>
      <c r="B183" s="426" t="s">
        <v>390</v>
      </c>
    </row>
    <row r="184" spans="1:2" ht="15" hidden="1" x14ac:dyDescent="0.25">
      <c r="A184" s="426" t="s">
        <v>240</v>
      </c>
      <c r="B184" s="426" t="s">
        <v>391</v>
      </c>
    </row>
    <row r="185" spans="1:2" ht="15" hidden="1" x14ac:dyDescent="0.25">
      <c r="A185" s="426" t="s">
        <v>193</v>
      </c>
      <c r="B185" s="426" t="s">
        <v>392</v>
      </c>
    </row>
    <row r="186" spans="1:2" ht="15" hidden="1" x14ac:dyDescent="0.25">
      <c r="A186" s="426" t="s">
        <v>241</v>
      </c>
      <c r="B186" s="426" t="s">
        <v>393</v>
      </c>
    </row>
    <row r="187" spans="1:2" ht="15" hidden="1" x14ac:dyDescent="0.25">
      <c r="A187" s="426" t="s">
        <v>241</v>
      </c>
      <c r="B187" s="426" t="s">
        <v>393</v>
      </c>
    </row>
    <row r="188" spans="1:2" ht="15" hidden="1" x14ac:dyDescent="0.25">
      <c r="A188" s="426" t="s">
        <v>241</v>
      </c>
      <c r="B188" s="426" t="s">
        <v>393</v>
      </c>
    </row>
    <row r="189" spans="1:2" ht="15" hidden="1" x14ac:dyDescent="0.25">
      <c r="A189" s="426" t="s">
        <v>241</v>
      </c>
      <c r="B189" s="426" t="s">
        <v>393</v>
      </c>
    </row>
    <row r="190" spans="1:2" ht="15" hidden="1" x14ac:dyDescent="0.25">
      <c r="A190" s="426" t="s">
        <v>241</v>
      </c>
      <c r="B190" s="426" t="s">
        <v>393</v>
      </c>
    </row>
    <row r="191" spans="1:2" ht="15" hidden="1" x14ac:dyDescent="0.25">
      <c r="A191" s="426" t="s">
        <v>241</v>
      </c>
      <c r="B191" s="426" t="s">
        <v>393</v>
      </c>
    </row>
    <row r="192" spans="1:2" ht="15" hidden="1" x14ac:dyDescent="0.25">
      <c r="A192" s="426" t="s">
        <v>241</v>
      </c>
      <c r="B192" s="426" t="s">
        <v>393</v>
      </c>
    </row>
    <row r="193" spans="1:2" ht="15" hidden="1" x14ac:dyDescent="0.25">
      <c r="A193" s="426" t="s">
        <v>241</v>
      </c>
      <c r="B193" s="426" t="s">
        <v>393</v>
      </c>
    </row>
    <row r="194" spans="1:2" ht="15" hidden="1" x14ac:dyDescent="0.25">
      <c r="A194" s="426" t="s">
        <v>241</v>
      </c>
      <c r="B194" s="426" t="s">
        <v>393</v>
      </c>
    </row>
    <row r="195" spans="1:2" ht="15" hidden="1" x14ac:dyDescent="0.25">
      <c r="A195" s="426" t="s">
        <v>241</v>
      </c>
      <c r="B195" s="426" t="s">
        <v>393</v>
      </c>
    </row>
    <row r="196" spans="1:2" ht="15" hidden="1" x14ac:dyDescent="0.25">
      <c r="A196" s="426" t="s">
        <v>241</v>
      </c>
      <c r="B196" s="426" t="s">
        <v>393</v>
      </c>
    </row>
    <row r="197" spans="1:2" ht="15" hidden="1" x14ac:dyDescent="0.25">
      <c r="A197" s="426" t="s">
        <v>241</v>
      </c>
      <c r="B197" s="426" t="s">
        <v>393</v>
      </c>
    </row>
    <row r="198" spans="1:2" ht="15" hidden="1" x14ac:dyDescent="0.25">
      <c r="A198" s="426" t="s">
        <v>178</v>
      </c>
      <c r="B198" s="426" t="s">
        <v>310</v>
      </c>
    </row>
    <row r="199" spans="1:2" ht="15" hidden="1" x14ac:dyDescent="0.25">
      <c r="A199" s="426" t="s">
        <v>178</v>
      </c>
      <c r="B199" s="426" t="s">
        <v>310</v>
      </c>
    </row>
    <row r="200" spans="1:2" ht="15" hidden="1" x14ac:dyDescent="0.25">
      <c r="A200" s="426" t="s">
        <v>178</v>
      </c>
      <c r="B200" s="426" t="s">
        <v>310</v>
      </c>
    </row>
    <row r="201" spans="1:2" ht="15" hidden="1" x14ac:dyDescent="0.25">
      <c r="A201" s="426" t="s">
        <v>178</v>
      </c>
      <c r="B201" s="426" t="s">
        <v>310</v>
      </c>
    </row>
    <row r="202" spans="1:2" ht="15" hidden="1" x14ac:dyDescent="0.25">
      <c r="A202" s="426" t="s">
        <v>178</v>
      </c>
      <c r="B202" s="426" t="s">
        <v>310</v>
      </c>
    </row>
    <row r="203" spans="1:2" ht="15" hidden="1" x14ac:dyDescent="0.25">
      <c r="A203" s="426" t="s">
        <v>178</v>
      </c>
      <c r="B203" s="426" t="s">
        <v>310</v>
      </c>
    </row>
    <row r="204" spans="1:2" ht="15" hidden="1" x14ac:dyDescent="0.25">
      <c r="A204" s="426" t="s">
        <v>178</v>
      </c>
      <c r="B204" s="426" t="s">
        <v>310</v>
      </c>
    </row>
    <row r="205" spans="1:2" ht="15" hidden="1" x14ac:dyDescent="0.25">
      <c r="A205" s="426" t="s">
        <v>178</v>
      </c>
      <c r="B205" s="426" t="s">
        <v>310</v>
      </c>
    </row>
    <row r="206" spans="1:2" ht="15" hidden="1" x14ac:dyDescent="0.25">
      <c r="A206" s="426" t="s">
        <v>178</v>
      </c>
      <c r="B206" s="426" t="s">
        <v>310</v>
      </c>
    </row>
    <row r="207" spans="1:2" ht="15" hidden="1" x14ac:dyDescent="0.25">
      <c r="A207" s="426" t="s">
        <v>178</v>
      </c>
      <c r="B207" s="426" t="s">
        <v>310</v>
      </c>
    </row>
    <row r="208" spans="1:2" ht="15" hidden="1" x14ac:dyDescent="0.25">
      <c r="A208" s="426" t="s">
        <v>178</v>
      </c>
      <c r="B208" s="426" t="s">
        <v>310</v>
      </c>
    </row>
    <row r="209" spans="1:2" ht="15" hidden="1" x14ac:dyDescent="0.25">
      <c r="A209" s="426" t="s">
        <v>178</v>
      </c>
      <c r="B209" s="426" t="s">
        <v>310</v>
      </c>
    </row>
    <row r="210" spans="1:2" ht="15" hidden="1" x14ac:dyDescent="0.25">
      <c r="A210" s="426" t="s">
        <v>178</v>
      </c>
      <c r="B210" s="426" t="s">
        <v>310</v>
      </c>
    </row>
    <row r="211" spans="1:2" ht="15" hidden="1" x14ac:dyDescent="0.25">
      <c r="A211" s="426" t="s">
        <v>178</v>
      </c>
      <c r="B211" s="426" t="s">
        <v>310</v>
      </c>
    </row>
    <row r="212" spans="1:2" ht="15" hidden="1" x14ac:dyDescent="0.25">
      <c r="A212" s="426" t="s">
        <v>178</v>
      </c>
      <c r="B212" s="426" t="s">
        <v>310</v>
      </c>
    </row>
    <row r="213" spans="1:2" ht="15" hidden="1" x14ac:dyDescent="0.25">
      <c r="A213" s="426" t="s">
        <v>178</v>
      </c>
      <c r="B213" s="426" t="s">
        <v>310</v>
      </c>
    </row>
    <row r="214" spans="1:2" ht="15" hidden="1" x14ac:dyDescent="0.25">
      <c r="A214" s="426" t="s">
        <v>178</v>
      </c>
      <c r="B214" s="426" t="s">
        <v>310</v>
      </c>
    </row>
    <row r="215" spans="1:2" ht="15" hidden="1" x14ac:dyDescent="0.25">
      <c r="A215" s="426" t="s">
        <v>178</v>
      </c>
      <c r="B215" s="426" t="s">
        <v>310</v>
      </c>
    </row>
    <row r="216" spans="1:2" ht="15" hidden="1" x14ac:dyDescent="0.25">
      <c r="A216" s="426" t="s">
        <v>178</v>
      </c>
      <c r="B216" s="426" t="s">
        <v>310</v>
      </c>
    </row>
    <row r="217" spans="1:2" ht="15" hidden="1" x14ac:dyDescent="0.25">
      <c r="A217" s="426" t="s">
        <v>178</v>
      </c>
      <c r="B217" s="426" t="s">
        <v>310</v>
      </c>
    </row>
    <row r="218" spans="1:2" ht="15" hidden="1" x14ac:dyDescent="0.25">
      <c r="A218" s="426" t="s">
        <v>178</v>
      </c>
      <c r="B218" s="426" t="s">
        <v>310</v>
      </c>
    </row>
    <row r="219" spans="1:2" ht="15" hidden="1" x14ac:dyDescent="0.25">
      <c r="A219" s="426" t="s">
        <v>178</v>
      </c>
      <c r="B219" s="426" t="s">
        <v>310</v>
      </c>
    </row>
    <row r="220" spans="1:2" ht="15" hidden="1" x14ac:dyDescent="0.25">
      <c r="A220" s="426" t="s">
        <v>178</v>
      </c>
      <c r="B220" s="426" t="s">
        <v>310</v>
      </c>
    </row>
    <row r="221" spans="1:2" ht="15" hidden="1" x14ac:dyDescent="0.25">
      <c r="A221" s="426" t="s">
        <v>178</v>
      </c>
      <c r="B221" s="426" t="s">
        <v>310</v>
      </c>
    </row>
    <row r="222" spans="1:2" ht="15" hidden="1" x14ac:dyDescent="0.25">
      <c r="A222" s="426" t="s">
        <v>178</v>
      </c>
      <c r="B222" s="426" t="s">
        <v>310</v>
      </c>
    </row>
    <row r="223" spans="1:2" ht="15" hidden="1" x14ac:dyDescent="0.25">
      <c r="A223" s="426" t="s">
        <v>178</v>
      </c>
      <c r="B223" s="426" t="s">
        <v>310</v>
      </c>
    </row>
    <row r="224" spans="1:2" ht="15" hidden="1" x14ac:dyDescent="0.25">
      <c r="A224" s="426" t="s">
        <v>178</v>
      </c>
      <c r="B224" s="426" t="s">
        <v>310</v>
      </c>
    </row>
    <row r="225" spans="1:2" ht="15" hidden="1" x14ac:dyDescent="0.25">
      <c r="A225" s="426" t="s">
        <v>178</v>
      </c>
      <c r="B225" s="426" t="s">
        <v>310</v>
      </c>
    </row>
    <row r="226" spans="1:2" ht="15" hidden="1" x14ac:dyDescent="0.25">
      <c r="A226" s="426" t="s">
        <v>178</v>
      </c>
      <c r="B226" s="426" t="s">
        <v>310</v>
      </c>
    </row>
    <row r="227" spans="1:2" ht="15" hidden="1" x14ac:dyDescent="0.25">
      <c r="A227" s="426" t="s">
        <v>178</v>
      </c>
      <c r="B227" s="426" t="s">
        <v>310</v>
      </c>
    </row>
    <row r="228" spans="1:2" ht="15" hidden="1" x14ac:dyDescent="0.25">
      <c r="A228" s="426" t="s">
        <v>178</v>
      </c>
      <c r="B228" s="426" t="s">
        <v>310</v>
      </c>
    </row>
    <row r="229" spans="1:2" ht="15" hidden="1" x14ac:dyDescent="0.25">
      <c r="A229" s="426" t="s">
        <v>178</v>
      </c>
      <c r="B229" s="426" t="s">
        <v>310</v>
      </c>
    </row>
    <row r="230" spans="1:2" ht="15" hidden="1" x14ac:dyDescent="0.25">
      <c r="A230" s="426" t="s">
        <v>178</v>
      </c>
      <c r="B230" s="426" t="s">
        <v>310</v>
      </c>
    </row>
    <row r="231" spans="1:2" ht="15" hidden="1" x14ac:dyDescent="0.25">
      <c r="A231" s="426" t="s">
        <v>178</v>
      </c>
      <c r="B231" s="426" t="s">
        <v>310</v>
      </c>
    </row>
    <row r="232" spans="1:2" ht="15" hidden="1" x14ac:dyDescent="0.25">
      <c r="A232" s="426" t="s">
        <v>179</v>
      </c>
      <c r="B232" s="426" t="s">
        <v>311</v>
      </c>
    </row>
    <row r="233" spans="1:2" ht="15" hidden="1" x14ac:dyDescent="0.25">
      <c r="A233" s="426" t="s">
        <v>180</v>
      </c>
      <c r="B233" s="426" t="s">
        <v>312</v>
      </c>
    </row>
    <row r="234" spans="1:2" ht="15" hidden="1" x14ac:dyDescent="0.25">
      <c r="A234" s="426" t="s">
        <v>180</v>
      </c>
      <c r="B234" s="426" t="s">
        <v>312</v>
      </c>
    </row>
    <row r="235" spans="1:2" ht="15" hidden="1" x14ac:dyDescent="0.25">
      <c r="A235" s="426" t="s">
        <v>180</v>
      </c>
      <c r="B235" s="426" t="s">
        <v>312</v>
      </c>
    </row>
    <row r="236" spans="1:2" ht="15" hidden="1" x14ac:dyDescent="0.25">
      <c r="A236" s="426" t="s">
        <v>180</v>
      </c>
      <c r="B236" s="426" t="s">
        <v>312</v>
      </c>
    </row>
    <row r="237" spans="1:2" ht="15" hidden="1" x14ac:dyDescent="0.25">
      <c r="A237" s="426" t="s">
        <v>180</v>
      </c>
      <c r="B237" s="426" t="s">
        <v>312</v>
      </c>
    </row>
    <row r="238" spans="1:2" ht="15" hidden="1" x14ac:dyDescent="0.25">
      <c r="A238" s="426" t="s">
        <v>180</v>
      </c>
      <c r="B238" s="426" t="s">
        <v>312</v>
      </c>
    </row>
    <row r="239" spans="1:2" ht="15" hidden="1" x14ac:dyDescent="0.25">
      <c r="A239" s="426" t="s">
        <v>180</v>
      </c>
      <c r="B239" s="426" t="s">
        <v>312</v>
      </c>
    </row>
    <row r="240" spans="1:2" ht="15" hidden="1" x14ac:dyDescent="0.25">
      <c r="A240" s="426" t="s">
        <v>180</v>
      </c>
      <c r="B240" s="426" t="s">
        <v>312</v>
      </c>
    </row>
    <row r="241" spans="1:2" ht="15" hidden="1" x14ac:dyDescent="0.25">
      <c r="A241" s="426" t="s">
        <v>395</v>
      </c>
      <c r="B241" s="426" t="s">
        <v>396</v>
      </c>
    </row>
    <row r="242" spans="1:2" ht="15" hidden="1" x14ac:dyDescent="0.25">
      <c r="A242" s="427" t="s">
        <v>395</v>
      </c>
      <c r="B242" s="426" t="s">
        <v>396</v>
      </c>
    </row>
    <row r="243" spans="1:2" ht="15" hidden="1" x14ac:dyDescent="0.25">
      <c r="A243" s="426" t="s">
        <v>397</v>
      </c>
      <c r="B243" s="426" t="s">
        <v>398</v>
      </c>
    </row>
    <row r="244" spans="1:2" ht="15" hidden="1" x14ac:dyDescent="0.25">
      <c r="A244" s="426" t="s">
        <v>397</v>
      </c>
      <c r="B244" s="426" t="s">
        <v>398</v>
      </c>
    </row>
    <row r="245" spans="1:2" ht="15" hidden="1" x14ac:dyDescent="0.25">
      <c r="A245" s="426" t="s">
        <v>397</v>
      </c>
      <c r="B245" s="426" t="s">
        <v>398</v>
      </c>
    </row>
    <row r="246" spans="1:2" ht="15" hidden="1" x14ac:dyDescent="0.25">
      <c r="A246" s="426" t="s">
        <v>399</v>
      </c>
      <c r="B246" s="426" t="s">
        <v>400</v>
      </c>
    </row>
    <row r="247" spans="1:2" ht="15" hidden="1" x14ac:dyDescent="0.25">
      <c r="A247" s="426" t="s">
        <v>399</v>
      </c>
      <c r="B247" s="426" t="s">
        <v>400</v>
      </c>
    </row>
    <row r="248" spans="1:2" ht="15" hidden="1" x14ac:dyDescent="0.25">
      <c r="A248" s="426" t="s">
        <v>181</v>
      </c>
      <c r="B248" s="426" t="s">
        <v>313</v>
      </c>
    </row>
    <row r="249" spans="1:2" ht="15" hidden="1" x14ac:dyDescent="0.25">
      <c r="A249" s="426" t="s">
        <v>181</v>
      </c>
      <c r="B249" s="426" t="s">
        <v>313</v>
      </c>
    </row>
    <row r="250" spans="1:2" ht="15" hidden="1" x14ac:dyDescent="0.25">
      <c r="A250" s="426" t="s">
        <v>181</v>
      </c>
      <c r="B250" s="426" t="s">
        <v>313</v>
      </c>
    </row>
    <row r="251" spans="1:2" ht="15" hidden="1" x14ac:dyDescent="0.25">
      <c r="A251" s="426" t="s">
        <v>181</v>
      </c>
      <c r="B251" s="426" t="s">
        <v>313</v>
      </c>
    </row>
    <row r="252" spans="1:2" ht="15" hidden="1" x14ac:dyDescent="0.25">
      <c r="A252" s="426" t="s">
        <v>181</v>
      </c>
      <c r="B252" s="426" t="s">
        <v>313</v>
      </c>
    </row>
    <row r="253" spans="1:2" ht="15" hidden="1" x14ac:dyDescent="0.25">
      <c r="A253" s="426" t="s">
        <v>181</v>
      </c>
      <c r="B253" s="426" t="s">
        <v>313</v>
      </c>
    </row>
    <row r="254" spans="1:2" ht="15" hidden="1" x14ac:dyDescent="0.25">
      <c r="A254" s="426" t="s">
        <v>181</v>
      </c>
      <c r="B254" s="426" t="s">
        <v>313</v>
      </c>
    </row>
    <row r="255" spans="1:2" ht="15" hidden="1" x14ac:dyDescent="0.25">
      <c r="A255" s="426" t="s">
        <v>181</v>
      </c>
      <c r="B255" s="426" t="s">
        <v>313</v>
      </c>
    </row>
    <row r="256" spans="1:2" ht="15" hidden="1" x14ac:dyDescent="0.25">
      <c r="A256" s="426" t="s">
        <v>181</v>
      </c>
      <c r="B256" s="426" t="s">
        <v>313</v>
      </c>
    </row>
    <row r="257" spans="1:2" ht="15" hidden="1" x14ac:dyDescent="0.25">
      <c r="A257" s="426" t="s">
        <v>181</v>
      </c>
      <c r="B257" s="426" t="s">
        <v>313</v>
      </c>
    </row>
    <row r="258" spans="1:2" ht="15" hidden="1" x14ac:dyDescent="0.25">
      <c r="A258" s="426" t="s">
        <v>181</v>
      </c>
      <c r="B258" s="426" t="s">
        <v>313</v>
      </c>
    </row>
    <row r="259" spans="1:2" ht="15" hidden="1" x14ac:dyDescent="0.25">
      <c r="A259" s="426" t="s">
        <v>181</v>
      </c>
      <c r="B259" s="426" t="s">
        <v>313</v>
      </c>
    </row>
    <row r="260" spans="1:2" ht="15" hidden="1" x14ac:dyDescent="0.25">
      <c r="A260" s="426" t="s">
        <v>181</v>
      </c>
      <c r="B260" s="426" t="s">
        <v>313</v>
      </c>
    </row>
    <row r="261" spans="1:2" ht="15" hidden="1" x14ac:dyDescent="0.25">
      <c r="A261" s="426" t="s">
        <v>181</v>
      </c>
      <c r="B261" s="426" t="s">
        <v>313</v>
      </c>
    </row>
    <row r="262" spans="1:2" ht="15" hidden="1" x14ac:dyDescent="0.25">
      <c r="A262" s="426" t="s">
        <v>181</v>
      </c>
      <c r="B262" s="426" t="s">
        <v>313</v>
      </c>
    </row>
    <row r="263" spans="1:2" ht="15" hidden="1" x14ac:dyDescent="0.25">
      <c r="A263" s="426" t="s">
        <v>181</v>
      </c>
      <c r="B263" s="426" t="s">
        <v>313</v>
      </c>
    </row>
    <row r="264" spans="1:2" ht="15" hidden="1" x14ac:dyDescent="0.25">
      <c r="A264" s="426" t="s">
        <v>181</v>
      </c>
      <c r="B264" s="426" t="s">
        <v>313</v>
      </c>
    </row>
    <row r="265" spans="1:2" ht="15" hidden="1" x14ac:dyDescent="0.25">
      <c r="A265" s="426" t="s">
        <v>181</v>
      </c>
      <c r="B265" s="426" t="s">
        <v>313</v>
      </c>
    </row>
    <row r="266" spans="1:2" ht="15" hidden="1" x14ac:dyDescent="0.25">
      <c r="A266" s="426" t="s">
        <v>181</v>
      </c>
      <c r="B266" s="426" t="s">
        <v>313</v>
      </c>
    </row>
    <row r="267" spans="1:2" ht="15" hidden="1" x14ac:dyDescent="0.25">
      <c r="A267" s="426" t="s">
        <v>181</v>
      </c>
      <c r="B267" s="426" t="s">
        <v>313</v>
      </c>
    </row>
    <row r="268" spans="1:2" ht="15" hidden="1" x14ac:dyDescent="0.25">
      <c r="A268" s="426" t="s">
        <v>181</v>
      </c>
      <c r="B268" s="426" t="s">
        <v>313</v>
      </c>
    </row>
    <row r="269" spans="1:2" ht="15" hidden="1" x14ac:dyDescent="0.25">
      <c r="A269" s="426" t="s">
        <v>181</v>
      </c>
      <c r="B269" s="426" t="s">
        <v>313</v>
      </c>
    </row>
    <row r="270" spans="1:2" ht="15" hidden="1" x14ac:dyDescent="0.25">
      <c r="A270" s="426" t="s">
        <v>181</v>
      </c>
      <c r="B270" s="426" t="s">
        <v>313</v>
      </c>
    </row>
    <row r="271" spans="1:2" ht="15" hidden="1" x14ac:dyDescent="0.25">
      <c r="A271" s="426" t="s">
        <v>181</v>
      </c>
      <c r="B271" s="426" t="s">
        <v>313</v>
      </c>
    </row>
    <row r="272" spans="1:2" ht="15" hidden="1" x14ac:dyDescent="0.25">
      <c r="A272" s="426" t="s">
        <v>181</v>
      </c>
      <c r="B272" s="426" t="s">
        <v>313</v>
      </c>
    </row>
    <row r="273" spans="1:2" ht="15" hidden="1" x14ac:dyDescent="0.25">
      <c r="A273" s="426" t="s">
        <v>181</v>
      </c>
      <c r="B273" s="426" t="s">
        <v>313</v>
      </c>
    </row>
    <row r="274" spans="1:2" ht="15" hidden="1" x14ac:dyDescent="0.25">
      <c r="A274" s="426" t="s">
        <v>181</v>
      </c>
      <c r="B274" s="426" t="s">
        <v>313</v>
      </c>
    </row>
    <row r="275" spans="1:2" ht="15" hidden="1" x14ac:dyDescent="0.25">
      <c r="A275" s="426" t="s">
        <v>181</v>
      </c>
      <c r="B275" s="426" t="s">
        <v>313</v>
      </c>
    </row>
    <row r="276" spans="1:2" ht="15" hidden="1" x14ac:dyDescent="0.25">
      <c r="A276" s="426" t="s">
        <v>181</v>
      </c>
      <c r="B276" s="426" t="s">
        <v>313</v>
      </c>
    </row>
    <row r="277" spans="1:2" ht="15" hidden="1" x14ac:dyDescent="0.25">
      <c r="A277" s="426" t="s">
        <v>181</v>
      </c>
      <c r="B277" s="426" t="s">
        <v>313</v>
      </c>
    </row>
    <row r="278" spans="1:2" ht="15" hidden="1" x14ac:dyDescent="0.25">
      <c r="A278" s="426" t="s">
        <v>181</v>
      </c>
      <c r="B278" s="426" t="s">
        <v>313</v>
      </c>
    </row>
    <row r="279" spans="1:2" ht="15" hidden="1" x14ac:dyDescent="0.25">
      <c r="A279" s="426" t="s">
        <v>181</v>
      </c>
      <c r="B279" s="426" t="s">
        <v>313</v>
      </c>
    </row>
    <row r="280" spans="1:2" ht="15" hidden="1" x14ac:dyDescent="0.25">
      <c r="A280" s="426" t="s">
        <v>181</v>
      </c>
      <c r="B280" s="426" t="s">
        <v>313</v>
      </c>
    </row>
    <row r="281" spans="1:2" ht="15" hidden="1" x14ac:dyDescent="0.25">
      <c r="A281" s="426" t="s">
        <v>181</v>
      </c>
      <c r="B281" s="426" t="s">
        <v>313</v>
      </c>
    </row>
    <row r="282" spans="1:2" ht="15" hidden="1" x14ac:dyDescent="0.25">
      <c r="A282" s="426" t="s">
        <v>181</v>
      </c>
      <c r="B282" s="426" t="s">
        <v>313</v>
      </c>
    </row>
    <row r="283" spans="1:2" ht="15" hidden="1" x14ac:dyDescent="0.25">
      <c r="A283" s="426" t="s">
        <v>181</v>
      </c>
      <c r="B283" s="426" t="s">
        <v>313</v>
      </c>
    </row>
    <row r="284" spans="1:2" ht="15" hidden="1" x14ac:dyDescent="0.25">
      <c r="A284" s="426" t="s">
        <v>181</v>
      </c>
      <c r="B284" s="426" t="s">
        <v>313</v>
      </c>
    </row>
    <row r="285" spans="1:2" ht="15" hidden="1" x14ac:dyDescent="0.25">
      <c r="A285" s="426" t="s">
        <v>181</v>
      </c>
      <c r="B285" s="426" t="s">
        <v>313</v>
      </c>
    </row>
    <row r="286" spans="1:2" ht="15" hidden="1" x14ac:dyDescent="0.25">
      <c r="A286" s="426" t="s">
        <v>181</v>
      </c>
      <c r="B286" s="426" t="s">
        <v>313</v>
      </c>
    </row>
    <row r="287" spans="1:2" ht="15" hidden="1" x14ac:dyDescent="0.25">
      <c r="A287" s="426" t="s">
        <v>181</v>
      </c>
      <c r="B287" s="426" t="s">
        <v>313</v>
      </c>
    </row>
    <row r="288" spans="1:2" ht="15" hidden="1" x14ac:dyDescent="0.25">
      <c r="A288" s="426" t="s">
        <v>181</v>
      </c>
      <c r="B288" s="426" t="s">
        <v>313</v>
      </c>
    </row>
    <row r="289" spans="1:2" ht="15" hidden="1" x14ac:dyDescent="0.25">
      <c r="A289" s="426" t="s">
        <v>181</v>
      </c>
      <c r="B289" s="426" t="s">
        <v>313</v>
      </c>
    </row>
    <row r="290" spans="1:2" ht="15" hidden="1" x14ac:dyDescent="0.25">
      <c r="A290" s="426" t="s">
        <v>181</v>
      </c>
      <c r="B290" s="426" t="s">
        <v>313</v>
      </c>
    </row>
    <row r="291" spans="1:2" ht="15" hidden="1" x14ac:dyDescent="0.25">
      <c r="A291" s="426" t="s">
        <v>181</v>
      </c>
      <c r="B291" s="426" t="s">
        <v>313</v>
      </c>
    </row>
    <row r="292" spans="1:2" ht="15" hidden="1" x14ac:dyDescent="0.25">
      <c r="A292" s="426" t="s">
        <v>181</v>
      </c>
      <c r="B292" s="426" t="s">
        <v>313</v>
      </c>
    </row>
    <row r="293" spans="1:2" ht="15" hidden="1" x14ac:dyDescent="0.25">
      <c r="A293" s="426" t="s">
        <v>181</v>
      </c>
      <c r="B293" s="426" t="s">
        <v>313</v>
      </c>
    </row>
    <row r="294" spans="1:2" ht="15" hidden="1" x14ac:dyDescent="0.25">
      <c r="A294" s="426" t="s">
        <v>181</v>
      </c>
      <c r="B294" s="426" t="s">
        <v>313</v>
      </c>
    </row>
    <row r="295" spans="1:2" ht="15" hidden="1" x14ac:dyDescent="0.25">
      <c r="A295" s="426" t="s">
        <v>181</v>
      </c>
      <c r="B295" s="426" t="s">
        <v>313</v>
      </c>
    </row>
    <row r="296" spans="1:2" ht="15" hidden="1" x14ac:dyDescent="0.25">
      <c r="A296" s="426" t="s">
        <v>181</v>
      </c>
      <c r="B296" s="426" t="s">
        <v>313</v>
      </c>
    </row>
    <row r="297" spans="1:2" ht="15" hidden="1" x14ac:dyDescent="0.25">
      <c r="A297" s="426" t="s">
        <v>181</v>
      </c>
      <c r="B297" s="426" t="s">
        <v>313</v>
      </c>
    </row>
    <row r="298" spans="1:2" ht="15" hidden="1" x14ac:dyDescent="0.25">
      <c r="A298" s="426" t="s">
        <v>181</v>
      </c>
      <c r="B298" s="426" t="s">
        <v>313</v>
      </c>
    </row>
    <row r="299" spans="1:2" ht="15" hidden="1" x14ac:dyDescent="0.25">
      <c r="A299" s="426" t="s">
        <v>181</v>
      </c>
      <c r="B299" s="426" t="s">
        <v>313</v>
      </c>
    </row>
    <row r="300" spans="1:2" ht="15" hidden="1" x14ac:dyDescent="0.25">
      <c r="A300" s="426" t="s">
        <v>181</v>
      </c>
      <c r="B300" s="426" t="s">
        <v>313</v>
      </c>
    </row>
    <row r="301" spans="1:2" ht="15" hidden="1" x14ac:dyDescent="0.25">
      <c r="A301" s="426" t="s">
        <v>181</v>
      </c>
      <c r="B301" s="426" t="s">
        <v>313</v>
      </c>
    </row>
    <row r="302" spans="1:2" ht="15" hidden="1" x14ac:dyDescent="0.25">
      <c r="A302" s="426" t="s">
        <v>181</v>
      </c>
      <c r="B302" s="426" t="s">
        <v>313</v>
      </c>
    </row>
    <row r="303" spans="1:2" ht="15" hidden="1" x14ac:dyDescent="0.25">
      <c r="A303" s="426" t="s">
        <v>181</v>
      </c>
      <c r="B303" s="426" t="s">
        <v>313</v>
      </c>
    </row>
    <row r="304" spans="1:2" ht="15" hidden="1" x14ac:dyDescent="0.25">
      <c r="A304" s="426" t="s">
        <v>181</v>
      </c>
      <c r="B304" s="426" t="s">
        <v>313</v>
      </c>
    </row>
    <row r="305" spans="1:2" ht="15" hidden="1" x14ac:dyDescent="0.25">
      <c r="A305" s="426" t="s">
        <v>181</v>
      </c>
      <c r="B305" s="426" t="s">
        <v>313</v>
      </c>
    </row>
    <row r="306" spans="1:2" ht="15" hidden="1" x14ac:dyDescent="0.25">
      <c r="A306" s="426" t="s">
        <v>181</v>
      </c>
      <c r="B306" s="426" t="s">
        <v>313</v>
      </c>
    </row>
    <row r="307" spans="1:2" ht="15" hidden="1" x14ac:dyDescent="0.25">
      <c r="A307" s="426" t="s">
        <v>181</v>
      </c>
      <c r="B307" s="426" t="s">
        <v>313</v>
      </c>
    </row>
    <row r="308" spans="1:2" ht="15" hidden="1" x14ac:dyDescent="0.25">
      <c r="A308" s="426" t="s">
        <v>181</v>
      </c>
      <c r="B308" s="426" t="s">
        <v>313</v>
      </c>
    </row>
    <row r="309" spans="1:2" ht="15" hidden="1" x14ac:dyDescent="0.25">
      <c r="A309" s="426" t="s">
        <v>182</v>
      </c>
      <c r="B309" s="426" t="s">
        <v>315</v>
      </c>
    </row>
    <row r="310" spans="1:2" ht="15" hidden="1" x14ac:dyDescent="0.25">
      <c r="A310" s="426" t="s">
        <v>182</v>
      </c>
      <c r="B310" s="426" t="s">
        <v>315</v>
      </c>
    </row>
    <row r="311" spans="1:2" ht="15" hidden="1" x14ac:dyDescent="0.25">
      <c r="A311" s="426" t="s">
        <v>182</v>
      </c>
      <c r="B311" s="426" t="s">
        <v>315</v>
      </c>
    </row>
    <row r="312" spans="1:2" ht="15" hidden="1" x14ac:dyDescent="0.25">
      <c r="A312" s="426" t="s">
        <v>182</v>
      </c>
      <c r="B312" s="426" t="s">
        <v>315</v>
      </c>
    </row>
    <row r="313" spans="1:2" ht="15" hidden="1" x14ac:dyDescent="0.25">
      <c r="A313" s="426" t="s">
        <v>182</v>
      </c>
      <c r="B313" s="426" t="s">
        <v>315</v>
      </c>
    </row>
    <row r="314" spans="1:2" ht="15" hidden="1" x14ac:dyDescent="0.25">
      <c r="A314" s="426" t="s">
        <v>182</v>
      </c>
      <c r="B314" s="426" t="s">
        <v>315</v>
      </c>
    </row>
    <row r="315" spans="1:2" ht="15" hidden="1" x14ac:dyDescent="0.25">
      <c r="A315" s="426" t="s">
        <v>182</v>
      </c>
      <c r="B315" s="426" t="s">
        <v>315</v>
      </c>
    </row>
    <row r="316" spans="1:2" ht="15" hidden="1" x14ac:dyDescent="0.25">
      <c r="A316" s="426" t="s">
        <v>182</v>
      </c>
      <c r="B316" s="426" t="s">
        <v>315</v>
      </c>
    </row>
    <row r="317" spans="1:2" ht="15" hidden="1" x14ac:dyDescent="0.25">
      <c r="A317" s="426" t="s">
        <v>182</v>
      </c>
      <c r="B317" s="426" t="s">
        <v>315</v>
      </c>
    </row>
    <row r="318" spans="1:2" ht="15" hidden="1" x14ac:dyDescent="0.25">
      <c r="A318" s="426" t="s">
        <v>182</v>
      </c>
      <c r="B318" s="426" t="s">
        <v>315</v>
      </c>
    </row>
    <row r="319" spans="1:2" ht="15" hidden="1" x14ac:dyDescent="0.25">
      <c r="A319" s="426" t="s">
        <v>182</v>
      </c>
      <c r="B319" s="426" t="s">
        <v>315</v>
      </c>
    </row>
    <row r="320" spans="1:2" ht="15" hidden="1" x14ac:dyDescent="0.25">
      <c r="A320" s="426" t="s">
        <v>182</v>
      </c>
      <c r="B320" s="426" t="s">
        <v>315</v>
      </c>
    </row>
    <row r="321" spans="1:2" ht="15" hidden="1" x14ac:dyDescent="0.25">
      <c r="A321" s="426" t="s">
        <v>183</v>
      </c>
      <c r="B321" s="426" t="s">
        <v>317</v>
      </c>
    </row>
    <row r="322" spans="1:2" ht="15" hidden="1" x14ac:dyDescent="0.25">
      <c r="A322" s="426" t="s">
        <v>183</v>
      </c>
      <c r="B322" s="426" t="s">
        <v>317</v>
      </c>
    </row>
    <row r="323" spans="1:2" ht="15" hidden="1" x14ac:dyDescent="0.25">
      <c r="A323" s="426" t="s">
        <v>183</v>
      </c>
      <c r="B323" s="426" t="s">
        <v>317</v>
      </c>
    </row>
    <row r="324" spans="1:2" ht="15" hidden="1" x14ac:dyDescent="0.25">
      <c r="A324" s="426" t="s">
        <v>183</v>
      </c>
      <c r="B324" s="426" t="s">
        <v>317</v>
      </c>
    </row>
    <row r="325" spans="1:2" ht="15" hidden="1" x14ac:dyDescent="0.25">
      <c r="A325" s="426" t="s">
        <v>183</v>
      </c>
      <c r="B325" s="426" t="s">
        <v>317</v>
      </c>
    </row>
    <row r="326" spans="1:2" ht="15" hidden="1" x14ac:dyDescent="0.25">
      <c r="A326" s="426" t="s">
        <v>184</v>
      </c>
      <c r="B326" s="426" t="s">
        <v>318</v>
      </c>
    </row>
    <row r="327" spans="1:2" ht="15" hidden="1" x14ac:dyDescent="0.25">
      <c r="A327" s="426" t="s">
        <v>185</v>
      </c>
      <c r="B327" s="426" t="s">
        <v>319</v>
      </c>
    </row>
    <row r="328" spans="1:2" ht="15" hidden="1" x14ac:dyDescent="0.25">
      <c r="A328" s="426" t="s">
        <v>185</v>
      </c>
      <c r="B328" s="426" t="s">
        <v>319</v>
      </c>
    </row>
    <row r="329" spans="1:2" ht="15" hidden="1" x14ac:dyDescent="0.25">
      <c r="A329" s="426" t="s">
        <v>401</v>
      </c>
      <c r="B329" s="426" t="s">
        <v>402</v>
      </c>
    </row>
    <row r="330" spans="1:2" ht="15" hidden="1" x14ac:dyDescent="0.25">
      <c r="A330" s="427" t="s">
        <v>401</v>
      </c>
      <c r="B330" s="426" t="s">
        <v>402</v>
      </c>
    </row>
    <row r="331" spans="1:2" ht="15" hidden="1" x14ac:dyDescent="0.25">
      <c r="A331" s="426" t="s">
        <v>401</v>
      </c>
      <c r="B331" s="426" t="s">
        <v>402</v>
      </c>
    </row>
    <row r="332" spans="1:2" ht="15" hidden="1" x14ac:dyDescent="0.25">
      <c r="A332" s="426" t="s">
        <v>186</v>
      </c>
      <c r="B332" s="426" t="s">
        <v>321</v>
      </c>
    </row>
    <row r="333" spans="1:2" ht="15" hidden="1" x14ac:dyDescent="0.25">
      <c r="A333" s="426" t="s">
        <v>186</v>
      </c>
      <c r="B333" s="426" t="s">
        <v>321</v>
      </c>
    </row>
    <row r="334" spans="1:2" ht="15" hidden="1" x14ac:dyDescent="0.25">
      <c r="A334" s="426" t="s">
        <v>186</v>
      </c>
      <c r="B334" s="426" t="s">
        <v>321</v>
      </c>
    </row>
    <row r="335" spans="1:2" ht="15" hidden="1" x14ac:dyDescent="0.25">
      <c r="A335" s="426" t="s">
        <v>187</v>
      </c>
      <c r="B335" s="426" t="s">
        <v>322</v>
      </c>
    </row>
    <row r="336" spans="1:2" ht="15" hidden="1" x14ac:dyDescent="0.25">
      <c r="A336" s="426" t="s">
        <v>187</v>
      </c>
      <c r="B336" s="426" t="s">
        <v>322</v>
      </c>
    </row>
    <row r="337" spans="1:2" ht="15" hidden="1" x14ac:dyDescent="0.25">
      <c r="A337" s="426" t="s">
        <v>188</v>
      </c>
      <c r="B337" s="426" t="s">
        <v>323</v>
      </c>
    </row>
    <row r="338" spans="1:2" ht="15" hidden="1" x14ac:dyDescent="0.25">
      <c r="A338" s="426" t="s">
        <v>188</v>
      </c>
      <c r="B338" s="426" t="s">
        <v>323</v>
      </c>
    </row>
    <row r="339" spans="1:2" ht="15" hidden="1" x14ac:dyDescent="0.25">
      <c r="A339" s="426" t="s">
        <v>188</v>
      </c>
      <c r="B339" s="426" t="s">
        <v>323</v>
      </c>
    </row>
    <row r="340" spans="1:2" ht="15" hidden="1" x14ac:dyDescent="0.25">
      <c r="A340" s="426" t="s">
        <v>403</v>
      </c>
      <c r="B340" s="426" t="s">
        <v>403</v>
      </c>
    </row>
    <row r="341" spans="1:2" ht="15" hidden="1" x14ac:dyDescent="0.25">
      <c r="A341" s="426" t="s">
        <v>404</v>
      </c>
      <c r="B341" s="426" t="s">
        <v>404</v>
      </c>
    </row>
    <row r="342" spans="1:2" ht="15" hidden="1" x14ac:dyDescent="0.25">
      <c r="A342" s="426" t="s">
        <v>405</v>
      </c>
      <c r="B342" s="426" t="s">
        <v>405</v>
      </c>
    </row>
    <row r="343" spans="1:2" ht="15" hidden="1" x14ac:dyDescent="0.25">
      <c r="A343" s="426" t="s">
        <v>406</v>
      </c>
      <c r="B343" s="426" t="s">
        <v>406</v>
      </c>
    </row>
    <row r="344" spans="1:2" ht="15" hidden="1" x14ac:dyDescent="0.25">
      <c r="A344" s="426" t="s">
        <v>407</v>
      </c>
      <c r="B344" s="426" t="s">
        <v>407</v>
      </c>
    </row>
    <row r="345" spans="1:2" ht="15" hidden="1" x14ac:dyDescent="0.25">
      <c r="A345" s="426" t="s">
        <v>408</v>
      </c>
      <c r="B345" s="426" t="s">
        <v>408</v>
      </c>
    </row>
    <row r="346" spans="1:2" ht="15" hidden="1" x14ac:dyDescent="0.25">
      <c r="A346" s="426" t="s">
        <v>409</v>
      </c>
      <c r="B346" s="426" t="s">
        <v>409</v>
      </c>
    </row>
    <row r="347" spans="1:2" ht="15" hidden="1" x14ac:dyDescent="0.25">
      <c r="A347" s="426" t="s">
        <v>410</v>
      </c>
      <c r="B347" s="426" t="s">
        <v>410</v>
      </c>
    </row>
    <row r="348" spans="1:2" ht="15" hidden="1" x14ac:dyDescent="0.25">
      <c r="A348" s="426" t="s">
        <v>411</v>
      </c>
      <c r="B348" s="426" t="s">
        <v>411</v>
      </c>
    </row>
    <row r="349" spans="1:2" ht="15" hidden="1" x14ac:dyDescent="0.25">
      <c r="A349" s="426" t="s">
        <v>412</v>
      </c>
      <c r="B349" s="426" t="s">
        <v>412</v>
      </c>
    </row>
    <row r="350" spans="1:2" ht="15" hidden="1" x14ac:dyDescent="0.25">
      <c r="A350" s="426" t="s">
        <v>413</v>
      </c>
      <c r="B350" s="426" t="s">
        <v>413</v>
      </c>
    </row>
    <row r="351" spans="1:2" ht="15" hidden="1" x14ac:dyDescent="0.25">
      <c r="A351" s="426" t="s">
        <v>414</v>
      </c>
      <c r="B351" s="426" t="s">
        <v>414</v>
      </c>
    </row>
    <row r="352" spans="1:2" ht="15" hidden="1" x14ac:dyDescent="0.25">
      <c r="A352" s="426" t="s">
        <v>415</v>
      </c>
      <c r="B352" s="426" t="s">
        <v>415</v>
      </c>
    </row>
    <row r="353" spans="1:2" ht="15" hidden="1" x14ac:dyDescent="0.25">
      <c r="A353" s="426" t="s">
        <v>416</v>
      </c>
      <c r="B353" s="426" t="s">
        <v>416</v>
      </c>
    </row>
    <row r="354" spans="1:2" ht="15" hidden="1" x14ac:dyDescent="0.25">
      <c r="A354" s="426" t="s">
        <v>417</v>
      </c>
      <c r="B354" s="426" t="s">
        <v>417</v>
      </c>
    </row>
    <row r="355" spans="1:2" ht="15" hidden="1" x14ac:dyDescent="0.25">
      <c r="A355" s="426" t="s">
        <v>418</v>
      </c>
      <c r="B355" s="426" t="s">
        <v>418</v>
      </c>
    </row>
    <row r="356" spans="1:2" ht="15" hidden="1" x14ac:dyDescent="0.25">
      <c r="A356" s="426" t="s">
        <v>419</v>
      </c>
      <c r="B356" s="426" t="s">
        <v>419</v>
      </c>
    </row>
    <row r="357" spans="1:2" ht="15" hidden="1" x14ac:dyDescent="0.25">
      <c r="A357" s="426" t="s">
        <v>419</v>
      </c>
      <c r="B357" s="426" t="s">
        <v>419</v>
      </c>
    </row>
    <row r="358" spans="1:2" ht="15" hidden="1" x14ac:dyDescent="0.25">
      <c r="A358" s="426" t="s">
        <v>420</v>
      </c>
      <c r="B358" s="426" t="s">
        <v>420</v>
      </c>
    </row>
    <row r="359" spans="1:2" ht="15" hidden="1" x14ac:dyDescent="0.25">
      <c r="A359" s="426" t="s">
        <v>421</v>
      </c>
      <c r="B359" s="426" t="s">
        <v>421</v>
      </c>
    </row>
    <row r="360" spans="1:2" ht="15" hidden="1" x14ac:dyDescent="0.25">
      <c r="A360" s="426" t="s">
        <v>422</v>
      </c>
      <c r="B360" s="426" t="s">
        <v>422</v>
      </c>
    </row>
    <row r="361" spans="1:2" ht="15" hidden="1" x14ac:dyDescent="0.25">
      <c r="A361" s="426" t="s">
        <v>423</v>
      </c>
      <c r="B361" s="426" t="s">
        <v>423</v>
      </c>
    </row>
    <row r="362" spans="1:2" ht="15" hidden="1" x14ac:dyDescent="0.25">
      <c r="A362" s="426" t="s">
        <v>423</v>
      </c>
      <c r="B362" s="426" t="s">
        <v>423</v>
      </c>
    </row>
    <row r="363" spans="1:2" ht="15" hidden="1" x14ac:dyDescent="0.25">
      <c r="A363" s="426" t="s">
        <v>424</v>
      </c>
      <c r="B363" s="426" t="s">
        <v>424</v>
      </c>
    </row>
    <row r="364" spans="1:2" ht="15" hidden="1" x14ac:dyDescent="0.25">
      <c r="A364" s="426" t="s">
        <v>425</v>
      </c>
      <c r="B364" s="426" t="s">
        <v>425</v>
      </c>
    </row>
    <row r="365" spans="1:2" ht="15" hidden="1" x14ac:dyDescent="0.25">
      <c r="A365" s="426" t="s">
        <v>426</v>
      </c>
      <c r="B365" s="426" t="s">
        <v>426</v>
      </c>
    </row>
    <row r="366" spans="1:2" ht="15" hidden="1" x14ac:dyDescent="0.25">
      <c r="A366" s="426" t="s">
        <v>426</v>
      </c>
      <c r="B366" s="426" t="s">
        <v>426</v>
      </c>
    </row>
    <row r="367" spans="1:2" ht="15" hidden="1" x14ac:dyDescent="0.25">
      <c r="A367" s="426" t="s">
        <v>286</v>
      </c>
      <c r="B367" s="426" t="s">
        <v>286</v>
      </c>
    </row>
    <row r="368" spans="1:2" ht="15" hidden="1" x14ac:dyDescent="0.25">
      <c r="A368" s="426" t="s">
        <v>427</v>
      </c>
      <c r="B368" s="426" t="s">
        <v>427</v>
      </c>
    </row>
    <row r="369" spans="1:2" ht="15" hidden="1" x14ac:dyDescent="0.25">
      <c r="A369" s="426" t="s">
        <v>428</v>
      </c>
      <c r="B369" s="426" t="s">
        <v>428</v>
      </c>
    </row>
    <row r="370" spans="1:2" ht="15" hidden="1" x14ac:dyDescent="0.25">
      <c r="A370" s="426" t="s">
        <v>429</v>
      </c>
      <c r="B370" s="426" t="s">
        <v>429</v>
      </c>
    </row>
    <row r="371" spans="1:2" ht="15" hidden="1" x14ac:dyDescent="0.25">
      <c r="A371" s="426" t="s">
        <v>430</v>
      </c>
      <c r="B371" s="426" t="s">
        <v>430</v>
      </c>
    </row>
    <row r="372" spans="1:2" ht="15" hidden="1" x14ac:dyDescent="0.25">
      <c r="A372" s="426" t="s">
        <v>431</v>
      </c>
      <c r="B372" s="426" t="s">
        <v>431</v>
      </c>
    </row>
    <row r="373" spans="1:2" ht="15" hidden="1" x14ac:dyDescent="0.25">
      <c r="A373" s="426" t="s">
        <v>432</v>
      </c>
      <c r="B373" s="426" t="s">
        <v>432</v>
      </c>
    </row>
    <row r="374" spans="1:2" ht="15" hidden="1" x14ac:dyDescent="0.25">
      <c r="A374" s="426" t="s">
        <v>433</v>
      </c>
      <c r="B374" s="426" t="s">
        <v>433</v>
      </c>
    </row>
    <row r="375" spans="1:2" ht="15" hidden="1" x14ac:dyDescent="0.25">
      <c r="A375" s="426" t="s">
        <v>434</v>
      </c>
      <c r="B375" s="426" t="s">
        <v>434</v>
      </c>
    </row>
    <row r="376" spans="1:2" ht="15" hidden="1" x14ac:dyDescent="0.25">
      <c r="A376" s="426" t="s">
        <v>435</v>
      </c>
      <c r="B376" s="426" t="s">
        <v>435</v>
      </c>
    </row>
    <row r="377" spans="1:2" ht="15" hidden="1" x14ac:dyDescent="0.25">
      <c r="A377" s="426" t="s">
        <v>436</v>
      </c>
      <c r="B377" s="426" t="s">
        <v>436</v>
      </c>
    </row>
    <row r="378" spans="1:2" ht="15" hidden="1" x14ac:dyDescent="0.25">
      <c r="A378" s="426" t="s">
        <v>437</v>
      </c>
      <c r="B378" s="426" t="s">
        <v>437</v>
      </c>
    </row>
    <row r="379" spans="1:2" ht="15" hidden="1" x14ac:dyDescent="0.25">
      <c r="A379" s="426" t="s">
        <v>438</v>
      </c>
      <c r="B379" s="426" t="s">
        <v>438</v>
      </c>
    </row>
    <row r="380" spans="1:2" ht="15" hidden="1" x14ac:dyDescent="0.25">
      <c r="A380" s="426" t="s">
        <v>439</v>
      </c>
      <c r="B380" s="426" t="s">
        <v>439</v>
      </c>
    </row>
    <row r="381" spans="1:2" ht="15" hidden="1" x14ac:dyDescent="0.25">
      <c r="A381" s="426" t="s">
        <v>440</v>
      </c>
      <c r="B381" s="426" t="s">
        <v>440</v>
      </c>
    </row>
    <row r="382" spans="1:2" ht="15" hidden="1" x14ac:dyDescent="0.25">
      <c r="A382" s="426" t="s">
        <v>441</v>
      </c>
      <c r="B382" s="426" t="s">
        <v>441</v>
      </c>
    </row>
    <row r="383" spans="1:2" ht="15" hidden="1" x14ac:dyDescent="0.25">
      <c r="A383" s="426" t="s">
        <v>442</v>
      </c>
      <c r="B383" s="426" t="s">
        <v>442</v>
      </c>
    </row>
    <row r="384" spans="1:2" ht="15" hidden="1" x14ac:dyDescent="0.25">
      <c r="A384" s="426" t="s">
        <v>443</v>
      </c>
      <c r="B384" s="426" t="s">
        <v>443</v>
      </c>
    </row>
    <row r="385" spans="1:2" ht="15" hidden="1" x14ac:dyDescent="0.25">
      <c r="A385" s="426" t="s">
        <v>443</v>
      </c>
      <c r="B385" s="426" t="s">
        <v>443</v>
      </c>
    </row>
    <row r="386" spans="1:2" ht="15" hidden="1" x14ac:dyDescent="0.25">
      <c r="A386" s="426" t="s">
        <v>444</v>
      </c>
      <c r="B386" s="426" t="s">
        <v>444</v>
      </c>
    </row>
    <row r="387" spans="1:2" ht="15" hidden="1" x14ac:dyDescent="0.25">
      <c r="A387" s="426" t="s">
        <v>445</v>
      </c>
      <c r="B387" s="426" t="s">
        <v>445</v>
      </c>
    </row>
    <row r="388" spans="1:2" ht="15" hidden="1" x14ac:dyDescent="0.25">
      <c r="A388" s="426" t="s">
        <v>446</v>
      </c>
      <c r="B388" s="426" t="s">
        <v>446</v>
      </c>
    </row>
    <row r="389" spans="1:2" ht="15" hidden="1" x14ac:dyDescent="0.25">
      <c r="A389" s="426" t="s">
        <v>446</v>
      </c>
      <c r="B389" s="426" t="s">
        <v>446</v>
      </c>
    </row>
    <row r="390" spans="1:2" ht="15" hidden="1" x14ac:dyDescent="0.25">
      <c r="A390" s="426" t="s">
        <v>447</v>
      </c>
      <c r="B390" s="426" t="s">
        <v>447</v>
      </c>
    </row>
    <row r="391" spans="1:2" ht="15" hidden="1" x14ac:dyDescent="0.25">
      <c r="A391" s="426" t="s">
        <v>448</v>
      </c>
      <c r="B391" s="426" t="s">
        <v>448</v>
      </c>
    </row>
    <row r="392" spans="1:2" ht="15" hidden="1" x14ac:dyDescent="0.25">
      <c r="A392" s="426" t="s">
        <v>448</v>
      </c>
      <c r="B392" s="426" t="s">
        <v>448</v>
      </c>
    </row>
    <row r="393" spans="1:2" ht="15" hidden="1" x14ac:dyDescent="0.25">
      <c r="A393" s="426" t="s">
        <v>449</v>
      </c>
      <c r="B393" s="426" t="s">
        <v>449</v>
      </c>
    </row>
    <row r="394" spans="1:2" ht="15" hidden="1" x14ac:dyDescent="0.25">
      <c r="A394" s="426" t="s">
        <v>450</v>
      </c>
      <c r="B394" s="426" t="s">
        <v>450</v>
      </c>
    </row>
    <row r="395" spans="1:2" ht="15" hidden="1" x14ac:dyDescent="0.25">
      <c r="A395" s="426" t="s">
        <v>451</v>
      </c>
      <c r="B395" s="426" t="s">
        <v>451</v>
      </c>
    </row>
    <row r="396" spans="1:2" ht="15" hidden="1" x14ac:dyDescent="0.25">
      <c r="A396" s="426" t="s">
        <v>452</v>
      </c>
      <c r="B396" s="426" t="s">
        <v>452</v>
      </c>
    </row>
    <row r="397" spans="1:2" ht="15" hidden="1" x14ac:dyDescent="0.25">
      <c r="A397" s="426" t="s">
        <v>452</v>
      </c>
      <c r="B397" s="426" t="s">
        <v>452</v>
      </c>
    </row>
    <row r="398" spans="1:2" ht="15" hidden="1" x14ac:dyDescent="0.25">
      <c r="A398" s="426" t="s">
        <v>453</v>
      </c>
      <c r="B398" s="426" t="s">
        <v>453</v>
      </c>
    </row>
    <row r="399" spans="1:2" ht="15" hidden="1" x14ac:dyDescent="0.25">
      <c r="A399" s="426" t="s">
        <v>454</v>
      </c>
      <c r="B399" s="426" t="s">
        <v>454</v>
      </c>
    </row>
    <row r="400" spans="1:2" ht="15" hidden="1" x14ac:dyDescent="0.25">
      <c r="A400" s="426" t="s">
        <v>455</v>
      </c>
      <c r="B400" s="426" t="s">
        <v>455</v>
      </c>
    </row>
    <row r="401" spans="1:2" ht="15" hidden="1" x14ac:dyDescent="0.25">
      <c r="A401" s="426" t="s">
        <v>456</v>
      </c>
      <c r="B401" s="426" t="s">
        <v>456</v>
      </c>
    </row>
    <row r="402" spans="1:2" ht="15" hidden="1" x14ac:dyDescent="0.25">
      <c r="A402" s="426" t="s">
        <v>457</v>
      </c>
      <c r="B402" s="426" t="s">
        <v>457</v>
      </c>
    </row>
    <row r="403" spans="1:2" ht="15" hidden="1" x14ac:dyDescent="0.25">
      <c r="A403" s="426" t="s">
        <v>288</v>
      </c>
      <c r="B403" s="426" t="s">
        <v>288</v>
      </c>
    </row>
    <row r="404" spans="1:2" ht="15" hidden="1" x14ac:dyDescent="0.25">
      <c r="A404" s="426" t="s">
        <v>458</v>
      </c>
      <c r="B404" s="426" t="s">
        <v>458</v>
      </c>
    </row>
    <row r="405" spans="1:2" ht="15" hidden="1" x14ac:dyDescent="0.25">
      <c r="A405" s="426" t="s">
        <v>459</v>
      </c>
      <c r="B405" s="426" t="s">
        <v>459</v>
      </c>
    </row>
    <row r="406" spans="1:2" ht="15" hidden="1" x14ac:dyDescent="0.25">
      <c r="A406" s="426" t="s">
        <v>460</v>
      </c>
      <c r="B406" s="426" t="s">
        <v>460</v>
      </c>
    </row>
    <row r="407" spans="1:2" ht="15" hidden="1" x14ac:dyDescent="0.25">
      <c r="A407" s="426" t="s">
        <v>461</v>
      </c>
      <c r="B407" s="426" t="s">
        <v>461</v>
      </c>
    </row>
    <row r="408" spans="1:2" ht="15" hidden="1" x14ac:dyDescent="0.25">
      <c r="A408" s="426" t="s">
        <v>461</v>
      </c>
      <c r="B408" s="426" t="s">
        <v>461</v>
      </c>
    </row>
    <row r="409" spans="1:2" ht="15" hidden="1" x14ac:dyDescent="0.25">
      <c r="A409" s="426" t="s">
        <v>462</v>
      </c>
      <c r="B409" s="426" t="s">
        <v>462</v>
      </c>
    </row>
    <row r="410" spans="1:2" ht="15" hidden="1" x14ac:dyDescent="0.25">
      <c r="A410" s="426" t="s">
        <v>463</v>
      </c>
      <c r="B410" s="426" t="s">
        <v>463</v>
      </c>
    </row>
    <row r="411" spans="1:2" ht="15" hidden="1" x14ac:dyDescent="0.25">
      <c r="A411" s="426" t="s">
        <v>464</v>
      </c>
      <c r="B411" s="426" t="s">
        <v>464</v>
      </c>
    </row>
    <row r="412" spans="1:2" ht="15" hidden="1" x14ac:dyDescent="0.25">
      <c r="A412" s="426" t="s">
        <v>465</v>
      </c>
      <c r="B412" s="426" t="s">
        <v>465</v>
      </c>
    </row>
    <row r="413" spans="1:2" ht="15" hidden="1" x14ac:dyDescent="0.25">
      <c r="A413" s="426" t="s">
        <v>466</v>
      </c>
      <c r="B413" s="426" t="s">
        <v>466</v>
      </c>
    </row>
    <row r="414" spans="1:2" ht="15" hidden="1" x14ac:dyDescent="0.25">
      <c r="A414" s="426" t="s">
        <v>467</v>
      </c>
      <c r="B414" s="426" t="s">
        <v>467</v>
      </c>
    </row>
    <row r="415" spans="1:2" ht="15" hidden="1" x14ac:dyDescent="0.25">
      <c r="A415" s="426" t="s">
        <v>467</v>
      </c>
      <c r="B415" s="426" t="s">
        <v>467</v>
      </c>
    </row>
    <row r="416" spans="1:2" ht="15" hidden="1" x14ac:dyDescent="0.25">
      <c r="A416" s="426" t="s">
        <v>468</v>
      </c>
      <c r="B416" s="426" t="s">
        <v>468</v>
      </c>
    </row>
    <row r="417" spans="1:2" ht="15" hidden="1" x14ac:dyDescent="0.25">
      <c r="A417" s="426" t="s">
        <v>468</v>
      </c>
      <c r="B417" s="426" t="s">
        <v>468</v>
      </c>
    </row>
    <row r="418" spans="1:2" ht="15" hidden="1" x14ac:dyDescent="0.25">
      <c r="A418" s="426" t="s">
        <v>469</v>
      </c>
      <c r="B418" s="426" t="s">
        <v>469</v>
      </c>
    </row>
    <row r="419" spans="1:2" ht="15" hidden="1" x14ac:dyDescent="0.25">
      <c r="A419" s="426" t="s">
        <v>469</v>
      </c>
      <c r="B419" s="426" t="s">
        <v>469</v>
      </c>
    </row>
    <row r="420" spans="1:2" ht="15" hidden="1" x14ac:dyDescent="0.25">
      <c r="A420" s="426" t="s">
        <v>470</v>
      </c>
      <c r="B420" s="426" t="s">
        <v>470</v>
      </c>
    </row>
    <row r="421" spans="1:2" ht="15" hidden="1" x14ac:dyDescent="0.25">
      <c r="A421" s="426" t="s">
        <v>471</v>
      </c>
      <c r="B421" s="426" t="s">
        <v>471</v>
      </c>
    </row>
    <row r="422" spans="1:2" ht="15" hidden="1" x14ac:dyDescent="0.25">
      <c r="A422" s="426" t="s">
        <v>472</v>
      </c>
      <c r="B422" s="426" t="s">
        <v>472</v>
      </c>
    </row>
    <row r="423" spans="1:2" ht="15" hidden="1" x14ac:dyDescent="0.25">
      <c r="A423" s="426" t="s">
        <v>473</v>
      </c>
      <c r="B423" s="426" t="s">
        <v>473</v>
      </c>
    </row>
    <row r="424" spans="1:2" ht="15" hidden="1" x14ac:dyDescent="0.25">
      <c r="A424" s="426" t="s">
        <v>473</v>
      </c>
      <c r="B424" s="426" t="s">
        <v>473</v>
      </c>
    </row>
    <row r="425" spans="1:2" ht="15" hidden="1" x14ac:dyDescent="0.25">
      <c r="A425" s="426" t="s">
        <v>474</v>
      </c>
      <c r="B425" s="426" t="s">
        <v>474</v>
      </c>
    </row>
    <row r="426" spans="1:2" ht="15" hidden="1" x14ac:dyDescent="0.25">
      <c r="A426" s="426" t="s">
        <v>475</v>
      </c>
      <c r="B426" s="426" t="s">
        <v>475</v>
      </c>
    </row>
    <row r="427" spans="1:2" ht="15" hidden="1" x14ac:dyDescent="0.25">
      <c r="A427" s="426" t="s">
        <v>476</v>
      </c>
      <c r="B427" s="426" t="s">
        <v>476</v>
      </c>
    </row>
    <row r="428" spans="1:2" ht="15" hidden="1" x14ac:dyDescent="0.25">
      <c r="A428" s="426" t="s">
        <v>477</v>
      </c>
      <c r="B428" s="426" t="s">
        <v>477</v>
      </c>
    </row>
    <row r="429" spans="1:2" ht="15" hidden="1" x14ac:dyDescent="0.25">
      <c r="A429" s="426" t="s">
        <v>478</v>
      </c>
      <c r="B429" s="426" t="s">
        <v>478</v>
      </c>
    </row>
    <row r="430" spans="1:2" ht="15" hidden="1" x14ac:dyDescent="0.25">
      <c r="A430" s="426" t="s">
        <v>479</v>
      </c>
      <c r="B430" s="426" t="s">
        <v>479</v>
      </c>
    </row>
    <row r="431" spans="1:2" ht="15" hidden="1" x14ac:dyDescent="0.25">
      <c r="A431" s="426" t="s">
        <v>479</v>
      </c>
      <c r="B431" s="426" t="s">
        <v>479</v>
      </c>
    </row>
    <row r="432" spans="1:2" ht="15" hidden="1" x14ac:dyDescent="0.25">
      <c r="A432" s="426" t="s">
        <v>480</v>
      </c>
      <c r="B432" s="426" t="s">
        <v>480</v>
      </c>
    </row>
    <row r="433" spans="1:2" ht="15" hidden="1" x14ac:dyDescent="0.25">
      <c r="A433" s="426" t="s">
        <v>331</v>
      </c>
      <c r="B433" s="426" t="s">
        <v>331</v>
      </c>
    </row>
    <row r="434" spans="1:2" ht="15" hidden="1" x14ac:dyDescent="0.25">
      <c r="A434" s="426" t="s">
        <v>481</v>
      </c>
      <c r="B434" s="426" t="s">
        <v>481</v>
      </c>
    </row>
    <row r="435" spans="1:2" ht="15" hidden="1" x14ac:dyDescent="0.25">
      <c r="A435" s="426" t="s">
        <v>482</v>
      </c>
      <c r="B435" s="426" t="s">
        <v>482</v>
      </c>
    </row>
    <row r="436" spans="1:2" ht="15" hidden="1" x14ac:dyDescent="0.25">
      <c r="A436" s="426" t="s">
        <v>483</v>
      </c>
      <c r="B436" s="426" t="s">
        <v>483</v>
      </c>
    </row>
    <row r="437" spans="1:2" ht="15" hidden="1" x14ac:dyDescent="0.25">
      <c r="A437" s="426" t="s">
        <v>484</v>
      </c>
      <c r="B437" s="426" t="s">
        <v>484</v>
      </c>
    </row>
    <row r="438" spans="1:2" ht="15" hidden="1" x14ac:dyDescent="0.25">
      <c r="A438" s="426" t="s">
        <v>484</v>
      </c>
      <c r="B438" s="426" t="s">
        <v>484</v>
      </c>
    </row>
    <row r="439" spans="1:2" ht="15" hidden="1" x14ac:dyDescent="0.25">
      <c r="A439" s="426" t="s">
        <v>485</v>
      </c>
      <c r="B439" s="426" t="s">
        <v>485</v>
      </c>
    </row>
    <row r="440" spans="1:2" ht="15" hidden="1" x14ac:dyDescent="0.25">
      <c r="A440" s="426" t="s">
        <v>486</v>
      </c>
      <c r="B440" s="426" t="s">
        <v>486</v>
      </c>
    </row>
    <row r="441" spans="1:2" ht="15" hidden="1" x14ac:dyDescent="0.25">
      <c r="A441" s="426" t="s">
        <v>487</v>
      </c>
      <c r="B441" s="426" t="s">
        <v>487</v>
      </c>
    </row>
    <row r="442" spans="1:2" ht="15" hidden="1" x14ac:dyDescent="0.25">
      <c r="A442" s="426" t="s">
        <v>488</v>
      </c>
      <c r="B442" s="426" t="s">
        <v>488</v>
      </c>
    </row>
    <row r="443" spans="1:2" ht="15" hidden="1" x14ac:dyDescent="0.25">
      <c r="A443" s="426" t="s">
        <v>489</v>
      </c>
      <c r="B443" s="426" t="s">
        <v>489</v>
      </c>
    </row>
    <row r="444" spans="1:2" ht="15" hidden="1" x14ac:dyDescent="0.25">
      <c r="A444" s="426" t="s">
        <v>490</v>
      </c>
      <c r="B444" s="426" t="s">
        <v>490</v>
      </c>
    </row>
    <row r="445" spans="1:2" ht="15" hidden="1" x14ac:dyDescent="0.25">
      <c r="A445" s="426" t="s">
        <v>491</v>
      </c>
      <c r="B445" s="426" t="s">
        <v>491</v>
      </c>
    </row>
    <row r="446" spans="1:2" ht="15" hidden="1" x14ac:dyDescent="0.25">
      <c r="A446" s="426" t="s">
        <v>491</v>
      </c>
      <c r="B446" s="426" t="s">
        <v>491</v>
      </c>
    </row>
    <row r="447" spans="1:2" ht="15" hidden="1" x14ac:dyDescent="0.25">
      <c r="A447" s="426" t="s">
        <v>492</v>
      </c>
      <c r="B447" s="426" t="s">
        <v>492</v>
      </c>
    </row>
    <row r="448" spans="1:2" ht="15" hidden="1" x14ac:dyDescent="0.25">
      <c r="A448" s="426" t="s">
        <v>493</v>
      </c>
      <c r="B448" s="426" t="s">
        <v>493</v>
      </c>
    </row>
    <row r="449" spans="1:2" ht="15" hidden="1" x14ac:dyDescent="0.25">
      <c r="A449" s="426" t="s">
        <v>494</v>
      </c>
      <c r="B449" s="426" t="s">
        <v>494</v>
      </c>
    </row>
    <row r="450" spans="1:2" ht="15" hidden="1" x14ac:dyDescent="0.25">
      <c r="A450" s="426" t="s">
        <v>495</v>
      </c>
      <c r="B450" s="426" t="s">
        <v>495</v>
      </c>
    </row>
    <row r="451" spans="1:2" ht="15" hidden="1" x14ac:dyDescent="0.25">
      <c r="A451" s="426" t="s">
        <v>495</v>
      </c>
      <c r="B451" s="426" t="s">
        <v>495</v>
      </c>
    </row>
    <row r="452" spans="1:2" ht="15" hidden="1" x14ac:dyDescent="0.25">
      <c r="A452" s="426" t="s">
        <v>496</v>
      </c>
      <c r="B452" s="426" t="s">
        <v>496</v>
      </c>
    </row>
    <row r="453" spans="1:2" ht="15" hidden="1" x14ac:dyDescent="0.25">
      <c r="A453" s="426" t="s">
        <v>497</v>
      </c>
      <c r="B453" s="426" t="s">
        <v>497</v>
      </c>
    </row>
    <row r="454" spans="1:2" ht="15" hidden="1" x14ac:dyDescent="0.25">
      <c r="A454" s="426" t="s">
        <v>498</v>
      </c>
      <c r="B454" s="426" t="s">
        <v>498</v>
      </c>
    </row>
    <row r="455" spans="1:2" ht="15" hidden="1" x14ac:dyDescent="0.25">
      <c r="A455" s="426" t="s">
        <v>498</v>
      </c>
      <c r="B455" s="426" t="s">
        <v>498</v>
      </c>
    </row>
    <row r="456" spans="1:2" ht="15" hidden="1" x14ac:dyDescent="0.25">
      <c r="A456" s="426" t="s">
        <v>499</v>
      </c>
      <c r="B456" s="426" t="s">
        <v>499</v>
      </c>
    </row>
    <row r="457" spans="1:2" ht="15" hidden="1" x14ac:dyDescent="0.25">
      <c r="A457" s="426" t="s">
        <v>499</v>
      </c>
      <c r="B457" s="426" t="s">
        <v>499</v>
      </c>
    </row>
    <row r="458" spans="1:2" ht="15" hidden="1" x14ac:dyDescent="0.25">
      <c r="A458" s="426" t="s">
        <v>500</v>
      </c>
      <c r="B458" s="426" t="s">
        <v>500</v>
      </c>
    </row>
    <row r="459" spans="1:2" ht="15" hidden="1" x14ac:dyDescent="0.25">
      <c r="A459" s="426" t="s">
        <v>501</v>
      </c>
      <c r="B459" s="426" t="s">
        <v>501</v>
      </c>
    </row>
    <row r="460" spans="1:2" ht="15" hidden="1" x14ac:dyDescent="0.25">
      <c r="A460" s="426" t="s">
        <v>502</v>
      </c>
      <c r="B460" s="426" t="s">
        <v>502</v>
      </c>
    </row>
    <row r="461" spans="1:2" ht="15" hidden="1" x14ac:dyDescent="0.25">
      <c r="A461" s="426" t="s">
        <v>503</v>
      </c>
      <c r="B461" s="426" t="s">
        <v>503</v>
      </c>
    </row>
    <row r="462" spans="1:2" ht="15" hidden="1" x14ac:dyDescent="0.25">
      <c r="A462" s="426" t="s">
        <v>504</v>
      </c>
      <c r="B462" s="426" t="s">
        <v>504</v>
      </c>
    </row>
    <row r="463" spans="1:2" ht="15" hidden="1" x14ac:dyDescent="0.25">
      <c r="A463" s="426" t="s">
        <v>504</v>
      </c>
      <c r="B463" s="426" t="s">
        <v>504</v>
      </c>
    </row>
    <row r="464" spans="1:2" ht="15" hidden="1" x14ac:dyDescent="0.25">
      <c r="A464" s="426" t="s">
        <v>505</v>
      </c>
      <c r="B464" s="426" t="s">
        <v>505</v>
      </c>
    </row>
    <row r="465" spans="1:2" ht="15" hidden="1" x14ac:dyDescent="0.25">
      <c r="A465" s="426" t="s">
        <v>506</v>
      </c>
      <c r="B465" s="426" t="s">
        <v>506</v>
      </c>
    </row>
    <row r="466" spans="1:2" ht="15" hidden="1" x14ac:dyDescent="0.25">
      <c r="A466" s="426" t="s">
        <v>506</v>
      </c>
      <c r="B466" s="426" t="s">
        <v>506</v>
      </c>
    </row>
    <row r="467" spans="1:2" ht="15" hidden="1" x14ac:dyDescent="0.25">
      <c r="A467" s="426" t="s">
        <v>507</v>
      </c>
      <c r="B467" s="426" t="s">
        <v>507</v>
      </c>
    </row>
    <row r="468" spans="1:2" ht="15" hidden="1" x14ac:dyDescent="0.25">
      <c r="A468" s="426" t="s">
        <v>507</v>
      </c>
      <c r="B468" s="426" t="s">
        <v>507</v>
      </c>
    </row>
    <row r="469" spans="1:2" ht="15" hidden="1" x14ac:dyDescent="0.25">
      <c r="A469" s="426" t="s">
        <v>508</v>
      </c>
      <c r="B469" s="426" t="s">
        <v>508</v>
      </c>
    </row>
    <row r="470" spans="1:2" ht="15" hidden="1" x14ac:dyDescent="0.25">
      <c r="A470" s="426" t="s">
        <v>509</v>
      </c>
      <c r="B470" s="426" t="s">
        <v>509</v>
      </c>
    </row>
    <row r="471" spans="1:2" ht="15" hidden="1" x14ac:dyDescent="0.25">
      <c r="A471" s="426" t="s">
        <v>510</v>
      </c>
      <c r="B471" s="426" t="s">
        <v>510</v>
      </c>
    </row>
    <row r="472" spans="1:2" ht="15" hidden="1" x14ac:dyDescent="0.25">
      <c r="A472" s="426" t="s">
        <v>511</v>
      </c>
      <c r="B472" s="426" t="s">
        <v>511</v>
      </c>
    </row>
    <row r="473" spans="1:2" ht="15" hidden="1" x14ac:dyDescent="0.25">
      <c r="A473" s="426" t="s">
        <v>512</v>
      </c>
      <c r="B473" s="426" t="s">
        <v>512</v>
      </c>
    </row>
    <row r="474" spans="1:2" ht="15" hidden="1" x14ac:dyDescent="0.25">
      <c r="A474" s="426" t="s">
        <v>513</v>
      </c>
      <c r="B474" s="426" t="s">
        <v>513</v>
      </c>
    </row>
    <row r="475" spans="1:2" ht="15" hidden="1" x14ac:dyDescent="0.25">
      <c r="A475" s="426" t="s">
        <v>514</v>
      </c>
      <c r="B475" s="426" t="s">
        <v>514</v>
      </c>
    </row>
    <row r="476" spans="1:2" ht="15" hidden="1" x14ac:dyDescent="0.25">
      <c r="A476" s="426" t="s">
        <v>515</v>
      </c>
      <c r="B476" s="426" t="s">
        <v>515</v>
      </c>
    </row>
    <row r="477" spans="1:2" ht="15" hidden="1" x14ac:dyDescent="0.25">
      <c r="A477" s="426" t="s">
        <v>516</v>
      </c>
      <c r="B477" s="426" t="s">
        <v>516</v>
      </c>
    </row>
    <row r="478" spans="1:2" ht="15" hidden="1" x14ac:dyDescent="0.25">
      <c r="A478" s="426" t="s">
        <v>516</v>
      </c>
      <c r="B478" s="426" t="s">
        <v>516</v>
      </c>
    </row>
    <row r="479" spans="1:2" ht="15" hidden="1" x14ac:dyDescent="0.25">
      <c r="A479" s="426" t="s">
        <v>517</v>
      </c>
      <c r="B479" s="426" t="s">
        <v>517</v>
      </c>
    </row>
    <row r="480" spans="1:2" ht="15" hidden="1" x14ac:dyDescent="0.25">
      <c r="A480" s="426" t="s">
        <v>518</v>
      </c>
      <c r="B480" s="426" t="s">
        <v>518</v>
      </c>
    </row>
    <row r="481" spans="1:2" ht="15" hidden="1" x14ac:dyDescent="0.25">
      <c r="A481" s="426" t="s">
        <v>519</v>
      </c>
      <c r="B481" s="426" t="s">
        <v>519</v>
      </c>
    </row>
    <row r="482" spans="1:2" ht="15" hidden="1" x14ac:dyDescent="0.25">
      <c r="A482" s="426" t="s">
        <v>519</v>
      </c>
      <c r="B482" s="426" t="s">
        <v>519</v>
      </c>
    </row>
    <row r="483" spans="1:2" ht="15" hidden="1" x14ac:dyDescent="0.25">
      <c r="A483" s="426" t="s">
        <v>520</v>
      </c>
      <c r="B483" s="426" t="s">
        <v>520</v>
      </c>
    </row>
    <row r="484" spans="1:2" ht="15" hidden="1" x14ac:dyDescent="0.25">
      <c r="A484" s="426" t="s">
        <v>520</v>
      </c>
      <c r="B484" s="426" t="s">
        <v>520</v>
      </c>
    </row>
    <row r="485" spans="1:2" ht="15" hidden="1" x14ac:dyDescent="0.25">
      <c r="A485" s="426" t="s">
        <v>287</v>
      </c>
      <c r="B485" s="426" t="s">
        <v>287</v>
      </c>
    </row>
    <row r="486" spans="1:2" ht="15" hidden="1" x14ac:dyDescent="0.25">
      <c r="A486" s="426" t="s">
        <v>521</v>
      </c>
      <c r="B486" s="426" t="s">
        <v>521</v>
      </c>
    </row>
    <row r="487" spans="1:2" ht="15" hidden="1" x14ac:dyDescent="0.25">
      <c r="A487" s="426" t="s">
        <v>522</v>
      </c>
      <c r="B487" s="426" t="s">
        <v>522</v>
      </c>
    </row>
    <row r="488" spans="1:2" ht="15" hidden="1" x14ac:dyDescent="0.25">
      <c r="A488" s="426" t="s">
        <v>523</v>
      </c>
      <c r="B488" s="426" t="s">
        <v>523</v>
      </c>
    </row>
    <row r="489" spans="1:2" ht="15" hidden="1" x14ac:dyDescent="0.25">
      <c r="A489" s="426" t="s">
        <v>523</v>
      </c>
      <c r="B489" s="426" t="s">
        <v>523</v>
      </c>
    </row>
    <row r="490" spans="1:2" ht="15" hidden="1" x14ac:dyDescent="0.25">
      <c r="A490" s="426" t="s">
        <v>524</v>
      </c>
      <c r="B490" s="426" t="s">
        <v>524</v>
      </c>
    </row>
    <row r="491" spans="1:2" ht="15" hidden="1" x14ac:dyDescent="0.25">
      <c r="A491" s="426" t="s">
        <v>524</v>
      </c>
      <c r="B491" s="426" t="s">
        <v>524</v>
      </c>
    </row>
    <row r="492" spans="1:2" ht="15" hidden="1" x14ac:dyDescent="0.25">
      <c r="A492" s="426" t="s">
        <v>525</v>
      </c>
      <c r="B492" s="426" t="s">
        <v>525</v>
      </c>
    </row>
    <row r="493" spans="1:2" ht="15" hidden="1" x14ac:dyDescent="0.25">
      <c r="A493" s="426" t="s">
        <v>526</v>
      </c>
      <c r="B493" s="426" t="s">
        <v>526</v>
      </c>
    </row>
    <row r="494" spans="1:2" ht="15" hidden="1" x14ac:dyDescent="0.25">
      <c r="A494" s="426" t="s">
        <v>527</v>
      </c>
      <c r="B494" s="426" t="s">
        <v>527</v>
      </c>
    </row>
    <row r="495" spans="1:2" ht="15" hidden="1" x14ac:dyDescent="0.25">
      <c r="A495" s="426" t="s">
        <v>528</v>
      </c>
      <c r="B495" s="426" t="s">
        <v>528</v>
      </c>
    </row>
    <row r="496" spans="1:2" ht="15" hidden="1" x14ac:dyDescent="0.25">
      <c r="A496" s="426" t="s">
        <v>529</v>
      </c>
      <c r="B496" s="426" t="s">
        <v>529</v>
      </c>
    </row>
    <row r="497" spans="1:2" ht="15" hidden="1" x14ac:dyDescent="0.25">
      <c r="A497" s="426" t="s">
        <v>530</v>
      </c>
      <c r="B497" s="426" t="s">
        <v>530</v>
      </c>
    </row>
    <row r="498" spans="1:2" ht="15" hidden="1" x14ac:dyDescent="0.25">
      <c r="A498" s="426" t="s">
        <v>531</v>
      </c>
      <c r="B498" s="426" t="s">
        <v>531</v>
      </c>
    </row>
    <row r="499" spans="1:2" ht="15" hidden="1" x14ac:dyDescent="0.25">
      <c r="A499" s="426" t="s">
        <v>532</v>
      </c>
      <c r="B499" s="426" t="s">
        <v>532</v>
      </c>
    </row>
    <row r="500" spans="1:2" ht="15" hidden="1" x14ac:dyDescent="0.25">
      <c r="A500" s="426" t="s">
        <v>533</v>
      </c>
      <c r="B500" s="426" t="s">
        <v>533</v>
      </c>
    </row>
    <row r="501" spans="1:2" ht="15" hidden="1" x14ac:dyDescent="0.25">
      <c r="A501" s="426" t="s">
        <v>534</v>
      </c>
      <c r="B501" s="426" t="s">
        <v>534</v>
      </c>
    </row>
    <row r="502" spans="1:2" ht="15" hidden="1" x14ac:dyDescent="0.25">
      <c r="A502" s="426" t="s">
        <v>535</v>
      </c>
      <c r="B502" s="426" t="s">
        <v>535</v>
      </c>
    </row>
    <row r="503" spans="1:2" ht="15" hidden="1" x14ac:dyDescent="0.25">
      <c r="A503" s="426" t="s">
        <v>535</v>
      </c>
      <c r="B503" s="426" t="s">
        <v>535</v>
      </c>
    </row>
    <row r="504" spans="1:2" ht="15" hidden="1" x14ac:dyDescent="0.25">
      <c r="A504" s="426" t="s">
        <v>536</v>
      </c>
      <c r="B504" s="426" t="s">
        <v>536</v>
      </c>
    </row>
    <row r="505" spans="1:2" ht="15" hidden="1" x14ac:dyDescent="0.25">
      <c r="A505" s="426" t="s">
        <v>536</v>
      </c>
      <c r="B505" s="426" t="s">
        <v>536</v>
      </c>
    </row>
    <row r="506" spans="1:2" ht="15" hidden="1" x14ac:dyDescent="0.25">
      <c r="A506" s="426" t="s">
        <v>537</v>
      </c>
      <c r="B506" s="426" t="s">
        <v>537</v>
      </c>
    </row>
    <row r="507" spans="1:2" ht="15" hidden="1" x14ac:dyDescent="0.25">
      <c r="A507" s="426" t="s">
        <v>538</v>
      </c>
      <c r="B507" s="426" t="s">
        <v>538</v>
      </c>
    </row>
    <row r="508" spans="1:2" ht="15" hidden="1" x14ac:dyDescent="0.25">
      <c r="A508" s="426" t="s">
        <v>538</v>
      </c>
      <c r="B508" s="426" t="s">
        <v>538</v>
      </c>
    </row>
    <row r="509" spans="1:2" ht="15" hidden="1" x14ac:dyDescent="0.25">
      <c r="A509" s="426" t="s">
        <v>539</v>
      </c>
      <c r="B509" s="426" t="s">
        <v>539</v>
      </c>
    </row>
    <row r="510" spans="1:2" ht="15" hidden="1" x14ac:dyDescent="0.25">
      <c r="A510" s="426" t="s">
        <v>540</v>
      </c>
      <c r="B510" s="426" t="s">
        <v>540</v>
      </c>
    </row>
    <row r="511" spans="1:2" ht="15" hidden="1" x14ac:dyDescent="0.25">
      <c r="A511" s="426" t="s">
        <v>541</v>
      </c>
      <c r="B511" s="426" t="s">
        <v>541</v>
      </c>
    </row>
    <row r="512" spans="1:2" ht="15" hidden="1" x14ac:dyDescent="0.25">
      <c r="A512" s="426" t="s">
        <v>542</v>
      </c>
      <c r="B512" s="426" t="s">
        <v>542</v>
      </c>
    </row>
    <row r="513" spans="1:2" ht="15" hidden="1" x14ac:dyDescent="0.25">
      <c r="A513" s="426" t="s">
        <v>543</v>
      </c>
      <c r="B513" s="426" t="s">
        <v>543</v>
      </c>
    </row>
    <row r="514" spans="1:2" ht="15" hidden="1" x14ac:dyDescent="0.25">
      <c r="A514" s="426" t="s">
        <v>544</v>
      </c>
      <c r="B514" s="426" t="s">
        <v>544</v>
      </c>
    </row>
    <row r="515" spans="1:2" ht="15" hidden="1" x14ac:dyDescent="0.25">
      <c r="A515" s="426" t="s">
        <v>544</v>
      </c>
      <c r="B515" s="426" t="s">
        <v>544</v>
      </c>
    </row>
    <row r="516" spans="1:2" ht="15" hidden="1" x14ac:dyDescent="0.25">
      <c r="A516" s="426" t="s">
        <v>545</v>
      </c>
      <c r="B516" s="426" t="s">
        <v>545</v>
      </c>
    </row>
    <row r="517" spans="1:2" ht="15" hidden="1" x14ac:dyDescent="0.25">
      <c r="A517" s="426" t="s">
        <v>546</v>
      </c>
      <c r="B517" s="426" t="s">
        <v>546</v>
      </c>
    </row>
    <row r="518" spans="1:2" ht="15" hidden="1" x14ac:dyDescent="0.25">
      <c r="A518" s="426" t="s">
        <v>547</v>
      </c>
      <c r="B518" s="426" t="s">
        <v>547</v>
      </c>
    </row>
    <row r="519" spans="1:2" ht="15" hidden="1" x14ac:dyDescent="0.25">
      <c r="A519" s="426" t="s">
        <v>548</v>
      </c>
      <c r="B519" s="426" t="s">
        <v>548</v>
      </c>
    </row>
    <row r="520" spans="1:2" ht="15" hidden="1" x14ac:dyDescent="0.25">
      <c r="A520" s="426" t="s">
        <v>549</v>
      </c>
      <c r="B520" s="426" t="s">
        <v>549</v>
      </c>
    </row>
    <row r="521" spans="1:2" ht="15" hidden="1" x14ac:dyDescent="0.25">
      <c r="A521" s="426" t="s">
        <v>550</v>
      </c>
      <c r="B521" s="426" t="s">
        <v>550</v>
      </c>
    </row>
    <row r="522" spans="1:2" ht="15" hidden="1" x14ac:dyDescent="0.25">
      <c r="A522" s="426" t="s">
        <v>551</v>
      </c>
      <c r="B522" s="426" t="s">
        <v>551</v>
      </c>
    </row>
    <row r="523" spans="1:2" ht="15" hidden="1" x14ac:dyDescent="0.25">
      <c r="A523" s="426" t="s">
        <v>552</v>
      </c>
      <c r="B523" s="426" t="s">
        <v>552</v>
      </c>
    </row>
    <row r="524" spans="1:2" ht="15" hidden="1" x14ac:dyDescent="0.25">
      <c r="A524" s="426" t="s">
        <v>553</v>
      </c>
      <c r="B524" s="426" t="s">
        <v>553</v>
      </c>
    </row>
    <row r="525" spans="1:2" ht="15" hidden="1" x14ac:dyDescent="0.25">
      <c r="A525" s="426" t="s">
        <v>554</v>
      </c>
      <c r="B525" s="426" t="s">
        <v>554</v>
      </c>
    </row>
    <row r="526" spans="1:2" ht="15" hidden="1" x14ac:dyDescent="0.25">
      <c r="A526" s="426" t="s">
        <v>554</v>
      </c>
      <c r="B526" s="426" t="s">
        <v>554</v>
      </c>
    </row>
    <row r="527" spans="1:2" ht="15" hidden="1" x14ac:dyDescent="0.25">
      <c r="A527" s="426" t="s">
        <v>555</v>
      </c>
      <c r="B527" s="426" t="s">
        <v>555</v>
      </c>
    </row>
    <row r="528" spans="1:2" ht="15" hidden="1" x14ac:dyDescent="0.25">
      <c r="A528" s="426" t="s">
        <v>556</v>
      </c>
      <c r="B528" s="426" t="s">
        <v>556</v>
      </c>
    </row>
    <row r="529" spans="1:2" ht="15" hidden="1" x14ac:dyDescent="0.25">
      <c r="A529" s="426" t="s">
        <v>557</v>
      </c>
      <c r="B529" s="426" t="s">
        <v>557</v>
      </c>
    </row>
    <row r="530" spans="1:2" ht="15" hidden="1" x14ac:dyDescent="0.25">
      <c r="A530" s="426" t="s">
        <v>558</v>
      </c>
      <c r="B530" s="426" t="s">
        <v>558</v>
      </c>
    </row>
    <row r="531" spans="1:2" ht="15" hidden="1" x14ac:dyDescent="0.25">
      <c r="A531" s="426" t="s">
        <v>559</v>
      </c>
      <c r="B531" s="426" t="s">
        <v>559</v>
      </c>
    </row>
    <row r="532" spans="1:2" ht="15" hidden="1" x14ac:dyDescent="0.25">
      <c r="A532" s="426" t="s">
        <v>560</v>
      </c>
      <c r="B532" s="426" t="s">
        <v>560</v>
      </c>
    </row>
    <row r="533" spans="1:2" ht="15" hidden="1" x14ac:dyDescent="0.25">
      <c r="A533" s="426" t="s">
        <v>560</v>
      </c>
      <c r="B533" s="426" t="s">
        <v>560</v>
      </c>
    </row>
    <row r="534" spans="1:2" ht="15" hidden="1" x14ac:dyDescent="0.25">
      <c r="A534" s="426" t="s">
        <v>561</v>
      </c>
      <c r="B534" s="426" t="s">
        <v>561</v>
      </c>
    </row>
    <row r="535" spans="1:2" ht="15" hidden="1" x14ac:dyDescent="0.25">
      <c r="A535" s="426" t="s">
        <v>562</v>
      </c>
      <c r="B535" s="426" t="s">
        <v>562</v>
      </c>
    </row>
    <row r="536" spans="1:2" ht="15" hidden="1" x14ac:dyDescent="0.25">
      <c r="A536" s="426" t="s">
        <v>344</v>
      </c>
      <c r="B536" s="426" t="s">
        <v>344</v>
      </c>
    </row>
    <row r="537" spans="1:2" ht="15" hidden="1" x14ac:dyDescent="0.25">
      <c r="A537" s="426" t="s">
        <v>563</v>
      </c>
      <c r="B537" s="426" t="s">
        <v>563</v>
      </c>
    </row>
    <row r="538" spans="1:2" ht="15" hidden="1" x14ac:dyDescent="0.25">
      <c r="A538" s="426" t="s">
        <v>564</v>
      </c>
      <c r="B538" s="426" t="s">
        <v>564</v>
      </c>
    </row>
    <row r="539" spans="1:2" ht="15" hidden="1" x14ac:dyDescent="0.25">
      <c r="A539" s="426" t="s">
        <v>565</v>
      </c>
      <c r="B539" s="426" t="s">
        <v>565</v>
      </c>
    </row>
    <row r="540" spans="1:2" ht="15" hidden="1" x14ac:dyDescent="0.25">
      <c r="A540" s="426" t="s">
        <v>566</v>
      </c>
      <c r="B540" s="426" t="s">
        <v>566</v>
      </c>
    </row>
    <row r="541" spans="1:2" ht="15" hidden="1" x14ac:dyDescent="0.25">
      <c r="A541" s="426" t="s">
        <v>567</v>
      </c>
      <c r="B541" s="426" t="s">
        <v>567</v>
      </c>
    </row>
    <row r="542" spans="1:2" ht="15" hidden="1" x14ac:dyDescent="0.25">
      <c r="A542" s="426" t="s">
        <v>568</v>
      </c>
      <c r="B542" s="426" t="s">
        <v>568</v>
      </c>
    </row>
    <row r="543" spans="1:2" ht="15" hidden="1" x14ac:dyDescent="0.25">
      <c r="A543" s="426" t="s">
        <v>569</v>
      </c>
      <c r="B543" s="426" t="s">
        <v>569</v>
      </c>
    </row>
    <row r="544" spans="1:2" ht="15" hidden="1" x14ac:dyDescent="0.25">
      <c r="A544" s="426" t="s">
        <v>570</v>
      </c>
      <c r="B544" s="426" t="s">
        <v>570</v>
      </c>
    </row>
    <row r="545" spans="1:2" ht="15" hidden="1" x14ac:dyDescent="0.25">
      <c r="A545" s="426" t="s">
        <v>571</v>
      </c>
      <c r="B545" s="426" t="s">
        <v>571</v>
      </c>
    </row>
    <row r="546" spans="1:2" ht="15" hidden="1" x14ac:dyDescent="0.25">
      <c r="A546" s="426" t="s">
        <v>572</v>
      </c>
      <c r="B546" s="426" t="s">
        <v>572</v>
      </c>
    </row>
    <row r="547" spans="1:2" ht="15" hidden="1" x14ac:dyDescent="0.25">
      <c r="A547" s="426" t="s">
        <v>572</v>
      </c>
      <c r="B547" s="426" t="s">
        <v>572</v>
      </c>
    </row>
    <row r="548" spans="1:2" ht="15" hidden="1" x14ac:dyDescent="0.25">
      <c r="A548" s="426" t="s">
        <v>573</v>
      </c>
      <c r="B548" s="426" t="s">
        <v>573</v>
      </c>
    </row>
    <row r="549" spans="1:2" ht="15" hidden="1" x14ac:dyDescent="0.25">
      <c r="A549" s="426" t="s">
        <v>574</v>
      </c>
      <c r="B549" s="426" t="s">
        <v>574</v>
      </c>
    </row>
    <row r="550" spans="1:2" ht="15" hidden="1" x14ac:dyDescent="0.25">
      <c r="A550" s="426" t="s">
        <v>575</v>
      </c>
      <c r="B550" s="426" t="s">
        <v>575</v>
      </c>
    </row>
    <row r="551" spans="1:2" ht="15" hidden="1" x14ac:dyDescent="0.25">
      <c r="A551" s="426" t="s">
        <v>576</v>
      </c>
      <c r="B551" s="426" t="s">
        <v>576</v>
      </c>
    </row>
    <row r="552" spans="1:2" ht="15" hidden="1" x14ac:dyDescent="0.25">
      <c r="A552" s="426" t="s">
        <v>577</v>
      </c>
      <c r="B552" s="426" t="s">
        <v>577</v>
      </c>
    </row>
    <row r="553" spans="1:2" ht="15" hidden="1" x14ac:dyDescent="0.25">
      <c r="A553" s="426" t="s">
        <v>578</v>
      </c>
      <c r="B553" s="426" t="s">
        <v>578</v>
      </c>
    </row>
    <row r="554" spans="1:2" ht="15" hidden="1" x14ac:dyDescent="0.25">
      <c r="A554" s="426" t="s">
        <v>579</v>
      </c>
      <c r="B554" s="426" t="s">
        <v>579</v>
      </c>
    </row>
    <row r="555" spans="1:2" ht="15" hidden="1" x14ac:dyDescent="0.25">
      <c r="A555" s="426" t="s">
        <v>580</v>
      </c>
      <c r="B555" s="426" t="s">
        <v>580</v>
      </c>
    </row>
    <row r="556" spans="1:2" ht="15" hidden="1" x14ac:dyDescent="0.25">
      <c r="A556" s="426" t="s">
        <v>581</v>
      </c>
      <c r="B556" s="426" t="s">
        <v>581</v>
      </c>
    </row>
    <row r="557" spans="1:2" ht="15" hidden="1" x14ac:dyDescent="0.25">
      <c r="A557" s="426" t="s">
        <v>582</v>
      </c>
      <c r="B557" s="426" t="s">
        <v>582</v>
      </c>
    </row>
    <row r="558" spans="1:2" ht="15" hidden="1" x14ac:dyDescent="0.25">
      <c r="A558" s="426" t="s">
        <v>583</v>
      </c>
      <c r="B558" s="426" t="s">
        <v>583</v>
      </c>
    </row>
    <row r="559" spans="1:2" ht="15" hidden="1" x14ac:dyDescent="0.25">
      <c r="A559" s="426" t="s">
        <v>345</v>
      </c>
      <c r="B559" s="426" t="s">
        <v>345</v>
      </c>
    </row>
    <row r="560" spans="1:2" ht="15" hidden="1" x14ac:dyDescent="0.25">
      <c r="A560" s="426" t="s">
        <v>584</v>
      </c>
      <c r="B560" s="426" t="s">
        <v>584</v>
      </c>
    </row>
    <row r="561" spans="1:2" ht="15" hidden="1" x14ac:dyDescent="0.25">
      <c r="A561" s="426" t="s">
        <v>585</v>
      </c>
      <c r="B561" s="426" t="s">
        <v>585</v>
      </c>
    </row>
    <row r="562" spans="1:2" ht="15" hidden="1" x14ac:dyDescent="0.25">
      <c r="A562" s="426" t="s">
        <v>586</v>
      </c>
      <c r="B562" s="426" t="s">
        <v>586</v>
      </c>
    </row>
    <row r="563" spans="1:2" ht="15" hidden="1" x14ac:dyDescent="0.25">
      <c r="A563" s="426" t="s">
        <v>586</v>
      </c>
      <c r="B563" s="426" t="s">
        <v>586</v>
      </c>
    </row>
    <row r="564" spans="1:2" ht="15" hidden="1" x14ac:dyDescent="0.25">
      <c r="A564" s="426" t="s">
        <v>587</v>
      </c>
      <c r="B564" s="426" t="s">
        <v>587</v>
      </c>
    </row>
    <row r="565" spans="1:2" ht="15" hidden="1" x14ac:dyDescent="0.25">
      <c r="A565" s="426" t="s">
        <v>588</v>
      </c>
      <c r="B565" s="426" t="s">
        <v>588</v>
      </c>
    </row>
    <row r="566" spans="1:2" ht="15" hidden="1" x14ac:dyDescent="0.25">
      <c r="A566" s="426" t="s">
        <v>589</v>
      </c>
      <c r="B566" s="426" t="s">
        <v>590</v>
      </c>
    </row>
    <row r="567" spans="1:2" ht="15" hidden="1" x14ac:dyDescent="0.25">
      <c r="A567" s="426" t="s">
        <v>591</v>
      </c>
      <c r="B567" s="426" t="s">
        <v>592</v>
      </c>
    </row>
    <row r="568" spans="1:2" ht="15" hidden="1" x14ac:dyDescent="0.25">
      <c r="A568" s="426" t="s">
        <v>593</v>
      </c>
      <c r="B568" s="426" t="s">
        <v>594</v>
      </c>
    </row>
    <row r="569" spans="1:2" ht="15" hidden="1" x14ac:dyDescent="0.25">
      <c r="A569" s="426" t="s">
        <v>595</v>
      </c>
      <c r="B569" s="426" t="s">
        <v>596</v>
      </c>
    </row>
    <row r="570" spans="1:2" ht="15" hidden="1" x14ac:dyDescent="0.25">
      <c r="A570" s="426" t="s">
        <v>202</v>
      </c>
      <c r="B570" s="426" t="s">
        <v>350</v>
      </c>
    </row>
    <row r="571" spans="1:2" ht="15" hidden="1" x14ac:dyDescent="0.25">
      <c r="A571" s="426" t="s">
        <v>597</v>
      </c>
      <c r="B571" s="426" t="s">
        <v>598</v>
      </c>
    </row>
    <row r="572" spans="1:2" ht="15" hidden="1" x14ac:dyDescent="0.25">
      <c r="A572" s="426" t="s">
        <v>599</v>
      </c>
      <c r="B572" s="426" t="s">
        <v>600</v>
      </c>
    </row>
    <row r="573" spans="1:2" ht="15" hidden="1" x14ac:dyDescent="0.25">
      <c r="A573" s="426" t="s">
        <v>601</v>
      </c>
      <c r="B573" s="426" t="s">
        <v>602</v>
      </c>
    </row>
    <row r="574" spans="1:2" ht="15" hidden="1" x14ac:dyDescent="0.25">
      <c r="A574" s="426" t="s">
        <v>603</v>
      </c>
      <c r="B574" s="426" t="s">
        <v>604</v>
      </c>
    </row>
    <row r="575" spans="1:2" ht="15" hidden="1" x14ac:dyDescent="0.25">
      <c r="A575" s="426" t="s">
        <v>605</v>
      </c>
      <c r="B575" s="426" t="s">
        <v>606</v>
      </c>
    </row>
    <row r="576" spans="1:2" ht="15" hidden="1" x14ac:dyDescent="0.25">
      <c r="A576" s="426" t="s">
        <v>607</v>
      </c>
      <c r="B576" s="426" t="s">
        <v>608</v>
      </c>
    </row>
    <row r="577" spans="1:2" ht="15" hidden="1" x14ac:dyDescent="0.25">
      <c r="A577" s="426" t="s">
        <v>609</v>
      </c>
      <c r="B577" s="426" t="s">
        <v>610</v>
      </c>
    </row>
    <row r="578" spans="1:2" ht="15" hidden="1" x14ac:dyDescent="0.25">
      <c r="A578" s="426" t="s">
        <v>611</v>
      </c>
      <c r="B578" s="426" t="s">
        <v>612</v>
      </c>
    </row>
    <row r="579" spans="1:2" ht="15" hidden="1" x14ac:dyDescent="0.25">
      <c r="A579" s="426" t="s">
        <v>611</v>
      </c>
      <c r="B579" s="426" t="s">
        <v>612</v>
      </c>
    </row>
    <row r="580" spans="1:2" ht="15" hidden="1" x14ac:dyDescent="0.25">
      <c r="A580" s="426" t="s">
        <v>613</v>
      </c>
      <c r="B580" s="426" t="s">
        <v>614</v>
      </c>
    </row>
    <row r="581" spans="1:2" ht="15" hidden="1" x14ac:dyDescent="0.25">
      <c r="A581" s="426" t="s">
        <v>615</v>
      </c>
      <c r="B581" s="426" t="s">
        <v>616</v>
      </c>
    </row>
    <row r="582" spans="1:2" ht="15" hidden="1" x14ac:dyDescent="0.25">
      <c r="A582" s="426" t="s">
        <v>617</v>
      </c>
      <c r="B582" s="426" t="s">
        <v>618</v>
      </c>
    </row>
    <row r="583" spans="1:2" ht="15" hidden="1" x14ac:dyDescent="0.25">
      <c r="A583" s="426" t="s">
        <v>619</v>
      </c>
      <c r="B583" s="426" t="s">
        <v>620</v>
      </c>
    </row>
    <row r="584" spans="1:2" ht="15" hidden="1" x14ac:dyDescent="0.25">
      <c r="A584" s="426" t="s">
        <v>621</v>
      </c>
      <c r="B584" s="426" t="s">
        <v>622</v>
      </c>
    </row>
    <row r="585" spans="1:2" ht="15" hidden="1" x14ac:dyDescent="0.25">
      <c r="A585" s="426" t="s">
        <v>621</v>
      </c>
      <c r="B585" s="426" t="s">
        <v>622</v>
      </c>
    </row>
    <row r="586" spans="1:2" ht="15" hidden="1" x14ac:dyDescent="0.25">
      <c r="A586" s="426" t="s">
        <v>623</v>
      </c>
      <c r="B586" s="426" t="s">
        <v>624</v>
      </c>
    </row>
    <row r="587" spans="1:2" ht="15" hidden="1" x14ac:dyDescent="0.25">
      <c r="A587" s="426" t="s">
        <v>625</v>
      </c>
      <c r="B587" s="426" t="s">
        <v>626</v>
      </c>
    </row>
    <row r="588" spans="1:2" ht="15" hidden="1" x14ac:dyDescent="0.25">
      <c r="A588" s="426" t="s">
        <v>627</v>
      </c>
      <c r="B588" s="426" t="s">
        <v>628</v>
      </c>
    </row>
    <row r="589" spans="1:2" ht="15" hidden="1" x14ac:dyDescent="0.25">
      <c r="A589" s="426" t="s">
        <v>627</v>
      </c>
      <c r="B589" s="426" t="s">
        <v>628</v>
      </c>
    </row>
    <row r="590" spans="1:2" ht="15" hidden="1" x14ac:dyDescent="0.25">
      <c r="A590" s="426" t="s">
        <v>629</v>
      </c>
      <c r="B590" s="426" t="s">
        <v>630</v>
      </c>
    </row>
    <row r="591" spans="1:2" ht="15" hidden="1" x14ac:dyDescent="0.25">
      <c r="A591" s="426" t="s">
        <v>629</v>
      </c>
      <c r="B591" s="426" t="s">
        <v>630</v>
      </c>
    </row>
    <row r="592" spans="1:2" ht="15" hidden="1" x14ac:dyDescent="0.25">
      <c r="A592" s="426" t="s">
        <v>631</v>
      </c>
      <c r="B592" s="426" t="s">
        <v>632</v>
      </c>
    </row>
    <row r="593" spans="1:2" ht="15" hidden="1" x14ac:dyDescent="0.25">
      <c r="A593" s="426" t="s">
        <v>633</v>
      </c>
      <c r="B593" s="426" t="s">
        <v>634</v>
      </c>
    </row>
    <row r="594" spans="1:2" ht="15" hidden="1" x14ac:dyDescent="0.25">
      <c r="A594" s="426" t="s">
        <v>635</v>
      </c>
      <c r="B594" s="426" t="s">
        <v>636</v>
      </c>
    </row>
    <row r="595" spans="1:2" ht="15" hidden="1" x14ac:dyDescent="0.25">
      <c r="A595" s="426" t="s">
        <v>635</v>
      </c>
      <c r="B595" s="426" t="s">
        <v>636</v>
      </c>
    </row>
    <row r="596" spans="1:2" ht="15" hidden="1" x14ac:dyDescent="0.25">
      <c r="A596" s="426" t="s">
        <v>637</v>
      </c>
      <c r="B596" s="426" t="s">
        <v>638</v>
      </c>
    </row>
    <row r="597" spans="1:2" ht="15" hidden="1" x14ac:dyDescent="0.25">
      <c r="A597" s="426" t="s">
        <v>639</v>
      </c>
      <c r="B597" s="426" t="s">
        <v>640</v>
      </c>
    </row>
    <row r="598" spans="1:2" ht="15" hidden="1" x14ac:dyDescent="0.25">
      <c r="A598" s="426" t="s">
        <v>641</v>
      </c>
      <c r="B598" s="426" t="s">
        <v>642</v>
      </c>
    </row>
    <row r="599" spans="1:2" ht="15" hidden="1" x14ac:dyDescent="0.25">
      <c r="A599" s="426" t="s">
        <v>641</v>
      </c>
      <c r="B599" s="426" t="s">
        <v>642</v>
      </c>
    </row>
    <row r="600" spans="1:2" ht="15" hidden="1" x14ac:dyDescent="0.25">
      <c r="A600" s="426" t="s">
        <v>643</v>
      </c>
      <c r="B600" s="426" t="s">
        <v>644</v>
      </c>
    </row>
    <row r="601" spans="1:2" ht="15" hidden="1" x14ac:dyDescent="0.25">
      <c r="A601" s="426" t="s">
        <v>643</v>
      </c>
      <c r="B601" s="426" t="s">
        <v>644</v>
      </c>
    </row>
    <row r="602" spans="1:2" ht="15" hidden="1" x14ac:dyDescent="0.25">
      <c r="A602" s="426" t="s">
        <v>645</v>
      </c>
      <c r="B602" s="426" t="s">
        <v>646</v>
      </c>
    </row>
    <row r="603" spans="1:2" ht="15" hidden="1" x14ac:dyDescent="0.25">
      <c r="A603" s="426" t="s">
        <v>647</v>
      </c>
      <c r="B603" s="426" t="s">
        <v>648</v>
      </c>
    </row>
    <row r="604" spans="1:2" ht="15" hidden="1" x14ac:dyDescent="0.25">
      <c r="A604" s="426" t="s">
        <v>649</v>
      </c>
      <c r="B604" s="426" t="s">
        <v>650</v>
      </c>
    </row>
    <row r="605" spans="1:2" ht="15" hidden="1" x14ac:dyDescent="0.25">
      <c r="A605" s="426" t="s">
        <v>651</v>
      </c>
      <c r="B605" s="426" t="s">
        <v>652</v>
      </c>
    </row>
    <row r="606" spans="1:2" ht="15" hidden="1" x14ac:dyDescent="0.25">
      <c r="A606" s="426" t="s">
        <v>189</v>
      </c>
      <c r="B606" s="426" t="s">
        <v>358</v>
      </c>
    </row>
    <row r="607" spans="1:2" ht="15" hidden="1" x14ac:dyDescent="0.25">
      <c r="A607" s="426" t="s">
        <v>653</v>
      </c>
      <c r="B607" s="426" t="s">
        <v>654</v>
      </c>
    </row>
    <row r="608" spans="1:2" ht="15" hidden="1" x14ac:dyDescent="0.25">
      <c r="A608" s="426" t="s">
        <v>655</v>
      </c>
      <c r="B608" s="426" t="s">
        <v>656</v>
      </c>
    </row>
    <row r="609" spans="1:2" ht="15" hidden="1" x14ac:dyDescent="0.25">
      <c r="A609" s="426" t="s">
        <v>657</v>
      </c>
      <c r="B609" s="426" t="s">
        <v>658</v>
      </c>
    </row>
    <row r="610" spans="1:2" ht="15" hidden="1" x14ac:dyDescent="0.25">
      <c r="A610" s="426" t="s">
        <v>659</v>
      </c>
      <c r="B610" s="426" t="s">
        <v>660</v>
      </c>
    </row>
    <row r="611" spans="1:2" ht="15" hidden="1" x14ac:dyDescent="0.25">
      <c r="A611" s="426" t="s">
        <v>661</v>
      </c>
      <c r="B611" s="426" t="s">
        <v>662</v>
      </c>
    </row>
    <row r="612" spans="1:2" ht="15" hidden="1" x14ac:dyDescent="0.25">
      <c r="A612" s="426" t="s">
        <v>663</v>
      </c>
      <c r="B612" s="426" t="s">
        <v>664</v>
      </c>
    </row>
    <row r="613" spans="1:2" ht="15" hidden="1" x14ac:dyDescent="0.25">
      <c r="A613" s="426" t="s">
        <v>663</v>
      </c>
      <c r="B613" s="426" t="s">
        <v>664</v>
      </c>
    </row>
    <row r="614" spans="1:2" ht="15" hidden="1" x14ac:dyDescent="0.25">
      <c r="A614" s="426" t="s">
        <v>665</v>
      </c>
      <c r="B614" s="426" t="s">
        <v>666</v>
      </c>
    </row>
    <row r="615" spans="1:2" ht="15" hidden="1" x14ac:dyDescent="0.25">
      <c r="A615" s="426" t="s">
        <v>665</v>
      </c>
      <c r="B615" s="426" t="s">
        <v>666</v>
      </c>
    </row>
    <row r="616" spans="1:2" ht="15" hidden="1" x14ac:dyDescent="0.25">
      <c r="A616" s="426" t="s">
        <v>667</v>
      </c>
      <c r="B616" s="426" t="s">
        <v>668</v>
      </c>
    </row>
    <row r="617" spans="1:2" ht="15" hidden="1" x14ac:dyDescent="0.25">
      <c r="A617" s="426" t="s">
        <v>667</v>
      </c>
      <c r="B617" s="426" t="s">
        <v>668</v>
      </c>
    </row>
    <row r="618" spans="1:2" ht="15" hidden="1" x14ac:dyDescent="0.25">
      <c r="A618" s="426" t="s">
        <v>667</v>
      </c>
      <c r="B618" s="426" t="s">
        <v>668</v>
      </c>
    </row>
    <row r="619" spans="1:2" ht="15" hidden="1" x14ac:dyDescent="0.25">
      <c r="A619" s="426" t="s">
        <v>667</v>
      </c>
      <c r="B619" s="426" t="s">
        <v>668</v>
      </c>
    </row>
    <row r="620" spans="1:2" ht="15" hidden="1" x14ac:dyDescent="0.25">
      <c r="A620" s="426" t="s">
        <v>667</v>
      </c>
      <c r="B620" s="426" t="s">
        <v>668</v>
      </c>
    </row>
    <row r="621" spans="1:2" ht="15" hidden="1" x14ac:dyDescent="0.25">
      <c r="A621" s="426" t="s">
        <v>667</v>
      </c>
      <c r="B621" s="426" t="s">
        <v>668</v>
      </c>
    </row>
    <row r="622" spans="1:2" ht="15" hidden="1" x14ac:dyDescent="0.25">
      <c r="A622" s="426" t="s">
        <v>667</v>
      </c>
      <c r="B622" s="426" t="s">
        <v>668</v>
      </c>
    </row>
    <row r="623" spans="1:2" ht="15" hidden="1" x14ac:dyDescent="0.25">
      <c r="A623" s="426" t="s">
        <v>667</v>
      </c>
      <c r="B623" s="426" t="s">
        <v>668</v>
      </c>
    </row>
    <row r="624" spans="1:2" ht="15" hidden="1" x14ac:dyDescent="0.25">
      <c r="A624" s="426" t="s">
        <v>669</v>
      </c>
      <c r="B624" s="426" t="s">
        <v>670</v>
      </c>
    </row>
    <row r="625" spans="1:2" ht="15" hidden="1" x14ac:dyDescent="0.25">
      <c r="A625" s="426" t="s">
        <v>669</v>
      </c>
      <c r="B625" s="426" t="s">
        <v>670</v>
      </c>
    </row>
    <row r="626" spans="1:2" ht="15" hidden="1" x14ac:dyDescent="0.25">
      <c r="A626" s="426" t="s">
        <v>219</v>
      </c>
      <c r="B626" s="426" t="s">
        <v>364</v>
      </c>
    </row>
    <row r="627" spans="1:2" ht="15" hidden="1" x14ac:dyDescent="0.25">
      <c r="A627" s="426" t="s">
        <v>219</v>
      </c>
      <c r="B627" s="426" t="s">
        <v>364</v>
      </c>
    </row>
    <row r="628" spans="1:2" ht="15" hidden="1" x14ac:dyDescent="0.25">
      <c r="A628" s="426" t="s">
        <v>671</v>
      </c>
      <c r="B628" s="426" t="s">
        <v>672</v>
      </c>
    </row>
    <row r="629" spans="1:2" ht="15" hidden="1" x14ac:dyDescent="0.25">
      <c r="A629" s="426" t="s">
        <v>673</v>
      </c>
      <c r="B629" s="426" t="s">
        <v>674</v>
      </c>
    </row>
    <row r="630" spans="1:2" ht="15" hidden="1" x14ac:dyDescent="0.25">
      <c r="A630" s="426" t="s">
        <v>675</v>
      </c>
      <c r="B630" s="426" t="s">
        <v>676</v>
      </c>
    </row>
    <row r="631" spans="1:2" ht="15" hidden="1" x14ac:dyDescent="0.25">
      <c r="A631" s="426" t="s">
        <v>677</v>
      </c>
      <c r="B631" s="426" t="s">
        <v>678</v>
      </c>
    </row>
    <row r="632" spans="1:2" ht="15" hidden="1" x14ac:dyDescent="0.25">
      <c r="A632" s="426" t="s">
        <v>677</v>
      </c>
      <c r="B632" s="426" t="s">
        <v>678</v>
      </c>
    </row>
    <row r="633" spans="1:2" ht="15" hidden="1" x14ac:dyDescent="0.25">
      <c r="A633" s="426" t="s">
        <v>677</v>
      </c>
      <c r="B633" s="426" t="s">
        <v>678</v>
      </c>
    </row>
    <row r="634" spans="1:2" ht="15" hidden="1" x14ac:dyDescent="0.25">
      <c r="A634" s="426" t="s">
        <v>679</v>
      </c>
      <c r="B634" s="426" t="s">
        <v>680</v>
      </c>
    </row>
    <row r="635" spans="1:2" ht="15" hidden="1" x14ac:dyDescent="0.25">
      <c r="A635" s="426" t="s">
        <v>679</v>
      </c>
      <c r="B635" s="426" t="s">
        <v>680</v>
      </c>
    </row>
    <row r="636" spans="1:2" ht="15" hidden="1" x14ac:dyDescent="0.25">
      <c r="A636" s="426" t="s">
        <v>681</v>
      </c>
      <c r="B636" s="426" t="s">
        <v>682</v>
      </c>
    </row>
    <row r="637" spans="1:2" ht="15" hidden="1" x14ac:dyDescent="0.25">
      <c r="A637" s="426" t="s">
        <v>681</v>
      </c>
      <c r="B637" s="426" t="s">
        <v>682</v>
      </c>
    </row>
    <row r="638" spans="1:2" ht="15" hidden="1" x14ac:dyDescent="0.25">
      <c r="A638" s="426" t="s">
        <v>683</v>
      </c>
      <c r="B638" s="426" t="s">
        <v>684</v>
      </c>
    </row>
    <row r="639" spans="1:2" ht="15" hidden="1" x14ac:dyDescent="0.25">
      <c r="A639" s="426" t="s">
        <v>683</v>
      </c>
      <c r="B639" s="426" t="s">
        <v>684</v>
      </c>
    </row>
    <row r="640" spans="1:2" ht="15" hidden="1" x14ac:dyDescent="0.25">
      <c r="A640" s="426" t="s">
        <v>685</v>
      </c>
      <c r="B640" s="426" t="s">
        <v>686</v>
      </c>
    </row>
    <row r="641" spans="1:2" ht="15" hidden="1" x14ac:dyDescent="0.25">
      <c r="A641" s="426" t="s">
        <v>685</v>
      </c>
      <c r="B641" s="426" t="s">
        <v>686</v>
      </c>
    </row>
    <row r="642" spans="1:2" ht="15" hidden="1" x14ac:dyDescent="0.25">
      <c r="A642" s="426" t="s">
        <v>687</v>
      </c>
      <c r="B642" s="426" t="s">
        <v>688</v>
      </c>
    </row>
    <row r="643" spans="1:2" ht="15" hidden="1" x14ac:dyDescent="0.25">
      <c r="A643" s="428" t="s">
        <v>689</v>
      </c>
      <c r="B643" s="428" t="s">
        <v>690</v>
      </c>
    </row>
    <row r="644" spans="1:2" ht="15" hidden="1" x14ac:dyDescent="0.25">
      <c r="A644" s="426" t="s">
        <v>691</v>
      </c>
      <c r="B644" s="426" t="s">
        <v>692</v>
      </c>
    </row>
    <row r="645" spans="1:2" ht="15" hidden="1" x14ac:dyDescent="0.25">
      <c r="A645" s="426" t="s">
        <v>693</v>
      </c>
      <c r="B645" s="426" t="s">
        <v>694</v>
      </c>
    </row>
    <row r="646" spans="1:2" ht="15" hidden="1" x14ac:dyDescent="0.25">
      <c r="A646" s="426" t="s">
        <v>693</v>
      </c>
      <c r="B646" s="426" t="s">
        <v>694</v>
      </c>
    </row>
    <row r="647" spans="1:2" ht="15" hidden="1" x14ac:dyDescent="0.25">
      <c r="A647" s="426" t="s">
        <v>695</v>
      </c>
      <c r="B647" s="426" t="s">
        <v>696</v>
      </c>
    </row>
    <row r="648" spans="1:2" ht="15" hidden="1" x14ac:dyDescent="0.25">
      <c r="A648" s="426" t="s">
        <v>695</v>
      </c>
      <c r="B648" s="426" t="s">
        <v>696</v>
      </c>
    </row>
    <row r="649" spans="1:2" ht="15" hidden="1" x14ac:dyDescent="0.25">
      <c r="A649" s="426" t="s">
        <v>697</v>
      </c>
      <c r="B649" s="426" t="s">
        <v>698</v>
      </c>
    </row>
    <row r="650" spans="1:2" ht="15" hidden="1" x14ac:dyDescent="0.25">
      <c r="A650" s="426" t="s">
        <v>190</v>
      </c>
      <c r="B650" s="426" t="s">
        <v>368</v>
      </c>
    </row>
    <row r="651" spans="1:2" ht="15" hidden="1" x14ac:dyDescent="0.25">
      <c r="A651" s="427" t="s">
        <v>699</v>
      </c>
      <c r="B651" s="426" t="s">
        <v>700</v>
      </c>
    </row>
    <row r="652" spans="1:2" ht="15" hidden="1" x14ac:dyDescent="0.25">
      <c r="A652" s="426" t="s">
        <v>701</v>
      </c>
      <c r="B652" s="426" t="s">
        <v>702</v>
      </c>
    </row>
    <row r="653" spans="1:2" ht="15" hidden="1" x14ac:dyDescent="0.25">
      <c r="A653" s="426" t="s">
        <v>703</v>
      </c>
      <c r="B653" s="426" t="s">
        <v>704</v>
      </c>
    </row>
    <row r="654" spans="1:2" ht="15" hidden="1" x14ac:dyDescent="0.25">
      <c r="A654" s="426" t="s">
        <v>703</v>
      </c>
      <c r="B654" s="426" t="s">
        <v>704</v>
      </c>
    </row>
    <row r="655" spans="1:2" ht="15" hidden="1" x14ac:dyDescent="0.25">
      <c r="A655" s="426" t="s">
        <v>705</v>
      </c>
      <c r="B655" s="426" t="s">
        <v>706</v>
      </c>
    </row>
    <row r="656" spans="1:2" ht="15" hidden="1" x14ac:dyDescent="0.25">
      <c r="A656" s="426" t="s">
        <v>707</v>
      </c>
      <c r="B656" s="426" t="s">
        <v>708</v>
      </c>
    </row>
    <row r="657" spans="1:2" ht="15" hidden="1" x14ac:dyDescent="0.25">
      <c r="A657" s="426" t="s">
        <v>709</v>
      </c>
      <c r="B657" s="426" t="s">
        <v>710</v>
      </c>
    </row>
    <row r="658" spans="1:2" ht="15" hidden="1" x14ac:dyDescent="0.25">
      <c r="A658" s="426" t="s">
        <v>709</v>
      </c>
      <c r="B658" s="426" t="s">
        <v>710</v>
      </c>
    </row>
    <row r="659" spans="1:2" ht="15" hidden="1" x14ac:dyDescent="0.25">
      <c r="A659" s="426" t="s">
        <v>709</v>
      </c>
      <c r="B659" s="426" t="s">
        <v>710</v>
      </c>
    </row>
    <row r="660" spans="1:2" ht="15" hidden="1" x14ac:dyDescent="0.25">
      <c r="A660" s="426" t="s">
        <v>711</v>
      </c>
      <c r="B660" s="426" t="s">
        <v>712</v>
      </c>
    </row>
    <row r="661" spans="1:2" ht="15" hidden="1" x14ac:dyDescent="0.25">
      <c r="A661" s="426" t="s">
        <v>713</v>
      </c>
      <c r="B661" s="426" t="s">
        <v>714</v>
      </c>
    </row>
    <row r="662" spans="1:2" ht="15" hidden="1" x14ac:dyDescent="0.25">
      <c r="A662" s="426" t="s">
        <v>713</v>
      </c>
      <c r="B662" s="426" t="s">
        <v>714</v>
      </c>
    </row>
    <row r="663" spans="1:2" ht="15" hidden="1" x14ac:dyDescent="0.25">
      <c r="A663" s="426" t="s">
        <v>713</v>
      </c>
      <c r="B663" s="426" t="s">
        <v>714</v>
      </c>
    </row>
    <row r="664" spans="1:2" ht="15" hidden="1" x14ac:dyDescent="0.25">
      <c r="A664" s="426" t="s">
        <v>715</v>
      </c>
      <c r="B664" s="426" t="s">
        <v>716</v>
      </c>
    </row>
    <row r="665" spans="1:2" ht="15" hidden="1" x14ac:dyDescent="0.25">
      <c r="A665" s="426" t="s">
        <v>715</v>
      </c>
      <c r="B665" s="426" t="s">
        <v>716</v>
      </c>
    </row>
    <row r="666" spans="1:2" ht="15" hidden="1" x14ac:dyDescent="0.25">
      <c r="A666" s="426" t="s">
        <v>717</v>
      </c>
      <c r="B666" s="426" t="s">
        <v>718</v>
      </c>
    </row>
    <row r="667" spans="1:2" ht="15" hidden="1" x14ac:dyDescent="0.25">
      <c r="A667" s="426" t="s">
        <v>717</v>
      </c>
      <c r="B667" s="426" t="s">
        <v>718</v>
      </c>
    </row>
    <row r="668" spans="1:2" ht="15" hidden="1" x14ac:dyDescent="0.25">
      <c r="A668" s="426" t="s">
        <v>717</v>
      </c>
      <c r="B668" s="426" t="s">
        <v>718</v>
      </c>
    </row>
    <row r="669" spans="1:2" ht="15" hidden="1" x14ac:dyDescent="0.25">
      <c r="A669" s="427" t="s">
        <v>719</v>
      </c>
      <c r="B669" s="426" t="s">
        <v>720</v>
      </c>
    </row>
    <row r="670" spans="1:2" ht="15" hidden="1" x14ac:dyDescent="0.25">
      <c r="A670" s="426" t="s">
        <v>721</v>
      </c>
      <c r="B670" s="426" t="s">
        <v>722</v>
      </c>
    </row>
    <row r="671" spans="1:2" ht="15" hidden="1" x14ac:dyDescent="0.25">
      <c r="A671" s="426" t="s">
        <v>721</v>
      </c>
      <c r="B671" s="426" t="s">
        <v>722</v>
      </c>
    </row>
    <row r="672" spans="1:2" ht="15" hidden="1" x14ac:dyDescent="0.25">
      <c r="A672" s="426" t="s">
        <v>191</v>
      </c>
      <c r="B672" s="426" t="s">
        <v>377</v>
      </c>
    </row>
    <row r="673" spans="1:2" ht="15" hidden="1" x14ac:dyDescent="0.25">
      <c r="A673" s="426" t="s">
        <v>723</v>
      </c>
      <c r="B673" s="426" t="s">
        <v>724</v>
      </c>
    </row>
    <row r="674" spans="1:2" ht="15" hidden="1" x14ac:dyDescent="0.25">
      <c r="A674" s="426" t="s">
        <v>723</v>
      </c>
      <c r="B674" s="426" t="s">
        <v>724</v>
      </c>
    </row>
    <row r="675" spans="1:2" ht="15" hidden="1" x14ac:dyDescent="0.25">
      <c r="A675" s="426" t="s">
        <v>723</v>
      </c>
      <c r="B675" s="426" t="s">
        <v>724</v>
      </c>
    </row>
    <row r="676" spans="1:2" ht="15" hidden="1" x14ac:dyDescent="0.25">
      <c r="A676" s="426" t="s">
        <v>725</v>
      </c>
      <c r="B676" s="426" t="s">
        <v>726</v>
      </c>
    </row>
    <row r="677" spans="1:2" ht="15" hidden="1" x14ac:dyDescent="0.25">
      <c r="A677" s="426" t="s">
        <v>727</v>
      </c>
      <c r="B677" s="426" t="s">
        <v>728</v>
      </c>
    </row>
    <row r="678" spans="1:2" ht="15" hidden="1" x14ac:dyDescent="0.25">
      <c r="A678" s="426" t="s">
        <v>729</v>
      </c>
      <c r="B678" s="426" t="s">
        <v>730</v>
      </c>
    </row>
    <row r="679" spans="1:2" ht="15" hidden="1" x14ac:dyDescent="0.25">
      <c r="A679" s="426" t="s">
        <v>729</v>
      </c>
      <c r="B679" s="426" t="s">
        <v>730</v>
      </c>
    </row>
    <row r="680" spans="1:2" ht="15" hidden="1" x14ac:dyDescent="0.25">
      <c r="A680" s="426" t="s">
        <v>729</v>
      </c>
      <c r="B680" s="426" t="s">
        <v>730</v>
      </c>
    </row>
    <row r="681" spans="1:2" ht="15" hidden="1" x14ac:dyDescent="0.25">
      <c r="A681" s="426" t="s">
        <v>731</v>
      </c>
      <c r="B681" s="426" t="s">
        <v>732</v>
      </c>
    </row>
    <row r="682" spans="1:2" ht="15" hidden="1" x14ac:dyDescent="0.25">
      <c r="A682" s="426" t="s">
        <v>733</v>
      </c>
      <c r="B682" s="426" t="s">
        <v>734</v>
      </c>
    </row>
    <row r="683" spans="1:2" ht="15" hidden="1" x14ac:dyDescent="0.25">
      <c r="A683" s="426" t="s">
        <v>735</v>
      </c>
      <c r="B683" s="426" t="s">
        <v>736</v>
      </c>
    </row>
    <row r="684" spans="1:2" ht="15" hidden="1" x14ac:dyDescent="0.25">
      <c r="A684" s="426" t="s">
        <v>737</v>
      </c>
      <c r="B684" s="426" t="s">
        <v>738</v>
      </c>
    </row>
    <row r="685" spans="1:2" ht="15" hidden="1" x14ac:dyDescent="0.25">
      <c r="A685" s="426" t="s">
        <v>739</v>
      </c>
      <c r="B685" s="426" t="s">
        <v>740</v>
      </c>
    </row>
    <row r="686" spans="1:2" ht="15" hidden="1" x14ac:dyDescent="0.25">
      <c r="A686" s="426" t="s">
        <v>741</v>
      </c>
      <c r="B686" s="426" t="s">
        <v>742</v>
      </c>
    </row>
    <row r="687" spans="1:2" ht="15" hidden="1" x14ac:dyDescent="0.25">
      <c r="A687" s="426" t="s">
        <v>743</v>
      </c>
      <c r="B687" s="426" t="s">
        <v>744</v>
      </c>
    </row>
    <row r="688" spans="1:2" ht="15" hidden="1" x14ac:dyDescent="0.25">
      <c r="A688" s="426" t="s">
        <v>745</v>
      </c>
      <c r="B688" s="426" t="s">
        <v>746</v>
      </c>
    </row>
    <row r="689" spans="1:2" ht="15" hidden="1" x14ac:dyDescent="0.25">
      <c r="A689" s="426" t="s">
        <v>747</v>
      </c>
      <c r="B689" s="426" t="s">
        <v>748</v>
      </c>
    </row>
    <row r="690" spans="1:2" ht="15" hidden="1" x14ac:dyDescent="0.25">
      <c r="A690" s="426" t="s">
        <v>749</v>
      </c>
      <c r="B690" s="426" t="s">
        <v>750</v>
      </c>
    </row>
    <row r="691" spans="1:2" ht="15" hidden="1" x14ac:dyDescent="0.25">
      <c r="A691" s="426" t="s">
        <v>751</v>
      </c>
      <c r="B691" s="426" t="s">
        <v>752</v>
      </c>
    </row>
    <row r="692" spans="1:2" ht="15" hidden="1" x14ac:dyDescent="0.25">
      <c r="A692" s="426" t="s">
        <v>751</v>
      </c>
      <c r="B692" s="426" t="s">
        <v>752</v>
      </c>
    </row>
    <row r="693" spans="1:2" ht="15" hidden="1" x14ac:dyDescent="0.25">
      <c r="A693" s="426" t="s">
        <v>753</v>
      </c>
      <c r="B693" s="426" t="s">
        <v>754</v>
      </c>
    </row>
    <row r="694" spans="1:2" ht="15" hidden="1" x14ac:dyDescent="0.25">
      <c r="A694" s="426" t="s">
        <v>755</v>
      </c>
      <c r="B694" s="426" t="s">
        <v>756</v>
      </c>
    </row>
    <row r="695" spans="1:2" ht="15" hidden="1" x14ac:dyDescent="0.25">
      <c r="A695" s="426" t="s">
        <v>755</v>
      </c>
      <c r="B695" s="426" t="s">
        <v>756</v>
      </c>
    </row>
    <row r="696" spans="1:2" ht="15" hidden="1" x14ac:dyDescent="0.25">
      <c r="A696" s="426" t="s">
        <v>755</v>
      </c>
      <c r="B696" s="426" t="s">
        <v>756</v>
      </c>
    </row>
    <row r="697" spans="1:2" ht="15" hidden="1" x14ac:dyDescent="0.25">
      <c r="A697" s="426" t="s">
        <v>757</v>
      </c>
      <c r="B697" s="426" t="s">
        <v>758</v>
      </c>
    </row>
    <row r="698" spans="1:2" ht="15" hidden="1" x14ac:dyDescent="0.25">
      <c r="A698" s="426" t="s">
        <v>759</v>
      </c>
      <c r="B698" s="426" t="s">
        <v>760</v>
      </c>
    </row>
    <row r="699" spans="1:2" ht="15" hidden="1" x14ac:dyDescent="0.25">
      <c r="A699" s="427" t="s">
        <v>761</v>
      </c>
      <c r="B699" s="426" t="s">
        <v>762</v>
      </c>
    </row>
    <row r="700" spans="1:2" ht="15" hidden="1" x14ac:dyDescent="0.25">
      <c r="A700" s="427" t="s">
        <v>763</v>
      </c>
      <c r="B700" s="426" t="s">
        <v>764</v>
      </c>
    </row>
    <row r="701" spans="1:2" ht="15" hidden="1" x14ac:dyDescent="0.25">
      <c r="A701" s="426" t="s">
        <v>765</v>
      </c>
      <c r="B701" s="426" t="s">
        <v>766</v>
      </c>
    </row>
    <row r="702" spans="1:2" ht="15" hidden="1" x14ac:dyDescent="0.25">
      <c r="A702" s="427" t="s">
        <v>767</v>
      </c>
      <c r="B702" s="427" t="s">
        <v>768</v>
      </c>
    </row>
    <row r="703" spans="1:2" ht="15" hidden="1" x14ac:dyDescent="0.25">
      <c r="A703" s="426" t="s">
        <v>769</v>
      </c>
      <c r="B703" s="426" t="s">
        <v>770</v>
      </c>
    </row>
    <row r="704" spans="1:2" ht="15" hidden="1" x14ac:dyDescent="0.25">
      <c r="A704" s="426" t="s">
        <v>771</v>
      </c>
      <c r="B704" s="426" t="s">
        <v>772</v>
      </c>
    </row>
    <row r="705" spans="1:2" ht="15" hidden="1" x14ac:dyDescent="0.25">
      <c r="A705" s="426" t="s">
        <v>773</v>
      </c>
      <c r="B705" s="426" t="s">
        <v>774</v>
      </c>
    </row>
    <row r="706" spans="1:2" ht="15" hidden="1" x14ac:dyDescent="0.25">
      <c r="A706" s="426" t="s">
        <v>773</v>
      </c>
      <c r="B706" s="426" t="s">
        <v>774</v>
      </c>
    </row>
    <row r="707" spans="1:2" ht="15" hidden="1" x14ac:dyDescent="0.25">
      <c r="A707" s="426" t="s">
        <v>773</v>
      </c>
      <c r="B707" s="426" t="s">
        <v>774</v>
      </c>
    </row>
    <row r="708" spans="1:2" ht="15" hidden="1" x14ac:dyDescent="0.25">
      <c r="A708" s="427" t="s">
        <v>773</v>
      </c>
      <c r="B708" s="426" t="s">
        <v>774</v>
      </c>
    </row>
    <row r="709" spans="1:2" ht="15" hidden="1" x14ac:dyDescent="0.25">
      <c r="A709" s="426" t="s">
        <v>773</v>
      </c>
      <c r="B709" s="426" t="s">
        <v>774</v>
      </c>
    </row>
    <row r="710" spans="1:2" ht="15" hidden="1" x14ac:dyDescent="0.25">
      <c r="A710" s="426" t="s">
        <v>775</v>
      </c>
      <c r="B710" s="426" t="s">
        <v>776</v>
      </c>
    </row>
    <row r="711" spans="1:2" ht="15" hidden="1" x14ac:dyDescent="0.25">
      <c r="A711" s="426" t="s">
        <v>775</v>
      </c>
      <c r="B711" s="426" t="s">
        <v>776</v>
      </c>
    </row>
    <row r="712" spans="1:2" ht="15" hidden="1" x14ac:dyDescent="0.25">
      <c r="A712" s="426" t="s">
        <v>775</v>
      </c>
      <c r="B712" s="426" t="s">
        <v>776</v>
      </c>
    </row>
    <row r="713" spans="1:2" ht="15" hidden="1" x14ac:dyDescent="0.25">
      <c r="A713" s="426" t="s">
        <v>775</v>
      </c>
      <c r="B713" s="426" t="s">
        <v>776</v>
      </c>
    </row>
    <row r="714" spans="1:2" ht="15" hidden="1" x14ac:dyDescent="0.25">
      <c r="A714" s="426" t="s">
        <v>775</v>
      </c>
      <c r="B714" s="426" t="s">
        <v>776</v>
      </c>
    </row>
    <row r="715" spans="1:2" ht="15" hidden="1" x14ac:dyDescent="0.25">
      <c r="A715" s="426" t="s">
        <v>775</v>
      </c>
      <c r="B715" s="426" t="s">
        <v>776</v>
      </c>
    </row>
    <row r="716" spans="1:2" ht="15" hidden="1" x14ac:dyDescent="0.25">
      <c r="A716" s="426" t="s">
        <v>775</v>
      </c>
      <c r="B716" s="426" t="s">
        <v>776</v>
      </c>
    </row>
    <row r="717" spans="1:2" ht="15" hidden="1" x14ac:dyDescent="0.25">
      <c r="A717" s="426" t="s">
        <v>775</v>
      </c>
      <c r="B717" s="426" t="s">
        <v>776</v>
      </c>
    </row>
    <row r="718" spans="1:2" ht="15" hidden="1" x14ac:dyDescent="0.25">
      <c r="A718" s="426" t="s">
        <v>775</v>
      </c>
      <c r="B718" s="426" t="s">
        <v>776</v>
      </c>
    </row>
    <row r="719" spans="1:2" ht="15" hidden="1" x14ac:dyDescent="0.25">
      <c r="A719" s="426" t="s">
        <v>777</v>
      </c>
      <c r="B719" s="426" t="s">
        <v>778</v>
      </c>
    </row>
    <row r="720" spans="1:2" ht="15" hidden="1" x14ac:dyDescent="0.25">
      <c r="A720" s="426" t="s">
        <v>779</v>
      </c>
      <c r="B720" s="426" t="s">
        <v>780</v>
      </c>
    </row>
    <row r="721" spans="1:2" ht="15" hidden="1" x14ac:dyDescent="0.25">
      <c r="A721" s="426" t="s">
        <v>781</v>
      </c>
      <c r="B721" s="426" t="s">
        <v>782</v>
      </c>
    </row>
    <row r="722" spans="1:2" ht="15" hidden="1" x14ac:dyDescent="0.25">
      <c r="A722" s="426" t="s">
        <v>783</v>
      </c>
      <c r="B722" s="426" t="s">
        <v>784</v>
      </c>
    </row>
    <row r="723" spans="1:2" ht="15" hidden="1" x14ac:dyDescent="0.25">
      <c r="A723" s="426" t="s">
        <v>783</v>
      </c>
      <c r="B723" s="426" t="s">
        <v>784</v>
      </c>
    </row>
    <row r="724" spans="1:2" ht="15" hidden="1" x14ac:dyDescent="0.25">
      <c r="A724" s="426" t="s">
        <v>785</v>
      </c>
      <c r="B724" s="426" t="s">
        <v>786</v>
      </c>
    </row>
    <row r="725" spans="1:2" ht="15" hidden="1" x14ac:dyDescent="0.25">
      <c r="A725" s="426" t="s">
        <v>787</v>
      </c>
      <c r="B725" s="426" t="s">
        <v>788</v>
      </c>
    </row>
    <row r="726" spans="1:2" ht="15" hidden="1" x14ac:dyDescent="0.25">
      <c r="A726" s="426" t="s">
        <v>789</v>
      </c>
      <c r="B726" s="426" t="s">
        <v>790</v>
      </c>
    </row>
    <row r="727" spans="1:2" ht="15" hidden="1" x14ac:dyDescent="0.25">
      <c r="A727" s="426" t="s">
        <v>789</v>
      </c>
      <c r="B727" s="426" t="s">
        <v>790</v>
      </c>
    </row>
    <row r="728" spans="1:2" ht="15" hidden="1" x14ac:dyDescent="0.25">
      <c r="A728" s="426" t="s">
        <v>791</v>
      </c>
      <c r="B728" s="426" t="s">
        <v>792</v>
      </c>
    </row>
    <row r="729" spans="1:2" ht="15" hidden="1" x14ac:dyDescent="0.25">
      <c r="A729" s="426" t="s">
        <v>791</v>
      </c>
      <c r="B729" s="426" t="s">
        <v>792</v>
      </c>
    </row>
    <row r="730" spans="1:2" ht="15" hidden="1" x14ac:dyDescent="0.25">
      <c r="A730" s="426" t="s">
        <v>791</v>
      </c>
      <c r="B730" s="426" t="s">
        <v>792</v>
      </c>
    </row>
    <row r="731" spans="1:2" ht="15" hidden="1" x14ac:dyDescent="0.25">
      <c r="A731" s="426" t="s">
        <v>791</v>
      </c>
      <c r="B731" s="426" t="s">
        <v>792</v>
      </c>
    </row>
    <row r="732" spans="1:2" ht="15" hidden="1" x14ac:dyDescent="0.25">
      <c r="A732" s="426" t="s">
        <v>791</v>
      </c>
      <c r="B732" s="426" t="s">
        <v>792</v>
      </c>
    </row>
    <row r="733" spans="1:2" ht="15" hidden="1" x14ac:dyDescent="0.25">
      <c r="A733" s="426" t="s">
        <v>791</v>
      </c>
      <c r="B733" s="426" t="s">
        <v>792</v>
      </c>
    </row>
    <row r="734" spans="1:2" ht="15" hidden="1" x14ac:dyDescent="0.25">
      <c r="A734" s="426" t="s">
        <v>791</v>
      </c>
      <c r="B734" s="426" t="s">
        <v>792</v>
      </c>
    </row>
    <row r="735" spans="1:2" ht="15" hidden="1" x14ac:dyDescent="0.25">
      <c r="A735" s="426" t="s">
        <v>793</v>
      </c>
      <c r="B735" s="426" t="s">
        <v>794</v>
      </c>
    </row>
    <row r="736" spans="1:2" ht="15" hidden="1" x14ac:dyDescent="0.25">
      <c r="A736" s="426" t="s">
        <v>795</v>
      </c>
      <c r="B736" s="426" t="s">
        <v>796</v>
      </c>
    </row>
    <row r="737" spans="1:2" ht="15" hidden="1" x14ac:dyDescent="0.25">
      <c r="A737" s="426" t="s">
        <v>797</v>
      </c>
      <c r="B737" s="426" t="s">
        <v>798</v>
      </c>
    </row>
    <row r="738" spans="1:2" ht="15" hidden="1" x14ac:dyDescent="0.25">
      <c r="A738" s="426" t="s">
        <v>799</v>
      </c>
      <c r="B738" s="426" t="s">
        <v>800</v>
      </c>
    </row>
    <row r="739" spans="1:2" ht="15" hidden="1" x14ac:dyDescent="0.25">
      <c r="A739" s="426" t="s">
        <v>801</v>
      </c>
      <c r="B739" s="426" t="s">
        <v>802</v>
      </c>
    </row>
    <row r="740" spans="1:2" ht="15" hidden="1" x14ac:dyDescent="0.25">
      <c r="A740" s="426" t="s">
        <v>803</v>
      </c>
      <c r="B740" s="426" t="s">
        <v>804</v>
      </c>
    </row>
    <row r="741" spans="1:2" ht="15" hidden="1" x14ac:dyDescent="0.25">
      <c r="A741" s="426" t="s">
        <v>805</v>
      </c>
      <c r="B741" s="426" t="s">
        <v>806</v>
      </c>
    </row>
    <row r="742" spans="1:2" ht="15" hidden="1" x14ac:dyDescent="0.25">
      <c r="A742" s="426" t="s">
        <v>192</v>
      </c>
      <c r="B742" s="426" t="s">
        <v>388</v>
      </c>
    </row>
    <row r="743" spans="1:2" ht="15" hidden="1" x14ac:dyDescent="0.25">
      <c r="A743" s="426" t="s">
        <v>807</v>
      </c>
      <c r="B743" s="426" t="s">
        <v>808</v>
      </c>
    </row>
    <row r="744" spans="1:2" ht="15" hidden="1" x14ac:dyDescent="0.25">
      <c r="A744" s="426" t="s">
        <v>809</v>
      </c>
      <c r="B744" s="426" t="s">
        <v>810</v>
      </c>
    </row>
    <row r="745" spans="1:2" ht="15" hidden="1" x14ac:dyDescent="0.25">
      <c r="A745" s="426" t="s">
        <v>811</v>
      </c>
      <c r="B745" s="426" t="s">
        <v>812</v>
      </c>
    </row>
    <row r="746" spans="1:2" ht="15" hidden="1" x14ac:dyDescent="0.25">
      <c r="A746" s="426" t="s">
        <v>813</v>
      </c>
      <c r="B746" s="426" t="s">
        <v>814</v>
      </c>
    </row>
    <row r="747" spans="1:2" ht="15" hidden="1" x14ac:dyDescent="0.25">
      <c r="A747" s="426" t="s">
        <v>813</v>
      </c>
      <c r="B747" s="426" t="s">
        <v>814</v>
      </c>
    </row>
    <row r="748" spans="1:2" ht="15" hidden="1" x14ac:dyDescent="0.25">
      <c r="A748" s="426" t="s">
        <v>813</v>
      </c>
      <c r="B748" s="426" t="s">
        <v>814</v>
      </c>
    </row>
    <row r="749" spans="1:2" ht="15" hidden="1" x14ac:dyDescent="0.25">
      <c r="A749" s="426" t="s">
        <v>815</v>
      </c>
      <c r="B749" s="426" t="s">
        <v>816</v>
      </c>
    </row>
    <row r="750" spans="1:2" ht="15" hidden="1" x14ac:dyDescent="0.25">
      <c r="A750" s="426" t="s">
        <v>815</v>
      </c>
      <c r="B750" s="426" t="s">
        <v>816</v>
      </c>
    </row>
    <row r="751" spans="1:2" ht="15" hidden="1" x14ac:dyDescent="0.25">
      <c r="A751" s="426" t="s">
        <v>815</v>
      </c>
      <c r="B751" s="426" t="s">
        <v>816</v>
      </c>
    </row>
    <row r="752" spans="1:2" ht="15" hidden="1" x14ac:dyDescent="0.25">
      <c r="A752" s="426" t="s">
        <v>817</v>
      </c>
      <c r="B752" s="426" t="s">
        <v>818</v>
      </c>
    </row>
    <row r="753" spans="1:2" ht="15" hidden="1" x14ac:dyDescent="0.25">
      <c r="A753" s="426" t="s">
        <v>817</v>
      </c>
      <c r="B753" s="426" t="s">
        <v>818</v>
      </c>
    </row>
    <row r="754" spans="1:2" ht="15" hidden="1" x14ac:dyDescent="0.25">
      <c r="A754" s="426" t="s">
        <v>819</v>
      </c>
      <c r="B754" s="426" t="s">
        <v>820</v>
      </c>
    </row>
    <row r="755" spans="1:2" ht="15" hidden="1" x14ac:dyDescent="0.25">
      <c r="A755" s="426" t="s">
        <v>819</v>
      </c>
      <c r="B755" s="426" t="s">
        <v>820</v>
      </c>
    </row>
    <row r="756" spans="1:2" ht="15" hidden="1" x14ac:dyDescent="0.25">
      <c r="A756" s="426" t="s">
        <v>821</v>
      </c>
      <c r="B756" s="426" t="s">
        <v>822</v>
      </c>
    </row>
    <row r="757" spans="1:2" ht="15" hidden="1" x14ac:dyDescent="0.25">
      <c r="A757" s="426" t="s">
        <v>821</v>
      </c>
      <c r="B757" s="426" t="s">
        <v>822</v>
      </c>
    </row>
    <row r="758" spans="1:2" ht="15" hidden="1" x14ac:dyDescent="0.25">
      <c r="A758" s="426" t="s">
        <v>823</v>
      </c>
      <c r="B758" s="426" t="s">
        <v>824</v>
      </c>
    </row>
    <row r="759" spans="1:2" ht="15" hidden="1" x14ac:dyDescent="0.25">
      <c r="A759" s="426" t="s">
        <v>825</v>
      </c>
      <c r="B759" s="426" t="s">
        <v>826</v>
      </c>
    </row>
    <row r="760" spans="1:2" ht="15" hidden="1" x14ac:dyDescent="0.25">
      <c r="A760" s="426" t="s">
        <v>825</v>
      </c>
      <c r="B760" s="426" t="s">
        <v>826</v>
      </c>
    </row>
    <row r="761" spans="1:2" ht="15" hidden="1" x14ac:dyDescent="0.25">
      <c r="A761" s="426" t="s">
        <v>825</v>
      </c>
      <c r="B761" s="426" t="s">
        <v>826</v>
      </c>
    </row>
    <row r="762" spans="1:2" ht="15" hidden="1" x14ac:dyDescent="0.25">
      <c r="A762" s="426" t="s">
        <v>193</v>
      </c>
      <c r="B762" s="426" t="s">
        <v>392</v>
      </c>
    </row>
    <row r="763" spans="1:2" ht="15" hidden="1" x14ac:dyDescent="0.25">
      <c r="A763" s="426" t="s">
        <v>193</v>
      </c>
      <c r="B763" s="426" t="s">
        <v>392</v>
      </c>
    </row>
    <row r="764" spans="1:2" ht="15" hidden="1" x14ac:dyDescent="0.25">
      <c r="A764" s="427" t="s">
        <v>827</v>
      </c>
      <c r="B764" s="426" t="s">
        <v>828</v>
      </c>
    </row>
    <row r="765" spans="1:2" ht="15" hidden="1" x14ac:dyDescent="0.25">
      <c r="A765" s="426" t="s">
        <v>829</v>
      </c>
      <c r="B765" s="426" t="s">
        <v>830</v>
      </c>
    </row>
    <row r="766" spans="1:2" ht="15" hidden="1" x14ac:dyDescent="0.25">
      <c r="A766" s="426" t="s">
        <v>831</v>
      </c>
      <c r="B766" s="426" t="s">
        <v>766</v>
      </c>
    </row>
    <row r="767" spans="1:2" ht="15" hidden="1" x14ac:dyDescent="0.25">
      <c r="A767" s="426" t="s">
        <v>831</v>
      </c>
      <c r="B767" s="426" t="s">
        <v>766</v>
      </c>
    </row>
    <row r="768" spans="1:2" ht="15" hidden="1" x14ac:dyDescent="0.25">
      <c r="A768" s="426" t="s">
        <v>832</v>
      </c>
      <c r="B768" s="426" t="s">
        <v>833</v>
      </c>
    </row>
    <row r="769" spans="1:2" ht="15" hidden="1" x14ac:dyDescent="0.25">
      <c r="A769" s="426" t="s">
        <v>834</v>
      </c>
      <c r="B769" s="426" t="s">
        <v>835</v>
      </c>
    </row>
    <row r="770" spans="1:2" ht="15" hidden="1" x14ac:dyDescent="0.25">
      <c r="A770" s="426" t="s">
        <v>836</v>
      </c>
      <c r="B770" s="426" t="s">
        <v>837</v>
      </c>
    </row>
    <row r="771" spans="1:2" ht="15" hidden="1" x14ac:dyDescent="0.25">
      <c r="A771" s="426" t="s">
        <v>838</v>
      </c>
      <c r="B771" s="426" t="s">
        <v>839</v>
      </c>
    </row>
    <row r="772" spans="1:2" ht="15" hidden="1" x14ac:dyDescent="0.25">
      <c r="A772" s="426" t="s">
        <v>840</v>
      </c>
      <c r="B772" s="426" t="s">
        <v>841</v>
      </c>
    </row>
    <row r="773" spans="1:2" ht="15" hidden="1" x14ac:dyDescent="0.25">
      <c r="A773" s="426" t="s">
        <v>842</v>
      </c>
      <c r="B773" s="426" t="s">
        <v>843</v>
      </c>
    </row>
    <row r="774" spans="1:2" ht="15" hidden="1" x14ac:dyDescent="0.25">
      <c r="A774" s="426" t="s">
        <v>844</v>
      </c>
      <c r="B774" s="426" t="s">
        <v>845</v>
      </c>
    </row>
    <row r="775" spans="1:2" ht="15" hidden="1" x14ac:dyDescent="0.25">
      <c r="A775" s="426" t="s">
        <v>846</v>
      </c>
      <c r="B775" s="426" t="s">
        <v>847</v>
      </c>
    </row>
    <row r="776" spans="1:2" ht="15" hidden="1" x14ac:dyDescent="0.25">
      <c r="A776" s="426" t="s">
        <v>848</v>
      </c>
      <c r="B776" s="426" t="s">
        <v>849</v>
      </c>
    </row>
    <row r="777" spans="1:2" ht="15" hidden="1" x14ac:dyDescent="0.25">
      <c r="A777" s="426" t="s">
        <v>848</v>
      </c>
      <c r="B777" s="426" t="s">
        <v>849</v>
      </c>
    </row>
    <row r="778" spans="1:2" ht="15" hidden="1" x14ac:dyDescent="0.25">
      <c r="A778" s="426" t="s">
        <v>848</v>
      </c>
      <c r="B778" s="426" t="s">
        <v>849</v>
      </c>
    </row>
    <row r="779" spans="1:2" ht="15" hidden="1" x14ac:dyDescent="0.25">
      <c r="A779" s="426" t="s">
        <v>848</v>
      </c>
      <c r="B779" s="426" t="s">
        <v>849</v>
      </c>
    </row>
    <row r="780" spans="1:2" ht="15" hidden="1" x14ac:dyDescent="0.25">
      <c r="A780" s="426" t="s">
        <v>850</v>
      </c>
      <c r="B780" s="426" t="s">
        <v>851</v>
      </c>
    </row>
    <row r="781" spans="1:2" ht="15" hidden="1" x14ac:dyDescent="0.25">
      <c r="A781" s="426" t="s">
        <v>850</v>
      </c>
      <c r="B781" s="426" t="s">
        <v>851</v>
      </c>
    </row>
    <row r="782" spans="1:2" ht="15" hidden="1" x14ac:dyDescent="0.25">
      <c r="A782" s="426" t="s">
        <v>850</v>
      </c>
      <c r="B782" s="426" t="s">
        <v>851</v>
      </c>
    </row>
    <row r="783" spans="1:2" ht="15" hidden="1" x14ac:dyDescent="0.25">
      <c r="A783" s="426" t="s">
        <v>852</v>
      </c>
      <c r="B783" s="426" t="s">
        <v>853</v>
      </c>
    </row>
    <row r="784" spans="1:2" ht="15" hidden="1" x14ac:dyDescent="0.25">
      <c r="A784" s="426" t="s">
        <v>178</v>
      </c>
      <c r="B784" s="426" t="s">
        <v>310</v>
      </c>
    </row>
    <row r="785" spans="1:2" ht="15" hidden="1" x14ac:dyDescent="0.25">
      <c r="A785" s="426" t="s">
        <v>178</v>
      </c>
      <c r="B785" s="426" t="s">
        <v>310</v>
      </c>
    </row>
    <row r="786" spans="1:2" ht="15" hidden="1" x14ac:dyDescent="0.25">
      <c r="A786" s="426" t="s">
        <v>178</v>
      </c>
      <c r="B786" s="426" t="s">
        <v>310</v>
      </c>
    </row>
    <row r="787" spans="1:2" ht="15" hidden="1" x14ac:dyDescent="0.25">
      <c r="A787" s="426" t="s">
        <v>178</v>
      </c>
      <c r="B787" s="426" t="s">
        <v>310</v>
      </c>
    </row>
    <row r="788" spans="1:2" ht="15" hidden="1" x14ac:dyDescent="0.25">
      <c r="A788" s="426" t="s">
        <v>178</v>
      </c>
      <c r="B788" s="426" t="s">
        <v>310</v>
      </c>
    </row>
    <row r="789" spans="1:2" ht="15" hidden="1" x14ac:dyDescent="0.25">
      <c r="A789" s="426" t="s">
        <v>178</v>
      </c>
      <c r="B789" s="426" t="s">
        <v>310</v>
      </c>
    </row>
    <row r="790" spans="1:2" ht="15" hidden="1" x14ac:dyDescent="0.25">
      <c r="A790" s="426" t="s">
        <v>178</v>
      </c>
      <c r="B790" s="426" t="s">
        <v>310</v>
      </c>
    </row>
    <row r="791" spans="1:2" ht="15" hidden="1" x14ac:dyDescent="0.25">
      <c r="A791" s="426" t="s">
        <v>178</v>
      </c>
      <c r="B791" s="426" t="s">
        <v>310</v>
      </c>
    </row>
    <row r="792" spans="1:2" ht="15" hidden="1" x14ac:dyDescent="0.25">
      <c r="A792" s="426" t="s">
        <v>178</v>
      </c>
      <c r="B792" s="426" t="s">
        <v>310</v>
      </c>
    </row>
    <row r="793" spans="1:2" ht="15" hidden="1" x14ac:dyDescent="0.25">
      <c r="A793" s="426" t="s">
        <v>178</v>
      </c>
      <c r="B793" s="426" t="s">
        <v>310</v>
      </c>
    </row>
    <row r="794" spans="1:2" ht="15" hidden="1" x14ac:dyDescent="0.25">
      <c r="A794" s="426" t="s">
        <v>178</v>
      </c>
      <c r="B794" s="426" t="s">
        <v>310</v>
      </c>
    </row>
    <row r="795" spans="1:2" ht="15" hidden="1" x14ac:dyDescent="0.25">
      <c r="A795" s="426" t="s">
        <v>180</v>
      </c>
      <c r="B795" s="426" t="s">
        <v>312</v>
      </c>
    </row>
    <row r="796" spans="1:2" ht="15" hidden="1" x14ac:dyDescent="0.25">
      <c r="A796" s="426" t="s">
        <v>180</v>
      </c>
      <c r="B796" s="426" t="s">
        <v>312</v>
      </c>
    </row>
    <row r="797" spans="1:2" ht="15" hidden="1" x14ac:dyDescent="0.25">
      <c r="A797" s="426" t="s">
        <v>180</v>
      </c>
      <c r="B797" s="426" t="s">
        <v>312</v>
      </c>
    </row>
    <row r="798" spans="1:2" ht="15" hidden="1" x14ac:dyDescent="0.25">
      <c r="A798" s="426" t="s">
        <v>180</v>
      </c>
      <c r="B798" s="426" t="s">
        <v>312</v>
      </c>
    </row>
    <row r="799" spans="1:2" ht="15" hidden="1" x14ac:dyDescent="0.25">
      <c r="A799" s="426" t="s">
        <v>180</v>
      </c>
      <c r="B799" s="426" t="s">
        <v>312</v>
      </c>
    </row>
    <row r="800" spans="1:2" ht="15" hidden="1" x14ac:dyDescent="0.25">
      <c r="A800" s="426" t="s">
        <v>180</v>
      </c>
      <c r="B800" s="426" t="s">
        <v>312</v>
      </c>
    </row>
    <row r="801" spans="1:2" ht="15" hidden="1" x14ac:dyDescent="0.25">
      <c r="A801" s="426" t="s">
        <v>180</v>
      </c>
      <c r="B801" s="426" t="s">
        <v>312</v>
      </c>
    </row>
    <row r="802" spans="1:2" ht="15" hidden="1" x14ac:dyDescent="0.25">
      <c r="A802" s="426" t="s">
        <v>180</v>
      </c>
      <c r="B802" s="426" t="s">
        <v>312</v>
      </c>
    </row>
    <row r="803" spans="1:2" ht="15" hidden="1" x14ac:dyDescent="0.25">
      <c r="A803" s="426" t="s">
        <v>180</v>
      </c>
      <c r="B803" s="426" t="s">
        <v>312</v>
      </c>
    </row>
    <row r="804" spans="1:2" ht="15" hidden="1" x14ac:dyDescent="0.25">
      <c r="A804" s="426" t="s">
        <v>180</v>
      </c>
      <c r="B804" s="426" t="s">
        <v>312</v>
      </c>
    </row>
    <row r="805" spans="1:2" ht="15" hidden="1" x14ac:dyDescent="0.25">
      <c r="A805" s="426" t="s">
        <v>180</v>
      </c>
      <c r="B805" s="426" t="s">
        <v>312</v>
      </c>
    </row>
    <row r="806" spans="1:2" ht="15" hidden="1" x14ac:dyDescent="0.25">
      <c r="A806" s="426" t="s">
        <v>180</v>
      </c>
      <c r="B806" s="426" t="s">
        <v>312</v>
      </c>
    </row>
    <row r="807" spans="1:2" ht="15" hidden="1" x14ac:dyDescent="0.25">
      <c r="A807" s="426" t="s">
        <v>180</v>
      </c>
      <c r="B807" s="426" t="s">
        <v>312</v>
      </c>
    </row>
    <row r="808" spans="1:2" ht="15" hidden="1" x14ac:dyDescent="0.25">
      <c r="A808" s="426" t="s">
        <v>180</v>
      </c>
      <c r="B808" s="426" t="s">
        <v>312</v>
      </c>
    </row>
    <row r="809" spans="1:2" ht="15" hidden="1" x14ac:dyDescent="0.25">
      <c r="A809" s="426" t="s">
        <v>180</v>
      </c>
      <c r="B809" s="426" t="s">
        <v>312</v>
      </c>
    </row>
    <row r="810" spans="1:2" ht="15" hidden="1" x14ac:dyDescent="0.25">
      <c r="A810" s="426" t="s">
        <v>180</v>
      </c>
      <c r="B810" s="426" t="s">
        <v>312</v>
      </c>
    </row>
    <row r="811" spans="1:2" ht="15" hidden="1" x14ac:dyDescent="0.25">
      <c r="A811" s="426" t="s">
        <v>180</v>
      </c>
      <c r="B811" s="426" t="s">
        <v>312</v>
      </c>
    </row>
    <row r="812" spans="1:2" ht="15" hidden="1" x14ac:dyDescent="0.25">
      <c r="A812" s="426" t="s">
        <v>180</v>
      </c>
      <c r="B812" s="426" t="s">
        <v>312</v>
      </c>
    </row>
    <row r="813" spans="1:2" ht="15" hidden="1" x14ac:dyDescent="0.25">
      <c r="A813" s="426" t="s">
        <v>180</v>
      </c>
      <c r="B813" s="426" t="s">
        <v>312</v>
      </c>
    </row>
    <row r="814" spans="1:2" ht="15" hidden="1" x14ac:dyDescent="0.25">
      <c r="A814" s="426" t="s">
        <v>180</v>
      </c>
      <c r="B814" s="426" t="s">
        <v>312</v>
      </c>
    </row>
    <row r="815" spans="1:2" ht="15" hidden="1" x14ac:dyDescent="0.25">
      <c r="A815" s="426" t="s">
        <v>180</v>
      </c>
      <c r="B815" s="426" t="s">
        <v>312</v>
      </c>
    </row>
    <row r="816" spans="1:2" ht="15" hidden="1" x14ac:dyDescent="0.25">
      <c r="A816" s="426" t="s">
        <v>180</v>
      </c>
      <c r="B816" s="426" t="s">
        <v>312</v>
      </c>
    </row>
    <row r="817" spans="1:2" ht="15" hidden="1" x14ac:dyDescent="0.25">
      <c r="A817" s="426" t="s">
        <v>180</v>
      </c>
      <c r="B817" s="426" t="s">
        <v>312</v>
      </c>
    </row>
    <row r="818" spans="1:2" ht="15" hidden="1" x14ac:dyDescent="0.25">
      <c r="A818" s="426" t="s">
        <v>180</v>
      </c>
      <c r="B818" s="426" t="s">
        <v>312</v>
      </c>
    </row>
    <row r="819" spans="1:2" ht="15" hidden="1" x14ac:dyDescent="0.25">
      <c r="A819" s="426" t="s">
        <v>180</v>
      </c>
      <c r="B819" s="426" t="s">
        <v>312</v>
      </c>
    </row>
    <row r="820" spans="1:2" ht="15" hidden="1" x14ac:dyDescent="0.25">
      <c r="A820" s="426" t="s">
        <v>180</v>
      </c>
      <c r="B820" s="426" t="s">
        <v>312</v>
      </c>
    </row>
    <row r="821" spans="1:2" ht="15" hidden="1" x14ac:dyDescent="0.25">
      <c r="A821" s="426" t="s">
        <v>180</v>
      </c>
      <c r="B821" s="426" t="s">
        <v>312</v>
      </c>
    </row>
    <row r="822" spans="1:2" ht="15" hidden="1" x14ac:dyDescent="0.25">
      <c r="A822" s="426" t="s">
        <v>180</v>
      </c>
      <c r="B822" s="426" t="s">
        <v>312</v>
      </c>
    </row>
    <row r="823" spans="1:2" ht="15" hidden="1" x14ac:dyDescent="0.25">
      <c r="A823" s="426" t="s">
        <v>180</v>
      </c>
      <c r="B823" s="426" t="s">
        <v>312</v>
      </c>
    </row>
    <row r="824" spans="1:2" ht="15" hidden="1" x14ac:dyDescent="0.25">
      <c r="A824" s="426" t="s">
        <v>180</v>
      </c>
      <c r="B824" s="426" t="s">
        <v>312</v>
      </c>
    </row>
    <row r="825" spans="1:2" ht="15" hidden="1" x14ac:dyDescent="0.25">
      <c r="A825" s="426" t="s">
        <v>180</v>
      </c>
      <c r="B825" s="426" t="s">
        <v>312</v>
      </c>
    </row>
    <row r="826" spans="1:2" ht="15" hidden="1" x14ac:dyDescent="0.25">
      <c r="A826" s="426" t="s">
        <v>180</v>
      </c>
      <c r="B826" s="426" t="s">
        <v>312</v>
      </c>
    </row>
    <row r="827" spans="1:2" ht="15" hidden="1" x14ac:dyDescent="0.25">
      <c r="A827" s="426" t="s">
        <v>180</v>
      </c>
      <c r="B827" s="426" t="s">
        <v>312</v>
      </c>
    </row>
    <row r="828" spans="1:2" ht="15" hidden="1" x14ac:dyDescent="0.25">
      <c r="A828" s="426" t="s">
        <v>180</v>
      </c>
      <c r="B828" s="426" t="s">
        <v>312</v>
      </c>
    </row>
    <row r="829" spans="1:2" ht="15" hidden="1" x14ac:dyDescent="0.25">
      <c r="A829" s="426" t="s">
        <v>180</v>
      </c>
      <c r="B829" s="426" t="s">
        <v>312</v>
      </c>
    </row>
    <row r="830" spans="1:2" ht="15" hidden="1" x14ac:dyDescent="0.25">
      <c r="A830" s="426" t="s">
        <v>180</v>
      </c>
      <c r="B830" s="426" t="s">
        <v>312</v>
      </c>
    </row>
    <row r="831" spans="1:2" ht="15" hidden="1" x14ac:dyDescent="0.25">
      <c r="A831" s="426" t="s">
        <v>181</v>
      </c>
      <c r="B831" s="426" t="s">
        <v>313</v>
      </c>
    </row>
    <row r="832" spans="1:2" ht="15" hidden="1" x14ac:dyDescent="0.25">
      <c r="A832" s="426" t="s">
        <v>181</v>
      </c>
      <c r="B832" s="426" t="s">
        <v>313</v>
      </c>
    </row>
    <row r="833" spans="1:2" ht="15" hidden="1" x14ac:dyDescent="0.25">
      <c r="A833" s="426" t="s">
        <v>181</v>
      </c>
      <c r="B833" s="426" t="s">
        <v>313</v>
      </c>
    </row>
    <row r="834" spans="1:2" ht="15" hidden="1" x14ac:dyDescent="0.25">
      <c r="A834" s="426" t="s">
        <v>181</v>
      </c>
      <c r="B834" s="426" t="s">
        <v>313</v>
      </c>
    </row>
    <row r="835" spans="1:2" ht="15" hidden="1" x14ac:dyDescent="0.25">
      <c r="A835" s="426" t="s">
        <v>181</v>
      </c>
      <c r="B835" s="426" t="s">
        <v>313</v>
      </c>
    </row>
    <row r="836" spans="1:2" ht="15" hidden="1" x14ac:dyDescent="0.25">
      <c r="A836" s="426" t="s">
        <v>181</v>
      </c>
      <c r="B836" s="426" t="s">
        <v>313</v>
      </c>
    </row>
    <row r="837" spans="1:2" ht="15" hidden="1" x14ac:dyDescent="0.25">
      <c r="A837" s="426" t="s">
        <v>181</v>
      </c>
      <c r="B837" s="426" t="s">
        <v>313</v>
      </c>
    </row>
    <row r="838" spans="1:2" ht="15" hidden="1" x14ac:dyDescent="0.25">
      <c r="A838" s="426" t="s">
        <v>181</v>
      </c>
      <c r="B838" s="426" t="s">
        <v>313</v>
      </c>
    </row>
    <row r="839" spans="1:2" ht="15" hidden="1" x14ac:dyDescent="0.25">
      <c r="A839" s="426" t="s">
        <v>181</v>
      </c>
      <c r="B839" s="426" t="s">
        <v>313</v>
      </c>
    </row>
    <row r="840" spans="1:2" ht="15" hidden="1" x14ac:dyDescent="0.25">
      <c r="A840" s="426" t="s">
        <v>181</v>
      </c>
      <c r="B840" s="426" t="s">
        <v>313</v>
      </c>
    </row>
    <row r="841" spans="1:2" ht="15" hidden="1" x14ac:dyDescent="0.25">
      <c r="A841" s="426" t="s">
        <v>181</v>
      </c>
      <c r="B841" s="426" t="s">
        <v>313</v>
      </c>
    </row>
    <row r="842" spans="1:2" ht="15" hidden="1" x14ac:dyDescent="0.25">
      <c r="A842" s="426" t="s">
        <v>181</v>
      </c>
      <c r="B842" s="426" t="s">
        <v>313</v>
      </c>
    </row>
    <row r="843" spans="1:2" ht="15" hidden="1" x14ac:dyDescent="0.25">
      <c r="A843" s="426" t="s">
        <v>181</v>
      </c>
      <c r="B843" s="426" t="s">
        <v>313</v>
      </c>
    </row>
    <row r="844" spans="1:2" ht="15" hidden="1" x14ac:dyDescent="0.25">
      <c r="A844" s="426" t="s">
        <v>181</v>
      </c>
      <c r="B844" s="426" t="s">
        <v>313</v>
      </c>
    </row>
    <row r="845" spans="1:2" ht="15" hidden="1" x14ac:dyDescent="0.25">
      <c r="A845" s="426" t="s">
        <v>183</v>
      </c>
      <c r="B845" s="426" t="s">
        <v>317</v>
      </c>
    </row>
    <row r="846" spans="1:2" ht="15" hidden="1" x14ac:dyDescent="0.25">
      <c r="A846" s="426" t="s">
        <v>183</v>
      </c>
      <c r="B846" s="426" t="s">
        <v>317</v>
      </c>
    </row>
    <row r="847" spans="1:2" ht="15" hidden="1" x14ac:dyDescent="0.25">
      <c r="A847" s="426" t="s">
        <v>183</v>
      </c>
      <c r="B847" s="426" t="s">
        <v>317</v>
      </c>
    </row>
    <row r="848" spans="1:2" ht="15" hidden="1" x14ac:dyDescent="0.25">
      <c r="A848" s="426" t="s">
        <v>183</v>
      </c>
      <c r="B848" s="426" t="s">
        <v>317</v>
      </c>
    </row>
    <row r="849" spans="1:2" ht="15" hidden="1" x14ac:dyDescent="0.25">
      <c r="A849" s="426" t="s">
        <v>183</v>
      </c>
      <c r="B849" s="426" t="s">
        <v>317</v>
      </c>
    </row>
    <row r="850" spans="1:2" ht="15" hidden="1" x14ac:dyDescent="0.25">
      <c r="A850" s="426" t="s">
        <v>183</v>
      </c>
      <c r="B850" s="426" t="s">
        <v>317</v>
      </c>
    </row>
    <row r="851" spans="1:2" ht="15" hidden="1" x14ac:dyDescent="0.25">
      <c r="A851" s="426" t="s">
        <v>183</v>
      </c>
      <c r="B851" s="426" t="s">
        <v>317</v>
      </c>
    </row>
    <row r="852" spans="1:2" ht="15" hidden="1" x14ac:dyDescent="0.25">
      <c r="A852" s="426" t="s">
        <v>184</v>
      </c>
      <c r="B852" s="426" t="s">
        <v>318</v>
      </c>
    </row>
    <row r="853" spans="1:2" ht="15" hidden="1" x14ac:dyDescent="0.25">
      <c r="A853" s="426" t="s">
        <v>185</v>
      </c>
      <c r="B853" s="426" t="s">
        <v>319</v>
      </c>
    </row>
    <row r="854" spans="1:2" ht="15" hidden="1" x14ac:dyDescent="0.25">
      <c r="A854" s="426" t="s">
        <v>185</v>
      </c>
      <c r="B854" s="426" t="s">
        <v>319</v>
      </c>
    </row>
    <row r="855" spans="1:2" ht="15" hidden="1" x14ac:dyDescent="0.25">
      <c r="A855" s="426" t="s">
        <v>185</v>
      </c>
      <c r="B855" s="426" t="s">
        <v>319</v>
      </c>
    </row>
    <row r="856" spans="1:2" ht="15" hidden="1" x14ac:dyDescent="0.25">
      <c r="A856" s="426" t="s">
        <v>185</v>
      </c>
      <c r="B856" s="426" t="s">
        <v>319</v>
      </c>
    </row>
    <row r="857" spans="1:2" ht="15" hidden="1" x14ac:dyDescent="0.25">
      <c r="A857" s="426" t="s">
        <v>185</v>
      </c>
      <c r="B857" s="426" t="s">
        <v>319</v>
      </c>
    </row>
    <row r="858" spans="1:2" ht="15" hidden="1" x14ac:dyDescent="0.25">
      <c r="A858" s="426" t="s">
        <v>854</v>
      </c>
      <c r="B858" s="426" t="s">
        <v>855</v>
      </c>
    </row>
    <row r="859" spans="1:2" ht="15" hidden="1" x14ac:dyDescent="0.25">
      <c r="A859" s="426" t="s">
        <v>401</v>
      </c>
      <c r="B859" s="426" t="s">
        <v>402</v>
      </c>
    </row>
    <row r="860" spans="1:2" ht="15" hidden="1" x14ac:dyDescent="0.25">
      <c r="A860" s="426" t="s">
        <v>401</v>
      </c>
      <c r="B860" s="426" t="s">
        <v>402</v>
      </c>
    </row>
    <row r="861" spans="1:2" ht="15" hidden="1" x14ac:dyDescent="0.25">
      <c r="A861" s="426" t="s">
        <v>401</v>
      </c>
      <c r="B861" s="426" t="s">
        <v>402</v>
      </c>
    </row>
    <row r="862" spans="1:2" ht="15" hidden="1" x14ac:dyDescent="0.25">
      <c r="A862" s="426" t="s">
        <v>401</v>
      </c>
      <c r="B862" s="426" t="s">
        <v>402</v>
      </c>
    </row>
    <row r="863" spans="1:2" ht="15" hidden="1" x14ac:dyDescent="0.25">
      <c r="A863" s="426" t="s">
        <v>401</v>
      </c>
      <c r="B863" s="426" t="s">
        <v>402</v>
      </c>
    </row>
    <row r="864" spans="1:2" ht="15" hidden="1" x14ac:dyDescent="0.25">
      <c r="A864" s="426" t="s">
        <v>401</v>
      </c>
      <c r="B864" s="426" t="s">
        <v>402</v>
      </c>
    </row>
    <row r="865" spans="1:2" ht="15" hidden="1" x14ac:dyDescent="0.25">
      <c r="A865" s="426" t="s">
        <v>401</v>
      </c>
      <c r="B865" s="426" t="s">
        <v>402</v>
      </c>
    </row>
    <row r="866" spans="1:2" ht="15" hidden="1" x14ac:dyDescent="0.25">
      <c r="A866" s="426" t="s">
        <v>401</v>
      </c>
      <c r="B866" s="426" t="s">
        <v>402</v>
      </c>
    </row>
    <row r="867" spans="1:2" ht="15" hidden="1" x14ac:dyDescent="0.25">
      <c r="A867" s="426" t="s">
        <v>401</v>
      </c>
      <c r="B867" s="426" t="s">
        <v>402</v>
      </c>
    </row>
    <row r="868" spans="1:2" ht="15" hidden="1" x14ac:dyDescent="0.25">
      <c r="A868" s="426" t="s">
        <v>401</v>
      </c>
      <c r="B868" s="426" t="s">
        <v>402</v>
      </c>
    </row>
    <row r="869" spans="1:2" ht="15" hidden="1" x14ac:dyDescent="0.25">
      <c r="A869" s="426" t="s">
        <v>401</v>
      </c>
      <c r="B869" s="426" t="s">
        <v>402</v>
      </c>
    </row>
    <row r="870" spans="1:2" ht="15" hidden="1" x14ac:dyDescent="0.25">
      <c r="A870" s="426" t="s">
        <v>401</v>
      </c>
      <c r="B870" s="426" t="s">
        <v>402</v>
      </c>
    </row>
    <row r="871" spans="1:2" ht="15" hidden="1" x14ac:dyDescent="0.25">
      <c r="A871" s="426" t="s">
        <v>401</v>
      </c>
      <c r="B871" s="426" t="s">
        <v>402</v>
      </c>
    </row>
    <row r="872" spans="1:2" ht="15" hidden="1" x14ac:dyDescent="0.25">
      <c r="A872" s="426" t="s">
        <v>856</v>
      </c>
      <c r="B872" s="426" t="s">
        <v>857</v>
      </c>
    </row>
    <row r="873" spans="1:2" ht="15" hidden="1" x14ac:dyDescent="0.25">
      <c r="A873" s="426" t="s">
        <v>856</v>
      </c>
      <c r="B873" s="426" t="s">
        <v>857</v>
      </c>
    </row>
    <row r="874" spans="1:2" ht="15" hidden="1" x14ac:dyDescent="0.25">
      <c r="A874" s="426" t="s">
        <v>856</v>
      </c>
      <c r="B874" s="426" t="s">
        <v>857</v>
      </c>
    </row>
    <row r="875" spans="1:2" ht="15" hidden="1" x14ac:dyDescent="0.25">
      <c r="A875" s="426" t="s">
        <v>856</v>
      </c>
      <c r="B875" s="426" t="s">
        <v>857</v>
      </c>
    </row>
    <row r="876" spans="1:2" ht="15" hidden="1" x14ac:dyDescent="0.25">
      <c r="A876" s="426" t="s">
        <v>856</v>
      </c>
      <c r="B876" s="426" t="s">
        <v>857</v>
      </c>
    </row>
    <row r="877" spans="1:2" ht="15" hidden="1" x14ac:dyDescent="0.25">
      <c r="A877" s="426" t="s">
        <v>856</v>
      </c>
      <c r="B877" s="426" t="s">
        <v>857</v>
      </c>
    </row>
    <row r="878" spans="1:2" ht="15" hidden="1" x14ac:dyDescent="0.25">
      <c r="A878" s="426" t="s">
        <v>856</v>
      </c>
      <c r="B878" s="426" t="s">
        <v>857</v>
      </c>
    </row>
    <row r="879" spans="1:2" ht="15" hidden="1" x14ac:dyDescent="0.25">
      <c r="A879" s="426" t="s">
        <v>856</v>
      </c>
      <c r="B879" s="426" t="s">
        <v>857</v>
      </c>
    </row>
    <row r="880" spans="1:2" ht="15" hidden="1" x14ac:dyDescent="0.25">
      <c r="A880" s="426" t="s">
        <v>856</v>
      </c>
      <c r="B880" s="426" t="s">
        <v>857</v>
      </c>
    </row>
    <row r="881" spans="1:2" ht="15" hidden="1" x14ac:dyDescent="0.25">
      <c r="A881" s="426" t="s">
        <v>856</v>
      </c>
      <c r="B881" s="426" t="s">
        <v>857</v>
      </c>
    </row>
    <row r="882" spans="1:2" ht="15" hidden="1" x14ac:dyDescent="0.25">
      <c r="A882" s="426" t="s">
        <v>186</v>
      </c>
      <c r="B882" s="426" t="s">
        <v>321</v>
      </c>
    </row>
    <row r="883" spans="1:2" ht="15" hidden="1" x14ac:dyDescent="0.25">
      <c r="A883" s="426" t="s">
        <v>186</v>
      </c>
      <c r="B883" s="426" t="s">
        <v>321</v>
      </c>
    </row>
    <row r="884" spans="1:2" ht="15" hidden="1" x14ac:dyDescent="0.25">
      <c r="A884" s="426" t="s">
        <v>186</v>
      </c>
      <c r="B884" s="426" t="s">
        <v>321</v>
      </c>
    </row>
    <row r="885" spans="1:2" ht="15" hidden="1" x14ac:dyDescent="0.25">
      <c r="A885" s="426" t="s">
        <v>186</v>
      </c>
      <c r="B885" s="426" t="s">
        <v>321</v>
      </c>
    </row>
    <row r="886" spans="1:2" ht="15" hidden="1" x14ac:dyDescent="0.25">
      <c r="A886" s="426" t="s">
        <v>187</v>
      </c>
      <c r="B886" s="426" t="s">
        <v>322</v>
      </c>
    </row>
    <row r="887" spans="1:2" ht="15" hidden="1" x14ac:dyDescent="0.25">
      <c r="A887" s="426" t="s">
        <v>188</v>
      </c>
      <c r="B887" s="426" t="s">
        <v>323</v>
      </c>
    </row>
    <row r="888" spans="1:2" ht="15" hidden="1" x14ac:dyDescent="0.25">
      <c r="A888" s="426" t="s">
        <v>858</v>
      </c>
      <c r="B888" s="426" t="s">
        <v>858</v>
      </c>
    </row>
    <row r="889" spans="1:2" ht="15" hidden="1" x14ac:dyDescent="0.25">
      <c r="A889" s="426" t="s">
        <v>859</v>
      </c>
      <c r="B889" s="426" t="s">
        <v>859</v>
      </c>
    </row>
    <row r="890" spans="1:2" ht="15" hidden="1" x14ac:dyDescent="0.25">
      <c r="A890" s="426" t="s">
        <v>859</v>
      </c>
      <c r="B890" s="426" t="s">
        <v>859</v>
      </c>
    </row>
    <row r="891" spans="1:2" ht="15" hidden="1" x14ac:dyDescent="0.25">
      <c r="A891" s="426" t="s">
        <v>860</v>
      </c>
      <c r="B891" s="426" t="s">
        <v>860</v>
      </c>
    </row>
    <row r="892" spans="1:2" ht="15" hidden="1" x14ac:dyDescent="0.25">
      <c r="A892" s="426" t="s">
        <v>860</v>
      </c>
      <c r="B892" s="426" t="s">
        <v>860</v>
      </c>
    </row>
    <row r="893" spans="1:2" ht="15" hidden="1" x14ac:dyDescent="0.25">
      <c r="A893" s="426" t="s">
        <v>861</v>
      </c>
      <c r="B893" s="426" t="s">
        <v>861</v>
      </c>
    </row>
    <row r="894" spans="1:2" ht="15" hidden="1" x14ac:dyDescent="0.25">
      <c r="A894" s="426" t="s">
        <v>862</v>
      </c>
      <c r="B894" s="426" t="s">
        <v>862</v>
      </c>
    </row>
    <row r="895" spans="1:2" ht="15" hidden="1" x14ac:dyDescent="0.25">
      <c r="A895" s="426" t="s">
        <v>863</v>
      </c>
      <c r="B895" s="426" t="s">
        <v>863</v>
      </c>
    </row>
    <row r="896" spans="1:2" ht="15" hidden="1" x14ac:dyDescent="0.25">
      <c r="A896" s="426" t="s">
        <v>864</v>
      </c>
      <c r="B896" s="426" t="s">
        <v>864</v>
      </c>
    </row>
    <row r="897" spans="1:2" ht="15" hidden="1" x14ac:dyDescent="0.25">
      <c r="A897" s="426" t="s">
        <v>865</v>
      </c>
      <c r="B897" s="426" t="s">
        <v>865</v>
      </c>
    </row>
    <row r="898" spans="1:2" ht="15" hidden="1" x14ac:dyDescent="0.25">
      <c r="A898" s="426" t="s">
        <v>866</v>
      </c>
      <c r="B898" s="426" t="s">
        <v>866</v>
      </c>
    </row>
    <row r="899" spans="1:2" ht="15" hidden="1" x14ac:dyDescent="0.25">
      <c r="A899" s="426" t="s">
        <v>866</v>
      </c>
      <c r="B899" s="426" t="s">
        <v>866</v>
      </c>
    </row>
    <row r="900" spans="1:2" ht="15" hidden="1" x14ac:dyDescent="0.25">
      <c r="A900" s="426" t="s">
        <v>867</v>
      </c>
      <c r="B900" s="426" t="s">
        <v>867</v>
      </c>
    </row>
    <row r="901" spans="1:2" ht="15" hidden="1" x14ac:dyDescent="0.25">
      <c r="A901" s="426" t="s">
        <v>868</v>
      </c>
      <c r="B901" s="426" t="s">
        <v>868</v>
      </c>
    </row>
    <row r="902" spans="1:2" ht="15" hidden="1" x14ac:dyDescent="0.25">
      <c r="A902" s="426" t="s">
        <v>869</v>
      </c>
      <c r="B902" s="426" t="s">
        <v>869</v>
      </c>
    </row>
    <row r="903" spans="1:2" ht="15" hidden="1" x14ac:dyDescent="0.25">
      <c r="A903" s="426" t="s">
        <v>870</v>
      </c>
      <c r="B903" s="426" t="s">
        <v>870</v>
      </c>
    </row>
    <row r="904" spans="1:2" ht="15" hidden="1" x14ac:dyDescent="0.25">
      <c r="A904" s="426" t="s">
        <v>871</v>
      </c>
      <c r="B904" s="426" t="s">
        <v>871</v>
      </c>
    </row>
    <row r="905" spans="1:2" ht="15" hidden="1" x14ac:dyDescent="0.25">
      <c r="A905" s="426" t="s">
        <v>872</v>
      </c>
      <c r="B905" s="426" t="s">
        <v>872</v>
      </c>
    </row>
    <row r="906" spans="1:2" ht="15" hidden="1" x14ac:dyDescent="0.25">
      <c r="A906" s="426" t="s">
        <v>873</v>
      </c>
      <c r="B906" s="426" t="s">
        <v>873</v>
      </c>
    </row>
    <row r="907" spans="1:2" ht="15" hidden="1" x14ac:dyDescent="0.25">
      <c r="A907" s="426" t="s">
        <v>874</v>
      </c>
      <c r="B907" s="426" t="s">
        <v>874</v>
      </c>
    </row>
    <row r="908" spans="1:2" ht="15" hidden="1" x14ac:dyDescent="0.25">
      <c r="A908" s="426" t="s">
        <v>875</v>
      </c>
      <c r="B908" s="426" t="s">
        <v>875</v>
      </c>
    </row>
    <row r="909" spans="1:2" ht="15" hidden="1" x14ac:dyDescent="0.25">
      <c r="A909" s="426" t="s">
        <v>876</v>
      </c>
      <c r="B909" s="426" t="s">
        <v>876</v>
      </c>
    </row>
    <row r="910" spans="1:2" ht="15" hidden="1" x14ac:dyDescent="0.25">
      <c r="A910" s="426" t="s">
        <v>877</v>
      </c>
      <c r="B910" s="426" t="s">
        <v>877</v>
      </c>
    </row>
    <row r="911" spans="1:2" ht="15" hidden="1" x14ac:dyDescent="0.25">
      <c r="A911" s="426" t="s">
        <v>878</v>
      </c>
      <c r="B911" s="426" t="s">
        <v>878</v>
      </c>
    </row>
    <row r="912" spans="1:2" ht="15" hidden="1" x14ac:dyDescent="0.25">
      <c r="A912" s="426" t="s">
        <v>879</v>
      </c>
      <c r="B912" s="426" t="s">
        <v>879</v>
      </c>
    </row>
    <row r="913" spans="1:2" ht="15" hidden="1" x14ac:dyDescent="0.25">
      <c r="A913" s="426" t="s">
        <v>880</v>
      </c>
      <c r="B913" s="426" t="s">
        <v>880</v>
      </c>
    </row>
    <row r="914" spans="1:2" ht="15" hidden="1" x14ac:dyDescent="0.25">
      <c r="A914" s="426" t="s">
        <v>881</v>
      </c>
      <c r="B914" s="426" t="s">
        <v>881</v>
      </c>
    </row>
    <row r="915" spans="1:2" ht="15" hidden="1" x14ac:dyDescent="0.25">
      <c r="A915" s="426" t="s">
        <v>882</v>
      </c>
      <c r="B915" s="426" t="s">
        <v>882</v>
      </c>
    </row>
    <row r="916" spans="1:2" ht="15" hidden="1" x14ac:dyDescent="0.25">
      <c r="A916" s="426" t="s">
        <v>883</v>
      </c>
      <c r="B916" s="426" t="s">
        <v>883</v>
      </c>
    </row>
    <row r="917" spans="1:2" ht="15" hidden="1" x14ac:dyDescent="0.25">
      <c r="A917" s="426" t="s">
        <v>884</v>
      </c>
      <c r="B917" s="426" t="s">
        <v>884</v>
      </c>
    </row>
    <row r="918" spans="1:2" ht="15" hidden="1" x14ac:dyDescent="0.25">
      <c r="A918" s="426" t="s">
        <v>885</v>
      </c>
      <c r="B918" s="426" t="s">
        <v>885</v>
      </c>
    </row>
    <row r="919" spans="1:2" ht="15" hidden="1" x14ac:dyDescent="0.25">
      <c r="A919" s="426" t="s">
        <v>886</v>
      </c>
      <c r="B919" s="426" t="s">
        <v>886</v>
      </c>
    </row>
    <row r="920" spans="1:2" ht="15" hidden="1" x14ac:dyDescent="0.25">
      <c r="A920" s="426" t="s">
        <v>887</v>
      </c>
      <c r="B920" s="426" t="s">
        <v>887</v>
      </c>
    </row>
    <row r="921" spans="1:2" ht="15" hidden="1" x14ac:dyDescent="0.25">
      <c r="A921" s="426" t="s">
        <v>887</v>
      </c>
      <c r="B921" s="426" t="s">
        <v>887</v>
      </c>
    </row>
    <row r="922" spans="1:2" ht="15" hidden="1" x14ac:dyDescent="0.25">
      <c r="A922" s="426" t="s">
        <v>888</v>
      </c>
      <c r="B922" s="426" t="s">
        <v>888</v>
      </c>
    </row>
    <row r="923" spans="1:2" ht="15" hidden="1" x14ac:dyDescent="0.25">
      <c r="A923" s="426" t="s">
        <v>889</v>
      </c>
      <c r="B923" s="426" t="s">
        <v>889</v>
      </c>
    </row>
    <row r="924" spans="1:2" ht="15" hidden="1" x14ac:dyDescent="0.25">
      <c r="A924" s="426" t="s">
        <v>890</v>
      </c>
      <c r="B924" s="426" t="s">
        <v>890</v>
      </c>
    </row>
    <row r="925" spans="1:2" ht="15" hidden="1" x14ac:dyDescent="0.25">
      <c r="A925" s="426" t="s">
        <v>891</v>
      </c>
      <c r="B925" s="426" t="s">
        <v>891</v>
      </c>
    </row>
    <row r="926" spans="1:2" ht="15" hidden="1" x14ac:dyDescent="0.25">
      <c r="A926" s="426" t="s">
        <v>892</v>
      </c>
      <c r="B926" s="426" t="s">
        <v>892</v>
      </c>
    </row>
    <row r="927" spans="1:2" ht="15" hidden="1" x14ac:dyDescent="0.25">
      <c r="A927" s="426" t="s">
        <v>893</v>
      </c>
      <c r="B927" s="426" t="s">
        <v>893</v>
      </c>
    </row>
    <row r="928" spans="1:2" ht="15" hidden="1" x14ac:dyDescent="0.25">
      <c r="A928" s="426" t="s">
        <v>894</v>
      </c>
      <c r="B928" s="426" t="s">
        <v>894</v>
      </c>
    </row>
    <row r="929" spans="1:2" ht="15" hidden="1" x14ac:dyDescent="0.25">
      <c r="A929" s="426" t="s">
        <v>895</v>
      </c>
      <c r="B929" s="426" t="s">
        <v>895</v>
      </c>
    </row>
    <row r="930" spans="1:2" ht="15" hidden="1" x14ac:dyDescent="0.25">
      <c r="A930" s="426" t="s">
        <v>896</v>
      </c>
      <c r="B930" s="426" t="s">
        <v>896</v>
      </c>
    </row>
    <row r="931" spans="1:2" ht="15" hidden="1" x14ac:dyDescent="0.25">
      <c r="A931" s="426" t="s">
        <v>897</v>
      </c>
      <c r="B931" s="426" t="s">
        <v>897</v>
      </c>
    </row>
    <row r="932" spans="1:2" ht="15" hidden="1" x14ac:dyDescent="0.25">
      <c r="A932" s="426" t="s">
        <v>897</v>
      </c>
      <c r="B932" s="426" t="s">
        <v>897</v>
      </c>
    </row>
    <row r="933" spans="1:2" ht="15" hidden="1" x14ac:dyDescent="0.25">
      <c r="A933" s="426" t="s">
        <v>898</v>
      </c>
      <c r="B933" s="426" t="s">
        <v>898</v>
      </c>
    </row>
    <row r="934" spans="1:2" ht="15" hidden="1" x14ac:dyDescent="0.25">
      <c r="A934" s="426" t="s">
        <v>899</v>
      </c>
      <c r="B934" s="426" t="s">
        <v>899</v>
      </c>
    </row>
    <row r="935" spans="1:2" ht="15" hidden="1" x14ac:dyDescent="0.25">
      <c r="A935" s="426" t="s">
        <v>900</v>
      </c>
      <c r="B935" s="426" t="s">
        <v>900</v>
      </c>
    </row>
    <row r="936" spans="1:2" ht="15" hidden="1" x14ac:dyDescent="0.25">
      <c r="A936" s="426" t="s">
        <v>901</v>
      </c>
      <c r="B936" s="426" t="s">
        <v>901</v>
      </c>
    </row>
    <row r="937" spans="1:2" ht="15" hidden="1" x14ac:dyDescent="0.25">
      <c r="A937" s="426" t="s">
        <v>902</v>
      </c>
      <c r="B937" s="426" t="s">
        <v>902</v>
      </c>
    </row>
    <row r="938" spans="1:2" ht="15" hidden="1" x14ac:dyDescent="0.25">
      <c r="A938" s="426" t="s">
        <v>903</v>
      </c>
      <c r="B938" s="426" t="s">
        <v>903</v>
      </c>
    </row>
    <row r="939" spans="1:2" ht="15" hidden="1" x14ac:dyDescent="0.25">
      <c r="A939" s="426" t="s">
        <v>904</v>
      </c>
      <c r="B939" s="426" t="s">
        <v>904</v>
      </c>
    </row>
    <row r="940" spans="1:2" ht="15" hidden="1" x14ac:dyDescent="0.25">
      <c r="A940" s="426" t="s">
        <v>905</v>
      </c>
      <c r="B940" s="426" t="s">
        <v>905</v>
      </c>
    </row>
    <row r="941" spans="1:2" ht="15" hidden="1" x14ac:dyDescent="0.25">
      <c r="A941" s="426" t="s">
        <v>906</v>
      </c>
      <c r="B941" s="426" t="s">
        <v>906</v>
      </c>
    </row>
    <row r="942" spans="1:2" ht="15" hidden="1" x14ac:dyDescent="0.25">
      <c r="A942" s="426" t="s">
        <v>907</v>
      </c>
      <c r="B942" s="426" t="s">
        <v>907</v>
      </c>
    </row>
    <row r="943" spans="1:2" ht="15" hidden="1" x14ac:dyDescent="0.25">
      <c r="A943" s="426" t="s">
        <v>907</v>
      </c>
      <c r="B943" s="426" t="s">
        <v>907</v>
      </c>
    </row>
    <row r="944" spans="1:2" ht="15" hidden="1" x14ac:dyDescent="0.25">
      <c r="A944" s="426" t="s">
        <v>908</v>
      </c>
      <c r="B944" s="426" t="s">
        <v>908</v>
      </c>
    </row>
    <row r="945" spans="1:2" ht="15" hidden="1" x14ac:dyDescent="0.25">
      <c r="A945" s="426" t="s">
        <v>909</v>
      </c>
      <c r="B945" s="426" t="s">
        <v>909</v>
      </c>
    </row>
    <row r="946" spans="1:2" ht="15" hidden="1" x14ac:dyDescent="0.25">
      <c r="A946" s="426" t="s">
        <v>910</v>
      </c>
      <c r="B946" s="426" t="s">
        <v>910</v>
      </c>
    </row>
    <row r="947" spans="1:2" ht="15" hidden="1" x14ac:dyDescent="0.25">
      <c r="A947" s="426" t="s">
        <v>910</v>
      </c>
      <c r="B947" s="426" t="s">
        <v>910</v>
      </c>
    </row>
    <row r="948" spans="1:2" ht="15" hidden="1" x14ac:dyDescent="0.25">
      <c r="A948" s="426" t="s">
        <v>911</v>
      </c>
      <c r="B948" s="426" t="s">
        <v>911</v>
      </c>
    </row>
    <row r="949" spans="1:2" ht="15" hidden="1" x14ac:dyDescent="0.25">
      <c r="A949" s="426" t="s">
        <v>912</v>
      </c>
      <c r="B949" s="426" t="s">
        <v>912</v>
      </c>
    </row>
    <row r="950" spans="1:2" ht="15" hidden="1" x14ac:dyDescent="0.25">
      <c r="A950" s="426" t="s">
        <v>913</v>
      </c>
      <c r="B950" s="426" t="s">
        <v>913</v>
      </c>
    </row>
    <row r="951" spans="1:2" ht="15" hidden="1" x14ac:dyDescent="0.25">
      <c r="A951" s="426" t="s">
        <v>914</v>
      </c>
      <c r="B951" s="426" t="s">
        <v>914</v>
      </c>
    </row>
    <row r="952" spans="1:2" ht="15" hidden="1" x14ac:dyDescent="0.25">
      <c r="A952" s="426" t="s">
        <v>915</v>
      </c>
      <c r="B952" s="426" t="s">
        <v>915</v>
      </c>
    </row>
    <row r="953" spans="1:2" ht="15" hidden="1" x14ac:dyDescent="0.25">
      <c r="A953" s="426" t="s">
        <v>916</v>
      </c>
      <c r="B953" s="426" t="s">
        <v>916</v>
      </c>
    </row>
    <row r="954" spans="1:2" ht="15" hidden="1" x14ac:dyDescent="0.25">
      <c r="A954" s="426" t="s">
        <v>917</v>
      </c>
      <c r="B954" s="426" t="s">
        <v>917</v>
      </c>
    </row>
    <row r="955" spans="1:2" ht="15" hidden="1" x14ac:dyDescent="0.25">
      <c r="A955" s="426" t="s">
        <v>918</v>
      </c>
      <c r="B955" s="426" t="s">
        <v>918</v>
      </c>
    </row>
    <row r="956" spans="1:2" ht="15" hidden="1" x14ac:dyDescent="0.25">
      <c r="A956" s="426" t="s">
        <v>919</v>
      </c>
      <c r="B956" s="426" t="s">
        <v>919</v>
      </c>
    </row>
    <row r="957" spans="1:2" ht="15" hidden="1" x14ac:dyDescent="0.25">
      <c r="A957" s="426" t="s">
        <v>920</v>
      </c>
      <c r="B957" s="426" t="s">
        <v>920</v>
      </c>
    </row>
    <row r="958" spans="1:2" ht="15" hidden="1" x14ac:dyDescent="0.25">
      <c r="A958" s="426" t="s">
        <v>921</v>
      </c>
      <c r="B958" s="426" t="s">
        <v>921</v>
      </c>
    </row>
    <row r="959" spans="1:2" ht="15" hidden="1" x14ac:dyDescent="0.25">
      <c r="A959" s="426" t="s">
        <v>922</v>
      </c>
      <c r="B959" s="426" t="s">
        <v>922</v>
      </c>
    </row>
    <row r="960" spans="1:2" ht="15" hidden="1" x14ac:dyDescent="0.25">
      <c r="A960" s="426" t="s">
        <v>923</v>
      </c>
      <c r="B960" s="426" t="s">
        <v>923</v>
      </c>
    </row>
    <row r="961" spans="1:2" ht="15" hidden="1" x14ac:dyDescent="0.25">
      <c r="A961" s="426" t="s">
        <v>924</v>
      </c>
      <c r="B961" s="426" t="s">
        <v>924</v>
      </c>
    </row>
    <row r="962" spans="1:2" ht="15" hidden="1" x14ac:dyDescent="0.25">
      <c r="A962" s="426" t="s">
        <v>925</v>
      </c>
      <c r="B962" s="426" t="s">
        <v>925</v>
      </c>
    </row>
    <row r="963" spans="1:2" ht="15" hidden="1" x14ac:dyDescent="0.25">
      <c r="A963" s="426" t="s">
        <v>926</v>
      </c>
      <c r="B963" s="426" t="s">
        <v>926</v>
      </c>
    </row>
    <row r="964" spans="1:2" ht="15" hidden="1" x14ac:dyDescent="0.25">
      <c r="A964" s="426" t="s">
        <v>927</v>
      </c>
      <c r="B964" s="426" t="s">
        <v>927</v>
      </c>
    </row>
    <row r="965" spans="1:2" ht="15" hidden="1" x14ac:dyDescent="0.25">
      <c r="A965" s="426" t="s">
        <v>928</v>
      </c>
      <c r="B965" s="426" t="s">
        <v>928</v>
      </c>
    </row>
    <row r="966" spans="1:2" ht="15" hidden="1" x14ac:dyDescent="0.25">
      <c r="A966" s="426" t="s">
        <v>929</v>
      </c>
      <c r="B966" s="426" t="s">
        <v>929</v>
      </c>
    </row>
    <row r="967" spans="1:2" ht="15" hidden="1" x14ac:dyDescent="0.25">
      <c r="A967" s="426" t="s">
        <v>930</v>
      </c>
      <c r="B967" s="426" t="s">
        <v>930</v>
      </c>
    </row>
    <row r="968" spans="1:2" ht="15" hidden="1" x14ac:dyDescent="0.25">
      <c r="A968" s="426" t="s">
        <v>931</v>
      </c>
      <c r="B968" s="426" t="s">
        <v>931</v>
      </c>
    </row>
    <row r="969" spans="1:2" ht="15" hidden="1" x14ac:dyDescent="0.25">
      <c r="A969" s="426" t="s">
        <v>931</v>
      </c>
      <c r="B969" s="426" t="s">
        <v>931</v>
      </c>
    </row>
    <row r="970" spans="1:2" ht="15" hidden="1" x14ac:dyDescent="0.25">
      <c r="A970" s="426" t="s">
        <v>932</v>
      </c>
      <c r="B970" s="426" t="s">
        <v>932</v>
      </c>
    </row>
    <row r="971" spans="1:2" ht="15" hidden="1" x14ac:dyDescent="0.25">
      <c r="A971" s="426" t="s">
        <v>932</v>
      </c>
      <c r="B971" s="426" t="s">
        <v>932</v>
      </c>
    </row>
    <row r="972" spans="1:2" ht="15" hidden="1" x14ac:dyDescent="0.25">
      <c r="A972" s="426" t="s">
        <v>933</v>
      </c>
      <c r="B972" s="426" t="s">
        <v>933</v>
      </c>
    </row>
    <row r="973" spans="1:2" ht="15" hidden="1" x14ac:dyDescent="0.25">
      <c r="A973" s="426" t="s">
        <v>934</v>
      </c>
      <c r="B973" s="426" t="s">
        <v>934</v>
      </c>
    </row>
    <row r="974" spans="1:2" ht="15" hidden="1" x14ac:dyDescent="0.25">
      <c r="A974" s="426" t="s">
        <v>935</v>
      </c>
      <c r="B974" s="426" t="s">
        <v>935</v>
      </c>
    </row>
    <row r="975" spans="1:2" ht="15" hidden="1" x14ac:dyDescent="0.25">
      <c r="A975" s="426" t="s">
        <v>936</v>
      </c>
      <c r="B975" s="426" t="s">
        <v>936</v>
      </c>
    </row>
    <row r="976" spans="1:2" ht="15" hidden="1" x14ac:dyDescent="0.25">
      <c r="A976" s="426" t="s">
        <v>937</v>
      </c>
      <c r="B976" s="426" t="s">
        <v>937</v>
      </c>
    </row>
    <row r="977" spans="1:2" ht="15" hidden="1" x14ac:dyDescent="0.25">
      <c r="A977" s="426" t="s">
        <v>937</v>
      </c>
      <c r="B977" s="426" t="s">
        <v>937</v>
      </c>
    </row>
    <row r="978" spans="1:2" ht="15" hidden="1" x14ac:dyDescent="0.25">
      <c r="A978" s="426" t="s">
        <v>938</v>
      </c>
      <c r="B978" s="426" t="s">
        <v>938</v>
      </c>
    </row>
    <row r="979" spans="1:2" ht="15" hidden="1" x14ac:dyDescent="0.25">
      <c r="A979" s="426" t="s">
        <v>939</v>
      </c>
      <c r="B979" s="426" t="s">
        <v>939</v>
      </c>
    </row>
    <row r="980" spans="1:2" ht="15" hidden="1" x14ac:dyDescent="0.25">
      <c r="A980" s="426" t="s">
        <v>940</v>
      </c>
      <c r="B980" s="426" t="s">
        <v>940</v>
      </c>
    </row>
    <row r="981" spans="1:2" ht="15" hidden="1" x14ac:dyDescent="0.25">
      <c r="A981" s="426" t="s">
        <v>941</v>
      </c>
      <c r="B981" s="426" t="s">
        <v>941</v>
      </c>
    </row>
    <row r="982" spans="1:2" ht="15" hidden="1" x14ac:dyDescent="0.25">
      <c r="A982" s="426" t="s">
        <v>942</v>
      </c>
      <c r="B982" s="426" t="s">
        <v>942</v>
      </c>
    </row>
    <row r="983" spans="1:2" ht="15" hidden="1" x14ac:dyDescent="0.25">
      <c r="A983" s="426" t="s">
        <v>943</v>
      </c>
      <c r="B983" s="426" t="s">
        <v>943</v>
      </c>
    </row>
    <row r="984" spans="1:2" ht="15" hidden="1" x14ac:dyDescent="0.25">
      <c r="A984" s="426" t="s">
        <v>944</v>
      </c>
      <c r="B984" s="426" t="s">
        <v>944</v>
      </c>
    </row>
    <row r="985" spans="1:2" ht="15" hidden="1" x14ac:dyDescent="0.25">
      <c r="A985" s="426" t="s">
        <v>945</v>
      </c>
      <c r="B985" s="426" t="s">
        <v>945</v>
      </c>
    </row>
    <row r="986" spans="1:2" ht="15" hidden="1" x14ac:dyDescent="0.25">
      <c r="A986" s="426" t="s">
        <v>946</v>
      </c>
      <c r="B986" s="426" t="s">
        <v>946</v>
      </c>
    </row>
    <row r="987" spans="1:2" ht="15" hidden="1" x14ac:dyDescent="0.25">
      <c r="A987" s="426" t="s">
        <v>946</v>
      </c>
      <c r="B987" s="426" t="s">
        <v>946</v>
      </c>
    </row>
    <row r="988" spans="1:2" ht="15" hidden="1" x14ac:dyDescent="0.25">
      <c r="A988" s="426" t="s">
        <v>947</v>
      </c>
      <c r="B988" s="426" t="s">
        <v>947</v>
      </c>
    </row>
    <row r="989" spans="1:2" ht="15" hidden="1" x14ac:dyDescent="0.25">
      <c r="A989" s="426" t="s">
        <v>948</v>
      </c>
      <c r="B989" s="426" t="s">
        <v>948</v>
      </c>
    </row>
    <row r="990" spans="1:2" ht="15" hidden="1" x14ac:dyDescent="0.25">
      <c r="A990" s="426" t="s">
        <v>948</v>
      </c>
      <c r="B990" s="426" t="s">
        <v>948</v>
      </c>
    </row>
    <row r="991" spans="1:2" ht="15" hidden="1" x14ac:dyDescent="0.25">
      <c r="A991" s="426" t="s">
        <v>949</v>
      </c>
      <c r="B991" s="426" t="s">
        <v>949</v>
      </c>
    </row>
    <row r="992" spans="1:2" ht="15" hidden="1" x14ac:dyDescent="0.25">
      <c r="A992" s="426" t="s">
        <v>950</v>
      </c>
      <c r="B992" s="426" t="s">
        <v>950</v>
      </c>
    </row>
    <row r="993" spans="1:2" ht="15" hidden="1" x14ac:dyDescent="0.25">
      <c r="A993" s="426" t="s">
        <v>951</v>
      </c>
      <c r="B993" s="426" t="s">
        <v>951</v>
      </c>
    </row>
    <row r="994" spans="1:2" ht="15" hidden="1" x14ac:dyDescent="0.25">
      <c r="A994" s="426" t="s">
        <v>951</v>
      </c>
      <c r="B994" s="426" t="s">
        <v>951</v>
      </c>
    </row>
    <row r="995" spans="1:2" ht="15" hidden="1" x14ac:dyDescent="0.25">
      <c r="A995" s="426" t="s">
        <v>952</v>
      </c>
      <c r="B995" s="426" t="s">
        <v>952</v>
      </c>
    </row>
    <row r="996" spans="1:2" ht="15" hidden="1" x14ac:dyDescent="0.25">
      <c r="A996" s="426" t="s">
        <v>953</v>
      </c>
      <c r="B996" s="426" t="s">
        <v>953</v>
      </c>
    </row>
    <row r="997" spans="1:2" ht="15" hidden="1" x14ac:dyDescent="0.25">
      <c r="A997" s="426" t="s">
        <v>954</v>
      </c>
      <c r="B997" s="426" t="s">
        <v>954</v>
      </c>
    </row>
    <row r="998" spans="1:2" ht="15" hidden="1" x14ac:dyDescent="0.25">
      <c r="A998" s="426" t="s">
        <v>955</v>
      </c>
      <c r="B998" s="426" t="s">
        <v>955</v>
      </c>
    </row>
    <row r="999" spans="1:2" ht="15" hidden="1" x14ac:dyDescent="0.25">
      <c r="A999" s="426" t="s">
        <v>956</v>
      </c>
      <c r="B999" s="426" t="s">
        <v>956</v>
      </c>
    </row>
    <row r="1000" spans="1:2" ht="15" hidden="1" x14ac:dyDescent="0.25">
      <c r="A1000" s="426" t="s">
        <v>957</v>
      </c>
      <c r="B1000" s="426" t="s">
        <v>957</v>
      </c>
    </row>
    <row r="1001" spans="1:2" ht="15" hidden="1" x14ac:dyDescent="0.25">
      <c r="A1001" s="426" t="s">
        <v>957</v>
      </c>
      <c r="B1001" s="426" t="s">
        <v>957</v>
      </c>
    </row>
    <row r="1002" spans="1:2" ht="15" hidden="1" x14ac:dyDescent="0.25">
      <c r="A1002" s="426" t="s">
        <v>958</v>
      </c>
      <c r="B1002" s="426" t="s">
        <v>958</v>
      </c>
    </row>
    <row r="1003" spans="1:2" ht="15" hidden="1" x14ac:dyDescent="0.25">
      <c r="A1003" s="426" t="s">
        <v>959</v>
      </c>
      <c r="B1003" s="426" t="s">
        <v>959</v>
      </c>
    </row>
    <row r="1004" spans="1:2" ht="15" hidden="1" x14ac:dyDescent="0.25">
      <c r="A1004" s="426" t="s">
        <v>959</v>
      </c>
      <c r="B1004" s="426" t="s">
        <v>959</v>
      </c>
    </row>
    <row r="1005" spans="1:2" ht="15" hidden="1" x14ac:dyDescent="0.25">
      <c r="A1005" s="426" t="s">
        <v>960</v>
      </c>
      <c r="B1005" s="426" t="s">
        <v>960</v>
      </c>
    </row>
    <row r="1006" spans="1:2" ht="15" hidden="1" x14ac:dyDescent="0.25">
      <c r="A1006" s="426" t="s">
        <v>961</v>
      </c>
      <c r="B1006" s="426" t="s">
        <v>961</v>
      </c>
    </row>
    <row r="1007" spans="1:2" ht="15" hidden="1" x14ac:dyDescent="0.25">
      <c r="A1007" s="426" t="s">
        <v>962</v>
      </c>
      <c r="B1007" s="426" t="s">
        <v>962</v>
      </c>
    </row>
    <row r="1008" spans="1:2" ht="15" hidden="1" x14ac:dyDescent="0.25">
      <c r="A1008" s="426" t="s">
        <v>963</v>
      </c>
      <c r="B1008" s="426" t="s">
        <v>963</v>
      </c>
    </row>
    <row r="1009" spans="1:2" ht="15" hidden="1" x14ac:dyDescent="0.25">
      <c r="A1009" s="426" t="s">
        <v>964</v>
      </c>
      <c r="B1009" s="426" t="s">
        <v>964</v>
      </c>
    </row>
    <row r="1010" spans="1:2" ht="15" hidden="1" x14ac:dyDescent="0.25">
      <c r="A1010" s="426" t="s">
        <v>965</v>
      </c>
      <c r="B1010" s="426" t="s">
        <v>965</v>
      </c>
    </row>
    <row r="1011" spans="1:2" ht="15" hidden="1" x14ac:dyDescent="0.25">
      <c r="A1011" s="426" t="s">
        <v>966</v>
      </c>
      <c r="B1011" s="426" t="s">
        <v>966</v>
      </c>
    </row>
    <row r="1012" spans="1:2" ht="15" hidden="1" x14ac:dyDescent="0.25">
      <c r="A1012" s="426" t="s">
        <v>967</v>
      </c>
      <c r="B1012" s="426" t="s">
        <v>967</v>
      </c>
    </row>
    <row r="1013" spans="1:2" ht="15" hidden="1" x14ac:dyDescent="0.25">
      <c r="A1013" s="426" t="s">
        <v>967</v>
      </c>
      <c r="B1013" s="426" t="s">
        <v>967</v>
      </c>
    </row>
    <row r="1014" spans="1:2" ht="15" hidden="1" x14ac:dyDescent="0.25">
      <c r="A1014" s="426" t="s">
        <v>968</v>
      </c>
      <c r="B1014" s="426" t="s">
        <v>968</v>
      </c>
    </row>
    <row r="1015" spans="1:2" ht="15" hidden="1" x14ac:dyDescent="0.25">
      <c r="A1015" s="426" t="s">
        <v>969</v>
      </c>
      <c r="B1015" s="426" t="s">
        <v>969</v>
      </c>
    </row>
    <row r="1016" spans="1:2" ht="15" hidden="1" x14ac:dyDescent="0.25">
      <c r="A1016" s="426" t="s">
        <v>970</v>
      </c>
      <c r="B1016" s="426" t="s">
        <v>970</v>
      </c>
    </row>
    <row r="1017" spans="1:2" ht="15" hidden="1" x14ac:dyDescent="0.25">
      <c r="A1017" s="426" t="s">
        <v>971</v>
      </c>
      <c r="B1017" s="426" t="s">
        <v>971</v>
      </c>
    </row>
    <row r="1018" spans="1:2" ht="15" hidden="1" x14ac:dyDescent="0.25">
      <c r="A1018" s="426" t="s">
        <v>972</v>
      </c>
      <c r="B1018" s="426" t="s">
        <v>972</v>
      </c>
    </row>
    <row r="1019" spans="1:2" ht="15" hidden="1" x14ac:dyDescent="0.25">
      <c r="A1019" s="426" t="s">
        <v>973</v>
      </c>
      <c r="B1019" s="426" t="s">
        <v>973</v>
      </c>
    </row>
    <row r="1020" spans="1:2" ht="15" hidden="1" x14ac:dyDescent="0.25">
      <c r="A1020" s="426" t="s">
        <v>974</v>
      </c>
      <c r="B1020" s="426" t="s">
        <v>974</v>
      </c>
    </row>
    <row r="1021" spans="1:2" ht="15" hidden="1" x14ac:dyDescent="0.25">
      <c r="A1021" s="426" t="s">
        <v>975</v>
      </c>
      <c r="B1021" s="426" t="s">
        <v>975</v>
      </c>
    </row>
    <row r="1022" spans="1:2" ht="15" hidden="1" x14ac:dyDescent="0.25">
      <c r="A1022" s="426" t="s">
        <v>976</v>
      </c>
      <c r="B1022" s="426" t="s">
        <v>976</v>
      </c>
    </row>
    <row r="1023" spans="1:2" ht="15" hidden="1" x14ac:dyDescent="0.25">
      <c r="A1023" s="426" t="s">
        <v>977</v>
      </c>
      <c r="B1023" s="426" t="s">
        <v>977</v>
      </c>
    </row>
    <row r="1024" spans="1:2" ht="15" hidden="1" x14ac:dyDescent="0.25">
      <c r="A1024" s="426" t="s">
        <v>978</v>
      </c>
      <c r="B1024" s="426" t="s">
        <v>978</v>
      </c>
    </row>
    <row r="1025" spans="1:2" ht="15" hidden="1" x14ac:dyDescent="0.25">
      <c r="A1025" s="426" t="s">
        <v>979</v>
      </c>
      <c r="B1025" s="426" t="s">
        <v>979</v>
      </c>
    </row>
    <row r="1026" spans="1:2" ht="15" hidden="1" x14ac:dyDescent="0.25">
      <c r="A1026" s="426" t="s">
        <v>980</v>
      </c>
      <c r="B1026" s="426" t="s">
        <v>980</v>
      </c>
    </row>
    <row r="1027" spans="1:2" ht="15" hidden="1" x14ac:dyDescent="0.25">
      <c r="A1027" s="426" t="s">
        <v>981</v>
      </c>
      <c r="B1027" s="426" t="s">
        <v>981</v>
      </c>
    </row>
    <row r="1028" spans="1:2" ht="15" hidden="1" x14ac:dyDescent="0.25">
      <c r="A1028" s="426" t="s">
        <v>982</v>
      </c>
      <c r="B1028" s="426" t="s">
        <v>982</v>
      </c>
    </row>
    <row r="1029" spans="1:2" ht="15" hidden="1" x14ac:dyDescent="0.25">
      <c r="A1029" s="426" t="s">
        <v>983</v>
      </c>
      <c r="B1029" s="426" t="s">
        <v>983</v>
      </c>
    </row>
    <row r="1030" spans="1:2" ht="15" hidden="1" x14ac:dyDescent="0.25">
      <c r="A1030" s="426" t="s">
        <v>984</v>
      </c>
      <c r="B1030" s="426" t="s">
        <v>984</v>
      </c>
    </row>
    <row r="1031" spans="1:2" ht="15" hidden="1" x14ac:dyDescent="0.25">
      <c r="A1031" s="426" t="s">
        <v>985</v>
      </c>
      <c r="B1031" s="426" t="s">
        <v>985</v>
      </c>
    </row>
    <row r="1032" spans="1:2" ht="15" hidden="1" x14ac:dyDescent="0.25">
      <c r="A1032" s="426" t="s">
        <v>986</v>
      </c>
      <c r="B1032" s="426" t="s">
        <v>986</v>
      </c>
    </row>
    <row r="1033" spans="1:2" ht="15" hidden="1" x14ac:dyDescent="0.25">
      <c r="A1033" s="426" t="s">
        <v>987</v>
      </c>
      <c r="B1033" s="426" t="s">
        <v>987</v>
      </c>
    </row>
    <row r="1034" spans="1:2" ht="15" hidden="1" x14ac:dyDescent="0.25">
      <c r="A1034" s="426" t="s">
        <v>987</v>
      </c>
      <c r="B1034" s="426" t="s">
        <v>987</v>
      </c>
    </row>
    <row r="1035" spans="1:2" ht="15" hidden="1" x14ac:dyDescent="0.25">
      <c r="A1035" s="426" t="s">
        <v>988</v>
      </c>
      <c r="B1035" s="426" t="s">
        <v>988</v>
      </c>
    </row>
    <row r="1036" spans="1:2" ht="15" hidden="1" x14ac:dyDescent="0.25">
      <c r="A1036" s="426" t="s">
        <v>989</v>
      </c>
      <c r="B1036" s="426" t="s">
        <v>989</v>
      </c>
    </row>
    <row r="1037" spans="1:2" ht="15" hidden="1" x14ac:dyDescent="0.25">
      <c r="A1037" s="426" t="s">
        <v>990</v>
      </c>
      <c r="B1037" s="426" t="s">
        <v>990</v>
      </c>
    </row>
    <row r="1038" spans="1:2" ht="15" hidden="1" x14ac:dyDescent="0.25">
      <c r="A1038" s="426" t="s">
        <v>990</v>
      </c>
      <c r="B1038" s="426" t="s">
        <v>990</v>
      </c>
    </row>
    <row r="1039" spans="1:2" ht="15" hidden="1" x14ac:dyDescent="0.25">
      <c r="A1039" s="426" t="s">
        <v>991</v>
      </c>
      <c r="B1039" s="426" t="s">
        <v>991</v>
      </c>
    </row>
    <row r="1040" spans="1:2" ht="15" hidden="1" x14ac:dyDescent="0.25">
      <c r="A1040" s="426" t="s">
        <v>992</v>
      </c>
      <c r="B1040" s="426" t="s">
        <v>992</v>
      </c>
    </row>
    <row r="1041" spans="1:2" ht="15" hidden="1" x14ac:dyDescent="0.25">
      <c r="A1041" s="426" t="s">
        <v>993</v>
      </c>
      <c r="B1041" s="426" t="s">
        <v>993</v>
      </c>
    </row>
    <row r="1042" spans="1:2" ht="15" hidden="1" x14ac:dyDescent="0.25">
      <c r="A1042" s="426" t="s">
        <v>994</v>
      </c>
      <c r="B1042" s="426" t="s">
        <v>994</v>
      </c>
    </row>
    <row r="1043" spans="1:2" ht="15" hidden="1" x14ac:dyDescent="0.25">
      <c r="A1043" s="426" t="s">
        <v>995</v>
      </c>
      <c r="B1043" s="426" t="s">
        <v>995</v>
      </c>
    </row>
    <row r="1044" spans="1:2" ht="15" hidden="1" x14ac:dyDescent="0.25">
      <c r="A1044" s="426" t="s">
        <v>996</v>
      </c>
      <c r="B1044" s="426" t="s">
        <v>996</v>
      </c>
    </row>
    <row r="1045" spans="1:2" ht="15" hidden="1" x14ac:dyDescent="0.25">
      <c r="A1045" s="426" t="s">
        <v>996</v>
      </c>
      <c r="B1045" s="426" t="s">
        <v>996</v>
      </c>
    </row>
    <row r="1046" spans="1:2" ht="15" hidden="1" x14ac:dyDescent="0.25">
      <c r="A1046" s="426" t="s">
        <v>997</v>
      </c>
      <c r="B1046" s="426" t="s">
        <v>997</v>
      </c>
    </row>
    <row r="1047" spans="1:2" ht="15" hidden="1" x14ac:dyDescent="0.25">
      <c r="A1047" s="426" t="s">
        <v>998</v>
      </c>
      <c r="B1047" s="426" t="s">
        <v>998</v>
      </c>
    </row>
    <row r="1048" spans="1:2" ht="15" hidden="1" x14ac:dyDescent="0.25">
      <c r="A1048" s="426" t="s">
        <v>999</v>
      </c>
      <c r="B1048" s="426" t="s">
        <v>999</v>
      </c>
    </row>
    <row r="1049" spans="1:2" ht="15" hidden="1" x14ac:dyDescent="0.25">
      <c r="A1049" s="426" t="s">
        <v>1000</v>
      </c>
      <c r="B1049" s="426" t="s">
        <v>1000</v>
      </c>
    </row>
    <row r="1050" spans="1:2" ht="15" hidden="1" x14ac:dyDescent="0.25">
      <c r="A1050" s="426" t="s">
        <v>1001</v>
      </c>
      <c r="B1050" s="426" t="s">
        <v>1001</v>
      </c>
    </row>
    <row r="1051" spans="1:2" ht="15" hidden="1" x14ac:dyDescent="0.25">
      <c r="A1051" s="426" t="s">
        <v>1001</v>
      </c>
      <c r="B1051" s="426" t="s">
        <v>1001</v>
      </c>
    </row>
    <row r="1052" spans="1:2" ht="15" hidden="1" x14ac:dyDescent="0.25">
      <c r="A1052" s="426" t="s">
        <v>1002</v>
      </c>
      <c r="B1052" s="426" t="s">
        <v>1002</v>
      </c>
    </row>
    <row r="1053" spans="1:2" ht="15" hidden="1" x14ac:dyDescent="0.25">
      <c r="A1053" s="426" t="s">
        <v>1002</v>
      </c>
      <c r="B1053" s="426" t="s">
        <v>1002</v>
      </c>
    </row>
    <row r="1054" spans="1:2" ht="15" hidden="1" x14ac:dyDescent="0.25">
      <c r="A1054" s="426" t="s">
        <v>1003</v>
      </c>
      <c r="B1054" s="426" t="s">
        <v>1003</v>
      </c>
    </row>
    <row r="1055" spans="1:2" ht="15" hidden="1" x14ac:dyDescent="0.25">
      <c r="A1055" s="426" t="s">
        <v>1004</v>
      </c>
      <c r="B1055" s="426" t="s">
        <v>1004</v>
      </c>
    </row>
    <row r="1056" spans="1:2" ht="15" hidden="1" x14ac:dyDescent="0.25">
      <c r="A1056" s="426" t="s">
        <v>1005</v>
      </c>
      <c r="B1056" s="426" t="s">
        <v>1005</v>
      </c>
    </row>
    <row r="1057" spans="1:2" ht="15" hidden="1" x14ac:dyDescent="0.25">
      <c r="A1057" s="426" t="s">
        <v>1005</v>
      </c>
      <c r="B1057" s="426" t="s">
        <v>1005</v>
      </c>
    </row>
    <row r="1058" spans="1:2" ht="15" hidden="1" x14ac:dyDescent="0.25">
      <c r="A1058" s="426" t="s">
        <v>1006</v>
      </c>
      <c r="B1058" s="426" t="s">
        <v>1006</v>
      </c>
    </row>
    <row r="1059" spans="1:2" ht="15" hidden="1" x14ac:dyDescent="0.25">
      <c r="A1059" s="426" t="s">
        <v>1007</v>
      </c>
      <c r="B1059" s="426" t="s">
        <v>1007</v>
      </c>
    </row>
    <row r="1060" spans="1:2" ht="15" hidden="1" x14ac:dyDescent="0.25">
      <c r="A1060" s="426" t="s">
        <v>1008</v>
      </c>
      <c r="B1060" s="426" t="s">
        <v>1008</v>
      </c>
    </row>
    <row r="1061" spans="1:2" ht="15" hidden="1" x14ac:dyDescent="0.25">
      <c r="A1061" s="426" t="s">
        <v>1009</v>
      </c>
      <c r="B1061" s="426" t="s">
        <v>1009</v>
      </c>
    </row>
    <row r="1062" spans="1:2" ht="15" hidden="1" x14ac:dyDescent="0.25">
      <c r="A1062" s="426" t="s">
        <v>1010</v>
      </c>
      <c r="B1062" s="426" t="s">
        <v>1010</v>
      </c>
    </row>
    <row r="1063" spans="1:2" ht="15" hidden="1" x14ac:dyDescent="0.25">
      <c r="A1063" s="426" t="s">
        <v>1011</v>
      </c>
      <c r="B1063" s="426" t="s">
        <v>1011</v>
      </c>
    </row>
    <row r="1064" spans="1:2" ht="15" hidden="1" x14ac:dyDescent="0.25">
      <c r="A1064" s="426" t="s">
        <v>1012</v>
      </c>
      <c r="B1064" s="426" t="s">
        <v>1012</v>
      </c>
    </row>
    <row r="1065" spans="1:2" ht="15" hidden="1" x14ac:dyDescent="0.25">
      <c r="A1065" s="426" t="s">
        <v>1013</v>
      </c>
      <c r="B1065" s="426" t="s">
        <v>1013</v>
      </c>
    </row>
    <row r="1066" spans="1:2" ht="15" hidden="1" x14ac:dyDescent="0.25">
      <c r="A1066" s="426" t="s">
        <v>1013</v>
      </c>
      <c r="B1066" s="426" t="s">
        <v>1013</v>
      </c>
    </row>
    <row r="1067" spans="1:2" ht="15" hidden="1" x14ac:dyDescent="0.25">
      <c r="A1067" s="426" t="s">
        <v>1014</v>
      </c>
      <c r="B1067" s="426" t="s">
        <v>1014</v>
      </c>
    </row>
    <row r="1068" spans="1:2" ht="15" hidden="1" x14ac:dyDescent="0.25">
      <c r="A1068" s="426" t="s">
        <v>1015</v>
      </c>
      <c r="B1068" s="426" t="s">
        <v>1015</v>
      </c>
    </row>
    <row r="1069" spans="1:2" ht="15" hidden="1" x14ac:dyDescent="0.25">
      <c r="A1069" s="426" t="s">
        <v>1016</v>
      </c>
      <c r="B1069" s="426" t="s">
        <v>1016</v>
      </c>
    </row>
    <row r="1070" spans="1:2" ht="15" hidden="1" x14ac:dyDescent="0.25">
      <c r="A1070" s="426" t="s">
        <v>1017</v>
      </c>
      <c r="B1070" s="426" t="s">
        <v>1017</v>
      </c>
    </row>
    <row r="1071" spans="1:2" ht="15" hidden="1" x14ac:dyDescent="0.25">
      <c r="A1071" s="426" t="s">
        <v>1017</v>
      </c>
      <c r="B1071" s="426" t="s">
        <v>1017</v>
      </c>
    </row>
    <row r="1072" spans="1:2" ht="15" hidden="1" x14ac:dyDescent="0.25">
      <c r="A1072" s="426" t="s">
        <v>1018</v>
      </c>
      <c r="B1072" s="426" t="s">
        <v>1018</v>
      </c>
    </row>
    <row r="1073" spans="1:2" ht="15" hidden="1" x14ac:dyDescent="0.25">
      <c r="A1073" s="426" t="s">
        <v>1018</v>
      </c>
      <c r="B1073" s="426" t="s">
        <v>1018</v>
      </c>
    </row>
    <row r="1074" spans="1:2" ht="15" hidden="1" x14ac:dyDescent="0.25">
      <c r="A1074" s="426" t="s">
        <v>1019</v>
      </c>
      <c r="B1074" s="426" t="s">
        <v>1019</v>
      </c>
    </row>
    <row r="1075" spans="1:2" ht="15" hidden="1" x14ac:dyDescent="0.25">
      <c r="A1075" s="426" t="s">
        <v>1020</v>
      </c>
      <c r="B1075" s="426" t="s">
        <v>1020</v>
      </c>
    </row>
    <row r="1076" spans="1:2" ht="15" hidden="1" x14ac:dyDescent="0.25">
      <c r="A1076" s="426" t="s">
        <v>1021</v>
      </c>
      <c r="B1076" s="426" t="s">
        <v>1021</v>
      </c>
    </row>
    <row r="1077" spans="1:2" ht="15" hidden="1" x14ac:dyDescent="0.25">
      <c r="A1077" s="426" t="s">
        <v>1022</v>
      </c>
      <c r="B1077" s="426" t="s">
        <v>1022</v>
      </c>
    </row>
    <row r="1078" spans="1:2" ht="15" hidden="1" x14ac:dyDescent="0.25">
      <c r="A1078" s="426" t="s">
        <v>1023</v>
      </c>
      <c r="B1078" s="426" t="s">
        <v>1023</v>
      </c>
    </row>
    <row r="1079" spans="1:2" ht="15" hidden="1" x14ac:dyDescent="0.25">
      <c r="A1079" s="426" t="s">
        <v>1024</v>
      </c>
      <c r="B1079" s="426" t="s">
        <v>1024</v>
      </c>
    </row>
    <row r="1080" spans="1:2" ht="15" hidden="1" x14ac:dyDescent="0.25">
      <c r="A1080" s="426" t="s">
        <v>1025</v>
      </c>
      <c r="B1080" s="426" t="s">
        <v>1025</v>
      </c>
    </row>
    <row r="1081" spans="1:2" ht="15" hidden="1" x14ac:dyDescent="0.25">
      <c r="A1081" s="426" t="s">
        <v>1026</v>
      </c>
      <c r="B1081" s="426" t="s">
        <v>1026</v>
      </c>
    </row>
    <row r="1082" spans="1:2" ht="15" hidden="1" x14ac:dyDescent="0.25">
      <c r="A1082" s="426" t="s">
        <v>1027</v>
      </c>
      <c r="B1082" s="426" t="s">
        <v>1027</v>
      </c>
    </row>
    <row r="1083" spans="1:2" ht="15" hidden="1" x14ac:dyDescent="0.25">
      <c r="A1083" s="426" t="s">
        <v>1028</v>
      </c>
      <c r="B1083" s="426" t="s">
        <v>1028</v>
      </c>
    </row>
    <row r="1084" spans="1:2" ht="15" hidden="1" x14ac:dyDescent="0.25">
      <c r="A1084" s="426" t="s">
        <v>1029</v>
      </c>
      <c r="B1084" s="426" t="s">
        <v>1029</v>
      </c>
    </row>
    <row r="1085" spans="1:2" ht="15" hidden="1" x14ac:dyDescent="0.25">
      <c r="A1085" s="426" t="s">
        <v>1030</v>
      </c>
      <c r="B1085" s="426" t="s">
        <v>1030</v>
      </c>
    </row>
    <row r="1086" spans="1:2" ht="15" hidden="1" x14ac:dyDescent="0.25">
      <c r="A1086" s="426" t="s">
        <v>1031</v>
      </c>
      <c r="B1086" s="426" t="s">
        <v>1031</v>
      </c>
    </row>
    <row r="1087" spans="1:2" ht="15" hidden="1" x14ac:dyDescent="0.25">
      <c r="A1087" s="426" t="s">
        <v>1032</v>
      </c>
      <c r="B1087" s="426" t="s">
        <v>1032</v>
      </c>
    </row>
    <row r="1088" spans="1:2" ht="15" hidden="1" x14ac:dyDescent="0.25">
      <c r="A1088" s="426" t="s">
        <v>1033</v>
      </c>
      <c r="B1088" s="426" t="s">
        <v>1033</v>
      </c>
    </row>
    <row r="1089" spans="1:2" ht="15" hidden="1" x14ac:dyDescent="0.25">
      <c r="A1089" s="426" t="s">
        <v>1034</v>
      </c>
      <c r="B1089" s="426" t="s">
        <v>1034</v>
      </c>
    </row>
    <row r="1090" spans="1:2" ht="15" hidden="1" x14ac:dyDescent="0.25">
      <c r="A1090" s="426" t="s">
        <v>1035</v>
      </c>
      <c r="B1090" s="426" t="s">
        <v>1035</v>
      </c>
    </row>
    <row r="1091" spans="1:2" ht="15" hidden="1" x14ac:dyDescent="0.25">
      <c r="A1091" s="426" t="s">
        <v>1036</v>
      </c>
      <c r="B1091" s="426" t="s">
        <v>1036</v>
      </c>
    </row>
    <row r="1092" spans="1:2" ht="15" hidden="1" x14ac:dyDescent="0.25">
      <c r="A1092" s="426" t="s">
        <v>1037</v>
      </c>
      <c r="B1092" s="426" t="s">
        <v>1037</v>
      </c>
    </row>
    <row r="1093" spans="1:2" ht="15" hidden="1" x14ac:dyDescent="0.25">
      <c r="A1093" s="426" t="s">
        <v>1038</v>
      </c>
      <c r="B1093" s="426" t="s">
        <v>1038</v>
      </c>
    </row>
    <row r="1094" spans="1:2" ht="15" hidden="1" x14ac:dyDescent="0.25">
      <c r="A1094" s="426" t="s">
        <v>1039</v>
      </c>
      <c r="B1094" s="426" t="s">
        <v>1039</v>
      </c>
    </row>
    <row r="1095" spans="1:2" ht="15" hidden="1" x14ac:dyDescent="0.25">
      <c r="A1095" s="426" t="s">
        <v>1040</v>
      </c>
      <c r="B1095" s="426" t="s">
        <v>1040</v>
      </c>
    </row>
    <row r="1096" spans="1:2" ht="15" hidden="1" x14ac:dyDescent="0.25">
      <c r="A1096" s="426" t="s">
        <v>1041</v>
      </c>
      <c r="B1096" s="426" t="s">
        <v>1041</v>
      </c>
    </row>
    <row r="1097" spans="1:2" ht="15" hidden="1" x14ac:dyDescent="0.25">
      <c r="A1097" s="426" t="s">
        <v>1042</v>
      </c>
      <c r="B1097" s="426" t="s">
        <v>1042</v>
      </c>
    </row>
    <row r="1098" spans="1:2" ht="15" hidden="1" x14ac:dyDescent="0.25">
      <c r="A1098" s="426" t="s">
        <v>1042</v>
      </c>
      <c r="B1098" s="426" t="s">
        <v>1042</v>
      </c>
    </row>
    <row r="1099" spans="1:2" ht="15" hidden="1" x14ac:dyDescent="0.25">
      <c r="A1099" s="426" t="s">
        <v>1043</v>
      </c>
      <c r="B1099" s="426" t="s">
        <v>1043</v>
      </c>
    </row>
    <row r="1100" spans="1:2" ht="15" hidden="1" x14ac:dyDescent="0.25">
      <c r="A1100" s="426" t="s">
        <v>1044</v>
      </c>
      <c r="B1100" s="426" t="s">
        <v>1044</v>
      </c>
    </row>
    <row r="1101" spans="1:2" ht="15" hidden="1" x14ac:dyDescent="0.25">
      <c r="A1101" s="426" t="s">
        <v>1045</v>
      </c>
      <c r="B1101" s="426" t="s">
        <v>1045</v>
      </c>
    </row>
    <row r="1102" spans="1:2" ht="15" hidden="1" x14ac:dyDescent="0.25">
      <c r="A1102" s="426" t="s">
        <v>1046</v>
      </c>
      <c r="B1102" s="426" t="s">
        <v>1046</v>
      </c>
    </row>
    <row r="1103" spans="1:2" ht="15" hidden="1" x14ac:dyDescent="0.25">
      <c r="A1103" s="426" t="s">
        <v>1046</v>
      </c>
      <c r="B1103" s="426" t="s">
        <v>1046</v>
      </c>
    </row>
    <row r="1104" spans="1:2" ht="15" hidden="1" x14ac:dyDescent="0.25">
      <c r="A1104" s="426" t="s">
        <v>1047</v>
      </c>
      <c r="B1104" s="426" t="s">
        <v>1047</v>
      </c>
    </row>
    <row r="1105" spans="1:2" ht="15" hidden="1" x14ac:dyDescent="0.25">
      <c r="A1105" s="426" t="s">
        <v>1048</v>
      </c>
      <c r="B1105" s="426" t="s">
        <v>1048</v>
      </c>
    </row>
    <row r="1106" spans="1:2" ht="15" hidden="1" x14ac:dyDescent="0.25">
      <c r="A1106" s="426" t="s">
        <v>1049</v>
      </c>
      <c r="B1106" s="426" t="s">
        <v>1049</v>
      </c>
    </row>
    <row r="1107" spans="1:2" ht="15" hidden="1" x14ac:dyDescent="0.25">
      <c r="A1107" s="426" t="s">
        <v>1049</v>
      </c>
      <c r="B1107" s="426" t="s">
        <v>1049</v>
      </c>
    </row>
    <row r="1108" spans="1:2" ht="15" hidden="1" x14ac:dyDescent="0.25">
      <c r="A1108" s="426" t="s">
        <v>1050</v>
      </c>
      <c r="B1108" s="426" t="s">
        <v>1050</v>
      </c>
    </row>
    <row r="1109" spans="1:2" ht="15" hidden="1" x14ac:dyDescent="0.25">
      <c r="A1109" s="426" t="s">
        <v>1050</v>
      </c>
      <c r="B1109" s="426" t="s">
        <v>1050</v>
      </c>
    </row>
    <row r="1110" spans="1:2" ht="15" hidden="1" x14ac:dyDescent="0.25">
      <c r="A1110" s="426" t="s">
        <v>1051</v>
      </c>
      <c r="B1110" s="426" t="s">
        <v>1051</v>
      </c>
    </row>
    <row r="1111" spans="1:2" ht="15" hidden="1" x14ac:dyDescent="0.25">
      <c r="A1111" s="426" t="s">
        <v>1051</v>
      </c>
      <c r="B1111" s="426" t="s">
        <v>1051</v>
      </c>
    </row>
    <row r="1112" spans="1:2" ht="15" hidden="1" x14ac:dyDescent="0.25">
      <c r="A1112" s="426" t="s">
        <v>1052</v>
      </c>
      <c r="B1112" s="426" t="s">
        <v>1052</v>
      </c>
    </row>
    <row r="1113" spans="1:2" ht="15" hidden="1" x14ac:dyDescent="0.25">
      <c r="A1113" s="426" t="s">
        <v>1053</v>
      </c>
      <c r="B1113" s="426" t="s">
        <v>1053</v>
      </c>
    </row>
    <row r="1114" spans="1:2" ht="15" hidden="1" x14ac:dyDescent="0.25">
      <c r="A1114" s="426" t="s">
        <v>1054</v>
      </c>
      <c r="B1114" s="426" t="s">
        <v>1054</v>
      </c>
    </row>
    <row r="1115" spans="1:2" ht="15" hidden="1" x14ac:dyDescent="0.25">
      <c r="A1115" s="426" t="s">
        <v>1055</v>
      </c>
      <c r="B1115" s="426" t="s">
        <v>1055</v>
      </c>
    </row>
    <row r="1116" spans="1:2" ht="15" hidden="1" x14ac:dyDescent="0.25">
      <c r="A1116" s="426" t="s">
        <v>1055</v>
      </c>
      <c r="B1116" s="426" t="s">
        <v>1055</v>
      </c>
    </row>
    <row r="1117" spans="1:2" ht="15" hidden="1" x14ac:dyDescent="0.25">
      <c r="A1117" s="426" t="s">
        <v>1056</v>
      </c>
      <c r="B1117" s="426" t="s">
        <v>1056</v>
      </c>
    </row>
    <row r="1118" spans="1:2" ht="15" hidden="1" x14ac:dyDescent="0.25">
      <c r="A1118" s="426" t="s">
        <v>1057</v>
      </c>
      <c r="B1118" s="426" t="s">
        <v>1057</v>
      </c>
    </row>
    <row r="1119" spans="1:2" ht="15" hidden="1" x14ac:dyDescent="0.25">
      <c r="A1119" s="426" t="s">
        <v>1058</v>
      </c>
      <c r="B1119" s="426" t="s">
        <v>1058</v>
      </c>
    </row>
    <row r="1120" spans="1:2" ht="15" hidden="1" x14ac:dyDescent="0.25">
      <c r="A1120" s="426" t="s">
        <v>1059</v>
      </c>
      <c r="B1120" s="426" t="s">
        <v>1059</v>
      </c>
    </row>
    <row r="1121" spans="1:2" ht="15" hidden="1" x14ac:dyDescent="0.25">
      <c r="A1121" s="426" t="s">
        <v>1060</v>
      </c>
      <c r="B1121" s="426" t="s">
        <v>1060</v>
      </c>
    </row>
    <row r="1122" spans="1:2" ht="15" hidden="1" x14ac:dyDescent="0.25">
      <c r="A1122" s="426" t="s">
        <v>1061</v>
      </c>
      <c r="B1122" s="426" t="s">
        <v>1061</v>
      </c>
    </row>
    <row r="1123" spans="1:2" ht="15" hidden="1" x14ac:dyDescent="0.25">
      <c r="A1123" s="426" t="s">
        <v>1062</v>
      </c>
      <c r="B1123" s="426" t="s">
        <v>1062</v>
      </c>
    </row>
    <row r="1124" spans="1:2" ht="15" hidden="1" x14ac:dyDescent="0.25">
      <c r="A1124" s="426" t="s">
        <v>1063</v>
      </c>
      <c r="B1124" s="426" t="s">
        <v>1063</v>
      </c>
    </row>
    <row r="1125" spans="1:2" ht="15" hidden="1" x14ac:dyDescent="0.25">
      <c r="A1125" s="426" t="s">
        <v>1064</v>
      </c>
      <c r="B1125" s="426" t="s">
        <v>1065</v>
      </c>
    </row>
    <row r="1126" spans="1:2" ht="15" hidden="1" x14ac:dyDescent="0.25">
      <c r="A1126" s="426" t="s">
        <v>1064</v>
      </c>
      <c r="B1126" s="426" t="s">
        <v>1065</v>
      </c>
    </row>
    <row r="1127" spans="1:2" ht="15" hidden="1" x14ac:dyDescent="0.25">
      <c r="A1127" s="426" t="s">
        <v>1066</v>
      </c>
      <c r="B1127" s="426" t="s">
        <v>1067</v>
      </c>
    </row>
    <row r="1128" spans="1:2" ht="15" hidden="1" x14ac:dyDescent="0.25">
      <c r="A1128" s="426" t="s">
        <v>1068</v>
      </c>
      <c r="B1128" s="426" t="s">
        <v>1069</v>
      </c>
    </row>
    <row r="1129" spans="1:2" ht="15" hidden="1" x14ac:dyDescent="0.25">
      <c r="A1129" s="426" t="s">
        <v>1070</v>
      </c>
      <c r="B1129" s="426" t="s">
        <v>1071</v>
      </c>
    </row>
    <row r="1130" spans="1:2" ht="15" hidden="1" x14ac:dyDescent="0.25">
      <c r="A1130" s="427" t="s">
        <v>1070</v>
      </c>
      <c r="B1130" s="426" t="s">
        <v>1071</v>
      </c>
    </row>
    <row r="1131" spans="1:2" ht="15" hidden="1" x14ac:dyDescent="0.25">
      <c r="A1131" s="426" t="s">
        <v>1072</v>
      </c>
      <c r="B1131" s="426" t="s">
        <v>1073</v>
      </c>
    </row>
    <row r="1132" spans="1:2" ht="15" hidden="1" x14ac:dyDescent="0.25">
      <c r="A1132" s="426" t="s">
        <v>1074</v>
      </c>
      <c r="B1132" s="426" t="s">
        <v>1075</v>
      </c>
    </row>
    <row r="1133" spans="1:2" ht="15" hidden="1" x14ac:dyDescent="0.25">
      <c r="A1133" s="426" t="s">
        <v>1074</v>
      </c>
      <c r="B1133" s="426" t="s">
        <v>1075</v>
      </c>
    </row>
    <row r="1134" spans="1:2" ht="15" hidden="1" x14ac:dyDescent="0.25">
      <c r="A1134" s="426" t="s">
        <v>619</v>
      </c>
      <c r="B1134" s="426" t="s">
        <v>620</v>
      </c>
    </row>
    <row r="1135" spans="1:2" ht="15" hidden="1" x14ac:dyDescent="0.25">
      <c r="A1135" s="426" t="s">
        <v>1076</v>
      </c>
      <c r="B1135" s="426" t="s">
        <v>1077</v>
      </c>
    </row>
    <row r="1136" spans="1:2" ht="15" hidden="1" x14ac:dyDescent="0.25">
      <c r="A1136" s="426" t="s">
        <v>1078</v>
      </c>
      <c r="B1136" s="426" t="s">
        <v>1079</v>
      </c>
    </row>
    <row r="1137" spans="1:2" ht="15" hidden="1" x14ac:dyDescent="0.25">
      <c r="A1137" s="426" t="s">
        <v>1080</v>
      </c>
      <c r="B1137" s="426" t="s">
        <v>1081</v>
      </c>
    </row>
    <row r="1138" spans="1:2" ht="15" hidden="1" x14ac:dyDescent="0.25">
      <c r="A1138" s="426" t="s">
        <v>623</v>
      </c>
      <c r="B1138" s="426" t="s">
        <v>624</v>
      </c>
    </row>
    <row r="1139" spans="1:2" ht="15" hidden="1" x14ac:dyDescent="0.25">
      <c r="A1139" s="426" t="s">
        <v>623</v>
      </c>
      <c r="B1139" s="426" t="s">
        <v>624</v>
      </c>
    </row>
    <row r="1140" spans="1:2" ht="15" hidden="1" x14ac:dyDescent="0.25">
      <c r="A1140" s="426" t="s">
        <v>623</v>
      </c>
      <c r="B1140" s="426" t="s">
        <v>624</v>
      </c>
    </row>
    <row r="1141" spans="1:2" ht="15" hidden="1" x14ac:dyDescent="0.25">
      <c r="A1141" s="426" t="s">
        <v>1082</v>
      </c>
      <c r="B1141" s="426" t="s">
        <v>1083</v>
      </c>
    </row>
    <row r="1142" spans="1:2" ht="15" hidden="1" x14ac:dyDescent="0.25">
      <c r="A1142" s="426" t="s">
        <v>1082</v>
      </c>
      <c r="B1142" s="426" t="s">
        <v>1083</v>
      </c>
    </row>
    <row r="1143" spans="1:2" ht="15" hidden="1" x14ac:dyDescent="0.25">
      <c r="A1143" s="426" t="s">
        <v>1084</v>
      </c>
      <c r="B1143" s="426" t="s">
        <v>1085</v>
      </c>
    </row>
    <row r="1144" spans="1:2" ht="15" hidden="1" x14ac:dyDescent="0.25">
      <c r="A1144" s="426" t="s">
        <v>1084</v>
      </c>
      <c r="B1144" s="426" t="s">
        <v>1085</v>
      </c>
    </row>
    <row r="1145" spans="1:2" ht="15" hidden="1" x14ac:dyDescent="0.25">
      <c r="A1145" s="426" t="s">
        <v>1086</v>
      </c>
      <c r="B1145" s="426" t="s">
        <v>1087</v>
      </c>
    </row>
    <row r="1146" spans="1:2" ht="15" hidden="1" x14ac:dyDescent="0.25">
      <c r="A1146" s="426" t="s">
        <v>1088</v>
      </c>
      <c r="B1146" s="426" t="s">
        <v>1089</v>
      </c>
    </row>
    <row r="1147" spans="1:2" ht="15" hidden="1" x14ac:dyDescent="0.25">
      <c r="A1147" s="426" t="s">
        <v>1088</v>
      </c>
      <c r="B1147" s="426" t="s">
        <v>1089</v>
      </c>
    </row>
    <row r="1148" spans="1:2" ht="15" hidden="1" x14ac:dyDescent="0.25">
      <c r="A1148" s="426" t="s">
        <v>1090</v>
      </c>
      <c r="B1148" s="426" t="s">
        <v>1091</v>
      </c>
    </row>
    <row r="1149" spans="1:2" ht="15" hidden="1" x14ac:dyDescent="0.25">
      <c r="A1149" s="426" t="s">
        <v>1090</v>
      </c>
      <c r="B1149" s="426" t="s">
        <v>1091</v>
      </c>
    </row>
    <row r="1150" spans="1:2" ht="15" hidden="1" x14ac:dyDescent="0.25">
      <c r="A1150" s="426" t="s">
        <v>1092</v>
      </c>
      <c r="B1150" s="426" t="s">
        <v>1093</v>
      </c>
    </row>
    <row r="1151" spans="1:2" ht="15" hidden="1" x14ac:dyDescent="0.25">
      <c r="A1151" s="426" t="s">
        <v>1094</v>
      </c>
      <c r="B1151" s="426" t="s">
        <v>1095</v>
      </c>
    </row>
    <row r="1152" spans="1:2" ht="15" hidden="1" x14ac:dyDescent="0.25">
      <c r="A1152" s="426" t="s">
        <v>1096</v>
      </c>
      <c r="B1152" s="426" t="s">
        <v>1097</v>
      </c>
    </row>
    <row r="1153" spans="1:2" ht="15" hidden="1" x14ac:dyDescent="0.25">
      <c r="A1153" s="426" t="s">
        <v>1098</v>
      </c>
      <c r="B1153" s="426" t="s">
        <v>1099</v>
      </c>
    </row>
    <row r="1154" spans="1:2" ht="15" hidden="1" x14ac:dyDescent="0.25">
      <c r="A1154" s="426" t="s">
        <v>669</v>
      </c>
      <c r="B1154" s="426" t="s">
        <v>670</v>
      </c>
    </row>
    <row r="1155" spans="1:2" ht="15" hidden="1" x14ac:dyDescent="0.25">
      <c r="A1155" s="426" t="s">
        <v>669</v>
      </c>
      <c r="B1155" s="426" t="s">
        <v>670</v>
      </c>
    </row>
    <row r="1156" spans="1:2" ht="15" hidden="1" x14ac:dyDescent="0.25">
      <c r="A1156" s="426" t="s">
        <v>669</v>
      </c>
      <c r="B1156" s="426" t="s">
        <v>670</v>
      </c>
    </row>
    <row r="1157" spans="1:2" ht="15" hidden="1" x14ac:dyDescent="0.25">
      <c r="A1157" s="426" t="s">
        <v>669</v>
      </c>
      <c r="B1157" s="426" t="s">
        <v>670</v>
      </c>
    </row>
    <row r="1158" spans="1:2" ht="15" hidden="1" x14ac:dyDescent="0.25">
      <c r="A1158" s="426" t="s">
        <v>669</v>
      </c>
      <c r="B1158" s="426" t="s">
        <v>670</v>
      </c>
    </row>
    <row r="1159" spans="1:2" ht="15" hidden="1" x14ac:dyDescent="0.25">
      <c r="A1159" s="426" t="s">
        <v>1100</v>
      </c>
      <c r="B1159" s="426" t="s">
        <v>1101</v>
      </c>
    </row>
    <row r="1160" spans="1:2" ht="15" hidden="1" x14ac:dyDescent="0.25">
      <c r="A1160" s="426" t="s">
        <v>1102</v>
      </c>
      <c r="B1160" s="426" t="s">
        <v>1103</v>
      </c>
    </row>
    <row r="1161" spans="1:2" ht="15" hidden="1" x14ac:dyDescent="0.25">
      <c r="A1161" s="426" t="s">
        <v>1104</v>
      </c>
      <c r="B1161" s="426" t="s">
        <v>1105</v>
      </c>
    </row>
    <row r="1162" spans="1:2" ht="15" hidden="1" x14ac:dyDescent="0.25">
      <c r="A1162" s="426" t="s">
        <v>1106</v>
      </c>
      <c r="B1162" s="426" t="s">
        <v>1107</v>
      </c>
    </row>
    <row r="1163" spans="1:2" ht="15" hidden="1" x14ac:dyDescent="0.25">
      <c r="A1163" s="426" t="s">
        <v>1108</v>
      </c>
      <c r="B1163" s="426" t="s">
        <v>1109</v>
      </c>
    </row>
    <row r="1164" spans="1:2" ht="15" hidden="1" x14ac:dyDescent="0.25">
      <c r="A1164" s="426" t="s">
        <v>1110</v>
      </c>
      <c r="B1164" s="426" t="s">
        <v>1111</v>
      </c>
    </row>
    <row r="1165" spans="1:2" ht="15" hidden="1" x14ac:dyDescent="0.25">
      <c r="A1165" s="426" t="s">
        <v>1112</v>
      </c>
      <c r="B1165" s="426" t="s">
        <v>1113</v>
      </c>
    </row>
    <row r="1166" spans="1:2" ht="15" hidden="1" x14ac:dyDescent="0.25">
      <c r="A1166" s="426" t="s">
        <v>1114</v>
      </c>
      <c r="B1166" s="426" t="s">
        <v>1115</v>
      </c>
    </row>
    <row r="1167" spans="1:2" ht="15" hidden="1" x14ac:dyDescent="0.25">
      <c r="A1167" s="426" t="s">
        <v>1116</v>
      </c>
      <c r="B1167" s="426" t="s">
        <v>1117</v>
      </c>
    </row>
    <row r="1168" spans="1:2" ht="15" hidden="1" x14ac:dyDescent="0.25">
      <c r="A1168" s="426" t="s">
        <v>685</v>
      </c>
      <c r="B1168" s="426" t="s">
        <v>686</v>
      </c>
    </row>
    <row r="1169" spans="1:2" ht="15" hidden="1" x14ac:dyDescent="0.25">
      <c r="A1169" s="426" t="s">
        <v>685</v>
      </c>
      <c r="B1169" s="426" t="s">
        <v>686</v>
      </c>
    </row>
    <row r="1170" spans="1:2" ht="15" hidden="1" x14ac:dyDescent="0.25">
      <c r="A1170" s="426" t="s">
        <v>685</v>
      </c>
      <c r="B1170" s="426" t="s">
        <v>686</v>
      </c>
    </row>
    <row r="1171" spans="1:2" ht="15" hidden="1" x14ac:dyDescent="0.25">
      <c r="A1171" s="426" t="s">
        <v>1118</v>
      </c>
      <c r="B1171" s="426" t="s">
        <v>1119</v>
      </c>
    </row>
    <row r="1172" spans="1:2" ht="15" hidden="1" x14ac:dyDescent="0.25">
      <c r="A1172" s="426" t="s">
        <v>1120</v>
      </c>
      <c r="B1172" s="426" t="s">
        <v>1121</v>
      </c>
    </row>
    <row r="1173" spans="1:2" ht="15" hidden="1" x14ac:dyDescent="0.25">
      <c r="A1173" s="426" t="s">
        <v>1122</v>
      </c>
      <c r="B1173" s="426" t="s">
        <v>1123</v>
      </c>
    </row>
    <row r="1174" spans="1:2" ht="15" hidden="1" x14ac:dyDescent="0.25">
      <c r="A1174" s="426" t="s">
        <v>1124</v>
      </c>
      <c r="B1174" s="426" t="s">
        <v>1125</v>
      </c>
    </row>
    <row r="1175" spans="1:2" ht="15" hidden="1" x14ac:dyDescent="0.25">
      <c r="A1175" s="426" t="s">
        <v>1124</v>
      </c>
      <c r="B1175" s="426" t="s">
        <v>1125</v>
      </c>
    </row>
    <row r="1176" spans="1:2" ht="15" hidden="1" x14ac:dyDescent="0.25">
      <c r="A1176" s="426" t="s">
        <v>1126</v>
      </c>
      <c r="B1176" s="426" t="s">
        <v>1127</v>
      </c>
    </row>
    <row r="1177" spans="1:2" ht="15" hidden="1" x14ac:dyDescent="0.25">
      <c r="A1177" s="426" t="s">
        <v>1128</v>
      </c>
      <c r="B1177" s="426" t="s">
        <v>1129</v>
      </c>
    </row>
    <row r="1178" spans="1:2" ht="15" hidden="1" x14ac:dyDescent="0.25">
      <c r="A1178" s="426" t="s">
        <v>1128</v>
      </c>
      <c r="B1178" s="426" t="s">
        <v>1129</v>
      </c>
    </row>
    <row r="1179" spans="1:2" ht="15" hidden="1" x14ac:dyDescent="0.25">
      <c r="A1179" s="426" t="s">
        <v>1130</v>
      </c>
      <c r="B1179" s="426" t="s">
        <v>1129</v>
      </c>
    </row>
    <row r="1180" spans="1:2" ht="15" hidden="1" x14ac:dyDescent="0.25">
      <c r="A1180" s="426" t="s">
        <v>1130</v>
      </c>
      <c r="B1180" s="426" t="s">
        <v>1129</v>
      </c>
    </row>
    <row r="1181" spans="1:2" ht="15" hidden="1" x14ac:dyDescent="0.25">
      <c r="A1181" s="426" t="s">
        <v>1131</v>
      </c>
      <c r="B1181" s="426" t="s">
        <v>1132</v>
      </c>
    </row>
    <row r="1182" spans="1:2" ht="15" hidden="1" x14ac:dyDescent="0.25">
      <c r="A1182" s="426" t="s">
        <v>1133</v>
      </c>
      <c r="B1182" s="426" t="s">
        <v>1134</v>
      </c>
    </row>
    <row r="1183" spans="1:2" ht="15" hidden="1" x14ac:dyDescent="0.25">
      <c r="A1183" s="426" t="s">
        <v>1133</v>
      </c>
      <c r="B1183" s="426" t="s">
        <v>1134</v>
      </c>
    </row>
    <row r="1184" spans="1:2" ht="15" hidden="1" x14ac:dyDescent="0.25">
      <c r="A1184" s="426" t="s">
        <v>1135</v>
      </c>
      <c r="B1184" s="426" t="s">
        <v>1136</v>
      </c>
    </row>
    <row r="1185" spans="1:2" ht="15" hidden="1" x14ac:dyDescent="0.25">
      <c r="A1185" s="426" t="s">
        <v>1137</v>
      </c>
      <c r="B1185" s="426" t="s">
        <v>1138</v>
      </c>
    </row>
    <row r="1186" spans="1:2" ht="15" hidden="1" x14ac:dyDescent="0.25">
      <c r="A1186" s="426" t="s">
        <v>709</v>
      </c>
      <c r="B1186" s="426" t="s">
        <v>710</v>
      </c>
    </row>
    <row r="1187" spans="1:2" ht="15" hidden="1" x14ac:dyDescent="0.25">
      <c r="A1187" s="426" t="s">
        <v>1139</v>
      </c>
      <c r="B1187" s="426" t="s">
        <v>1140</v>
      </c>
    </row>
    <row r="1188" spans="1:2" ht="15" hidden="1" x14ac:dyDescent="0.25">
      <c r="A1188" s="426" t="s">
        <v>1141</v>
      </c>
      <c r="B1188" s="426" t="s">
        <v>1142</v>
      </c>
    </row>
    <row r="1189" spans="1:2" ht="15" hidden="1" x14ac:dyDescent="0.25">
      <c r="A1189" s="426" t="s">
        <v>1143</v>
      </c>
      <c r="B1189" s="426" t="s">
        <v>1144</v>
      </c>
    </row>
    <row r="1190" spans="1:2" ht="15" hidden="1" x14ac:dyDescent="0.25">
      <c r="A1190" s="426" t="s">
        <v>1145</v>
      </c>
      <c r="B1190" s="426" t="s">
        <v>1146</v>
      </c>
    </row>
    <row r="1191" spans="1:2" ht="15" hidden="1" x14ac:dyDescent="0.25">
      <c r="A1191" s="426" t="s">
        <v>713</v>
      </c>
      <c r="B1191" s="426" t="s">
        <v>714</v>
      </c>
    </row>
    <row r="1192" spans="1:2" ht="15" hidden="1" x14ac:dyDescent="0.25">
      <c r="A1192" s="426" t="s">
        <v>1147</v>
      </c>
      <c r="B1192" s="426" t="s">
        <v>1148</v>
      </c>
    </row>
    <row r="1193" spans="1:2" ht="15" hidden="1" x14ac:dyDescent="0.25">
      <c r="A1193" s="426" t="s">
        <v>1147</v>
      </c>
      <c r="B1193" s="426" t="s">
        <v>1148</v>
      </c>
    </row>
    <row r="1194" spans="1:2" ht="15" hidden="1" x14ac:dyDescent="0.25">
      <c r="A1194" s="426" t="s">
        <v>1147</v>
      </c>
      <c r="B1194" s="426" t="s">
        <v>1148</v>
      </c>
    </row>
    <row r="1195" spans="1:2" ht="15" hidden="1" x14ac:dyDescent="0.25">
      <c r="A1195" s="426" t="s">
        <v>1147</v>
      </c>
      <c r="B1195" s="426" t="s">
        <v>1148</v>
      </c>
    </row>
    <row r="1196" spans="1:2" ht="15" hidden="1" x14ac:dyDescent="0.25">
      <c r="A1196" s="426" t="s">
        <v>1149</v>
      </c>
      <c r="B1196" s="426" t="s">
        <v>1150</v>
      </c>
    </row>
    <row r="1197" spans="1:2" ht="15" hidden="1" x14ac:dyDescent="0.25">
      <c r="A1197" s="426" t="s">
        <v>1149</v>
      </c>
      <c r="B1197" s="426" t="s">
        <v>1150</v>
      </c>
    </row>
    <row r="1198" spans="1:2" ht="15" hidden="1" x14ac:dyDescent="0.25">
      <c r="A1198" s="426" t="s">
        <v>1151</v>
      </c>
      <c r="B1198" s="426" t="s">
        <v>1152</v>
      </c>
    </row>
    <row r="1199" spans="1:2" ht="15" hidden="1" x14ac:dyDescent="0.25">
      <c r="A1199" s="426" t="s">
        <v>1153</v>
      </c>
      <c r="B1199" s="426" t="s">
        <v>1154</v>
      </c>
    </row>
    <row r="1200" spans="1:2" ht="15" hidden="1" x14ac:dyDescent="0.25">
      <c r="A1200" s="426" t="s">
        <v>727</v>
      </c>
      <c r="B1200" s="426" t="s">
        <v>728</v>
      </c>
    </row>
    <row r="1201" spans="1:2" ht="15" hidden="1" x14ac:dyDescent="0.25">
      <c r="A1201" s="426" t="s">
        <v>727</v>
      </c>
      <c r="B1201" s="426" t="s">
        <v>728</v>
      </c>
    </row>
    <row r="1202" spans="1:2" ht="15" hidden="1" x14ac:dyDescent="0.25">
      <c r="A1202" s="426" t="s">
        <v>727</v>
      </c>
      <c r="B1202" s="426" t="s">
        <v>728</v>
      </c>
    </row>
    <row r="1203" spans="1:2" ht="15" hidden="1" x14ac:dyDescent="0.25">
      <c r="A1203" s="426" t="s">
        <v>1155</v>
      </c>
      <c r="B1203" s="426" t="s">
        <v>1156</v>
      </c>
    </row>
    <row r="1204" spans="1:2" ht="15" hidden="1" x14ac:dyDescent="0.25">
      <c r="A1204" s="426" t="s">
        <v>1155</v>
      </c>
      <c r="B1204" s="426" t="s">
        <v>1156</v>
      </c>
    </row>
    <row r="1205" spans="1:2" ht="15" hidden="1" x14ac:dyDescent="0.25">
      <c r="A1205" s="427" t="s">
        <v>1157</v>
      </c>
      <c r="B1205" s="426" t="s">
        <v>1158</v>
      </c>
    </row>
    <row r="1206" spans="1:2" ht="15" hidden="1" x14ac:dyDescent="0.25">
      <c r="A1206" s="426" t="s">
        <v>1159</v>
      </c>
      <c r="B1206" s="426" t="s">
        <v>1160</v>
      </c>
    </row>
    <row r="1207" spans="1:2" ht="15" hidden="1" x14ac:dyDescent="0.25">
      <c r="A1207" s="426" t="s">
        <v>1161</v>
      </c>
      <c r="B1207" s="426" t="s">
        <v>1162</v>
      </c>
    </row>
    <row r="1208" spans="1:2" ht="15" hidden="1" x14ac:dyDescent="0.25">
      <c r="A1208" s="426" t="s">
        <v>1163</v>
      </c>
      <c r="B1208" s="426" t="s">
        <v>1164</v>
      </c>
    </row>
    <row r="1209" spans="1:2" ht="15" hidden="1" x14ac:dyDescent="0.25">
      <c r="A1209" s="426" t="s">
        <v>1165</v>
      </c>
      <c r="B1209" s="426" t="s">
        <v>1166</v>
      </c>
    </row>
    <row r="1210" spans="1:2" ht="15" hidden="1" x14ac:dyDescent="0.25">
      <c r="A1210" s="426" t="s">
        <v>1165</v>
      </c>
      <c r="B1210" s="426" t="s">
        <v>1166</v>
      </c>
    </row>
    <row r="1211" spans="1:2" ht="15" hidden="1" x14ac:dyDescent="0.25">
      <c r="A1211" s="426" t="s">
        <v>1167</v>
      </c>
      <c r="B1211" s="426" t="s">
        <v>1168</v>
      </c>
    </row>
    <row r="1212" spans="1:2" ht="15" hidden="1" x14ac:dyDescent="0.25">
      <c r="A1212" s="426" t="s">
        <v>1169</v>
      </c>
      <c r="B1212" s="426" t="s">
        <v>1170</v>
      </c>
    </row>
    <row r="1213" spans="1:2" ht="15" hidden="1" x14ac:dyDescent="0.25">
      <c r="A1213" s="426" t="s">
        <v>1171</v>
      </c>
      <c r="B1213" s="426" t="s">
        <v>1172</v>
      </c>
    </row>
    <row r="1214" spans="1:2" ht="15" hidden="1" x14ac:dyDescent="0.25">
      <c r="A1214" s="426" t="s">
        <v>1173</v>
      </c>
      <c r="B1214" s="426" t="s">
        <v>1174</v>
      </c>
    </row>
    <row r="1215" spans="1:2" ht="15" hidden="1" x14ac:dyDescent="0.25">
      <c r="A1215" s="426" t="s">
        <v>1175</v>
      </c>
      <c r="B1215" s="426" t="s">
        <v>1176</v>
      </c>
    </row>
    <row r="1216" spans="1:2" ht="15" hidden="1" x14ac:dyDescent="0.25">
      <c r="A1216" s="426" t="s">
        <v>1175</v>
      </c>
      <c r="B1216" s="426" t="s">
        <v>1176</v>
      </c>
    </row>
    <row r="1217" spans="1:2" ht="15" hidden="1" x14ac:dyDescent="0.25">
      <c r="A1217" s="426" t="s">
        <v>1177</v>
      </c>
      <c r="B1217" s="426" t="s">
        <v>1178</v>
      </c>
    </row>
    <row r="1218" spans="1:2" ht="15" hidden="1" x14ac:dyDescent="0.25">
      <c r="A1218" s="428" t="s">
        <v>1177</v>
      </c>
      <c r="B1218" s="428" t="s">
        <v>1179</v>
      </c>
    </row>
    <row r="1219" spans="1:2" ht="15" hidden="1" x14ac:dyDescent="0.25">
      <c r="A1219" s="426" t="s">
        <v>1180</v>
      </c>
      <c r="B1219" s="426" t="s">
        <v>1181</v>
      </c>
    </row>
    <row r="1220" spans="1:2" ht="15" hidden="1" x14ac:dyDescent="0.25">
      <c r="A1220" s="426" t="s">
        <v>1180</v>
      </c>
      <c r="B1220" s="426" t="s">
        <v>1181</v>
      </c>
    </row>
    <row r="1221" spans="1:2" ht="15" hidden="1" x14ac:dyDescent="0.25">
      <c r="A1221" s="426" t="s">
        <v>1182</v>
      </c>
      <c r="B1221" s="426" t="s">
        <v>1183</v>
      </c>
    </row>
    <row r="1222" spans="1:2" ht="15" hidden="1" x14ac:dyDescent="0.25">
      <c r="A1222" s="426" t="s">
        <v>1184</v>
      </c>
      <c r="B1222" s="426" t="s">
        <v>1185</v>
      </c>
    </row>
    <row r="1223" spans="1:2" ht="15" hidden="1" x14ac:dyDescent="0.25">
      <c r="A1223" s="426" t="s">
        <v>1186</v>
      </c>
      <c r="B1223" s="426" t="s">
        <v>1187</v>
      </c>
    </row>
    <row r="1224" spans="1:2" ht="15" hidden="1" x14ac:dyDescent="0.25">
      <c r="A1224" s="426" t="s">
        <v>1188</v>
      </c>
      <c r="B1224" s="426" t="s">
        <v>1189</v>
      </c>
    </row>
    <row r="1225" spans="1:2" ht="15" hidden="1" x14ac:dyDescent="0.25">
      <c r="A1225" s="426" t="s">
        <v>1190</v>
      </c>
      <c r="B1225" s="426" t="s">
        <v>1191</v>
      </c>
    </row>
    <row r="1226" spans="1:2" ht="15" hidden="1" x14ac:dyDescent="0.25">
      <c r="A1226" s="426" t="s">
        <v>1192</v>
      </c>
      <c r="B1226" s="426" t="s">
        <v>1193</v>
      </c>
    </row>
    <row r="1227" spans="1:2" ht="15" hidden="1" x14ac:dyDescent="0.25">
      <c r="A1227" s="426" t="s">
        <v>1194</v>
      </c>
      <c r="B1227" s="426" t="s">
        <v>1195</v>
      </c>
    </row>
    <row r="1228" spans="1:2" ht="15" hidden="1" x14ac:dyDescent="0.25">
      <c r="A1228" s="426" t="s">
        <v>1194</v>
      </c>
      <c r="B1228" s="426" t="s">
        <v>1195</v>
      </c>
    </row>
    <row r="1229" spans="1:2" ht="15" hidden="1" x14ac:dyDescent="0.25">
      <c r="A1229" s="426" t="s">
        <v>1196</v>
      </c>
      <c r="B1229" s="426" t="s">
        <v>1197</v>
      </c>
    </row>
    <row r="1230" spans="1:2" ht="15" hidden="1" x14ac:dyDescent="0.25">
      <c r="A1230" s="426" t="s">
        <v>1196</v>
      </c>
      <c r="B1230" s="426" t="s">
        <v>1197</v>
      </c>
    </row>
    <row r="1231" spans="1:2" ht="15" hidden="1" x14ac:dyDescent="0.25">
      <c r="A1231" s="426" t="s">
        <v>789</v>
      </c>
      <c r="B1231" s="426" t="s">
        <v>790</v>
      </c>
    </row>
    <row r="1232" spans="1:2" ht="15" hidden="1" x14ac:dyDescent="0.25">
      <c r="A1232" s="426" t="s">
        <v>789</v>
      </c>
      <c r="B1232" s="426" t="s">
        <v>790</v>
      </c>
    </row>
    <row r="1233" spans="1:2" ht="15" hidden="1" x14ac:dyDescent="0.25">
      <c r="A1233" s="426" t="s">
        <v>1198</v>
      </c>
      <c r="B1233" s="426" t="s">
        <v>1199</v>
      </c>
    </row>
    <row r="1234" spans="1:2" ht="15" hidden="1" x14ac:dyDescent="0.25">
      <c r="A1234" s="426" t="s">
        <v>1200</v>
      </c>
      <c r="B1234" s="426" t="s">
        <v>1201</v>
      </c>
    </row>
    <row r="1235" spans="1:2" ht="15" hidden="1" x14ac:dyDescent="0.25">
      <c r="A1235" s="426" t="s">
        <v>1200</v>
      </c>
      <c r="B1235" s="426" t="s">
        <v>1201</v>
      </c>
    </row>
    <row r="1236" spans="1:2" ht="15" hidden="1" x14ac:dyDescent="0.25">
      <c r="A1236" s="426" t="s">
        <v>1200</v>
      </c>
      <c r="B1236" s="426" t="s">
        <v>1201</v>
      </c>
    </row>
    <row r="1237" spans="1:2" ht="15" hidden="1" x14ac:dyDescent="0.25">
      <c r="A1237" s="426" t="s">
        <v>1202</v>
      </c>
      <c r="B1237" s="426" t="s">
        <v>1203</v>
      </c>
    </row>
    <row r="1238" spans="1:2" ht="15" hidden="1" x14ac:dyDescent="0.25">
      <c r="A1238" s="426" t="s">
        <v>1202</v>
      </c>
      <c r="B1238" s="426" t="s">
        <v>1203</v>
      </c>
    </row>
    <row r="1239" spans="1:2" ht="15" hidden="1" x14ac:dyDescent="0.25">
      <c r="A1239" s="426" t="s">
        <v>795</v>
      </c>
      <c r="B1239" s="426" t="s">
        <v>796</v>
      </c>
    </row>
    <row r="1240" spans="1:2" ht="15" hidden="1" x14ac:dyDescent="0.25">
      <c r="A1240" s="426" t="s">
        <v>1204</v>
      </c>
      <c r="B1240" s="426" t="s">
        <v>1205</v>
      </c>
    </row>
    <row r="1241" spans="1:2" ht="15" hidden="1" x14ac:dyDescent="0.25">
      <c r="A1241" s="426" t="s">
        <v>1206</v>
      </c>
      <c r="B1241" s="426" t="s">
        <v>1207</v>
      </c>
    </row>
    <row r="1242" spans="1:2" ht="15" hidden="1" x14ac:dyDescent="0.25">
      <c r="A1242" s="426" t="s">
        <v>1208</v>
      </c>
      <c r="B1242" s="426" t="s">
        <v>1209</v>
      </c>
    </row>
    <row r="1243" spans="1:2" ht="15" hidden="1" x14ac:dyDescent="0.25">
      <c r="A1243" s="426" t="s">
        <v>1210</v>
      </c>
      <c r="B1243" s="426" t="s">
        <v>1211</v>
      </c>
    </row>
    <row r="1244" spans="1:2" ht="15" hidden="1" x14ac:dyDescent="0.25">
      <c r="A1244" s="426" t="s">
        <v>1212</v>
      </c>
      <c r="B1244" s="426" t="s">
        <v>1213</v>
      </c>
    </row>
    <row r="1245" spans="1:2" ht="15" hidden="1" x14ac:dyDescent="0.25">
      <c r="A1245" s="426" t="s">
        <v>1214</v>
      </c>
      <c r="B1245" s="426" t="s">
        <v>818</v>
      </c>
    </row>
    <row r="1246" spans="1:2" ht="15" hidden="1" x14ac:dyDescent="0.25">
      <c r="A1246" s="426" t="s">
        <v>1215</v>
      </c>
      <c r="B1246" s="426" t="s">
        <v>1216</v>
      </c>
    </row>
    <row r="1247" spans="1:2" ht="15" hidden="1" x14ac:dyDescent="0.25">
      <c r="A1247" s="426" t="s">
        <v>1217</v>
      </c>
      <c r="B1247" s="426" t="s">
        <v>1218</v>
      </c>
    </row>
    <row r="1248" spans="1:2" ht="15" hidden="1" x14ac:dyDescent="0.25">
      <c r="A1248" s="426" t="s">
        <v>1219</v>
      </c>
      <c r="B1248" s="426" t="s">
        <v>1220</v>
      </c>
    </row>
    <row r="1249" spans="1:2" ht="15" hidden="1" x14ac:dyDescent="0.25">
      <c r="A1249" s="427" t="s">
        <v>1219</v>
      </c>
      <c r="B1249" s="426" t="s">
        <v>1220</v>
      </c>
    </row>
    <row r="1250" spans="1:2" ht="15" hidden="1" x14ac:dyDescent="0.25">
      <c r="A1250" s="426" t="s">
        <v>1221</v>
      </c>
      <c r="B1250" s="426" t="s">
        <v>1222</v>
      </c>
    </row>
    <row r="1251" spans="1:2" ht="15" hidden="1" x14ac:dyDescent="0.25">
      <c r="A1251" s="426" t="s">
        <v>1221</v>
      </c>
      <c r="B1251" s="426" t="s">
        <v>1222</v>
      </c>
    </row>
    <row r="1252" spans="1:2" ht="15" hidden="1" x14ac:dyDescent="0.25">
      <c r="A1252" s="426" t="s">
        <v>1221</v>
      </c>
      <c r="B1252" s="426" t="s">
        <v>1222</v>
      </c>
    </row>
    <row r="1253" spans="1:2" ht="15" hidden="1" x14ac:dyDescent="0.25">
      <c r="A1253" s="426" t="s">
        <v>1223</v>
      </c>
      <c r="B1253" s="426" t="s">
        <v>1224</v>
      </c>
    </row>
    <row r="1254" spans="1:2" ht="15" hidden="1" x14ac:dyDescent="0.25">
      <c r="A1254" s="426" t="s">
        <v>1225</v>
      </c>
      <c r="B1254" s="426" t="s">
        <v>1226</v>
      </c>
    </row>
    <row r="1255" spans="1:2" ht="15" hidden="1" x14ac:dyDescent="0.25">
      <c r="A1255" s="426" t="s">
        <v>1227</v>
      </c>
      <c r="B1255" s="426" t="s">
        <v>1228</v>
      </c>
    </row>
    <row r="1256" spans="1:2" ht="15" hidden="1" x14ac:dyDescent="0.25">
      <c r="A1256" s="426" t="s">
        <v>1229</v>
      </c>
      <c r="B1256" s="426" t="s">
        <v>1230</v>
      </c>
    </row>
    <row r="1257" spans="1:2" ht="15" hidden="1" x14ac:dyDescent="0.25">
      <c r="A1257" s="426" t="s">
        <v>1231</v>
      </c>
      <c r="B1257" s="426" t="s">
        <v>1232</v>
      </c>
    </row>
    <row r="1258" spans="1:2" ht="15" hidden="1" x14ac:dyDescent="0.25">
      <c r="A1258" s="426" t="s">
        <v>1233</v>
      </c>
      <c r="B1258" s="426" t="s">
        <v>1234</v>
      </c>
    </row>
    <row r="1259" spans="1:2" ht="15" hidden="1" x14ac:dyDescent="0.25">
      <c r="A1259" s="426" t="s">
        <v>1235</v>
      </c>
      <c r="B1259" s="426" t="s">
        <v>1236</v>
      </c>
    </row>
    <row r="1260" spans="1:2" ht="15" hidden="1" x14ac:dyDescent="0.25">
      <c r="A1260" s="426" t="s">
        <v>1237</v>
      </c>
      <c r="B1260" s="426" t="s">
        <v>1238</v>
      </c>
    </row>
    <row r="1261" spans="1:2" ht="15" hidden="1" x14ac:dyDescent="0.25">
      <c r="A1261" s="427" t="s">
        <v>1237</v>
      </c>
      <c r="B1261" s="426" t="s">
        <v>1238</v>
      </c>
    </row>
    <row r="1262" spans="1:2" ht="15" hidden="1" x14ac:dyDescent="0.25">
      <c r="A1262" s="426" t="s">
        <v>1237</v>
      </c>
      <c r="B1262" s="426" t="s">
        <v>1238</v>
      </c>
    </row>
    <row r="1263" spans="1:2" ht="15" hidden="1" x14ac:dyDescent="0.25">
      <c r="A1263" s="426" t="s">
        <v>1239</v>
      </c>
      <c r="B1263" s="426" t="s">
        <v>1240</v>
      </c>
    </row>
    <row r="1264" spans="1:2" ht="15" hidden="1" x14ac:dyDescent="0.25">
      <c r="A1264" s="426" t="s">
        <v>1241</v>
      </c>
      <c r="B1264" s="426" t="s">
        <v>1242</v>
      </c>
    </row>
    <row r="1265" spans="1:2" ht="15" hidden="1" x14ac:dyDescent="0.25">
      <c r="A1265" s="426" t="s">
        <v>1241</v>
      </c>
      <c r="B1265" s="426" t="s">
        <v>1242</v>
      </c>
    </row>
    <row r="1266" spans="1:2" ht="15" hidden="1" x14ac:dyDescent="0.25">
      <c r="A1266" s="426" t="s">
        <v>1243</v>
      </c>
      <c r="B1266" s="426" t="s">
        <v>1244</v>
      </c>
    </row>
    <row r="1267" spans="1:2" ht="15" hidden="1" x14ac:dyDescent="0.25">
      <c r="A1267" s="426" t="s">
        <v>1245</v>
      </c>
      <c r="B1267" s="426" t="s">
        <v>1246</v>
      </c>
    </row>
    <row r="1268" spans="1:2" ht="15" hidden="1" x14ac:dyDescent="0.25">
      <c r="A1268" s="426" t="s">
        <v>1247</v>
      </c>
      <c r="B1268" s="426" t="s">
        <v>1248</v>
      </c>
    </row>
    <row r="1269" spans="1:2" ht="15" hidden="1" x14ac:dyDescent="0.25">
      <c r="A1269" s="426" t="s">
        <v>1249</v>
      </c>
      <c r="B1269" s="426" t="s">
        <v>1250</v>
      </c>
    </row>
    <row r="1270" spans="1:2" ht="15" hidden="1" x14ac:dyDescent="0.25">
      <c r="A1270" s="426" t="s">
        <v>1251</v>
      </c>
      <c r="B1270" s="426" t="s">
        <v>1252</v>
      </c>
    </row>
    <row r="1271" spans="1:2" ht="15" hidden="1" x14ac:dyDescent="0.25">
      <c r="A1271" s="427" t="s">
        <v>1253</v>
      </c>
      <c r="B1271" s="426" t="s">
        <v>1254</v>
      </c>
    </row>
    <row r="1272" spans="1:2" ht="15" hidden="1" x14ac:dyDescent="0.25">
      <c r="A1272" s="426" t="s">
        <v>1255</v>
      </c>
      <c r="B1272" s="426" t="s">
        <v>1256</v>
      </c>
    </row>
    <row r="1273" spans="1:2" ht="15" hidden="1" x14ac:dyDescent="0.25">
      <c r="A1273" s="426" t="s">
        <v>1257</v>
      </c>
      <c r="B1273" s="426" t="s">
        <v>1258</v>
      </c>
    </row>
    <row r="1274" spans="1:2" ht="15" hidden="1" x14ac:dyDescent="0.25">
      <c r="A1274" s="426" t="s">
        <v>1259</v>
      </c>
      <c r="B1274" s="426" t="s">
        <v>1260</v>
      </c>
    </row>
    <row r="1275" spans="1:2" ht="15" hidden="1" x14ac:dyDescent="0.25">
      <c r="A1275" s="426" t="s">
        <v>208</v>
      </c>
      <c r="B1275" s="426" t="s">
        <v>309</v>
      </c>
    </row>
    <row r="1276" spans="1:2" ht="15" hidden="1" x14ac:dyDescent="0.25">
      <c r="A1276" s="426" t="s">
        <v>208</v>
      </c>
      <c r="B1276" s="426" t="s">
        <v>309</v>
      </c>
    </row>
    <row r="1277" spans="1:2" ht="15" hidden="1" x14ac:dyDescent="0.25">
      <c r="A1277" s="426" t="s">
        <v>208</v>
      </c>
      <c r="B1277" s="426" t="s">
        <v>309</v>
      </c>
    </row>
    <row r="1278" spans="1:2" ht="15" hidden="1" x14ac:dyDescent="0.25">
      <c r="A1278" s="426" t="s">
        <v>208</v>
      </c>
      <c r="B1278" s="426" t="s">
        <v>309</v>
      </c>
    </row>
    <row r="1279" spans="1:2" ht="15" hidden="1" x14ac:dyDescent="0.25">
      <c r="A1279" s="426" t="s">
        <v>208</v>
      </c>
      <c r="B1279" s="426" t="s">
        <v>309</v>
      </c>
    </row>
    <row r="1280" spans="1:2" ht="15" hidden="1" x14ac:dyDescent="0.25">
      <c r="A1280" s="426" t="s">
        <v>208</v>
      </c>
      <c r="B1280" s="426" t="s">
        <v>309</v>
      </c>
    </row>
    <row r="1281" spans="1:2" ht="15" hidden="1" x14ac:dyDescent="0.25">
      <c r="A1281" s="426" t="s">
        <v>208</v>
      </c>
      <c r="B1281" s="426" t="s">
        <v>309</v>
      </c>
    </row>
    <row r="1282" spans="1:2" ht="15" hidden="1" x14ac:dyDescent="0.25">
      <c r="A1282" s="426" t="s">
        <v>208</v>
      </c>
      <c r="B1282" s="426" t="s">
        <v>309</v>
      </c>
    </row>
    <row r="1283" spans="1:2" ht="15" hidden="1" x14ac:dyDescent="0.25">
      <c r="A1283" s="426" t="s">
        <v>179</v>
      </c>
      <c r="B1283" s="426" t="s">
        <v>311</v>
      </c>
    </row>
    <row r="1284" spans="1:2" ht="15" hidden="1" x14ac:dyDescent="0.25">
      <c r="A1284" s="426" t="s">
        <v>179</v>
      </c>
      <c r="B1284" s="426" t="s">
        <v>311</v>
      </c>
    </row>
    <row r="1285" spans="1:2" ht="15" hidden="1" x14ac:dyDescent="0.25">
      <c r="A1285" s="426" t="s">
        <v>179</v>
      </c>
      <c r="B1285" s="426" t="s">
        <v>311</v>
      </c>
    </row>
    <row r="1286" spans="1:2" ht="15" hidden="1" x14ac:dyDescent="0.25">
      <c r="A1286" s="426" t="s">
        <v>179</v>
      </c>
      <c r="B1286" s="426" t="s">
        <v>311</v>
      </c>
    </row>
    <row r="1287" spans="1:2" ht="15" hidden="1" x14ac:dyDescent="0.25">
      <c r="A1287" s="426" t="s">
        <v>179</v>
      </c>
      <c r="B1287" s="426" t="s">
        <v>311</v>
      </c>
    </row>
    <row r="1288" spans="1:2" ht="15" hidden="1" x14ac:dyDescent="0.25">
      <c r="A1288" s="426" t="s">
        <v>179</v>
      </c>
      <c r="B1288" s="426" t="s">
        <v>311</v>
      </c>
    </row>
    <row r="1289" spans="1:2" ht="15" hidden="1" x14ac:dyDescent="0.25">
      <c r="A1289" s="426" t="s">
        <v>179</v>
      </c>
      <c r="B1289" s="426" t="s">
        <v>311</v>
      </c>
    </row>
    <row r="1290" spans="1:2" ht="15" hidden="1" x14ac:dyDescent="0.25">
      <c r="A1290" s="426" t="s">
        <v>179</v>
      </c>
      <c r="B1290" s="426" t="s">
        <v>311</v>
      </c>
    </row>
    <row r="1291" spans="1:2" ht="15" hidden="1" x14ac:dyDescent="0.25">
      <c r="A1291" s="426" t="s">
        <v>179</v>
      </c>
      <c r="B1291" s="426" t="s">
        <v>311</v>
      </c>
    </row>
    <row r="1292" spans="1:2" ht="15" hidden="1" x14ac:dyDescent="0.25">
      <c r="A1292" s="426" t="s">
        <v>179</v>
      </c>
      <c r="B1292" s="426" t="s">
        <v>311</v>
      </c>
    </row>
    <row r="1293" spans="1:2" ht="15" hidden="1" x14ac:dyDescent="0.25">
      <c r="A1293" s="426" t="s">
        <v>179</v>
      </c>
      <c r="B1293" s="426" t="s">
        <v>311</v>
      </c>
    </row>
    <row r="1294" spans="1:2" ht="15" hidden="1" x14ac:dyDescent="0.25">
      <c r="A1294" s="426" t="s">
        <v>179</v>
      </c>
      <c r="B1294" s="426" t="s">
        <v>311</v>
      </c>
    </row>
    <row r="1295" spans="1:2" ht="15" hidden="1" x14ac:dyDescent="0.25">
      <c r="A1295" s="426" t="s">
        <v>179</v>
      </c>
      <c r="B1295" s="426" t="s">
        <v>311</v>
      </c>
    </row>
    <row r="1296" spans="1:2" ht="15" hidden="1" x14ac:dyDescent="0.25">
      <c r="A1296" s="426" t="s">
        <v>395</v>
      </c>
      <c r="B1296" s="426" t="s">
        <v>396</v>
      </c>
    </row>
    <row r="1297" spans="1:2" ht="15" hidden="1" x14ac:dyDescent="0.25">
      <c r="A1297" s="426" t="s">
        <v>395</v>
      </c>
      <c r="B1297" s="426" t="s">
        <v>396</v>
      </c>
    </row>
    <row r="1298" spans="1:2" ht="15" hidden="1" x14ac:dyDescent="0.25">
      <c r="A1298" s="426" t="s">
        <v>395</v>
      </c>
      <c r="B1298" s="426" t="s">
        <v>396</v>
      </c>
    </row>
    <row r="1299" spans="1:2" ht="15" hidden="1" x14ac:dyDescent="0.25">
      <c r="A1299" s="426" t="s">
        <v>395</v>
      </c>
      <c r="B1299" s="426" t="s">
        <v>396</v>
      </c>
    </row>
    <row r="1300" spans="1:2" ht="15" hidden="1" x14ac:dyDescent="0.25">
      <c r="A1300" s="426" t="s">
        <v>395</v>
      </c>
      <c r="B1300" s="426" t="s">
        <v>396</v>
      </c>
    </row>
    <row r="1301" spans="1:2" ht="15" hidden="1" x14ac:dyDescent="0.25">
      <c r="A1301" s="426" t="s">
        <v>395</v>
      </c>
      <c r="B1301" s="426" t="s">
        <v>396</v>
      </c>
    </row>
    <row r="1302" spans="1:2" ht="15" hidden="1" x14ac:dyDescent="0.25">
      <c r="A1302" s="426" t="s">
        <v>1261</v>
      </c>
      <c r="B1302" s="426" t="s">
        <v>1262</v>
      </c>
    </row>
    <row r="1303" spans="1:2" ht="15" hidden="1" x14ac:dyDescent="0.25">
      <c r="A1303" s="426" t="s">
        <v>209</v>
      </c>
      <c r="B1303" s="426" t="s">
        <v>314</v>
      </c>
    </row>
    <row r="1304" spans="1:2" ht="15" hidden="1" x14ac:dyDescent="0.25">
      <c r="A1304" s="426" t="s">
        <v>209</v>
      </c>
      <c r="B1304" s="426" t="s">
        <v>314</v>
      </c>
    </row>
    <row r="1305" spans="1:2" ht="15" hidden="1" x14ac:dyDescent="0.25">
      <c r="A1305" s="426" t="s">
        <v>182</v>
      </c>
      <c r="B1305" s="426" t="s">
        <v>315</v>
      </c>
    </row>
    <row r="1306" spans="1:2" ht="15" hidden="1" x14ac:dyDescent="0.25">
      <c r="A1306" s="426" t="s">
        <v>182</v>
      </c>
      <c r="B1306" s="426" t="s">
        <v>315</v>
      </c>
    </row>
    <row r="1307" spans="1:2" ht="15" hidden="1" x14ac:dyDescent="0.25">
      <c r="A1307" s="426" t="s">
        <v>182</v>
      </c>
      <c r="B1307" s="426" t="s">
        <v>315</v>
      </c>
    </row>
    <row r="1308" spans="1:2" ht="15" hidden="1" x14ac:dyDescent="0.25">
      <c r="A1308" s="426" t="s">
        <v>210</v>
      </c>
      <c r="B1308" s="426" t="s">
        <v>316</v>
      </c>
    </row>
    <row r="1309" spans="1:2" ht="15" hidden="1" x14ac:dyDescent="0.25">
      <c r="A1309" s="426" t="s">
        <v>210</v>
      </c>
      <c r="B1309" s="426" t="s">
        <v>316</v>
      </c>
    </row>
    <row r="1310" spans="1:2" ht="15" hidden="1" x14ac:dyDescent="0.25">
      <c r="A1310" s="426" t="s">
        <v>210</v>
      </c>
      <c r="B1310" s="426" t="s">
        <v>316</v>
      </c>
    </row>
    <row r="1311" spans="1:2" ht="15" hidden="1" x14ac:dyDescent="0.25">
      <c r="A1311" s="426" t="s">
        <v>210</v>
      </c>
      <c r="B1311" s="426" t="s">
        <v>316</v>
      </c>
    </row>
    <row r="1312" spans="1:2" ht="15" hidden="1" x14ac:dyDescent="0.25">
      <c r="A1312" s="426" t="s">
        <v>210</v>
      </c>
      <c r="B1312" s="426" t="s">
        <v>316</v>
      </c>
    </row>
    <row r="1313" spans="1:2" ht="15" hidden="1" x14ac:dyDescent="0.25">
      <c r="A1313" s="426" t="s">
        <v>183</v>
      </c>
      <c r="B1313" s="426" t="s">
        <v>317</v>
      </c>
    </row>
    <row r="1314" spans="1:2" ht="15" hidden="1" x14ac:dyDescent="0.25">
      <c r="A1314" s="426" t="s">
        <v>184</v>
      </c>
      <c r="B1314" s="426" t="s">
        <v>318</v>
      </c>
    </row>
    <row r="1315" spans="1:2" ht="15" hidden="1" x14ac:dyDescent="0.25">
      <c r="A1315" s="426" t="s">
        <v>185</v>
      </c>
      <c r="B1315" s="426" t="s">
        <v>319</v>
      </c>
    </row>
    <row r="1316" spans="1:2" ht="15" hidden="1" x14ac:dyDescent="0.25">
      <c r="A1316" s="426" t="s">
        <v>185</v>
      </c>
      <c r="B1316" s="426" t="s">
        <v>319</v>
      </c>
    </row>
    <row r="1317" spans="1:2" ht="15" hidden="1" x14ac:dyDescent="0.25">
      <c r="A1317" s="426" t="s">
        <v>185</v>
      </c>
      <c r="B1317" s="426" t="s">
        <v>319</v>
      </c>
    </row>
    <row r="1318" spans="1:2" ht="15" hidden="1" x14ac:dyDescent="0.25">
      <c r="A1318" s="426" t="s">
        <v>185</v>
      </c>
      <c r="B1318" s="426" t="s">
        <v>319</v>
      </c>
    </row>
    <row r="1319" spans="1:2" ht="15" hidden="1" x14ac:dyDescent="0.25">
      <c r="A1319" s="426" t="s">
        <v>1263</v>
      </c>
      <c r="B1319" s="426" t="s">
        <v>1264</v>
      </c>
    </row>
    <row r="1320" spans="1:2" ht="15" hidden="1" x14ac:dyDescent="0.25">
      <c r="A1320" s="426" t="s">
        <v>1265</v>
      </c>
      <c r="B1320" s="426" t="s">
        <v>1266</v>
      </c>
    </row>
    <row r="1321" spans="1:2" ht="15" hidden="1" x14ac:dyDescent="0.25">
      <c r="A1321" s="426" t="s">
        <v>1267</v>
      </c>
      <c r="B1321" s="426" t="s">
        <v>1268</v>
      </c>
    </row>
    <row r="1322" spans="1:2" ht="15" hidden="1" x14ac:dyDescent="0.25">
      <c r="A1322" s="426" t="s">
        <v>1267</v>
      </c>
      <c r="B1322" s="426" t="s">
        <v>1268</v>
      </c>
    </row>
    <row r="1323" spans="1:2" ht="15" hidden="1" x14ac:dyDescent="0.25">
      <c r="A1323" s="426" t="s">
        <v>1267</v>
      </c>
      <c r="B1323" s="426" t="s">
        <v>1268</v>
      </c>
    </row>
    <row r="1324" spans="1:2" ht="15" hidden="1" x14ac:dyDescent="0.25">
      <c r="A1324" s="426" t="s">
        <v>1267</v>
      </c>
      <c r="B1324" s="426" t="s">
        <v>1268</v>
      </c>
    </row>
    <row r="1325" spans="1:2" ht="15" hidden="1" x14ac:dyDescent="0.25">
      <c r="A1325" s="426" t="s">
        <v>187</v>
      </c>
      <c r="B1325" s="426" t="s">
        <v>322</v>
      </c>
    </row>
    <row r="1326" spans="1:2" ht="15" hidden="1" x14ac:dyDescent="0.25">
      <c r="A1326" s="426" t="s">
        <v>1269</v>
      </c>
      <c r="B1326" s="426" t="s">
        <v>1270</v>
      </c>
    </row>
    <row r="1327" spans="1:2" ht="15" hidden="1" x14ac:dyDescent="0.25">
      <c r="A1327" s="426" t="s">
        <v>1269</v>
      </c>
      <c r="B1327" s="426" t="s">
        <v>1270</v>
      </c>
    </row>
    <row r="1328" spans="1:2" ht="15" hidden="1" x14ac:dyDescent="0.25">
      <c r="A1328" s="426" t="s">
        <v>1271</v>
      </c>
      <c r="B1328" s="426" t="s">
        <v>1271</v>
      </c>
    </row>
    <row r="1329" spans="1:2" ht="15" hidden="1" x14ac:dyDescent="0.25">
      <c r="A1329" s="426" t="s">
        <v>1272</v>
      </c>
      <c r="B1329" s="426" t="s">
        <v>1272</v>
      </c>
    </row>
    <row r="1330" spans="1:2" ht="15" hidden="1" x14ac:dyDescent="0.25">
      <c r="A1330" s="426" t="s">
        <v>1273</v>
      </c>
      <c r="B1330" s="426" t="s">
        <v>1273</v>
      </c>
    </row>
    <row r="1331" spans="1:2" ht="15" hidden="1" x14ac:dyDescent="0.25">
      <c r="A1331" s="426" t="s">
        <v>1274</v>
      </c>
      <c r="B1331" s="426" t="s">
        <v>1274</v>
      </c>
    </row>
    <row r="1332" spans="1:2" ht="15" hidden="1" x14ac:dyDescent="0.25">
      <c r="A1332" s="426" t="s">
        <v>1275</v>
      </c>
      <c r="B1332" s="426" t="s">
        <v>1275</v>
      </c>
    </row>
    <row r="1333" spans="1:2" ht="15" hidden="1" x14ac:dyDescent="0.25">
      <c r="A1333" s="426" t="s">
        <v>1276</v>
      </c>
      <c r="B1333" s="426" t="s">
        <v>1276</v>
      </c>
    </row>
    <row r="1334" spans="1:2" ht="15" hidden="1" x14ac:dyDescent="0.25">
      <c r="A1334" s="426" t="s">
        <v>1277</v>
      </c>
      <c r="B1334" s="426" t="s">
        <v>1277</v>
      </c>
    </row>
    <row r="1335" spans="1:2" ht="15" hidden="1" x14ac:dyDescent="0.25">
      <c r="A1335" s="426" t="s">
        <v>1278</v>
      </c>
      <c r="B1335" s="426" t="s">
        <v>1278</v>
      </c>
    </row>
    <row r="1336" spans="1:2" ht="15" hidden="1" x14ac:dyDescent="0.25">
      <c r="A1336" s="426" t="s">
        <v>1279</v>
      </c>
      <c r="B1336" s="426" t="s">
        <v>1279</v>
      </c>
    </row>
    <row r="1337" spans="1:2" ht="15" hidden="1" x14ac:dyDescent="0.25">
      <c r="A1337" s="426" t="s">
        <v>1280</v>
      </c>
      <c r="B1337" s="426" t="s">
        <v>1280</v>
      </c>
    </row>
    <row r="1338" spans="1:2" ht="15" hidden="1" x14ac:dyDescent="0.25">
      <c r="A1338" s="426" t="s">
        <v>1281</v>
      </c>
      <c r="B1338" s="426" t="s">
        <v>1281</v>
      </c>
    </row>
    <row r="1339" spans="1:2" ht="15" hidden="1" x14ac:dyDescent="0.25">
      <c r="A1339" s="426" t="s">
        <v>1282</v>
      </c>
      <c r="B1339" s="426" t="s">
        <v>1282</v>
      </c>
    </row>
    <row r="1340" spans="1:2" ht="15" hidden="1" x14ac:dyDescent="0.25">
      <c r="A1340" s="426" t="s">
        <v>1283</v>
      </c>
      <c r="B1340" s="426" t="s">
        <v>1283</v>
      </c>
    </row>
    <row r="1341" spans="1:2" ht="15" hidden="1" x14ac:dyDescent="0.25">
      <c r="A1341" s="426" t="s">
        <v>1284</v>
      </c>
      <c r="B1341" s="426" t="s">
        <v>1284</v>
      </c>
    </row>
    <row r="1342" spans="1:2" ht="15" hidden="1" x14ac:dyDescent="0.25">
      <c r="A1342" s="426" t="s">
        <v>1285</v>
      </c>
      <c r="B1342" s="426" t="s">
        <v>1285</v>
      </c>
    </row>
    <row r="1343" spans="1:2" ht="15" hidden="1" x14ac:dyDescent="0.25">
      <c r="A1343" s="426" t="s">
        <v>1286</v>
      </c>
      <c r="B1343" s="426" t="s">
        <v>1286</v>
      </c>
    </row>
    <row r="1344" spans="1:2" ht="15" hidden="1" x14ac:dyDescent="0.25">
      <c r="A1344" s="426" t="s">
        <v>1287</v>
      </c>
      <c r="B1344" s="426" t="s">
        <v>1287</v>
      </c>
    </row>
    <row r="1345" spans="1:2" ht="15" hidden="1" x14ac:dyDescent="0.25">
      <c r="A1345" s="426" t="s">
        <v>1288</v>
      </c>
      <c r="B1345" s="426" t="s">
        <v>1288</v>
      </c>
    </row>
    <row r="1346" spans="1:2" ht="15" hidden="1" x14ac:dyDescent="0.25">
      <c r="A1346" s="426" t="s">
        <v>1289</v>
      </c>
      <c r="B1346" s="426" t="s">
        <v>1289</v>
      </c>
    </row>
    <row r="1347" spans="1:2" ht="15" hidden="1" x14ac:dyDescent="0.25">
      <c r="A1347" s="426" t="s">
        <v>1290</v>
      </c>
      <c r="B1347" s="426" t="s">
        <v>1290</v>
      </c>
    </row>
    <row r="1348" spans="1:2" ht="15" hidden="1" x14ac:dyDescent="0.25">
      <c r="A1348" s="426" t="s">
        <v>1291</v>
      </c>
      <c r="B1348" s="426" t="s">
        <v>1291</v>
      </c>
    </row>
    <row r="1349" spans="1:2" ht="15" hidden="1" x14ac:dyDescent="0.25">
      <c r="A1349" s="426" t="s">
        <v>1292</v>
      </c>
      <c r="B1349" s="426" t="s">
        <v>1292</v>
      </c>
    </row>
    <row r="1350" spans="1:2" ht="15" hidden="1" x14ac:dyDescent="0.25">
      <c r="A1350" s="426" t="s">
        <v>1293</v>
      </c>
      <c r="B1350" s="426" t="s">
        <v>1293</v>
      </c>
    </row>
    <row r="1351" spans="1:2" ht="15" hidden="1" x14ac:dyDescent="0.25">
      <c r="A1351" s="426" t="s">
        <v>1293</v>
      </c>
      <c r="B1351" s="426" t="s">
        <v>1293</v>
      </c>
    </row>
    <row r="1352" spans="1:2" ht="15" hidden="1" x14ac:dyDescent="0.25">
      <c r="A1352" s="426" t="s">
        <v>1294</v>
      </c>
      <c r="B1352" s="426" t="s">
        <v>1294</v>
      </c>
    </row>
    <row r="1353" spans="1:2" ht="15" hidden="1" x14ac:dyDescent="0.25">
      <c r="A1353" s="426" t="s">
        <v>1295</v>
      </c>
      <c r="B1353" s="426" t="s">
        <v>1295</v>
      </c>
    </row>
    <row r="1354" spans="1:2" ht="15" hidden="1" x14ac:dyDescent="0.25">
      <c r="A1354" s="426" t="s">
        <v>1296</v>
      </c>
      <c r="B1354" s="426" t="s">
        <v>1296</v>
      </c>
    </row>
    <row r="1355" spans="1:2" ht="15" hidden="1" x14ac:dyDescent="0.25">
      <c r="A1355" s="426" t="s">
        <v>1297</v>
      </c>
      <c r="B1355" s="426" t="s">
        <v>1297</v>
      </c>
    </row>
    <row r="1356" spans="1:2" ht="15" hidden="1" x14ac:dyDescent="0.25">
      <c r="A1356" s="426" t="s">
        <v>1298</v>
      </c>
      <c r="B1356" s="426" t="s">
        <v>1298</v>
      </c>
    </row>
    <row r="1357" spans="1:2" ht="15" hidden="1" x14ac:dyDescent="0.25">
      <c r="A1357" s="426" t="s">
        <v>1299</v>
      </c>
      <c r="B1357" s="426" t="s">
        <v>1299</v>
      </c>
    </row>
    <row r="1358" spans="1:2" ht="15" hidden="1" x14ac:dyDescent="0.25">
      <c r="A1358" s="426" t="s">
        <v>1300</v>
      </c>
      <c r="B1358" s="426" t="s">
        <v>1300</v>
      </c>
    </row>
    <row r="1359" spans="1:2" ht="15" hidden="1" x14ac:dyDescent="0.25">
      <c r="A1359" s="426" t="s">
        <v>1301</v>
      </c>
      <c r="B1359" s="426" t="s">
        <v>1301</v>
      </c>
    </row>
    <row r="1360" spans="1:2" ht="15" hidden="1" x14ac:dyDescent="0.25">
      <c r="A1360" s="426" t="s">
        <v>1302</v>
      </c>
      <c r="B1360" s="426" t="s">
        <v>1302</v>
      </c>
    </row>
    <row r="1361" spans="1:2" ht="15" hidden="1" x14ac:dyDescent="0.25">
      <c r="A1361" s="426" t="s">
        <v>1302</v>
      </c>
      <c r="B1361" s="426" t="s">
        <v>1302</v>
      </c>
    </row>
    <row r="1362" spans="1:2" ht="15" hidden="1" x14ac:dyDescent="0.25">
      <c r="A1362" s="426" t="s">
        <v>1303</v>
      </c>
      <c r="B1362" s="426" t="s">
        <v>1303</v>
      </c>
    </row>
    <row r="1363" spans="1:2" ht="15" hidden="1" x14ac:dyDescent="0.25">
      <c r="A1363" s="426" t="s">
        <v>1304</v>
      </c>
      <c r="B1363" s="426" t="s">
        <v>1304</v>
      </c>
    </row>
    <row r="1364" spans="1:2" ht="15" hidden="1" x14ac:dyDescent="0.25">
      <c r="A1364" s="426" t="s">
        <v>1305</v>
      </c>
      <c r="B1364" s="426" t="s">
        <v>1305</v>
      </c>
    </row>
    <row r="1365" spans="1:2" ht="15" hidden="1" x14ac:dyDescent="0.25">
      <c r="A1365" s="426" t="s">
        <v>1306</v>
      </c>
      <c r="B1365" s="426" t="s">
        <v>1306</v>
      </c>
    </row>
    <row r="1366" spans="1:2" ht="15" hidden="1" x14ac:dyDescent="0.25">
      <c r="A1366" s="426" t="s">
        <v>1307</v>
      </c>
      <c r="B1366" s="426" t="s">
        <v>1307</v>
      </c>
    </row>
    <row r="1367" spans="1:2" ht="15" hidden="1" x14ac:dyDescent="0.25">
      <c r="A1367" s="426" t="s">
        <v>1308</v>
      </c>
      <c r="B1367" s="426" t="s">
        <v>1308</v>
      </c>
    </row>
    <row r="1368" spans="1:2" ht="15" hidden="1" x14ac:dyDescent="0.25">
      <c r="A1368" s="426" t="s">
        <v>1309</v>
      </c>
      <c r="B1368" s="426" t="s">
        <v>1309</v>
      </c>
    </row>
    <row r="1369" spans="1:2" ht="15" hidden="1" x14ac:dyDescent="0.25">
      <c r="A1369" s="426" t="s">
        <v>1310</v>
      </c>
      <c r="B1369" s="426" t="s">
        <v>1310</v>
      </c>
    </row>
    <row r="1370" spans="1:2" ht="15" hidden="1" x14ac:dyDescent="0.25">
      <c r="A1370" s="426" t="s">
        <v>1311</v>
      </c>
      <c r="B1370" s="426" t="s">
        <v>1311</v>
      </c>
    </row>
    <row r="1371" spans="1:2" ht="15" hidden="1" x14ac:dyDescent="0.25">
      <c r="A1371" s="426" t="s">
        <v>1312</v>
      </c>
      <c r="B1371" s="426" t="s">
        <v>1312</v>
      </c>
    </row>
    <row r="1372" spans="1:2" ht="15" hidden="1" x14ac:dyDescent="0.25">
      <c r="A1372" s="426" t="s">
        <v>1313</v>
      </c>
      <c r="B1372" s="426" t="s">
        <v>1313</v>
      </c>
    </row>
    <row r="1373" spans="1:2" ht="15" hidden="1" x14ac:dyDescent="0.25">
      <c r="A1373" s="426" t="s">
        <v>1314</v>
      </c>
      <c r="B1373" s="426" t="s">
        <v>1314</v>
      </c>
    </row>
    <row r="1374" spans="1:2" ht="15" hidden="1" x14ac:dyDescent="0.25">
      <c r="A1374" s="426" t="s">
        <v>1315</v>
      </c>
      <c r="B1374" s="426" t="s">
        <v>1315</v>
      </c>
    </row>
    <row r="1375" spans="1:2" ht="15" hidden="1" x14ac:dyDescent="0.25">
      <c r="A1375" s="426" t="s">
        <v>1316</v>
      </c>
      <c r="B1375" s="426" t="s">
        <v>1316</v>
      </c>
    </row>
    <row r="1376" spans="1:2" ht="15" hidden="1" x14ac:dyDescent="0.25">
      <c r="A1376" s="426" t="s">
        <v>1317</v>
      </c>
      <c r="B1376" s="426" t="s">
        <v>1317</v>
      </c>
    </row>
    <row r="1377" spans="1:2" ht="15" hidden="1" x14ac:dyDescent="0.25">
      <c r="A1377" s="426" t="s">
        <v>1318</v>
      </c>
      <c r="B1377" s="426" t="s">
        <v>1318</v>
      </c>
    </row>
    <row r="1378" spans="1:2" ht="15" hidden="1" x14ac:dyDescent="0.25">
      <c r="A1378" s="426" t="s">
        <v>1319</v>
      </c>
      <c r="B1378" s="426" t="s">
        <v>1319</v>
      </c>
    </row>
    <row r="1379" spans="1:2" ht="15" hidden="1" x14ac:dyDescent="0.25">
      <c r="A1379" s="426" t="s">
        <v>1320</v>
      </c>
      <c r="B1379" s="426" t="s">
        <v>1320</v>
      </c>
    </row>
    <row r="1380" spans="1:2" ht="15" hidden="1" x14ac:dyDescent="0.25">
      <c r="A1380" s="426" t="s">
        <v>1320</v>
      </c>
      <c r="B1380" s="426" t="s">
        <v>1320</v>
      </c>
    </row>
    <row r="1381" spans="1:2" ht="15" hidden="1" x14ac:dyDescent="0.25">
      <c r="A1381" s="426" t="s">
        <v>1321</v>
      </c>
      <c r="B1381" s="426" t="s">
        <v>1321</v>
      </c>
    </row>
    <row r="1382" spans="1:2" ht="15" hidden="1" x14ac:dyDescent="0.25">
      <c r="A1382" s="426" t="s">
        <v>1322</v>
      </c>
      <c r="B1382" s="426" t="s">
        <v>1322</v>
      </c>
    </row>
    <row r="1383" spans="1:2" ht="15" hidden="1" x14ac:dyDescent="0.25">
      <c r="A1383" s="426" t="s">
        <v>1323</v>
      </c>
      <c r="B1383" s="426" t="s">
        <v>1323</v>
      </c>
    </row>
    <row r="1384" spans="1:2" ht="15" hidden="1" x14ac:dyDescent="0.25">
      <c r="A1384" s="426" t="s">
        <v>1324</v>
      </c>
      <c r="B1384" s="426" t="s">
        <v>1324</v>
      </c>
    </row>
    <row r="1385" spans="1:2" ht="15" hidden="1" x14ac:dyDescent="0.25">
      <c r="A1385" s="426" t="s">
        <v>1324</v>
      </c>
      <c r="B1385" s="426" t="s">
        <v>1324</v>
      </c>
    </row>
    <row r="1386" spans="1:2" ht="15" hidden="1" x14ac:dyDescent="0.25">
      <c r="A1386" s="426" t="s">
        <v>1325</v>
      </c>
      <c r="B1386" s="426" t="s">
        <v>1325</v>
      </c>
    </row>
    <row r="1387" spans="1:2" ht="15" hidden="1" x14ac:dyDescent="0.25">
      <c r="A1387" s="426" t="s">
        <v>1326</v>
      </c>
      <c r="B1387" s="426" t="s">
        <v>1326</v>
      </c>
    </row>
    <row r="1388" spans="1:2" ht="15" hidden="1" x14ac:dyDescent="0.25">
      <c r="A1388" s="426" t="s">
        <v>1326</v>
      </c>
      <c r="B1388" s="426" t="s">
        <v>1326</v>
      </c>
    </row>
    <row r="1389" spans="1:2" ht="15" hidden="1" x14ac:dyDescent="0.25">
      <c r="A1389" s="426" t="s">
        <v>1327</v>
      </c>
      <c r="B1389" s="426" t="s">
        <v>1327</v>
      </c>
    </row>
    <row r="1390" spans="1:2" ht="15" hidden="1" x14ac:dyDescent="0.25">
      <c r="A1390" s="426" t="s">
        <v>1328</v>
      </c>
      <c r="B1390" s="426" t="s">
        <v>1328</v>
      </c>
    </row>
    <row r="1391" spans="1:2" ht="15" hidden="1" x14ac:dyDescent="0.25">
      <c r="A1391" s="426" t="s">
        <v>1329</v>
      </c>
      <c r="B1391" s="426" t="s">
        <v>1329</v>
      </c>
    </row>
    <row r="1392" spans="1:2" ht="15" hidden="1" x14ac:dyDescent="0.25">
      <c r="A1392" s="426" t="s">
        <v>1329</v>
      </c>
      <c r="B1392" s="426" t="s">
        <v>1329</v>
      </c>
    </row>
    <row r="1393" spans="1:2" ht="15" hidden="1" x14ac:dyDescent="0.25">
      <c r="A1393" s="426" t="s">
        <v>1330</v>
      </c>
      <c r="B1393" s="426" t="s">
        <v>1330</v>
      </c>
    </row>
    <row r="1394" spans="1:2" ht="15" hidden="1" x14ac:dyDescent="0.25">
      <c r="A1394" s="426" t="s">
        <v>1331</v>
      </c>
      <c r="B1394" s="426" t="s">
        <v>1331</v>
      </c>
    </row>
    <row r="1395" spans="1:2" ht="15" hidden="1" x14ac:dyDescent="0.25">
      <c r="A1395" s="426" t="s">
        <v>1332</v>
      </c>
      <c r="B1395" s="426" t="s">
        <v>1332</v>
      </c>
    </row>
    <row r="1396" spans="1:2" ht="15" hidden="1" x14ac:dyDescent="0.25">
      <c r="A1396" s="426" t="s">
        <v>1333</v>
      </c>
      <c r="B1396" s="426" t="s">
        <v>1333</v>
      </c>
    </row>
    <row r="1397" spans="1:2" ht="15" hidden="1" x14ac:dyDescent="0.25">
      <c r="A1397" s="426" t="s">
        <v>1334</v>
      </c>
      <c r="B1397" s="426" t="s">
        <v>1334</v>
      </c>
    </row>
    <row r="1398" spans="1:2" ht="15" hidden="1" x14ac:dyDescent="0.25">
      <c r="A1398" s="426" t="s">
        <v>1335</v>
      </c>
      <c r="B1398" s="426" t="s">
        <v>1335</v>
      </c>
    </row>
    <row r="1399" spans="1:2" ht="15" hidden="1" x14ac:dyDescent="0.25">
      <c r="A1399" s="426" t="s">
        <v>1336</v>
      </c>
      <c r="B1399" s="426" t="s">
        <v>1336</v>
      </c>
    </row>
    <row r="1400" spans="1:2" ht="15" hidden="1" x14ac:dyDescent="0.25">
      <c r="A1400" s="426" t="s">
        <v>1337</v>
      </c>
      <c r="B1400" s="426" t="s">
        <v>1337</v>
      </c>
    </row>
    <row r="1401" spans="1:2" ht="15" hidden="1" x14ac:dyDescent="0.25">
      <c r="A1401" s="426" t="s">
        <v>1338</v>
      </c>
      <c r="B1401" s="426" t="s">
        <v>1338</v>
      </c>
    </row>
    <row r="1402" spans="1:2" ht="15" hidden="1" x14ac:dyDescent="0.25">
      <c r="A1402" s="426" t="s">
        <v>1339</v>
      </c>
      <c r="B1402" s="426" t="s">
        <v>1339</v>
      </c>
    </row>
    <row r="1403" spans="1:2" ht="15" hidden="1" x14ac:dyDescent="0.25">
      <c r="A1403" s="426" t="s">
        <v>1340</v>
      </c>
      <c r="B1403" s="426" t="s">
        <v>1340</v>
      </c>
    </row>
    <row r="1404" spans="1:2" ht="15" hidden="1" x14ac:dyDescent="0.25">
      <c r="A1404" s="426" t="s">
        <v>1341</v>
      </c>
      <c r="B1404" s="426" t="s">
        <v>1341</v>
      </c>
    </row>
    <row r="1405" spans="1:2" ht="15" hidden="1" x14ac:dyDescent="0.25">
      <c r="A1405" s="426" t="s">
        <v>1342</v>
      </c>
      <c r="B1405" s="426" t="s">
        <v>1342</v>
      </c>
    </row>
    <row r="1406" spans="1:2" ht="15" hidden="1" x14ac:dyDescent="0.25">
      <c r="A1406" s="426" t="s">
        <v>1343</v>
      </c>
      <c r="B1406" s="426" t="s">
        <v>1343</v>
      </c>
    </row>
    <row r="1407" spans="1:2" ht="15" hidden="1" x14ac:dyDescent="0.25">
      <c r="A1407" s="426" t="s">
        <v>1344</v>
      </c>
      <c r="B1407" s="426" t="s">
        <v>1344</v>
      </c>
    </row>
    <row r="1408" spans="1:2" ht="15" hidden="1" x14ac:dyDescent="0.25">
      <c r="A1408" s="426" t="s">
        <v>1345</v>
      </c>
      <c r="B1408" s="426" t="s">
        <v>1345</v>
      </c>
    </row>
    <row r="1409" spans="1:2" ht="15" hidden="1" x14ac:dyDescent="0.25">
      <c r="A1409" s="426" t="s">
        <v>1345</v>
      </c>
      <c r="B1409" s="426" t="s">
        <v>1345</v>
      </c>
    </row>
    <row r="1410" spans="1:2" ht="15" hidden="1" x14ac:dyDescent="0.25">
      <c r="A1410" s="426" t="s">
        <v>1346</v>
      </c>
      <c r="B1410" s="426" t="s">
        <v>1346</v>
      </c>
    </row>
    <row r="1411" spans="1:2" ht="15" hidden="1" x14ac:dyDescent="0.25">
      <c r="A1411" s="426" t="s">
        <v>1347</v>
      </c>
      <c r="B1411" s="426" t="s">
        <v>1347</v>
      </c>
    </row>
    <row r="1412" spans="1:2" ht="15" hidden="1" x14ac:dyDescent="0.25">
      <c r="A1412" s="426" t="s">
        <v>1348</v>
      </c>
      <c r="B1412" s="426" t="s">
        <v>1348</v>
      </c>
    </row>
    <row r="1413" spans="1:2" ht="15" hidden="1" x14ac:dyDescent="0.25">
      <c r="A1413" s="426" t="s">
        <v>1349</v>
      </c>
      <c r="B1413" s="426" t="s">
        <v>1349</v>
      </c>
    </row>
    <row r="1414" spans="1:2" ht="15" hidden="1" x14ac:dyDescent="0.25">
      <c r="A1414" s="426" t="s">
        <v>1350</v>
      </c>
      <c r="B1414" s="426" t="s">
        <v>1350</v>
      </c>
    </row>
    <row r="1415" spans="1:2" ht="15" hidden="1" x14ac:dyDescent="0.25">
      <c r="A1415" s="426" t="s">
        <v>1351</v>
      </c>
      <c r="B1415" s="426" t="s">
        <v>1351</v>
      </c>
    </row>
    <row r="1416" spans="1:2" ht="15" hidden="1" x14ac:dyDescent="0.25">
      <c r="A1416" s="426" t="s">
        <v>1352</v>
      </c>
      <c r="B1416" s="426" t="s">
        <v>1353</v>
      </c>
    </row>
    <row r="1417" spans="1:2" ht="15" hidden="1" x14ac:dyDescent="0.25">
      <c r="A1417" s="426" t="s">
        <v>1354</v>
      </c>
      <c r="B1417" s="426" t="s">
        <v>1355</v>
      </c>
    </row>
    <row r="1418" spans="1:2" ht="15" hidden="1" x14ac:dyDescent="0.25">
      <c r="A1418" s="426" t="s">
        <v>1356</v>
      </c>
      <c r="B1418" s="426" t="s">
        <v>1340</v>
      </c>
    </row>
    <row r="1419" spans="1:2" ht="15" hidden="1" x14ac:dyDescent="0.25">
      <c r="A1419" s="426" t="s">
        <v>1357</v>
      </c>
      <c r="B1419" s="426" t="s">
        <v>1358</v>
      </c>
    </row>
    <row r="1420" spans="1:2" ht="15" hidden="1" x14ac:dyDescent="0.25">
      <c r="A1420" s="426" t="s">
        <v>1359</v>
      </c>
      <c r="B1420" s="426" t="s">
        <v>1360</v>
      </c>
    </row>
    <row r="1421" spans="1:2" ht="15" hidden="1" x14ac:dyDescent="0.25">
      <c r="A1421" s="426" t="s">
        <v>1361</v>
      </c>
      <c r="B1421" s="426" t="s">
        <v>1362</v>
      </c>
    </row>
    <row r="1422" spans="1:2" ht="15" hidden="1" x14ac:dyDescent="0.25">
      <c r="A1422" s="426" t="s">
        <v>1361</v>
      </c>
      <c r="B1422" s="426" t="s">
        <v>1362</v>
      </c>
    </row>
    <row r="1423" spans="1:2" ht="15" hidden="1" x14ac:dyDescent="0.25">
      <c r="A1423" s="426" t="s">
        <v>1361</v>
      </c>
      <c r="B1423" s="426" t="s">
        <v>1362</v>
      </c>
    </row>
    <row r="1424" spans="1:2" ht="15" hidden="1" x14ac:dyDescent="0.25">
      <c r="A1424" s="426" t="s">
        <v>1363</v>
      </c>
      <c r="B1424" s="426" t="s">
        <v>1364</v>
      </c>
    </row>
    <row r="1425" spans="1:2" ht="15" hidden="1" x14ac:dyDescent="0.25">
      <c r="A1425" s="426" t="s">
        <v>1365</v>
      </c>
      <c r="B1425" s="426" t="s">
        <v>1366</v>
      </c>
    </row>
    <row r="1426" spans="1:2" ht="15" hidden="1" x14ac:dyDescent="0.25">
      <c r="A1426" s="426" t="s">
        <v>1367</v>
      </c>
      <c r="B1426" s="426" t="s">
        <v>1368</v>
      </c>
    </row>
    <row r="1427" spans="1:2" ht="15" hidden="1" x14ac:dyDescent="0.25">
      <c r="A1427" s="426" t="s">
        <v>204</v>
      </c>
      <c r="B1427" s="426" t="s">
        <v>352</v>
      </c>
    </row>
    <row r="1428" spans="1:2" ht="15" hidden="1" x14ac:dyDescent="0.25">
      <c r="A1428" s="426" t="s">
        <v>1369</v>
      </c>
      <c r="B1428" s="426" t="s">
        <v>1370</v>
      </c>
    </row>
    <row r="1429" spans="1:2" ht="15" hidden="1" x14ac:dyDescent="0.25">
      <c r="A1429" s="426" t="s">
        <v>1371</v>
      </c>
      <c r="B1429" s="426" t="s">
        <v>1372</v>
      </c>
    </row>
    <row r="1430" spans="1:2" ht="15" hidden="1" x14ac:dyDescent="0.25">
      <c r="A1430" s="426" t="s">
        <v>1373</v>
      </c>
      <c r="B1430" s="426" t="s">
        <v>1374</v>
      </c>
    </row>
    <row r="1431" spans="1:2" ht="15" hidden="1" x14ac:dyDescent="0.25">
      <c r="A1431" s="428" t="s">
        <v>1375</v>
      </c>
      <c r="B1431" s="428" t="s">
        <v>1376</v>
      </c>
    </row>
    <row r="1432" spans="1:2" ht="15" hidden="1" x14ac:dyDescent="0.25">
      <c r="A1432" s="426" t="s">
        <v>1377</v>
      </c>
      <c r="B1432" s="426" t="s">
        <v>1378</v>
      </c>
    </row>
    <row r="1433" spans="1:2" ht="15" hidden="1" x14ac:dyDescent="0.25">
      <c r="A1433" s="426" t="s">
        <v>1377</v>
      </c>
      <c r="B1433" s="426" t="s">
        <v>1378</v>
      </c>
    </row>
    <row r="1434" spans="1:2" ht="15" hidden="1" x14ac:dyDescent="0.25">
      <c r="A1434" s="426" t="s">
        <v>1377</v>
      </c>
      <c r="B1434" s="426" t="s">
        <v>1378</v>
      </c>
    </row>
    <row r="1435" spans="1:2" ht="15" hidden="1" x14ac:dyDescent="0.25">
      <c r="A1435" s="426" t="s">
        <v>1379</v>
      </c>
      <c r="B1435" s="426" t="s">
        <v>1380</v>
      </c>
    </row>
    <row r="1436" spans="1:2" ht="15" hidden="1" x14ac:dyDescent="0.25">
      <c r="A1436" s="426" t="s">
        <v>1381</v>
      </c>
      <c r="B1436" s="426" t="s">
        <v>1382</v>
      </c>
    </row>
    <row r="1437" spans="1:2" ht="15" hidden="1" x14ac:dyDescent="0.25">
      <c r="A1437" s="426" t="s">
        <v>1381</v>
      </c>
      <c r="B1437" s="426" t="s">
        <v>1382</v>
      </c>
    </row>
    <row r="1438" spans="1:2" ht="15" hidden="1" x14ac:dyDescent="0.25">
      <c r="A1438" s="428" t="s">
        <v>1383</v>
      </c>
      <c r="B1438" s="426" t="s">
        <v>1384</v>
      </c>
    </row>
    <row r="1439" spans="1:2" ht="15" hidden="1" x14ac:dyDescent="0.25">
      <c r="A1439" s="426" t="s">
        <v>1385</v>
      </c>
      <c r="B1439" s="426" t="s">
        <v>1386</v>
      </c>
    </row>
    <row r="1440" spans="1:2" ht="15" hidden="1" x14ac:dyDescent="0.25">
      <c r="A1440" s="426" t="s">
        <v>1387</v>
      </c>
      <c r="B1440" s="426" t="s">
        <v>1388</v>
      </c>
    </row>
    <row r="1441" spans="1:2" ht="15" hidden="1" x14ac:dyDescent="0.25">
      <c r="A1441" s="426" t="s">
        <v>1389</v>
      </c>
      <c r="B1441" s="426" t="s">
        <v>1390</v>
      </c>
    </row>
    <row r="1442" spans="1:2" ht="15" hidden="1" x14ac:dyDescent="0.25">
      <c r="A1442" s="426" t="s">
        <v>1391</v>
      </c>
      <c r="B1442" s="426" t="s">
        <v>1392</v>
      </c>
    </row>
    <row r="1443" spans="1:2" ht="15" hidden="1" x14ac:dyDescent="0.25">
      <c r="A1443" s="426" t="s">
        <v>1391</v>
      </c>
      <c r="B1443" s="426" t="s">
        <v>1392</v>
      </c>
    </row>
    <row r="1444" spans="1:2" ht="15" hidden="1" x14ac:dyDescent="0.25">
      <c r="A1444" s="426" t="s">
        <v>1393</v>
      </c>
      <c r="B1444" s="426" t="s">
        <v>1394</v>
      </c>
    </row>
    <row r="1445" spans="1:2" ht="15" hidden="1" x14ac:dyDescent="0.25">
      <c r="A1445" s="426" t="s">
        <v>1393</v>
      </c>
      <c r="B1445" s="426" t="s">
        <v>1394</v>
      </c>
    </row>
    <row r="1446" spans="1:2" ht="15" hidden="1" x14ac:dyDescent="0.25">
      <c r="A1446" s="426" t="s">
        <v>1395</v>
      </c>
      <c r="B1446" s="426" t="s">
        <v>1396</v>
      </c>
    </row>
    <row r="1447" spans="1:2" ht="15" hidden="1" x14ac:dyDescent="0.25">
      <c r="A1447" s="426" t="s">
        <v>1395</v>
      </c>
      <c r="B1447" s="426" t="s">
        <v>1396</v>
      </c>
    </row>
    <row r="1448" spans="1:2" ht="15" hidden="1" x14ac:dyDescent="0.25">
      <c r="A1448" s="426" t="s">
        <v>1397</v>
      </c>
      <c r="B1448" s="426" t="s">
        <v>1398</v>
      </c>
    </row>
    <row r="1449" spans="1:2" ht="15" hidden="1" x14ac:dyDescent="0.25">
      <c r="A1449" s="426" t="s">
        <v>1399</v>
      </c>
      <c r="B1449" s="426" t="s">
        <v>1400</v>
      </c>
    </row>
    <row r="1450" spans="1:2" ht="15" hidden="1" x14ac:dyDescent="0.25">
      <c r="A1450" s="426" t="s">
        <v>1401</v>
      </c>
      <c r="B1450" s="426" t="s">
        <v>1402</v>
      </c>
    </row>
    <row r="1451" spans="1:2" ht="15" hidden="1" x14ac:dyDescent="0.25">
      <c r="A1451" s="426" t="s">
        <v>1401</v>
      </c>
      <c r="B1451" s="426" t="s">
        <v>1402</v>
      </c>
    </row>
    <row r="1452" spans="1:2" ht="15" hidden="1" x14ac:dyDescent="0.25">
      <c r="A1452" s="426" t="s">
        <v>1403</v>
      </c>
      <c r="B1452" s="426" t="s">
        <v>1404</v>
      </c>
    </row>
    <row r="1453" spans="1:2" ht="15" hidden="1" x14ac:dyDescent="0.25">
      <c r="A1453" s="426" t="s">
        <v>1405</v>
      </c>
      <c r="B1453" s="426" t="s">
        <v>1406</v>
      </c>
    </row>
    <row r="1454" spans="1:2" ht="15" hidden="1" x14ac:dyDescent="0.25">
      <c r="A1454" s="426" t="s">
        <v>1407</v>
      </c>
      <c r="B1454" s="426" t="s">
        <v>1408</v>
      </c>
    </row>
    <row r="1455" spans="1:2" ht="15" hidden="1" x14ac:dyDescent="0.25">
      <c r="A1455" s="426" t="s">
        <v>1409</v>
      </c>
      <c r="B1455" s="426" t="s">
        <v>1410</v>
      </c>
    </row>
    <row r="1456" spans="1:2" ht="15" hidden="1" x14ac:dyDescent="0.25">
      <c r="A1456" s="426" t="s">
        <v>1411</v>
      </c>
      <c r="B1456" s="426" t="s">
        <v>1412</v>
      </c>
    </row>
    <row r="1457" spans="1:2" ht="15" hidden="1" x14ac:dyDescent="0.25">
      <c r="A1457" s="426" t="s">
        <v>1411</v>
      </c>
      <c r="B1457" s="426" t="s">
        <v>1412</v>
      </c>
    </row>
    <row r="1458" spans="1:2" ht="15" hidden="1" x14ac:dyDescent="0.25">
      <c r="A1458" s="426" t="s">
        <v>1413</v>
      </c>
      <c r="B1458" s="426" t="s">
        <v>1414</v>
      </c>
    </row>
    <row r="1459" spans="1:2" ht="15" hidden="1" x14ac:dyDescent="0.25">
      <c r="A1459" s="426" t="s">
        <v>1415</v>
      </c>
      <c r="B1459" s="426" t="s">
        <v>1416</v>
      </c>
    </row>
    <row r="1460" spans="1:2" ht="15" hidden="1" x14ac:dyDescent="0.25">
      <c r="A1460" s="428" t="s">
        <v>1417</v>
      </c>
      <c r="B1460" s="426" t="s">
        <v>1418</v>
      </c>
    </row>
    <row r="1461" spans="1:2" ht="15" hidden="1" x14ac:dyDescent="0.25">
      <c r="A1461" s="426" t="s">
        <v>1419</v>
      </c>
      <c r="B1461" s="426" t="s">
        <v>1420</v>
      </c>
    </row>
    <row r="1462" spans="1:2" ht="15" hidden="1" x14ac:dyDescent="0.25">
      <c r="A1462" s="426" t="s">
        <v>1421</v>
      </c>
      <c r="B1462" s="426" t="s">
        <v>1323</v>
      </c>
    </row>
    <row r="1463" spans="1:2" ht="15" hidden="1" x14ac:dyDescent="0.25">
      <c r="A1463" s="426" t="s">
        <v>382</v>
      </c>
      <c r="B1463" s="426" t="s">
        <v>383</v>
      </c>
    </row>
    <row r="1464" spans="1:2" ht="15" hidden="1" x14ac:dyDescent="0.25">
      <c r="A1464" s="426" t="s">
        <v>382</v>
      </c>
      <c r="B1464" s="426" t="s">
        <v>383</v>
      </c>
    </row>
    <row r="1465" spans="1:2" ht="15" hidden="1" x14ac:dyDescent="0.25">
      <c r="A1465" s="426" t="s">
        <v>1422</v>
      </c>
      <c r="B1465" s="426" t="s">
        <v>1423</v>
      </c>
    </row>
    <row r="1466" spans="1:2" ht="15" hidden="1" x14ac:dyDescent="0.25">
      <c r="A1466" s="426" t="s">
        <v>1424</v>
      </c>
      <c r="B1466" s="426" t="s">
        <v>1425</v>
      </c>
    </row>
    <row r="1467" spans="1:2" ht="15" hidden="1" x14ac:dyDescent="0.25">
      <c r="A1467" s="426" t="s">
        <v>1426</v>
      </c>
      <c r="B1467" s="426" t="s">
        <v>1427</v>
      </c>
    </row>
    <row r="1468" spans="1:2" ht="15" hidden="1" x14ac:dyDescent="0.25">
      <c r="A1468" s="426" t="s">
        <v>1426</v>
      </c>
      <c r="B1468" s="426" t="s">
        <v>1427</v>
      </c>
    </row>
    <row r="1469" spans="1:2" ht="15" hidden="1" x14ac:dyDescent="0.25">
      <c r="A1469" s="426" t="s">
        <v>1428</v>
      </c>
      <c r="B1469" s="426" t="s">
        <v>1429</v>
      </c>
    </row>
    <row r="1470" spans="1:2" ht="15" hidden="1" x14ac:dyDescent="0.25">
      <c r="A1470" s="426" t="s">
        <v>1430</v>
      </c>
      <c r="B1470" s="426" t="s">
        <v>788</v>
      </c>
    </row>
    <row r="1471" spans="1:2" ht="15" hidden="1" x14ac:dyDescent="0.25">
      <c r="A1471" s="426" t="s">
        <v>1431</v>
      </c>
      <c r="B1471" s="426" t="s">
        <v>1432</v>
      </c>
    </row>
    <row r="1472" spans="1:2" ht="15" hidden="1" x14ac:dyDescent="0.25">
      <c r="A1472" s="426" t="s">
        <v>1433</v>
      </c>
      <c r="B1472" s="426" t="s">
        <v>1434</v>
      </c>
    </row>
    <row r="1473" spans="1:2" ht="15" hidden="1" x14ac:dyDescent="0.25">
      <c r="A1473" s="426" t="s">
        <v>1435</v>
      </c>
      <c r="B1473" s="426" t="s">
        <v>1436</v>
      </c>
    </row>
    <row r="1474" spans="1:2" ht="15" hidden="1" x14ac:dyDescent="0.25">
      <c r="A1474" s="426" t="s">
        <v>1437</v>
      </c>
      <c r="B1474" s="426" t="s">
        <v>1438</v>
      </c>
    </row>
    <row r="1475" spans="1:2" ht="15" hidden="1" x14ac:dyDescent="0.25">
      <c r="A1475" s="426" t="s">
        <v>1439</v>
      </c>
      <c r="B1475" s="426" t="s">
        <v>1440</v>
      </c>
    </row>
    <row r="1476" spans="1:2" ht="15" hidden="1" x14ac:dyDescent="0.25">
      <c r="A1476" s="426" t="s">
        <v>1441</v>
      </c>
      <c r="B1476" s="426" t="s">
        <v>1442</v>
      </c>
    </row>
    <row r="1477" spans="1:2" ht="15" hidden="1" x14ac:dyDescent="0.25">
      <c r="A1477" s="426" t="s">
        <v>1441</v>
      </c>
      <c r="B1477" s="426" t="s">
        <v>1442</v>
      </c>
    </row>
    <row r="1478" spans="1:2" ht="15" hidden="1" x14ac:dyDescent="0.25">
      <c r="A1478" s="426" t="s">
        <v>1443</v>
      </c>
      <c r="B1478" s="426" t="s">
        <v>1444</v>
      </c>
    </row>
    <row r="1479" spans="1:2" ht="15" hidden="1" x14ac:dyDescent="0.25">
      <c r="A1479" s="426" t="s">
        <v>1445</v>
      </c>
      <c r="B1479" s="426" t="s">
        <v>1446</v>
      </c>
    </row>
    <row r="1480" spans="1:2" ht="15" hidden="1" x14ac:dyDescent="0.25">
      <c r="A1480" s="426" t="s">
        <v>1447</v>
      </c>
      <c r="B1480" s="426" t="s">
        <v>1448</v>
      </c>
    </row>
    <row r="1481" spans="1:2" ht="15" hidden="1" x14ac:dyDescent="0.25">
      <c r="A1481" s="426" t="s">
        <v>1449</v>
      </c>
      <c r="B1481" s="426" t="s">
        <v>1450</v>
      </c>
    </row>
    <row r="1482" spans="1:2" ht="15" hidden="1" x14ac:dyDescent="0.25">
      <c r="A1482" s="426" t="s">
        <v>1449</v>
      </c>
      <c r="B1482" s="426" t="s">
        <v>1450</v>
      </c>
    </row>
    <row r="1483" spans="1:2" ht="15" hidden="1" x14ac:dyDescent="0.25">
      <c r="A1483" s="426" t="s">
        <v>1449</v>
      </c>
      <c r="B1483" s="426" t="s">
        <v>1450</v>
      </c>
    </row>
    <row r="1484" spans="1:2" ht="15" hidden="1" x14ac:dyDescent="0.25">
      <c r="A1484" s="426" t="s">
        <v>1451</v>
      </c>
      <c r="B1484" s="426" t="s">
        <v>1452</v>
      </c>
    </row>
    <row r="1485" spans="1:2" ht="15" hidden="1" x14ac:dyDescent="0.25">
      <c r="A1485" s="426" t="s">
        <v>1451</v>
      </c>
      <c r="B1485" s="426" t="s">
        <v>1452</v>
      </c>
    </row>
    <row r="1486" spans="1:2" ht="15" hidden="1" x14ac:dyDescent="0.25">
      <c r="A1486" s="426" t="s">
        <v>1451</v>
      </c>
      <c r="B1486" s="426" t="s">
        <v>1452</v>
      </c>
    </row>
    <row r="1487" spans="1:2" ht="15" hidden="1" x14ac:dyDescent="0.25">
      <c r="A1487" s="426" t="s">
        <v>1453</v>
      </c>
      <c r="B1487" s="426" t="s">
        <v>1454</v>
      </c>
    </row>
    <row r="1488" spans="1:2" ht="15" hidden="1" x14ac:dyDescent="0.25">
      <c r="A1488" s="426" t="s">
        <v>208</v>
      </c>
      <c r="B1488" s="426" t="s">
        <v>309</v>
      </c>
    </row>
    <row r="1489" spans="1:2" ht="15" hidden="1" x14ac:dyDescent="0.25">
      <c r="A1489" s="426" t="s">
        <v>208</v>
      </c>
      <c r="B1489" s="426" t="s">
        <v>309</v>
      </c>
    </row>
    <row r="1490" spans="1:2" ht="15" hidden="1" x14ac:dyDescent="0.25">
      <c r="A1490" s="426" t="s">
        <v>208</v>
      </c>
      <c r="B1490" s="426" t="s">
        <v>309</v>
      </c>
    </row>
    <row r="1491" spans="1:2" ht="15" hidden="1" x14ac:dyDescent="0.25">
      <c r="A1491" s="426" t="s">
        <v>208</v>
      </c>
      <c r="B1491" s="426" t="s">
        <v>309</v>
      </c>
    </row>
    <row r="1492" spans="1:2" ht="15" hidden="1" x14ac:dyDescent="0.25">
      <c r="A1492" s="426" t="s">
        <v>208</v>
      </c>
      <c r="B1492" s="426" t="s">
        <v>309</v>
      </c>
    </row>
    <row r="1493" spans="1:2" ht="15" hidden="1" x14ac:dyDescent="0.25">
      <c r="A1493" s="426" t="s">
        <v>208</v>
      </c>
      <c r="B1493" s="426" t="s">
        <v>309</v>
      </c>
    </row>
    <row r="1494" spans="1:2" ht="15" hidden="1" x14ac:dyDescent="0.25">
      <c r="A1494" s="426" t="s">
        <v>395</v>
      </c>
      <c r="B1494" s="426" t="s">
        <v>396</v>
      </c>
    </row>
    <row r="1495" spans="1:2" ht="15" hidden="1" x14ac:dyDescent="0.25">
      <c r="A1495" s="426" t="s">
        <v>395</v>
      </c>
      <c r="B1495" s="426" t="s">
        <v>396</v>
      </c>
    </row>
    <row r="1496" spans="1:2" ht="15" hidden="1" x14ac:dyDescent="0.25">
      <c r="A1496" s="426" t="s">
        <v>395</v>
      </c>
      <c r="B1496" s="426" t="s">
        <v>396</v>
      </c>
    </row>
    <row r="1497" spans="1:2" ht="15" hidden="1" x14ac:dyDescent="0.25">
      <c r="A1497" s="426" t="s">
        <v>395</v>
      </c>
      <c r="B1497" s="426" t="s">
        <v>396</v>
      </c>
    </row>
    <row r="1498" spans="1:2" ht="15" hidden="1" x14ac:dyDescent="0.25">
      <c r="A1498" s="426" t="s">
        <v>395</v>
      </c>
      <c r="B1498" s="426" t="s">
        <v>396</v>
      </c>
    </row>
    <row r="1499" spans="1:2" ht="15" hidden="1" x14ac:dyDescent="0.25">
      <c r="A1499" s="426" t="s">
        <v>1455</v>
      </c>
      <c r="B1499" s="426" t="s">
        <v>1456</v>
      </c>
    </row>
    <row r="1500" spans="1:2" ht="15" hidden="1" x14ac:dyDescent="0.25">
      <c r="A1500" s="426" t="s">
        <v>1455</v>
      </c>
      <c r="B1500" s="426" t="s">
        <v>1456</v>
      </c>
    </row>
    <row r="1501" spans="1:2" ht="15" hidden="1" x14ac:dyDescent="0.25">
      <c r="A1501" s="426" t="s">
        <v>182</v>
      </c>
      <c r="B1501" s="426" t="s">
        <v>315</v>
      </c>
    </row>
    <row r="1502" spans="1:2" ht="15" hidden="1" x14ac:dyDescent="0.25">
      <c r="A1502" s="426" t="s">
        <v>182</v>
      </c>
      <c r="B1502" s="426" t="s">
        <v>315</v>
      </c>
    </row>
    <row r="1503" spans="1:2" ht="15" hidden="1" x14ac:dyDescent="0.25">
      <c r="A1503" s="426" t="s">
        <v>182</v>
      </c>
      <c r="B1503" s="426" t="s">
        <v>315</v>
      </c>
    </row>
    <row r="1504" spans="1:2" ht="15" hidden="1" x14ac:dyDescent="0.25">
      <c r="A1504" s="426" t="s">
        <v>182</v>
      </c>
      <c r="B1504" s="426" t="s">
        <v>315</v>
      </c>
    </row>
    <row r="1505" spans="1:2" ht="15" hidden="1" x14ac:dyDescent="0.25">
      <c r="A1505" s="426" t="s">
        <v>182</v>
      </c>
      <c r="B1505" s="426" t="s">
        <v>315</v>
      </c>
    </row>
    <row r="1506" spans="1:2" ht="15" hidden="1" x14ac:dyDescent="0.25">
      <c r="A1506" s="426" t="s">
        <v>182</v>
      </c>
      <c r="B1506" s="426" t="s">
        <v>315</v>
      </c>
    </row>
    <row r="1507" spans="1:2" ht="15" hidden="1" x14ac:dyDescent="0.25">
      <c r="A1507" s="426" t="s">
        <v>210</v>
      </c>
      <c r="B1507" s="426" t="s">
        <v>316</v>
      </c>
    </row>
    <row r="1508" spans="1:2" ht="15" hidden="1" x14ac:dyDescent="0.25">
      <c r="A1508" s="426" t="s">
        <v>210</v>
      </c>
      <c r="B1508" s="426" t="s">
        <v>316</v>
      </c>
    </row>
    <row r="1509" spans="1:2" ht="15" hidden="1" x14ac:dyDescent="0.25">
      <c r="A1509" s="426" t="s">
        <v>210</v>
      </c>
      <c r="B1509" s="426" t="s">
        <v>316</v>
      </c>
    </row>
    <row r="1510" spans="1:2" ht="15" hidden="1" x14ac:dyDescent="0.25">
      <c r="A1510" s="426" t="s">
        <v>210</v>
      </c>
      <c r="B1510" s="426" t="s">
        <v>316</v>
      </c>
    </row>
    <row r="1511" spans="1:2" ht="15" hidden="1" x14ac:dyDescent="0.25">
      <c r="A1511" s="426" t="s">
        <v>210</v>
      </c>
      <c r="B1511" s="426" t="s">
        <v>316</v>
      </c>
    </row>
    <row r="1512" spans="1:2" ht="15" hidden="1" x14ac:dyDescent="0.25">
      <c r="A1512" s="426" t="s">
        <v>210</v>
      </c>
      <c r="B1512" s="426" t="s">
        <v>316</v>
      </c>
    </row>
    <row r="1513" spans="1:2" ht="15" hidden="1" x14ac:dyDescent="0.25">
      <c r="A1513" s="426" t="s">
        <v>210</v>
      </c>
      <c r="B1513" s="426" t="s">
        <v>316</v>
      </c>
    </row>
    <row r="1514" spans="1:2" ht="15" hidden="1" x14ac:dyDescent="0.25">
      <c r="A1514" s="426" t="s">
        <v>210</v>
      </c>
      <c r="B1514" s="426" t="s">
        <v>316</v>
      </c>
    </row>
    <row r="1515" spans="1:2" ht="15" hidden="1" x14ac:dyDescent="0.25">
      <c r="A1515" s="426" t="s">
        <v>210</v>
      </c>
      <c r="B1515" s="426" t="s">
        <v>316</v>
      </c>
    </row>
    <row r="1516" spans="1:2" ht="15" hidden="1" x14ac:dyDescent="0.25">
      <c r="A1516" s="426" t="s">
        <v>210</v>
      </c>
      <c r="B1516" s="426" t="s">
        <v>316</v>
      </c>
    </row>
    <row r="1517" spans="1:2" ht="15" hidden="1" x14ac:dyDescent="0.25">
      <c r="A1517" s="426" t="s">
        <v>210</v>
      </c>
      <c r="B1517" s="426" t="s">
        <v>316</v>
      </c>
    </row>
    <row r="1518" spans="1:2" ht="15" hidden="1" x14ac:dyDescent="0.25">
      <c r="A1518" s="426" t="s">
        <v>210</v>
      </c>
      <c r="B1518" s="426" t="s">
        <v>316</v>
      </c>
    </row>
    <row r="1519" spans="1:2" ht="15" hidden="1" x14ac:dyDescent="0.25">
      <c r="A1519" s="426" t="s">
        <v>185</v>
      </c>
      <c r="B1519" s="426" t="s">
        <v>319</v>
      </c>
    </row>
    <row r="1520" spans="1:2" ht="15" hidden="1" x14ac:dyDescent="0.25">
      <c r="A1520" s="426" t="s">
        <v>185</v>
      </c>
      <c r="B1520" s="426" t="s">
        <v>319</v>
      </c>
    </row>
    <row r="1521" spans="1:2" ht="15" hidden="1" x14ac:dyDescent="0.25">
      <c r="A1521" s="426" t="s">
        <v>187</v>
      </c>
      <c r="B1521" s="426" t="s">
        <v>322</v>
      </c>
    </row>
    <row r="1522" spans="1:2" ht="15" hidden="1" x14ac:dyDescent="0.25">
      <c r="A1522" s="426" t="s">
        <v>187</v>
      </c>
      <c r="B1522" s="426" t="s">
        <v>322</v>
      </c>
    </row>
    <row r="1523" spans="1:2" ht="15" hidden="1" x14ac:dyDescent="0.25">
      <c r="A1523" s="426" t="s">
        <v>187</v>
      </c>
      <c r="B1523" s="426" t="s">
        <v>322</v>
      </c>
    </row>
    <row r="1524" spans="1:2" ht="15" hidden="1" x14ac:dyDescent="0.25">
      <c r="A1524" s="426" t="s">
        <v>187</v>
      </c>
      <c r="B1524" s="426" t="s">
        <v>322</v>
      </c>
    </row>
    <row r="1525" spans="1:2" ht="15" hidden="1" x14ac:dyDescent="0.25">
      <c r="A1525" s="426" t="s">
        <v>187</v>
      </c>
      <c r="B1525" s="426" t="s">
        <v>322</v>
      </c>
    </row>
    <row r="1526" spans="1:2" ht="15" hidden="1" x14ac:dyDescent="0.25">
      <c r="A1526" s="426" t="s">
        <v>187</v>
      </c>
      <c r="B1526" s="426" t="s">
        <v>322</v>
      </c>
    </row>
    <row r="1527" spans="1:2" ht="15" hidden="1" x14ac:dyDescent="0.25">
      <c r="A1527" s="426" t="s">
        <v>187</v>
      </c>
      <c r="B1527" s="426" t="s">
        <v>322</v>
      </c>
    </row>
    <row r="1528" spans="1:2" ht="15" hidden="1" x14ac:dyDescent="0.25">
      <c r="A1528" s="426" t="s">
        <v>187</v>
      </c>
      <c r="B1528" s="426" t="s">
        <v>322</v>
      </c>
    </row>
    <row r="1529" spans="1:2" ht="15" hidden="1" x14ac:dyDescent="0.25">
      <c r="A1529" s="426" t="s">
        <v>1457</v>
      </c>
      <c r="B1529" s="426" t="s">
        <v>1458</v>
      </c>
    </row>
    <row r="1530" spans="1:2" ht="15" hidden="1" x14ac:dyDescent="0.25">
      <c r="A1530" s="426" t="s">
        <v>1459</v>
      </c>
      <c r="B1530" s="426" t="s">
        <v>1460</v>
      </c>
    </row>
    <row r="1531" spans="1:2" ht="15" hidden="1" x14ac:dyDescent="0.25">
      <c r="A1531" s="426" t="s">
        <v>1459</v>
      </c>
      <c r="B1531" s="426" t="s">
        <v>1460</v>
      </c>
    </row>
    <row r="1532" spans="1:2" ht="15" hidden="1" x14ac:dyDescent="0.25">
      <c r="A1532" s="426" t="s">
        <v>1459</v>
      </c>
      <c r="B1532" s="426" t="s">
        <v>1460</v>
      </c>
    </row>
    <row r="1533" spans="1:2" ht="15" hidden="1" x14ac:dyDescent="0.25">
      <c r="A1533" s="426" t="s">
        <v>1269</v>
      </c>
      <c r="B1533" s="426" t="s">
        <v>1270</v>
      </c>
    </row>
    <row r="1534" spans="1:2" ht="15" hidden="1" x14ac:dyDescent="0.25">
      <c r="A1534" s="426" t="s">
        <v>1269</v>
      </c>
      <c r="B1534" s="426" t="s">
        <v>1270</v>
      </c>
    </row>
    <row r="1535" spans="1:2" ht="15" hidden="1" x14ac:dyDescent="0.25">
      <c r="A1535" s="426" t="s">
        <v>1269</v>
      </c>
      <c r="B1535" s="426" t="s">
        <v>1270</v>
      </c>
    </row>
    <row r="1536" spans="1:2" ht="15" hidden="1" x14ac:dyDescent="0.25">
      <c r="A1536" s="426" t="s">
        <v>1269</v>
      </c>
      <c r="B1536" s="426" t="s">
        <v>1270</v>
      </c>
    </row>
    <row r="1537" spans="1:2" ht="15" hidden="1" x14ac:dyDescent="0.25">
      <c r="A1537" s="426" t="s">
        <v>1269</v>
      </c>
      <c r="B1537" s="426" t="s">
        <v>1270</v>
      </c>
    </row>
    <row r="1538" spans="1:2" ht="15" hidden="1" x14ac:dyDescent="0.25">
      <c r="A1538" s="426" t="s">
        <v>1269</v>
      </c>
      <c r="B1538" s="426" t="s">
        <v>1270</v>
      </c>
    </row>
    <row r="1539" spans="1:2" ht="15" hidden="1" x14ac:dyDescent="0.25">
      <c r="A1539" s="426" t="s">
        <v>1269</v>
      </c>
      <c r="B1539" s="426" t="s">
        <v>1270</v>
      </c>
    </row>
    <row r="1540" spans="1:2" ht="15" hidden="1" x14ac:dyDescent="0.25">
      <c r="A1540" s="426" t="s">
        <v>1269</v>
      </c>
      <c r="B1540" s="426" t="s">
        <v>1270</v>
      </c>
    </row>
    <row r="1541" spans="1:2" ht="15" hidden="1" x14ac:dyDescent="0.25">
      <c r="A1541" s="426" t="s">
        <v>1269</v>
      </c>
      <c r="B1541" s="426" t="s">
        <v>1270</v>
      </c>
    </row>
    <row r="1542" spans="1:2" ht="15" hidden="1" x14ac:dyDescent="0.25">
      <c r="A1542" s="426" t="s">
        <v>1461</v>
      </c>
      <c r="B1542" s="426" t="s">
        <v>1461</v>
      </c>
    </row>
    <row r="1543" spans="1:2" ht="15" hidden="1" x14ac:dyDescent="0.25">
      <c r="A1543" s="426" t="s">
        <v>1461</v>
      </c>
      <c r="B1543" s="426" t="s">
        <v>1461</v>
      </c>
    </row>
    <row r="1544" spans="1:2" ht="15" hidden="1" x14ac:dyDescent="0.25">
      <c r="A1544" s="426" t="s">
        <v>1462</v>
      </c>
      <c r="B1544" s="426" t="s">
        <v>1462</v>
      </c>
    </row>
    <row r="1545" spans="1:2" ht="15" hidden="1" x14ac:dyDescent="0.25">
      <c r="A1545" s="426" t="s">
        <v>1463</v>
      </c>
      <c r="B1545" s="426" t="s">
        <v>1463</v>
      </c>
    </row>
    <row r="1546" spans="1:2" ht="15" hidden="1" x14ac:dyDescent="0.25">
      <c r="A1546" s="426" t="s">
        <v>1464</v>
      </c>
      <c r="B1546" s="426" t="s">
        <v>1464</v>
      </c>
    </row>
    <row r="1547" spans="1:2" ht="15" hidden="1" x14ac:dyDescent="0.25">
      <c r="A1547" s="426" t="s">
        <v>1465</v>
      </c>
      <c r="B1547" s="426" t="s">
        <v>1465</v>
      </c>
    </row>
    <row r="1548" spans="1:2" ht="15" hidden="1" x14ac:dyDescent="0.25">
      <c r="A1548" s="426" t="s">
        <v>1466</v>
      </c>
      <c r="B1548" s="426" t="s">
        <v>1466</v>
      </c>
    </row>
    <row r="1549" spans="1:2" ht="15" hidden="1" x14ac:dyDescent="0.25">
      <c r="A1549" s="426" t="s">
        <v>1467</v>
      </c>
      <c r="B1549" s="426" t="s">
        <v>1467</v>
      </c>
    </row>
    <row r="1550" spans="1:2" ht="15" hidden="1" x14ac:dyDescent="0.25">
      <c r="A1550" s="426" t="s">
        <v>1468</v>
      </c>
      <c r="B1550" s="426" t="s">
        <v>1468</v>
      </c>
    </row>
    <row r="1551" spans="1:2" ht="15" hidden="1" x14ac:dyDescent="0.25">
      <c r="A1551" s="426" t="s">
        <v>1468</v>
      </c>
      <c r="B1551" s="426" t="s">
        <v>1468</v>
      </c>
    </row>
    <row r="1552" spans="1:2" ht="15" hidden="1" x14ac:dyDescent="0.25">
      <c r="A1552" s="426" t="s">
        <v>1469</v>
      </c>
      <c r="B1552" s="426" t="s">
        <v>1469</v>
      </c>
    </row>
    <row r="1553" spans="1:2" ht="15" hidden="1" x14ac:dyDescent="0.25">
      <c r="A1553" s="426" t="s">
        <v>1469</v>
      </c>
      <c r="B1553" s="426" t="s">
        <v>1469</v>
      </c>
    </row>
    <row r="1554" spans="1:2" ht="15" hidden="1" x14ac:dyDescent="0.25">
      <c r="A1554" s="426" t="s">
        <v>1470</v>
      </c>
      <c r="B1554" s="426" t="s">
        <v>1470</v>
      </c>
    </row>
    <row r="1555" spans="1:2" ht="15" hidden="1" x14ac:dyDescent="0.25">
      <c r="A1555" s="426" t="s">
        <v>1470</v>
      </c>
      <c r="B1555" s="426" t="s">
        <v>1470</v>
      </c>
    </row>
    <row r="1556" spans="1:2" ht="15" hidden="1" x14ac:dyDescent="0.25">
      <c r="A1556" s="426" t="s">
        <v>1471</v>
      </c>
      <c r="B1556" s="426" t="s">
        <v>1471</v>
      </c>
    </row>
    <row r="1557" spans="1:2" ht="15" hidden="1" x14ac:dyDescent="0.25">
      <c r="A1557" s="426" t="s">
        <v>1472</v>
      </c>
      <c r="B1557" s="426" t="s">
        <v>1472</v>
      </c>
    </row>
    <row r="1558" spans="1:2" ht="15" hidden="1" x14ac:dyDescent="0.25">
      <c r="A1558" s="426" t="s">
        <v>1473</v>
      </c>
      <c r="B1558" s="426" t="s">
        <v>1473</v>
      </c>
    </row>
    <row r="1559" spans="1:2" ht="15" hidden="1" x14ac:dyDescent="0.25">
      <c r="A1559" s="426" t="s">
        <v>1474</v>
      </c>
      <c r="B1559" s="426" t="s">
        <v>1474</v>
      </c>
    </row>
    <row r="1560" spans="1:2" ht="15" hidden="1" x14ac:dyDescent="0.25">
      <c r="A1560" s="426" t="s">
        <v>1474</v>
      </c>
      <c r="B1560" s="426" t="s">
        <v>1474</v>
      </c>
    </row>
    <row r="1561" spans="1:2" ht="15" hidden="1" x14ac:dyDescent="0.25">
      <c r="A1561" s="426" t="s">
        <v>1475</v>
      </c>
      <c r="B1561" s="426" t="s">
        <v>1475</v>
      </c>
    </row>
    <row r="1562" spans="1:2" ht="15" hidden="1" x14ac:dyDescent="0.25">
      <c r="A1562" s="426" t="s">
        <v>1476</v>
      </c>
      <c r="B1562" s="426" t="s">
        <v>1476</v>
      </c>
    </row>
    <row r="1563" spans="1:2" ht="15" hidden="1" x14ac:dyDescent="0.25">
      <c r="A1563" s="426" t="s">
        <v>1477</v>
      </c>
      <c r="B1563" s="426" t="s">
        <v>1477</v>
      </c>
    </row>
    <row r="1564" spans="1:2" ht="15" hidden="1" x14ac:dyDescent="0.25">
      <c r="A1564" s="426" t="s">
        <v>1477</v>
      </c>
      <c r="B1564" s="426" t="s">
        <v>1477</v>
      </c>
    </row>
    <row r="1565" spans="1:2" ht="15" hidden="1" x14ac:dyDescent="0.25">
      <c r="A1565" s="426" t="s">
        <v>1478</v>
      </c>
      <c r="B1565" s="426" t="s">
        <v>1478</v>
      </c>
    </row>
    <row r="1566" spans="1:2" ht="15" hidden="1" x14ac:dyDescent="0.25">
      <c r="A1566" s="426" t="s">
        <v>1479</v>
      </c>
      <c r="B1566" s="426" t="s">
        <v>1479</v>
      </c>
    </row>
    <row r="1567" spans="1:2" ht="15" hidden="1" x14ac:dyDescent="0.25">
      <c r="A1567" s="426" t="s">
        <v>1480</v>
      </c>
      <c r="B1567" s="426" t="s">
        <v>1480</v>
      </c>
    </row>
    <row r="1568" spans="1:2" ht="15" hidden="1" x14ac:dyDescent="0.25">
      <c r="A1568" s="426" t="s">
        <v>1480</v>
      </c>
      <c r="B1568" s="426" t="s">
        <v>1480</v>
      </c>
    </row>
    <row r="1569" spans="1:2" ht="15" hidden="1" x14ac:dyDescent="0.25">
      <c r="A1569" s="426" t="s">
        <v>1481</v>
      </c>
      <c r="B1569" s="426" t="s">
        <v>1481</v>
      </c>
    </row>
    <row r="1570" spans="1:2" ht="15" hidden="1" x14ac:dyDescent="0.25">
      <c r="A1570" s="426" t="s">
        <v>1481</v>
      </c>
      <c r="B1570" s="426" t="s">
        <v>1481</v>
      </c>
    </row>
    <row r="1571" spans="1:2" ht="15" hidden="1" x14ac:dyDescent="0.25">
      <c r="A1571" s="426" t="s">
        <v>1482</v>
      </c>
      <c r="B1571" s="426" t="s">
        <v>1482</v>
      </c>
    </row>
    <row r="1572" spans="1:2" ht="15" hidden="1" x14ac:dyDescent="0.25">
      <c r="A1572" s="426" t="s">
        <v>1483</v>
      </c>
      <c r="B1572" s="426" t="s">
        <v>1483</v>
      </c>
    </row>
    <row r="1573" spans="1:2" ht="15" hidden="1" x14ac:dyDescent="0.25">
      <c r="A1573" s="426" t="s">
        <v>1484</v>
      </c>
      <c r="B1573" s="426" t="s">
        <v>1484</v>
      </c>
    </row>
    <row r="1574" spans="1:2" ht="15" hidden="1" x14ac:dyDescent="0.25">
      <c r="A1574" s="426" t="s">
        <v>1485</v>
      </c>
      <c r="B1574" s="426" t="s">
        <v>1485</v>
      </c>
    </row>
    <row r="1575" spans="1:2" ht="15" hidden="1" x14ac:dyDescent="0.25">
      <c r="A1575" s="426" t="s">
        <v>1486</v>
      </c>
      <c r="B1575" s="426" t="s">
        <v>1486</v>
      </c>
    </row>
    <row r="1576" spans="1:2" ht="15" hidden="1" x14ac:dyDescent="0.25">
      <c r="A1576" s="426" t="s">
        <v>1487</v>
      </c>
      <c r="B1576" s="426" t="s">
        <v>1487</v>
      </c>
    </row>
    <row r="1577" spans="1:2" ht="15" hidden="1" x14ac:dyDescent="0.25">
      <c r="A1577" s="426" t="s">
        <v>1488</v>
      </c>
      <c r="B1577" s="426" t="s">
        <v>1488</v>
      </c>
    </row>
    <row r="1578" spans="1:2" ht="15" hidden="1" x14ac:dyDescent="0.25">
      <c r="A1578" s="426" t="s">
        <v>1488</v>
      </c>
      <c r="B1578" s="426" t="s">
        <v>1488</v>
      </c>
    </row>
    <row r="1579" spans="1:2" ht="15" hidden="1" x14ac:dyDescent="0.25">
      <c r="A1579" s="426" t="s">
        <v>1489</v>
      </c>
      <c r="B1579" s="426" t="s">
        <v>1489</v>
      </c>
    </row>
    <row r="1580" spans="1:2" ht="15" hidden="1" x14ac:dyDescent="0.25">
      <c r="A1580" s="426" t="s">
        <v>1490</v>
      </c>
      <c r="B1580" s="426" t="s">
        <v>1490</v>
      </c>
    </row>
    <row r="1581" spans="1:2" ht="15" hidden="1" x14ac:dyDescent="0.25">
      <c r="A1581" s="426" t="s">
        <v>1491</v>
      </c>
      <c r="B1581" s="426" t="s">
        <v>1491</v>
      </c>
    </row>
    <row r="1582" spans="1:2" ht="15" hidden="1" x14ac:dyDescent="0.25">
      <c r="A1582" s="426" t="s">
        <v>1491</v>
      </c>
      <c r="B1582" s="426" t="s">
        <v>1491</v>
      </c>
    </row>
    <row r="1583" spans="1:2" ht="15" hidden="1" x14ac:dyDescent="0.25">
      <c r="A1583" s="426" t="s">
        <v>1492</v>
      </c>
      <c r="B1583" s="426" t="s">
        <v>1492</v>
      </c>
    </row>
    <row r="1584" spans="1:2" ht="15" hidden="1" x14ac:dyDescent="0.25">
      <c r="A1584" s="426" t="s">
        <v>1493</v>
      </c>
      <c r="B1584" s="426" t="s">
        <v>1493</v>
      </c>
    </row>
    <row r="1585" spans="1:2" ht="15" hidden="1" x14ac:dyDescent="0.25">
      <c r="A1585" s="426" t="s">
        <v>1493</v>
      </c>
      <c r="B1585" s="426" t="s">
        <v>1493</v>
      </c>
    </row>
    <row r="1586" spans="1:2" ht="15" hidden="1" x14ac:dyDescent="0.25">
      <c r="A1586" s="426" t="s">
        <v>1494</v>
      </c>
      <c r="B1586" s="426" t="s">
        <v>1494</v>
      </c>
    </row>
    <row r="1587" spans="1:2" ht="15" hidden="1" x14ac:dyDescent="0.25">
      <c r="A1587" s="426" t="s">
        <v>1495</v>
      </c>
      <c r="B1587" s="426" t="s">
        <v>1495</v>
      </c>
    </row>
    <row r="1588" spans="1:2" ht="15" hidden="1" x14ac:dyDescent="0.25">
      <c r="A1588" s="426" t="s">
        <v>1495</v>
      </c>
      <c r="B1588" s="426" t="s">
        <v>1495</v>
      </c>
    </row>
    <row r="1589" spans="1:2" ht="15" hidden="1" x14ac:dyDescent="0.25">
      <c r="A1589" s="426" t="s">
        <v>1496</v>
      </c>
      <c r="B1589" s="426" t="s">
        <v>1496</v>
      </c>
    </row>
    <row r="1590" spans="1:2" ht="15" hidden="1" x14ac:dyDescent="0.25">
      <c r="A1590" s="426" t="s">
        <v>1497</v>
      </c>
      <c r="B1590" s="426" t="s">
        <v>1497</v>
      </c>
    </row>
    <row r="1591" spans="1:2" ht="15" hidden="1" x14ac:dyDescent="0.25">
      <c r="A1591" s="426" t="s">
        <v>1498</v>
      </c>
      <c r="B1591" s="426" t="s">
        <v>1498</v>
      </c>
    </row>
    <row r="1592" spans="1:2" ht="15" hidden="1" x14ac:dyDescent="0.25">
      <c r="A1592" s="426" t="s">
        <v>1499</v>
      </c>
      <c r="B1592" s="426" t="s">
        <v>1499</v>
      </c>
    </row>
    <row r="1593" spans="1:2" ht="15" hidden="1" x14ac:dyDescent="0.25">
      <c r="A1593" s="426" t="s">
        <v>1499</v>
      </c>
      <c r="B1593" s="426" t="s">
        <v>1499</v>
      </c>
    </row>
    <row r="1594" spans="1:2" ht="15" hidden="1" x14ac:dyDescent="0.25">
      <c r="A1594" s="426" t="s">
        <v>1500</v>
      </c>
      <c r="B1594" s="426" t="s">
        <v>1500</v>
      </c>
    </row>
    <row r="1595" spans="1:2" ht="15" hidden="1" x14ac:dyDescent="0.25">
      <c r="A1595" s="426" t="s">
        <v>1500</v>
      </c>
      <c r="B1595" s="426" t="s">
        <v>1500</v>
      </c>
    </row>
    <row r="1596" spans="1:2" ht="15" hidden="1" x14ac:dyDescent="0.25">
      <c r="A1596" s="426" t="s">
        <v>1501</v>
      </c>
      <c r="B1596" s="426" t="s">
        <v>1501</v>
      </c>
    </row>
    <row r="1597" spans="1:2" ht="15" hidden="1" x14ac:dyDescent="0.25">
      <c r="A1597" s="426" t="s">
        <v>1502</v>
      </c>
      <c r="B1597" s="426" t="s">
        <v>1502</v>
      </c>
    </row>
    <row r="1598" spans="1:2" ht="15" hidden="1" x14ac:dyDescent="0.25">
      <c r="A1598" s="426" t="s">
        <v>1503</v>
      </c>
      <c r="B1598" s="426" t="s">
        <v>1503</v>
      </c>
    </row>
    <row r="1599" spans="1:2" ht="15" hidden="1" x14ac:dyDescent="0.25">
      <c r="A1599" s="426" t="s">
        <v>1504</v>
      </c>
      <c r="B1599" s="426" t="s">
        <v>1504</v>
      </c>
    </row>
    <row r="1600" spans="1:2" ht="15" hidden="1" x14ac:dyDescent="0.25">
      <c r="A1600" s="426" t="s">
        <v>1505</v>
      </c>
      <c r="B1600" s="426" t="s">
        <v>1505</v>
      </c>
    </row>
    <row r="1601" spans="1:2" ht="15" hidden="1" x14ac:dyDescent="0.25">
      <c r="A1601" s="426" t="s">
        <v>1506</v>
      </c>
      <c r="B1601" s="426" t="s">
        <v>1506</v>
      </c>
    </row>
    <row r="1602" spans="1:2" ht="15" hidden="1" x14ac:dyDescent="0.25">
      <c r="A1602" s="426" t="s">
        <v>1506</v>
      </c>
      <c r="B1602" s="426" t="s">
        <v>1506</v>
      </c>
    </row>
    <row r="1603" spans="1:2" ht="15" hidden="1" x14ac:dyDescent="0.25">
      <c r="A1603" s="426" t="s">
        <v>1507</v>
      </c>
      <c r="B1603" s="426" t="s">
        <v>1507</v>
      </c>
    </row>
    <row r="1604" spans="1:2" ht="15" hidden="1" x14ac:dyDescent="0.25">
      <c r="A1604" s="426" t="s">
        <v>1507</v>
      </c>
      <c r="B1604" s="426" t="s">
        <v>1507</v>
      </c>
    </row>
    <row r="1605" spans="1:2" ht="15" hidden="1" x14ac:dyDescent="0.25">
      <c r="A1605" s="426" t="s">
        <v>1508</v>
      </c>
      <c r="B1605" s="426" t="s">
        <v>1508</v>
      </c>
    </row>
    <row r="1606" spans="1:2" ht="15" hidden="1" x14ac:dyDescent="0.25">
      <c r="A1606" s="426" t="s">
        <v>1508</v>
      </c>
      <c r="B1606" s="426" t="s">
        <v>1508</v>
      </c>
    </row>
    <row r="1607" spans="1:2" ht="15" hidden="1" x14ac:dyDescent="0.25">
      <c r="A1607" s="426" t="s">
        <v>1509</v>
      </c>
      <c r="B1607" s="426" t="s">
        <v>1509</v>
      </c>
    </row>
    <row r="1608" spans="1:2" ht="15" hidden="1" x14ac:dyDescent="0.25">
      <c r="A1608" s="426" t="s">
        <v>1510</v>
      </c>
      <c r="B1608" s="426" t="s">
        <v>1510</v>
      </c>
    </row>
    <row r="1609" spans="1:2" ht="15" hidden="1" x14ac:dyDescent="0.25">
      <c r="A1609" s="426" t="s">
        <v>1511</v>
      </c>
      <c r="B1609" s="426" t="s">
        <v>1511</v>
      </c>
    </row>
    <row r="1610" spans="1:2" ht="15" hidden="1" x14ac:dyDescent="0.25">
      <c r="A1610" s="426" t="s">
        <v>1512</v>
      </c>
      <c r="B1610" s="426" t="s">
        <v>1512</v>
      </c>
    </row>
    <row r="1611" spans="1:2" ht="15" hidden="1" x14ac:dyDescent="0.25">
      <c r="A1611" s="426" t="s">
        <v>1513</v>
      </c>
      <c r="B1611" s="426" t="s">
        <v>1513</v>
      </c>
    </row>
    <row r="1612" spans="1:2" ht="15" hidden="1" x14ac:dyDescent="0.25">
      <c r="A1612" s="426" t="s">
        <v>1514</v>
      </c>
      <c r="B1612" s="426" t="s">
        <v>1514</v>
      </c>
    </row>
    <row r="1613" spans="1:2" ht="15" hidden="1" x14ac:dyDescent="0.25">
      <c r="A1613" s="426" t="s">
        <v>1515</v>
      </c>
      <c r="B1613" s="426" t="s">
        <v>1515</v>
      </c>
    </row>
    <row r="1614" spans="1:2" ht="15" hidden="1" x14ac:dyDescent="0.25">
      <c r="A1614" s="426" t="s">
        <v>1516</v>
      </c>
      <c r="B1614" s="426" t="s">
        <v>1516</v>
      </c>
    </row>
    <row r="1615" spans="1:2" ht="15" hidden="1" x14ac:dyDescent="0.25">
      <c r="A1615" s="426" t="s">
        <v>1517</v>
      </c>
      <c r="B1615" s="426" t="s">
        <v>1517</v>
      </c>
    </row>
    <row r="1616" spans="1:2" ht="15" hidden="1" x14ac:dyDescent="0.25">
      <c r="A1616" s="426" t="s">
        <v>1518</v>
      </c>
      <c r="B1616" s="426" t="s">
        <v>1518</v>
      </c>
    </row>
    <row r="1617" spans="1:2" ht="15" hidden="1" x14ac:dyDescent="0.25">
      <c r="A1617" s="426" t="s">
        <v>1518</v>
      </c>
      <c r="B1617" s="426" t="s">
        <v>1518</v>
      </c>
    </row>
    <row r="1618" spans="1:2" ht="15" hidden="1" x14ac:dyDescent="0.25">
      <c r="A1618" s="426" t="s">
        <v>1519</v>
      </c>
      <c r="B1618" s="426" t="s">
        <v>1519</v>
      </c>
    </row>
    <row r="1619" spans="1:2" ht="15" hidden="1" x14ac:dyDescent="0.25">
      <c r="A1619" s="426" t="s">
        <v>1520</v>
      </c>
      <c r="B1619" s="426" t="s">
        <v>1520</v>
      </c>
    </row>
    <row r="1620" spans="1:2" ht="15" hidden="1" x14ac:dyDescent="0.25">
      <c r="A1620" s="426" t="s">
        <v>1521</v>
      </c>
      <c r="B1620" s="426" t="s">
        <v>1521</v>
      </c>
    </row>
    <row r="1621" spans="1:2" ht="15" hidden="1" x14ac:dyDescent="0.25">
      <c r="A1621" s="426" t="s">
        <v>1522</v>
      </c>
      <c r="B1621" s="426" t="s">
        <v>1522</v>
      </c>
    </row>
    <row r="1622" spans="1:2" ht="15" hidden="1" x14ac:dyDescent="0.25">
      <c r="A1622" s="426" t="s">
        <v>1523</v>
      </c>
      <c r="B1622" s="426" t="s">
        <v>1523</v>
      </c>
    </row>
    <row r="1623" spans="1:2" ht="15" hidden="1" x14ac:dyDescent="0.25">
      <c r="A1623" s="426" t="s">
        <v>1523</v>
      </c>
      <c r="B1623" s="426" t="s">
        <v>1523</v>
      </c>
    </row>
    <row r="1624" spans="1:2" ht="15" hidden="1" x14ac:dyDescent="0.25">
      <c r="A1624" s="426" t="s">
        <v>1524</v>
      </c>
      <c r="B1624" s="426" t="s">
        <v>1524</v>
      </c>
    </row>
    <row r="1625" spans="1:2" ht="15" hidden="1" x14ac:dyDescent="0.25">
      <c r="A1625" s="426" t="s">
        <v>1524</v>
      </c>
      <c r="B1625" s="426" t="s">
        <v>1524</v>
      </c>
    </row>
    <row r="1626" spans="1:2" ht="15" hidden="1" x14ac:dyDescent="0.25">
      <c r="A1626" s="426" t="s">
        <v>1525</v>
      </c>
      <c r="B1626" s="426" t="s">
        <v>1525</v>
      </c>
    </row>
    <row r="1627" spans="1:2" ht="15" hidden="1" x14ac:dyDescent="0.25">
      <c r="A1627" s="426" t="s">
        <v>1526</v>
      </c>
      <c r="B1627" s="426" t="s">
        <v>1526</v>
      </c>
    </row>
    <row r="1628" spans="1:2" ht="15" hidden="1" x14ac:dyDescent="0.25">
      <c r="A1628" s="426" t="s">
        <v>1527</v>
      </c>
      <c r="B1628" s="426" t="s">
        <v>1527</v>
      </c>
    </row>
    <row r="1629" spans="1:2" ht="15" hidden="1" x14ac:dyDescent="0.25">
      <c r="A1629" s="426" t="s">
        <v>1527</v>
      </c>
      <c r="B1629" s="426" t="s">
        <v>1527</v>
      </c>
    </row>
    <row r="1630" spans="1:2" ht="15" hidden="1" x14ac:dyDescent="0.25">
      <c r="A1630" s="426" t="s">
        <v>1528</v>
      </c>
      <c r="B1630" s="426" t="s">
        <v>1528</v>
      </c>
    </row>
    <row r="1631" spans="1:2" ht="15" hidden="1" x14ac:dyDescent="0.25">
      <c r="A1631" s="426" t="s">
        <v>1529</v>
      </c>
      <c r="B1631" s="426" t="s">
        <v>1530</v>
      </c>
    </row>
    <row r="1632" spans="1:2" ht="15" hidden="1" x14ac:dyDescent="0.25">
      <c r="A1632" s="426" t="s">
        <v>1531</v>
      </c>
      <c r="B1632" s="426" t="s">
        <v>1532</v>
      </c>
    </row>
    <row r="1633" spans="1:2" ht="15" hidden="1" x14ac:dyDescent="0.25">
      <c r="A1633" s="426" t="s">
        <v>1533</v>
      </c>
      <c r="B1633" s="426" t="s">
        <v>1534</v>
      </c>
    </row>
    <row r="1634" spans="1:2" ht="15" hidden="1" x14ac:dyDescent="0.25">
      <c r="A1634" s="426" t="s">
        <v>1533</v>
      </c>
      <c r="B1634" s="426" t="s">
        <v>1534</v>
      </c>
    </row>
    <row r="1635" spans="1:2" ht="15" hidden="1" x14ac:dyDescent="0.25">
      <c r="A1635" s="426" t="s">
        <v>1535</v>
      </c>
      <c r="B1635" s="426" t="s">
        <v>1536</v>
      </c>
    </row>
    <row r="1636" spans="1:2" ht="15" hidden="1" x14ac:dyDescent="0.25">
      <c r="A1636" s="426" t="s">
        <v>1537</v>
      </c>
      <c r="B1636" s="426" t="s">
        <v>1538</v>
      </c>
    </row>
    <row r="1637" spans="1:2" ht="15" hidden="1" x14ac:dyDescent="0.25">
      <c r="A1637" s="426" t="s">
        <v>1537</v>
      </c>
      <c r="B1637" s="426" t="s">
        <v>1538</v>
      </c>
    </row>
    <row r="1638" spans="1:2" ht="15" hidden="1" x14ac:dyDescent="0.25">
      <c r="A1638" s="426" t="s">
        <v>1537</v>
      </c>
      <c r="B1638" s="426" t="s">
        <v>1538</v>
      </c>
    </row>
    <row r="1639" spans="1:2" ht="15" hidden="1" x14ac:dyDescent="0.25">
      <c r="A1639" s="426" t="s">
        <v>1539</v>
      </c>
      <c r="B1639" s="426" t="s">
        <v>1479</v>
      </c>
    </row>
    <row r="1640" spans="1:2" ht="15" hidden="1" x14ac:dyDescent="0.25">
      <c r="A1640" s="426" t="s">
        <v>1540</v>
      </c>
      <c r="B1640" s="426" t="s">
        <v>1541</v>
      </c>
    </row>
    <row r="1641" spans="1:2" ht="15" hidden="1" x14ac:dyDescent="0.25">
      <c r="A1641" s="426" t="s">
        <v>1542</v>
      </c>
      <c r="B1641" s="426" t="s">
        <v>57</v>
      </c>
    </row>
    <row r="1642" spans="1:2" ht="15" hidden="1" x14ac:dyDescent="0.25">
      <c r="A1642" s="426" t="s">
        <v>1542</v>
      </c>
      <c r="B1642" s="426" t="s">
        <v>57</v>
      </c>
    </row>
    <row r="1643" spans="1:2" ht="15" hidden="1" x14ac:dyDescent="0.25">
      <c r="A1643" s="426" t="s">
        <v>1543</v>
      </c>
      <c r="B1643" s="426" t="s">
        <v>1544</v>
      </c>
    </row>
    <row r="1644" spans="1:2" ht="15" hidden="1" x14ac:dyDescent="0.25">
      <c r="A1644" s="426" t="s">
        <v>1545</v>
      </c>
      <c r="B1644" s="426" t="s">
        <v>1546</v>
      </c>
    </row>
    <row r="1645" spans="1:2" ht="15" hidden="1" x14ac:dyDescent="0.25">
      <c r="A1645" s="426" t="s">
        <v>1547</v>
      </c>
      <c r="B1645" s="426" t="s">
        <v>1548</v>
      </c>
    </row>
    <row r="1646" spans="1:2" ht="15" hidden="1" x14ac:dyDescent="0.25">
      <c r="A1646" s="426" t="s">
        <v>1549</v>
      </c>
      <c r="B1646" s="426" t="s">
        <v>1550</v>
      </c>
    </row>
    <row r="1647" spans="1:2" ht="15" hidden="1" x14ac:dyDescent="0.25">
      <c r="A1647" s="426" t="s">
        <v>1551</v>
      </c>
      <c r="B1647" s="426" t="s">
        <v>1552</v>
      </c>
    </row>
    <row r="1648" spans="1:2" ht="15" hidden="1" x14ac:dyDescent="0.25">
      <c r="A1648" s="426" t="s">
        <v>1553</v>
      </c>
      <c r="B1648" s="426" t="s">
        <v>1554</v>
      </c>
    </row>
    <row r="1649" spans="1:2" ht="15" hidden="1" x14ac:dyDescent="0.25">
      <c r="A1649" s="426" t="s">
        <v>1555</v>
      </c>
      <c r="B1649" s="426" t="s">
        <v>1556</v>
      </c>
    </row>
    <row r="1650" spans="1:2" ht="15" hidden="1" x14ac:dyDescent="0.25">
      <c r="A1650" s="426" t="s">
        <v>1555</v>
      </c>
      <c r="B1650" s="426" t="s">
        <v>1556</v>
      </c>
    </row>
    <row r="1651" spans="1:2" ht="15" hidden="1" x14ac:dyDescent="0.25">
      <c r="A1651" s="426" t="s">
        <v>1557</v>
      </c>
      <c r="B1651" s="426" t="s">
        <v>1558</v>
      </c>
    </row>
    <row r="1652" spans="1:2" ht="15" hidden="1" x14ac:dyDescent="0.25">
      <c r="A1652" s="426" t="s">
        <v>1559</v>
      </c>
      <c r="B1652" s="426" t="s">
        <v>1560</v>
      </c>
    </row>
    <row r="1653" spans="1:2" ht="15" hidden="1" x14ac:dyDescent="0.25">
      <c r="A1653" s="426" t="s">
        <v>1561</v>
      </c>
      <c r="B1653" s="426" t="s">
        <v>1562</v>
      </c>
    </row>
    <row r="1654" spans="1:2" ht="15" hidden="1" x14ac:dyDescent="0.25">
      <c r="A1654" s="426" t="s">
        <v>1561</v>
      </c>
      <c r="B1654" s="426" t="s">
        <v>1562</v>
      </c>
    </row>
    <row r="1655" spans="1:2" ht="15" hidden="1" x14ac:dyDescent="0.25">
      <c r="A1655" s="426" t="s">
        <v>1563</v>
      </c>
      <c r="B1655" s="426" t="s">
        <v>1564</v>
      </c>
    </row>
    <row r="1656" spans="1:2" ht="15" hidden="1" x14ac:dyDescent="0.25">
      <c r="A1656" s="426" t="s">
        <v>1565</v>
      </c>
      <c r="B1656" s="426" t="s">
        <v>1566</v>
      </c>
    </row>
    <row r="1657" spans="1:2" ht="15" hidden="1" x14ac:dyDescent="0.25">
      <c r="A1657" s="426" t="s">
        <v>1565</v>
      </c>
      <c r="B1657" s="426" t="s">
        <v>1566</v>
      </c>
    </row>
    <row r="1658" spans="1:2" ht="15" hidden="1" x14ac:dyDescent="0.25">
      <c r="A1658" s="426" t="s">
        <v>1567</v>
      </c>
      <c r="B1658" s="426" t="s">
        <v>1568</v>
      </c>
    </row>
    <row r="1659" spans="1:2" ht="15" hidden="1" x14ac:dyDescent="0.25">
      <c r="A1659" s="426" t="s">
        <v>1569</v>
      </c>
      <c r="B1659" s="426" t="s">
        <v>1570</v>
      </c>
    </row>
    <row r="1660" spans="1:2" ht="15" hidden="1" x14ac:dyDescent="0.25">
      <c r="A1660" s="426" t="s">
        <v>1571</v>
      </c>
      <c r="B1660" s="426" t="s">
        <v>1572</v>
      </c>
    </row>
    <row r="1661" spans="1:2" ht="15" hidden="1" x14ac:dyDescent="0.25">
      <c r="A1661" s="426" t="s">
        <v>1573</v>
      </c>
      <c r="B1661" s="426" t="s">
        <v>1574</v>
      </c>
    </row>
    <row r="1662" spans="1:2" ht="15" hidden="1" x14ac:dyDescent="0.25">
      <c r="A1662" s="426" t="s">
        <v>1575</v>
      </c>
      <c r="B1662" s="426" t="s">
        <v>1576</v>
      </c>
    </row>
    <row r="1663" spans="1:2" ht="15" hidden="1" x14ac:dyDescent="0.25">
      <c r="A1663" s="426" t="s">
        <v>1577</v>
      </c>
      <c r="B1663" s="426" t="s">
        <v>1578</v>
      </c>
    </row>
    <row r="1664" spans="1:2" ht="15" hidden="1" x14ac:dyDescent="0.25">
      <c r="A1664" s="426" t="s">
        <v>1579</v>
      </c>
      <c r="B1664" s="426" t="s">
        <v>1580</v>
      </c>
    </row>
    <row r="1665" spans="1:2" ht="15" hidden="1" x14ac:dyDescent="0.25">
      <c r="A1665" s="426" t="s">
        <v>1579</v>
      </c>
      <c r="B1665" s="426" t="s">
        <v>1580</v>
      </c>
    </row>
    <row r="1666" spans="1:2" ht="15" hidden="1" x14ac:dyDescent="0.25">
      <c r="A1666" s="426" t="s">
        <v>1581</v>
      </c>
      <c r="B1666" s="426" t="s">
        <v>1582</v>
      </c>
    </row>
    <row r="1667" spans="1:2" ht="15" hidden="1" x14ac:dyDescent="0.25">
      <c r="A1667" s="426" t="s">
        <v>1583</v>
      </c>
      <c r="B1667" s="426" t="s">
        <v>1584</v>
      </c>
    </row>
    <row r="1668" spans="1:2" ht="15" hidden="1" x14ac:dyDescent="0.25">
      <c r="A1668" s="426" t="s">
        <v>1585</v>
      </c>
      <c r="B1668" s="426" t="s">
        <v>1586</v>
      </c>
    </row>
    <row r="1669" spans="1:2" ht="15" hidden="1" x14ac:dyDescent="0.25">
      <c r="A1669" s="426" t="s">
        <v>1587</v>
      </c>
      <c r="B1669" s="426" t="s">
        <v>1588</v>
      </c>
    </row>
    <row r="1670" spans="1:2" ht="15" hidden="1" x14ac:dyDescent="0.25">
      <c r="A1670" s="426" t="s">
        <v>1587</v>
      </c>
      <c r="B1670" s="426" t="s">
        <v>1588</v>
      </c>
    </row>
    <row r="1671" spans="1:2" ht="15" hidden="1" x14ac:dyDescent="0.25">
      <c r="A1671" s="426" t="s">
        <v>1589</v>
      </c>
      <c r="B1671" s="426" t="s">
        <v>1590</v>
      </c>
    </row>
    <row r="1672" spans="1:2" ht="15" hidden="1" x14ac:dyDescent="0.25">
      <c r="A1672" s="426" t="s">
        <v>1591</v>
      </c>
      <c r="B1672" s="426" t="s">
        <v>1592</v>
      </c>
    </row>
    <row r="1673" spans="1:2" ht="15" hidden="1" x14ac:dyDescent="0.25">
      <c r="A1673" s="426" t="s">
        <v>1593</v>
      </c>
      <c r="B1673" s="426" t="s">
        <v>1594</v>
      </c>
    </row>
    <row r="1674" spans="1:2" ht="15" hidden="1" x14ac:dyDescent="0.25">
      <c r="A1674" s="426" t="s">
        <v>1593</v>
      </c>
      <c r="B1674" s="426" t="s">
        <v>1594</v>
      </c>
    </row>
    <row r="1675" spans="1:2" ht="15" hidden="1" x14ac:dyDescent="0.25">
      <c r="A1675" s="426" t="s">
        <v>1595</v>
      </c>
      <c r="B1675" s="426" t="s">
        <v>1596</v>
      </c>
    </row>
    <row r="1676" spans="1:2" ht="15" hidden="1" x14ac:dyDescent="0.25">
      <c r="A1676" s="426" t="s">
        <v>1595</v>
      </c>
      <c r="B1676" s="426" t="s">
        <v>1596</v>
      </c>
    </row>
    <row r="1677" spans="1:2" ht="15" hidden="1" x14ac:dyDescent="0.25">
      <c r="A1677" s="426" t="s">
        <v>1597</v>
      </c>
      <c r="B1677" s="426" t="s">
        <v>1598</v>
      </c>
    </row>
    <row r="1678" spans="1:2" ht="15" hidden="1" x14ac:dyDescent="0.25">
      <c r="A1678" s="426" t="s">
        <v>1599</v>
      </c>
      <c r="B1678" s="426" t="s">
        <v>1600</v>
      </c>
    </row>
    <row r="1679" spans="1:2" ht="15" hidden="1" x14ac:dyDescent="0.25">
      <c r="A1679" s="426" t="s">
        <v>1601</v>
      </c>
      <c r="B1679" s="426" t="s">
        <v>1602</v>
      </c>
    </row>
    <row r="1680" spans="1:2" ht="15" hidden="1" x14ac:dyDescent="0.25">
      <c r="A1680" s="426" t="s">
        <v>1601</v>
      </c>
      <c r="B1680" s="426" t="s">
        <v>1602</v>
      </c>
    </row>
    <row r="1681" spans="1:2" ht="15" hidden="1" x14ac:dyDescent="0.25">
      <c r="A1681" s="426" t="s">
        <v>1601</v>
      </c>
      <c r="B1681" s="426" t="s">
        <v>1602</v>
      </c>
    </row>
    <row r="1682" spans="1:2" ht="15" hidden="1" x14ac:dyDescent="0.25">
      <c r="A1682" s="426" t="s">
        <v>1603</v>
      </c>
      <c r="B1682" s="426" t="s">
        <v>1604</v>
      </c>
    </row>
    <row r="1683" spans="1:2" ht="15" hidden="1" x14ac:dyDescent="0.25">
      <c r="A1683" s="426" t="s">
        <v>1605</v>
      </c>
      <c r="B1683" s="426" t="s">
        <v>1606</v>
      </c>
    </row>
    <row r="1684" spans="1:2" ht="15" hidden="1" x14ac:dyDescent="0.25">
      <c r="A1684" s="426" t="s">
        <v>1607</v>
      </c>
      <c r="B1684" s="426" t="s">
        <v>1608</v>
      </c>
    </row>
    <row r="1685" spans="1:2" ht="15" hidden="1" x14ac:dyDescent="0.25">
      <c r="A1685" s="426" t="s">
        <v>1609</v>
      </c>
      <c r="B1685" s="426" t="s">
        <v>1610</v>
      </c>
    </row>
    <row r="1686" spans="1:2" ht="15" hidden="1" x14ac:dyDescent="0.25">
      <c r="A1686" s="426" t="s">
        <v>1611</v>
      </c>
      <c r="B1686" s="426" t="s">
        <v>1612</v>
      </c>
    </row>
    <row r="1687" spans="1:2" ht="15" hidden="1" x14ac:dyDescent="0.25">
      <c r="A1687" s="426" t="s">
        <v>1613</v>
      </c>
      <c r="B1687" s="426" t="s">
        <v>1614</v>
      </c>
    </row>
    <row r="1688" spans="1:2" ht="15" hidden="1" x14ac:dyDescent="0.25">
      <c r="A1688" s="426" t="s">
        <v>1613</v>
      </c>
      <c r="B1688" s="426" t="s">
        <v>1614</v>
      </c>
    </row>
    <row r="1689" spans="1:2" ht="15" hidden="1" x14ac:dyDescent="0.25">
      <c r="A1689" s="426" t="s">
        <v>1615</v>
      </c>
      <c r="B1689" s="426" t="s">
        <v>1616</v>
      </c>
    </row>
    <row r="1690" spans="1:2" ht="15" hidden="1" x14ac:dyDescent="0.25">
      <c r="A1690" s="426" t="s">
        <v>208</v>
      </c>
      <c r="B1690" s="426" t="s">
        <v>309</v>
      </c>
    </row>
    <row r="1691" spans="1:2" ht="15" hidden="1" x14ac:dyDescent="0.25">
      <c r="A1691" s="426" t="s">
        <v>208</v>
      </c>
      <c r="B1691" s="426" t="s">
        <v>309</v>
      </c>
    </row>
    <row r="1692" spans="1:2" ht="15" hidden="1" x14ac:dyDescent="0.25">
      <c r="A1692" s="426" t="s">
        <v>208</v>
      </c>
      <c r="B1692" s="426" t="s">
        <v>309</v>
      </c>
    </row>
    <row r="1693" spans="1:2" ht="15" hidden="1" x14ac:dyDescent="0.25">
      <c r="A1693" s="426" t="s">
        <v>208</v>
      </c>
      <c r="B1693" s="426" t="s">
        <v>309</v>
      </c>
    </row>
    <row r="1694" spans="1:2" ht="15" hidden="1" x14ac:dyDescent="0.25">
      <c r="A1694" s="426" t="s">
        <v>178</v>
      </c>
      <c r="B1694" s="426" t="s">
        <v>310</v>
      </c>
    </row>
    <row r="1695" spans="1:2" ht="15" hidden="1" x14ac:dyDescent="0.25">
      <c r="A1695" s="426" t="s">
        <v>178</v>
      </c>
      <c r="B1695" s="426" t="s">
        <v>310</v>
      </c>
    </row>
    <row r="1696" spans="1:2" ht="15" hidden="1" x14ac:dyDescent="0.25">
      <c r="A1696" s="426" t="s">
        <v>178</v>
      </c>
      <c r="B1696" s="426" t="s">
        <v>310</v>
      </c>
    </row>
    <row r="1697" spans="1:2" ht="15" hidden="1" x14ac:dyDescent="0.25">
      <c r="A1697" s="426" t="s">
        <v>178</v>
      </c>
      <c r="B1697" s="426" t="s">
        <v>310</v>
      </c>
    </row>
    <row r="1698" spans="1:2" ht="15" hidden="1" x14ac:dyDescent="0.25">
      <c r="A1698" s="426" t="s">
        <v>178</v>
      </c>
      <c r="B1698" s="426" t="s">
        <v>310</v>
      </c>
    </row>
    <row r="1699" spans="1:2" ht="15" hidden="1" x14ac:dyDescent="0.25">
      <c r="A1699" s="426" t="s">
        <v>178</v>
      </c>
      <c r="B1699" s="426" t="s">
        <v>310</v>
      </c>
    </row>
    <row r="1700" spans="1:2" ht="15" hidden="1" x14ac:dyDescent="0.25">
      <c r="A1700" s="426" t="s">
        <v>179</v>
      </c>
      <c r="B1700" s="426" t="s">
        <v>311</v>
      </c>
    </row>
    <row r="1701" spans="1:2" ht="15" hidden="1" x14ac:dyDescent="0.25">
      <c r="A1701" s="426" t="s">
        <v>1617</v>
      </c>
      <c r="B1701" s="426" t="s">
        <v>1618</v>
      </c>
    </row>
    <row r="1702" spans="1:2" ht="15" hidden="1" x14ac:dyDescent="0.25">
      <c r="A1702" s="426" t="s">
        <v>1617</v>
      </c>
      <c r="B1702" s="426" t="s">
        <v>1618</v>
      </c>
    </row>
    <row r="1703" spans="1:2" ht="15" hidden="1" x14ac:dyDescent="0.25">
      <c r="A1703" s="426" t="s">
        <v>1617</v>
      </c>
      <c r="B1703" s="426" t="s">
        <v>1618</v>
      </c>
    </row>
    <row r="1704" spans="1:2" ht="15" hidden="1" x14ac:dyDescent="0.25">
      <c r="A1704" s="426" t="s">
        <v>1617</v>
      </c>
      <c r="B1704" s="426" t="s">
        <v>1618</v>
      </c>
    </row>
    <row r="1705" spans="1:2" ht="15" hidden="1" x14ac:dyDescent="0.25">
      <c r="A1705" s="426" t="s">
        <v>180</v>
      </c>
      <c r="B1705" s="426" t="s">
        <v>312</v>
      </c>
    </row>
    <row r="1706" spans="1:2" ht="15" hidden="1" x14ac:dyDescent="0.25">
      <c r="A1706" s="426" t="s">
        <v>180</v>
      </c>
      <c r="B1706" s="426" t="s">
        <v>312</v>
      </c>
    </row>
    <row r="1707" spans="1:2" ht="15" hidden="1" x14ac:dyDescent="0.25">
      <c r="A1707" s="426" t="s">
        <v>180</v>
      </c>
      <c r="B1707" s="426" t="s">
        <v>312</v>
      </c>
    </row>
    <row r="1708" spans="1:2" ht="15" hidden="1" x14ac:dyDescent="0.25">
      <c r="A1708" s="426" t="s">
        <v>180</v>
      </c>
      <c r="B1708" s="426" t="s">
        <v>312</v>
      </c>
    </row>
    <row r="1709" spans="1:2" ht="15" hidden="1" x14ac:dyDescent="0.25">
      <c r="A1709" s="426" t="s">
        <v>180</v>
      </c>
      <c r="B1709" s="426" t="s">
        <v>312</v>
      </c>
    </row>
    <row r="1710" spans="1:2" ht="15" hidden="1" x14ac:dyDescent="0.25">
      <c r="A1710" s="426" t="s">
        <v>180</v>
      </c>
      <c r="B1710" s="426" t="s">
        <v>312</v>
      </c>
    </row>
    <row r="1711" spans="1:2" ht="15" hidden="1" x14ac:dyDescent="0.25">
      <c r="A1711" s="426" t="s">
        <v>395</v>
      </c>
      <c r="B1711" s="426" t="s">
        <v>396</v>
      </c>
    </row>
    <row r="1712" spans="1:2" ht="15" hidden="1" x14ac:dyDescent="0.25">
      <c r="A1712" s="426" t="s">
        <v>395</v>
      </c>
      <c r="B1712" s="426" t="s">
        <v>396</v>
      </c>
    </row>
    <row r="1713" spans="1:2" ht="15" hidden="1" x14ac:dyDescent="0.25">
      <c r="A1713" s="426" t="s">
        <v>395</v>
      </c>
      <c r="B1713" s="426" t="s">
        <v>396</v>
      </c>
    </row>
    <row r="1714" spans="1:2" ht="15" hidden="1" x14ac:dyDescent="0.25">
      <c r="A1714" s="426" t="s">
        <v>395</v>
      </c>
      <c r="B1714" s="426" t="s">
        <v>396</v>
      </c>
    </row>
    <row r="1715" spans="1:2" ht="15" hidden="1" x14ac:dyDescent="0.25">
      <c r="A1715" s="426" t="s">
        <v>1619</v>
      </c>
      <c r="B1715" s="426" t="s">
        <v>1620</v>
      </c>
    </row>
    <row r="1716" spans="1:2" ht="15" hidden="1" x14ac:dyDescent="0.25">
      <c r="A1716" s="426" t="s">
        <v>1455</v>
      </c>
      <c r="B1716" s="426" t="s">
        <v>1456</v>
      </c>
    </row>
    <row r="1717" spans="1:2" ht="15" hidden="1" x14ac:dyDescent="0.25">
      <c r="A1717" s="426" t="s">
        <v>1455</v>
      </c>
      <c r="B1717" s="426" t="s">
        <v>1456</v>
      </c>
    </row>
    <row r="1718" spans="1:2" ht="15" hidden="1" x14ac:dyDescent="0.25">
      <c r="A1718" s="427" t="s">
        <v>1455</v>
      </c>
      <c r="B1718" s="426" t="s">
        <v>1456</v>
      </c>
    </row>
    <row r="1719" spans="1:2" ht="15" hidden="1" x14ac:dyDescent="0.25">
      <c r="A1719" s="426" t="s">
        <v>1455</v>
      </c>
      <c r="B1719" s="426" t="s">
        <v>1456</v>
      </c>
    </row>
    <row r="1720" spans="1:2" ht="15" hidden="1" x14ac:dyDescent="0.25">
      <c r="A1720" s="426" t="s">
        <v>1455</v>
      </c>
      <c r="B1720" s="426" t="s">
        <v>1456</v>
      </c>
    </row>
    <row r="1721" spans="1:2" ht="15" hidden="1" x14ac:dyDescent="0.25">
      <c r="A1721" s="426" t="s">
        <v>181</v>
      </c>
      <c r="B1721" s="426" t="s">
        <v>313</v>
      </c>
    </row>
    <row r="1722" spans="1:2" ht="15" hidden="1" x14ac:dyDescent="0.25">
      <c r="A1722" s="426" t="s">
        <v>181</v>
      </c>
      <c r="B1722" s="426" t="s">
        <v>313</v>
      </c>
    </row>
    <row r="1723" spans="1:2" ht="15" hidden="1" x14ac:dyDescent="0.25">
      <c r="A1723" s="426" t="s">
        <v>181</v>
      </c>
      <c r="B1723" s="426" t="s">
        <v>313</v>
      </c>
    </row>
    <row r="1724" spans="1:2" ht="15" hidden="1" x14ac:dyDescent="0.25">
      <c r="A1724" s="426" t="s">
        <v>181</v>
      </c>
      <c r="B1724" s="426" t="s">
        <v>313</v>
      </c>
    </row>
    <row r="1725" spans="1:2" ht="15" hidden="1" x14ac:dyDescent="0.25">
      <c r="A1725" s="426" t="s">
        <v>181</v>
      </c>
      <c r="B1725" s="426" t="s">
        <v>313</v>
      </c>
    </row>
    <row r="1726" spans="1:2" ht="15" hidden="1" x14ac:dyDescent="0.25">
      <c r="A1726" s="426" t="s">
        <v>181</v>
      </c>
      <c r="B1726" s="426" t="s">
        <v>313</v>
      </c>
    </row>
    <row r="1727" spans="1:2" ht="15" hidden="1" x14ac:dyDescent="0.25">
      <c r="A1727" s="426" t="s">
        <v>181</v>
      </c>
      <c r="B1727" s="426" t="s">
        <v>313</v>
      </c>
    </row>
    <row r="1728" spans="1:2" ht="15" hidden="1" x14ac:dyDescent="0.25">
      <c r="A1728" s="426" t="s">
        <v>181</v>
      </c>
      <c r="B1728" s="426" t="s">
        <v>313</v>
      </c>
    </row>
    <row r="1729" spans="1:2" ht="15" hidden="1" x14ac:dyDescent="0.25">
      <c r="A1729" s="426" t="s">
        <v>181</v>
      </c>
      <c r="B1729" s="426" t="s">
        <v>313</v>
      </c>
    </row>
    <row r="1730" spans="1:2" ht="15" hidden="1" x14ac:dyDescent="0.25">
      <c r="A1730" s="426" t="s">
        <v>181</v>
      </c>
      <c r="B1730" s="426" t="s">
        <v>313</v>
      </c>
    </row>
    <row r="1731" spans="1:2" ht="15" hidden="1" x14ac:dyDescent="0.25">
      <c r="A1731" s="426" t="s">
        <v>181</v>
      </c>
      <c r="B1731" s="426" t="s">
        <v>313</v>
      </c>
    </row>
    <row r="1732" spans="1:2" ht="15" hidden="1" x14ac:dyDescent="0.25">
      <c r="A1732" s="426" t="s">
        <v>182</v>
      </c>
      <c r="B1732" s="426" t="s">
        <v>315</v>
      </c>
    </row>
    <row r="1733" spans="1:2" ht="15" hidden="1" x14ac:dyDescent="0.25">
      <c r="A1733" s="426" t="s">
        <v>182</v>
      </c>
      <c r="B1733" s="426" t="s">
        <v>315</v>
      </c>
    </row>
    <row r="1734" spans="1:2" ht="15" hidden="1" x14ac:dyDescent="0.25">
      <c r="A1734" s="426" t="s">
        <v>182</v>
      </c>
      <c r="B1734" s="426" t="s">
        <v>315</v>
      </c>
    </row>
    <row r="1735" spans="1:2" ht="15" hidden="1" x14ac:dyDescent="0.25">
      <c r="A1735" s="426" t="s">
        <v>182</v>
      </c>
      <c r="B1735" s="426" t="s">
        <v>315</v>
      </c>
    </row>
    <row r="1736" spans="1:2" ht="15" hidden="1" x14ac:dyDescent="0.25">
      <c r="A1736" s="426" t="s">
        <v>182</v>
      </c>
      <c r="B1736" s="426" t="s">
        <v>315</v>
      </c>
    </row>
    <row r="1737" spans="1:2" ht="15" hidden="1" x14ac:dyDescent="0.25">
      <c r="A1737" s="426" t="s">
        <v>182</v>
      </c>
      <c r="B1737" s="426" t="s">
        <v>315</v>
      </c>
    </row>
    <row r="1738" spans="1:2" ht="15" hidden="1" x14ac:dyDescent="0.25">
      <c r="A1738" s="426" t="s">
        <v>182</v>
      </c>
      <c r="B1738" s="426" t="s">
        <v>315</v>
      </c>
    </row>
    <row r="1739" spans="1:2" ht="15" hidden="1" x14ac:dyDescent="0.25">
      <c r="A1739" s="426" t="s">
        <v>182</v>
      </c>
      <c r="B1739" s="426" t="s">
        <v>315</v>
      </c>
    </row>
    <row r="1740" spans="1:2" ht="15" hidden="1" x14ac:dyDescent="0.25">
      <c r="A1740" s="426" t="s">
        <v>182</v>
      </c>
      <c r="B1740" s="426" t="s">
        <v>315</v>
      </c>
    </row>
    <row r="1741" spans="1:2" ht="15" hidden="1" x14ac:dyDescent="0.25">
      <c r="A1741" s="426" t="s">
        <v>182</v>
      </c>
      <c r="B1741" s="426" t="s">
        <v>315</v>
      </c>
    </row>
    <row r="1742" spans="1:2" ht="15" hidden="1" x14ac:dyDescent="0.25">
      <c r="A1742" s="426" t="s">
        <v>182</v>
      </c>
      <c r="B1742" s="426" t="s">
        <v>315</v>
      </c>
    </row>
    <row r="1743" spans="1:2" ht="15" hidden="1" x14ac:dyDescent="0.25">
      <c r="A1743" s="426" t="s">
        <v>182</v>
      </c>
      <c r="B1743" s="426" t="s">
        <v>315</v>
      </c>
    </row>
    <row r="1744" spans="1:2" ht="15" hidden="1" x14ac:dyDescent="0.25">
      <c r="A1744" s="426" t="s">
        <v>182</v>
      </c>
      <c r="B1744" s="426" t="s">
        <v>315</v>
      </c>
    </row>
    <row r="1745" spans="1:2" ht="15" hidden="1" x14ac:dyDescent="0.25">
      <c r="A1745" s="426" t="s">
        <v>182</v>
      </c>
      <c r="B1745" s="426" t="s">
        <v>315</v>
      </c>
    </row>
    <row r="1746" spans="1:2" ht="15" hidden="1" x14ac:dyDescent="0.25">
      <c r="A1746" s="426" t="s">
        <v>182</v>
      </c>
      <c r="B1746" s="426" t="s">
        <v>315</v>
      </c>
    </row>
    <row r="1747" spans="1:2" ht="15" hidden="1" x14ac:dyDescent="0.25">
      <c r="A1747" s="426" t="s">
        <v>182</v>
      </c>
      <c r="B1747" s="426" t="s">
        <v>315</v>
      </c>
    </row>
    <row r="1748" spans="1:2" ht="15" hidden="1" x14ac:dyDescent="0.25">
      <c r="A1748" s="426" t="s">
        <v>182</v>
      </c>
      <c r="B1748" s="426" t="s">
        <v>315</v>
      </c>
    </row>
    <row r="1749" spans="1:2" ht="15" hidden="1" x14ac:dyDescent="0.25">
      <c r="A1749" s="426" t="s">
        <v>182</v>
      </c>
      <c r="B1749" s="426" t="s">
        <v>315</v>
      </c>
    </row>
    <row r="1750" spans="1:2" ht="15" hidden="1" x14ac:dyDescent="0.25">
      <c r="A1750" s="426" t="s">
        <v>182</v>
      </c>
      <c r="B1750" s="426" t="s">
        <v>315</v>
      </c>
    </row>
    <row r="1751" spans="1:2" ht="15" hidden="1" x14ac:dyDescent="0.25">
      <c r="A1751" s="426" t="s">
        <v>182</v>
      </c>
      <c r="B1751" s="426" t="s">
        <v>315</v>
      </c>
    </row>
    <row r="1752" spans="1:2" ht="15" hidden="1" x14ac:dyDescent="0.25">
      <c r="A1752" s="426" t="s">
        <v>182</v>
      </c>
      <c r="B1752" s="426" t="s">
        <v>315</v>
      </c>
    </row>
    <row r="1753" spans="1:2" ht="15" hidden="1" x14ac:dyDescent="0.25">
      <c r="A1753" s="426" t="s">
        <v>210</v>
      </c>
      <c r="B1753" s="426" t="s">
        <v>316</v>
      </c>
    </row>
    <row r="1754" spans="1:2" ht="15" hidden="1" x14ac:dyDescent="0.25">
      <c r="A1754" s="426" t="s">
        <v>210</v>
      </c>
      <c r="B1754" s="426" t="s">
        <v>316</v>
      </c>
    </row>
    <row r="1755" spans="1:2" ht="15" hidden="1" x14ac:dyDescent="0.25">
      <c r="A1755" s="426" t="s">
        <v>183</v>
      </c>
      <c r="B1755" s="426" t="s">
        <v>317</v>
      </c>
    </row>
    <row r="1756" spans="1:2" ht="15" hidden="1" x14ac:dyDescent="0.25">
      <c r="A1756" s="426" t="s">
        <v>184</v>
      </c>
      <c r="B1756" s="426" t="s">
        <v>318</v>
      </c>
    </row>
    <row r="1757" spans="1:2" ht="15" hidden="1" x14ac:dyDescent="0.25">
      <c r="A1757" s="426" t="s">
        <v>184</v>
      </c>
      <c r="B1757" s="426" t="s">
        <v>318</v>
      </c>
    </row>
    <row r="1758" spans="1:2" ht="15" hidden="1" x14ac:dyDescent="0.25">
      <c r="A1758" s="426" t="s">
        <v>184</v>
      </c>
      <c r="B1758" s="426" t="s">
        <v>318</v>
      </c>
    </row>
    <row r="1759" spans="1:2" ht="15" hidden="1" x14ac:dyDescent="0.25">
      <c r="A1759" s="426" t="s">
        <v>184</v>
      </c>
      <c r="B1759" s="426" t="s">
        <v>318</v>
      </c>
    </row>
    <row r="1760" spans="1:2" ht="15" hidden="1" x14ac:dyDescent="0.25">
      <c r="A1760" s="426" t="s">
        <v>185</v>
      </c>
      <c r="B1760" s="426" t="s">
        <v>319</v>
      </c>
    </row>
    <row r="1761" spans="1:2" ht="15" hidden="1" x14ac:dyDescent="0.25">
      <c r="A1761" s="426" t="s">
        <v>185</v>
      </c>
      <c r="B1761" s="426" t="s">
        <v>319</v>
      </c>
    </row>
    <row r="1762" spans="1:2" ht="15" hidden="1" x14ac:dyDescent="0.25">
      <c r="A1762" s="426" t="s">
        <v>185</v>
      </c>
      <c r="B1762" s="426" t="s">
        <v>319</v>
      </c>
    </row>
    <row r="1763" spans="1:2" ht="15" hidden="1" x14ac:dyDescent="0.25">
      <c r="A1763" s="426" t="s">
        <v>185</v>
      </c>
      <c r="B1763" s="426" t="s">
        <v>319</v>
      </c>
    </row>
    <row r="1764" spans="1:2" ht="15" hidden="1" x14ac:dyDescent="0.25">
      <c r="A1764" s="426" t="s">
        <v>401</v>
      </c>
      <c r="B1764" s="426" t="s">
        <v>402</v>
      </c>
    </row>
    <row r="1765" spans="1:2" ht="15" hidden="1" x14ac:dyDescent="0.25">
      <c r="A1765" s="426" t="s">
        <v>1621</v>
      </c>
      <c r="B1765" s="426" t="s">
        <v>1622</v>
      </c>
    </row>
    <row r="1766" spans="1:2" ht="15" hidden="1" x14ac:dyDescent="0.25">
      <c r="A1766" s="426" t="s">
        <v>187</v>
      </c>
      <c r="B1766" s="426" t="s">
        <v>322</v>
      </c>
    </row>
    <row r="1767" spans="1:2" ht="15" hidden="1" x14ac:dyDescent="0.25">
      <c r="A1767" s="426" t="s">
        <v>187</v>
      </c>
      <c r="B1767" s="426" t="s">
        <v>322</v>
      </c>
    </row>
    <row r="1768" spans="1:2" ht="15" hidden="1" x14ac:dyDescent="0.25">
      <c r="A1768" s="426" t="s">
        <v>187</v>
      </c>
      <c r="B1768" s="426" t="s">
        <v>322</v>
      </c>
    </row>
    <row r="1769" spans="1:2" ht="15" hidden="1" x14ac:dyDescent="0.25">
      <c r="A1769" s="426" t="s">
        <v>1269</v>
      </c>
      <c r="B1769" s="426" t="s">
        <v>1270</v>
      </c>
    </row>
    <row r="1770" spans="1:2" ht="15" hidden="1" x14ac:dyDescent="0.25">
      <c r="A1770" s="426" t="s">
        <v>1269</v>
      </c>
      <c r="B1770" s="426" t="s">
        <v>1270</v>
      </c>
    </row>
    <row r="1771" spans="1:2" ht="15" hidden="1" x14ac:dyDescent="0.25">
      <c r="A1771" s="426" t="s">
        <v>1269</v>
      </c>
      <c r="B1771" s="426" t="s">
        <v>1270</v>
      </c>
    </row>
    <row r="1772" spans="1:2" ht="15" hidden="1" x14ac:dyDescent="0.25">
      <c r="A1772" s="426" t="s">
        <v>1269</v>
      </c>
      <c r="B1772" s="426" t="s">
        <v>1270</v>
      </c>
    </row>
    <row r="1773" spans="1:2" ht="15" hidden="1" x14ac:dyDescent="0.25">
      <c r="A1773" s="426" t="s">
        <v>1269</v>
      </c>
      <c r="B1773" s="426" t="s">
        <v>1270</v>
      </c>
    </row>
    <row r="1774" spans="1:2" ht="15" hidden="1" x14ac:dyDescent="0.25">
      <c r="A1774" s="426" t="s">
        <v>1269</v>
      </c>
      <c r="B1774" s="426" t="s">
        <v>1270</v>
      </c>
    </row>
    <row r="1775" spans="1:2" ht="15" hidden="1" x14ac:dyDescent="0.25">
      <c r="A1775" s="426" t="s">
        <v>1269</v>
      </c>
      <c r="B1775" s="426" t="s">
        <v>1270</v>
      </c>
    </row>
    <row r="1776" spans="1:2" ht="15" hidden="1" x14ac:dyDescent="0.25">
      <c r="A1776" s="426" t="s">
        <v>1269</v>
      </c>
      <c r="B1776" s="426" t="s">
        <v>1270</v>
      </c>
    </row>
    <row r="1777" spans="1:2" ht="15" hidden="1" x14ac:dyDescent="0.25">
      <c r="A1777" s="426" t="s">
        <v>1269</v>
      </c>
      <c r="B1777" s="426" t="s">
        <v>1270</v>
      </c>
    </row>
    <row r="1778" spans="1:2" ht="15" hidden="1" x14ac:dyDescent="0.25">
      <c r="A1778" s="426" t="s">
        <v>1269</v>
      </c>
      <c r="B1778" s="426" t="s">
        <v>1270</v>
      </c>
    </row>
    <row r="1779" spans="1:2" ht="15" hidden="1" x14ac:dyDescent="0.25">
      <c r="A1779" s="426" t="s">
        <v>1269</v>
      </c>
      <c r="B1779" s="426" t="s">
        <v>1270</v>
      </c>
    </row>
    <row r="1780" spans="1:2" ht="15" hidden="1" x14ac:dyDescent="0.25">
      <c r="A1780" s="426" t="s">
        <v>1269</v>
      </c>
      <c r="B1780" s="426" t="s">
        <v>1270</v>
      </c>
    </row>
    <row r="1781" spans="1:2" ht="15" hidden="1" x14ac:dyDescent="0.25">
      <c r="A1781" s="426" t="s">
        <v>1269</v>
      </c>
      <c r="B1781" s="426" t="s">
        <v>1270</v>
      </c>
    </row>
    <row r="1782" spans="1:2" ht="15" hidden="1" x14ac:dyDescent="0.25">
      <c r="A1782" s="426" t="s">
        <v>1623</v>
      </c>
      <c r="B1782" s="426" t="s">
        <v>1623</v>
      </c>
    </row>
    <row r="1783" spans="1:2" ht="15" hidden="1" x14ac:dyDescent="0.25">
      <c r="A1783" s="426" t="s">
        <v>1624</v>
      </c>
      <c r="B1783" s="426" t="s">
        <v>1624</v>
      </c>
    </row>
    <row r="1784" spans="1:2" ht="15" hidden="1" x14ac:dyDescent="0.25">
      <c r="A1784" s="426" t="s">
        <v>1625</v>
      </c>
      <c r="B1784" s="426" t="s">
        <v>1625</v>
      </c>
    </row>
    <row r="1785" spans="1:2" ht="15" hidden="1" x14ac:dyDescent="0.25">
      <c r="A1785" s="426" t="s">
        <v>1626</v>
      </c>
      <c r="B1785" s="426" t="s">
        <v>1626</v>
      </c>
    </row>
    <row r="1786" spans="1:2" ht="15" hidden="1" x14ac:dyDescent="0.25">
      <c r="A1786" s="426" t="s">
        <v>1627</v>
      </c>
      <c r="B1786" s="426" t="s">
        <v>1627</v>
      </c>
    </row>
    <row r="1787" spans="1:2" ht="15" hidden="1" x14ac:dyDescent="0.25">
      <c r="A1787" s="426" t="s">
        <v>1628</v>
      </c>
      <c r="B1787" s="426" t="s">
        <v>1628</v>
      </c>
    </row>
    <row r="1788" spans="1:2" ht="15" hidden="1" x14ac:dyDescent="0.25">
      <c r="A1788" s="426" t="s">
        <v>1629</v>
      </c>
      <c r="B1788" s="426" t="s">
        <v>1629</v>
      </c>
    </row>
    <row r="1789" spans="1:2" ht="15" hidden="1" x14ac:dyDescent="0.25">
      <c r="A1789" s="426" t="s">
        <v>1630</v>
      </c>
      <c r="B1789" s="426" t="s">
        <v>1630</v>
      </c>
    </row>
    <row r="1790" spans="1:2" ht="15" hidden="1" x14ac:dyDescent="0.25">
      <c r="A1790" s="426" t="s">
        <v>1631</v>
      </c>
      <c r="B1790" s="426" t="s">
        <v>1631</v>
      </c>
    </row>
    <row r="1791" spans="1:2" ht="15" hidden="1" x14ac:dyDescent="0.25">
      <c r="A1791" s="426" t="s">
        <v>1632</v>
      </c>
      <c r="B1791" s="426" t="s">
        <v>1632</v>
      </c>
    </row>
    <row r="1792" spans="1:2" ht="15" hidden="1" x14ac:dyDescent="0.25">
      <c r="A1792" s="426" t="s">
        <v>1633</v>
      </c>
      <c r="B1792" s="426" t="s">
        <v>1633</v>
      </c>
    </row>
    <row r="1793" spans="1:2" ht="15" hidden="1" x14ac:dyDescent="0.25">
      <c r="A1793" s="426" t="s">
        <v>1634</v>
      </c>
      <c r="B1793" s="426" t="s">
        <v>1634</v>
      </c>
    </row>
    <row r="1794" spans="1:2" ht="15" hidden="1" x14ac:dyDescent="0.25">
      <c r="A1794" s="426" t="s">
        <v>1635</v>
      </c>
      <c r="B1794" s="426" t="s">
        <v>1635</v>
      </c>
    </row>
    <row r="1795" spans="1:2" ht="15" hidden="1" x14ac:dyDescent="0.25">
      <c r="A1795" s="426" t="s">
        <v>1636</v>
      </c>
      <c r="B1795" s="426" t="s">
        <v>1636</v>
      </c>
    </row>
    <row r="1796" spans="1:2" ht="15" hidden="1" x14ac:dyDescent="0.25">
      <c r="A1796" s="426" t="s">
        <v>1637</v>
      </c>
      <c r="B1796" s="426" t="s">
        <v>1637</v>
      </c>
    </row>
    <row r="1797" spans="1:2" ht="15" hidden="1" x14ac:dyDescent="0.25">
      <c r="A1797" s="426" t="s">
        <v>1638</v>
      </c>
      <c r="B1797" s="426" t="s">
        <v>1638</v>
      </c>
    </row>
    <row r="1798" spans="1:2" ht="15" hidden="1" x14ac:dyDescent="0.25">
      <c r="A1798" s="426" t="s">
        <v>1639</v>
      </c>
      <c r="B1798" s="426" t="s">
        <v>1639</v>
      </c>
    </row>
    <row r="1799" spans="1:2" ht="15" hidden="1" x14ac:dyDescent="0.25">
      <c r="A1799" s="426" t="s">
        <v>1640</v>
      </c>
      <c r="B1799" s="426" t="s">
        <v>1640</v>
      </c>
    </row>
    <row r="1800" spans="1:2" ht="15" hidden="1" x14ac:dyDescent="0.25">
      <c r="A1800" s="426" t="s">
        <v>1641</v>
      </c>
      <c r="B1800" s="426" t="s">
        <v>1641</v>
      </c>
    </row>
    <row r="1801" spans="1:2" ht="15" hidden="1" x14ac:dyDescent="0.25">
      <c r="A1801" s="426" t="s">
        <v>1642</v>
      </c>
      <c r="B1801" s="426" t="s">
        <v>1642</v>
      </c>
    </row>
    <row r="1802" spans="1:2" ht="15" hidden="1" x14ac:dyDescent="0.25">
      <c r="A1802" s="426" t="s">
        <v>1643</v>
      </c>
      <c r="B1802" s="426" t="s">
        <v>1643</v>
      </c>
    </row>
    <row r="1803" spans="1:2" ht="15" hidden="1" x14ac:dyDescent="0.25">
      <c r="A1803" s="426" t="s">
        <v>1643</v>
      </c>
      <c r="B1803" s="426" t="s">
        <v>1643</v>
      </c>
    </row>
    <row r="1804" spans="1:2" ht="15" hidden="1" x14ac:dyDescent="0.25">
      <c r="A1804" s="426" t="s">
        <v>1644</v>
      </c>
      <c r="B1804" s="426" t="s">
        <v>1644</v>
      </c>
    </row>
    <row r="1805" spans="1:2" ht="15" hidden="1" x14ac:dyDescent="0.25">
      <c r="A1805" s="426" t="s">
        <v>1645</v>
      </c>
      <c r="B1805" s="426" t="s">
        <v>1645</v>
      </c>
    </row>
    <row r="1806" spans="1:2" ht="15" hidden="1" x14ac:dyDescent="0.25">
      <c r="A1806" s="426" t="s">
        <v>1646</v>
      </c>
      <c r="B1806" s="426" t="s">
        <v>1646</v>
      </c>
    </row>
    <row r="1807" spans="1:2" ht="15" hidden="1" x14ac:dyDescent="0.25">
      <c r="A1807" s="426" t="s">
        <v>1647</v>
      </c>
      <c r="B1807" s="426" t="s">
        <v>1647</v>
      </c>
    </row>
    <row r="1808" spans="1:2" ht="15" hidden="1" x14ac:dyDescent="0.25">
      <c r="A1808" s="426" t="s">
        <v>1648</v>
      </c>
      <c r="B1808" s="426" t="s">
        <v>1648</v>
      </c>
    </row>
    <row r="1809" spans="1:2" ht="15" hidden="1" x14ac:dyDescent="0.25">
      <c r="A1809" s="426" t="s">
        <v>1649</v>
      </c>
      <c r="B1809" s="426" t="s">
        <v>1649</v>
      </c>
    </row>
    <row r="1810" spans="1:2" ht="15" hidden="1" x14ac:dyDescent="0.25">
      <c r="A1810" s="426" t="s">
        <v>1650</v>
      </c>
      <c r="B1810" s="426" t="s">
        <v>1650</v>
      </c>
    </row>
    <row r="1811" spans="1:2" ht="15" hidden="1" x14ac:dyDescent="0.25">
      <c r="A1811" s="426" t="s">
        <v>1651</v>
      </c>
      <c r="B1811" s="426" t="s">
        <v>1651</v>
      </c>
    </row>
    <row r="1812" spans="1:2" ht="15" hidden="1" x14ac:dyDescent="0.25">
      <c r="A1812" s="426" t="s">
        <v>1652</v>
      </c>
      <c r="B1812" s="426" t="s">
        <v>1652</v>
      </c>
    </row>
    <row r="1813" spans="1:2" ht="15" hidden="1" x14ac:dyDescent="0.25">
      <c r="A1813" s="426" t="s">
        <v>1653</v>
      </c>
      <c r="B1813" s="426" t="s">
        <v>1653</v>
      </c>
    </row>
    <row r="1814" spans="1:2" ht="15" hidden="1" x14ac:dyDescent="0.25">
      <c r="A1814" s="426" t="s">
        <v>1654</v>
      </c>
      <c r="B1814" s="426" t="s">
        <v>1635</v>
      </c>
    </row>
    <row r="1815" spans="1:2" ht="15" hidden="1" x14ac:dyDescent="0.25">
      <c r="A1815" s="426" t="s">
        <v>1531</v>
      </c>
      <c r="B1815" s="426" t="s">
        <v>1532</v>
      </c>
    </row>
    <row r="1816" spans="1:2" ht="15" hidden="1" x14ac:dyDescent="0.25">
      <c r="A1816" s="426" t="s">
        <v>1655</v>
      </c>
      <c r="B1816" s="426" t="s">
        <v>1656</v>
      </c>
    </row>
    <row r="1817" spans="1:2" ht="15" hidden="1" x14ac:dyDescent="0.25">
      <c r="A1817" s="426" t="s">
        <v>204</v>
      </c>
      <c r="B1817" s="426" t="s">
        <v>352</v>
      </c>
    </row>
    <row r="1818" spans="1:2" ht="15" hidden="1" x14ac:dyDescent="0.25">
      <c r="A1818" s="426" t="s">
        <v>1074</v>
      </c>
      <c r="B1818" s="426" t="s">
        <v>1075</v>
      </c>
    </row>
    <row r="1819" spans="1:2" ht="15" hidden="1" x14ac:dyDescent="0.25">
      <c r="A1819" s="426" t="s">
        <v>1074</v>
      </c>
      <c r="B1819" s="426" t="s">
        <v>1075</v>
      </c>
    </row>
    <row r="1820" spans="1:2" ht="15" hidden="1" x14ac:dyDescent="0.25">
      <c r="A1820" s="426" t="s">
        <v>1074</v>
      </c>
      <c r="B1820" s="426" t="s">
        <v>1075</v>
      </c>
    </row>
    <row r="1821" spans="1:2" ht="15" hidden="1" x14ac:dyDescent="0.25">
      <c r="A1821" s="426" t="s">
        <v>1657</v>
      </c>
      <c r="B1821" s="426" t="s">
        <v>1658</v>
      </c>
    </row>
    <row r="1822" spans="1:2" ht="15" hidden="1" x14ac:dyDescent="0.25">
      <c r="A1822" s="426" t="s">
        <v>619</v>
      </c>
      <c r="B1822" s="426" t="s">
        <v>620</v>
      </c>
    </row>
    <row r="1823" spans="1:2" ht="15" hidden="1" x14ac:dyDescent="0.25">
      <c r="A1823" s="426" t="s">
        <v>1659</v>
      </c>
      <c r="B1823" s="426" t="s">
        <v>1660</v>
      </c>
    </row>
    <row r="1824" spans="1:2" ht="15" hidden="1" x14ac:dyDescent="0.25">
      <c r="A1824" s="426" t="s">
        <v>1659</v>
      </c>
      <c r="B1824" s="426" t="s">
        <v>1660</v>
      </c>
    </row>
    <row r="1825" spans="1:2" ht="15" hidden="1" x14ac:dyDescent="0.25">
      <c r="A1825" s="426" t="s">
        <v>1659</v>
      </c>
      <c r="B1825" s="426" t="s">
        <v>1660</v>
      </c>
    </row>
    <row r="1826" spans="1:2" ht="15" hidden="1" x14ac:dyDescent="0.25">
      <c r="A1826" s="426" t="s">
        <v>1659</v>
      </c>
      <c r="B1826" s="426" t="s">
        <v>1660</v>
      </c>
    </row>
    <row r="1827" spans="1:2" ht="15" hidden="1" x14ac:dyDescent="0.25">
      <c r="A1827" s="426" t="s">
        <v>1661</v>
      </c>
      <c r="B1827" s="426" t="s">
        <v>1662</v>
      </c>
    </row>
    <row r="1828" spans="1:2" ht="15" hidden="1" x14ac:dyDescent="0.25">
      <c r="A1828" s="426" t="s">
        <v>1663</v>
      </c>
      <c r="B1828" s="426" t="s">
        <v>1664</v>
      </c>
    </row>
    <row r="1829" spans="1:2" ht="15" hidden="1" x14ac:dyDescent="0.25">
      <c r="A1829" s="426" t="s">
        <v>216</v>
      </c>
      <c r="B1829" s="426" t="s">
        <v>361</v>
      </c>
    </row>
    <row r="1830" spans="1:2" ht="15" hidden="1" x14ac:dyDescent="0.25">
      <c r="A1830" s="426" t="s">
        <v>216</v>
      </c>
      <c r="B1830" s="426" t="s">
        <v>361</v>
      </c>
    </row>
    <row r="1831" spans="1:2" ht="15" hidden="1" x14ac:dyDescent="0.25">
      <c r="A1831" s="426" t="s">
        <v>1665</v>
      </c>
      <c r="B1831" s="426" t="s">
        <v>1666</v>
      </c>
    </row>
    <row r="1832" spans="1:2" ht="15" hidden="1" x14ac:dyDescent="0.25">
      <c r="A1832" s="426" t="s">
        <v>1665</v>
      </c>
      <c r="B1832" s="426" t="s">
        <v>1666</v>
      </c>
    </row>
    <row r="1833" spans="1:2" ht="15" hidden="1" x14ac:dyDescent="0.25">
      <c r="A1833" s="426" t="s">
        <v>1667</v>
      </c>
      <c r="B1833" s="426" t="s">
        <v>1668</v>
      </c>
    </row>
    <row r="1834" spans="1:2" ht="15" hidden="1" x14ac:dyDescent="0.25">
      <c r="A1834" s="426" t="s">
        <v>1116</v>
      </c>
      <c r="B1834" s="426" t="s">
        <v>1117</v>
      </c>
    </row>
    <row r="1835" spans="1:2" ht="15" hidden="1" x14ac:dyDescent="0.25">
      <c r="A1835" s="426" t="s">
        <v>1669</v>
      </c>
      <c r="B1835" s="426" t="s">
        <v>1670</v>
      </c>
    </row>
    <row r="1836" spans="1:2" ht="15" hidden="1" x14ac:dyDescent="0.25">
      <c r="A1836" s="426" t="s">
        <v>1671</v>
      </c>
      <c r="B1836" s="426" t="s">
        <v>1672</v>
      </c>
    </row>
    <row r="1837" spans="1:2" ht="15" hidden="1" x14ac:dyDescent="0.25">
      <c r="A1837" s="426" t="s">
        <v>1671</v>
      </c>
      <c r="B1837" s="426" t="s">
        <v>1672</v>
      </c>
    </row>
    <row r="1838" spans="1:2" ht="15" hidden="1" x14ac:dyDescent="0.25">
      <c r="A1838" s="426" t="s">
        <v>1673</v>
      </c>
      <c r="B1838" s="426" t="s">
        <v>1674</v>
      </c>
    </row>
    <row r="1839" spans="1:2" ht="15" hidden="1" x14ac:dyDescent="0.25">
      <c r="A1839" s="426" t="s">
        <v>1673</v>
      </c>
      <c r="B1839" s="426" t="s">
        <v>1674</v>
      </c>
    </row>
    <row r="1840" spans="1:2" ht="15" hidden="1" x14ac:dyDescent="0.25">
      <c r="A1840" s="426" t="s">
        <v>1673</v>
      </c>
      <c r="B1840" s="426" t="s">
        <v>1674</v>
      </c>
    </row>
    <row r="1841" spans="1:2" ht="15" hidden="1" x14ac:dyDescent="0.25">
      <c r="A1841" s="426" t="s">
        <v>1675</v>
      </c>
      <c r="B1841" s="426" t="s">
        <v>1676</v>
      </c>
    </row>
    <row r="1842" spans="1:2" ht="15" hidden="1" x14ac:dyDescent="0.25">
      <c r="A1842" s="426" t="s">
        <v>1677</v>
      </c>
      <c r="B1842" s="426" t="s">
        <v>1678</v>
      </c>
    </row>
    <row r="1843" spans="1:2" ht="15" hidden="1" x14ac:dyDescent="0.25">
      <c r="A1843" s="426" t="s">
        <v>1679</v>
      </c>
      <c r="B1843" s="426" t="s">
        <v>1680</v>
      </c>
    </row>
    <row r="1844" spans="1:2" ht="15" hidden="1" x14ac:dyDescent="0.25">
      <c r="A1844" s="426" t="s">
        <v>1681</v>
      </c>
      <c r="B1844" s="426" t="s">
        <v>1682</v>
      </c>
    </row>
    <row r="1845" spans="1:2" ht="15" hidden="1" x14ac:dyDescent="0.25">
      <c r="A1845" s="426" t="s">
        <v>1145</v>
      </c>
      <c r="B1845" s="426" t="s">
        <v>1146</v>
      </c>
    </row>
    <row r="1846" spans="1:2" ht="15" hidden="1" x14ac:dyDescent="0.25">
      <c r="A1846" s="426" t="s">
        <v>1683</v>
      </c>
      <c r="B1846" s="426" t="s">
        <v>1684</v>
      </c>
    </row>
    <row r="1847" spans="1:2" ht="15" hidden="1" x14ac:dyDescent="0.25">
      <c r="A1847" s="426" t="s">
        <v>1683</v>
      </c>
      <c r="B1847" s="426" t="s">
        <v>1684</v>
      </c>
    </row>
    <row r="1848" spans="1:2" ht="15" hidden="1" x14ac:dyDescent="0.25">
      <c r="A1848" s="426" t="s">
        <v>1685</v>
      </c>
      <c r="B1848" s="426" t="s">
        <v>1686</v>
      </c>
    </row>
    <row r="1849" spans="1:2" ht="15" hidden="1" x14ac:dyDescent="0.25">
      <c r="A1849" s="426" t="s">
        <v>1687</v>
      </c>
      <c r="B1849" s="426" t="s">
        <v>1688</v>
      </c>
    </row>
    <row r="1850" spans="1:2" ht="15" hidden="1" x14ac:dyDescent="0.25">
      <c r="A1850" s="426" t="s">
        <v>1689</v>
      </c>
      <c r="B1850" s="426" t="s">
        <v>1690</v>
      </c>
    </row>
    <row r="1851" spans="1:2" ht="15" hidden="1" x14ac:dyDescent="0.25">
      <c r="A1851" s="426" t="s">
        <v>1691</v>
      </c>
      <c r="B1851" s="426" t="s">
        <v>1692</v>
      </c>
    </row>
    <row r="1852" spans="1:2" ht="15" hidden="1" x14ac:dyDescent="0.25">
      <c r="A1852" s="426" t="s">
        <v>1691</v>
      </c>
      <c r="B1852" s="426" t="s">
        <v>1692</v>
      </c>
    </row>
    <row r="1853" spans="1:2" ht="15" hidden="1" x14ac:dyDescent="0.25">
      <c r="A1853" s="426" t="s">
        <v>1691</v>
      </c>
      <c r="B1853" s="426" t="s">
        <v>1692</v>
      </c>
    </row>
    <row r="1854" spans="1:2" ht="15" hidden="1" x14ac:dyDescent="0.25">
      <c r="A1854" s="426" t="s">
        <v>727</v>
      </c>
      <c r="B1854" s="426" t="s">
        <v>728</v>
      </c>
    </row>
    <row r="1855" spans="1:2" ht="15" hidden="1" x14ac:dyDescent="0.25">
      <c r="A1855" s="426" t="s">
        <v>727</v>
      </c>
      <c r="B1855" s="426" t="s">
        <v>728</v>
      </c>
    </row>
    <row r="1856" spans="1:2" ht="15" hidden="1" x14ac:dyDescent="0.25">
      <c r="A1856" s="426" t="s">
        <v>1693</v>
      </c>
      <c r="B1856" s="426" t="s">
        <v>1694</v>
      </c>
    </row>
    <row r="1857" spans="1:2" ht="15" hidden="1" x14ac:dyDescent="0.25">
      <c r="A1857" s="426" t="s">
        <v>1693</v>
      </c>
      <c r="B1857" s="426" t="s">
        <v>1694</v>
      </c>
    </row>
    <row r="1858" spans="1:2" ht="15" hidden="1" x14ac:dyDescent="0.25">
      <c r="A1858" s="426" t="s">
        <v>1695</v>
      </c>
      <c r="B1858" s="426" t="s">
        <v>1696</v>
      </c>
    </row>
    <row r="1859" spans="1:2" ht="15" hidden="1" x14ac:dyDescent="0.25">
      <c r="A1859" s="426" t="s">
        <v>781</v>
      </c>
      <c r="B1859" s="426" t="s">
        <v>782</v>
      </c>
    </row>
    <row r="1860" spans="1:2" ht="15" hidden="1" x14ac:dyDescent="0.25">
      <c r="A1860" s="426" t="s">
        <v>1697</v>
      </c>
      <c r="B1860" s="426" t="s">
        <v>1698</v>
      </c>
    </row>
    <row r="1861" spans="1:2" ht="15" hidden="1" x14ac:dyDescent="0.25">
      <c r="A1861" s="426" t="s">
        <v>1697</v>
      </c>
      <c r="B1861" s="426" t="s">
        <v>1698</v>
      </c>
    </row>
    <row r="1862" spans="1:2" ht="15" hidden="1" x14ac:dyDescent="0.25">
      <c r="A1862" s="426" t="s">
        <v>1697</v>
      </c>
      <c r="B1862" s="426" t="s">
        <v>1698</v>
      </c>
    </row>
    <row r="1863" spans="1:2" ht="15" hidden="1" x14ac:dyDescent="0.25">
      <c r="A1863" s="426" t="s">
        <v>1699</v>
      </c>
      <c r="B1863" s="426" t="s">
        <v>1700</v>
      </c>
    </row>
    <row r="1864" spans="1:2" ht="15" hidden="1" x14ac:dyDescent="0.25">
      <c r="A1864" s="426" t="s">
        <v>1699</v>
      </c>
      <c r="B1864" s="426" t="s">
        <v>1700</v>
      </c>
    </row>
    <row r="1865" spans="1:2" ht="15" hidden="1" x14ac:dyDescent="0.25">
      <c r="A1865" s="426" t="s">
        <v>1701</v>
      </c>
      <c r="B1865" s="426" t="s">
        <v>1702</v>
      </c>
    </row>
    <row r="1866" spans="1:2" ht="15" hidden="1" x14ac:dyDescent="0.25">
      <c r="A1866" s="428" t="s">
        <v>1703</v>
      </c>
      <c r="B1866" s="428" t="s">
        <v>1704</v>
      </c>
    </row>
    <row r="1867" spans="1:2" ht="15" hidden="1" x14ac:dyDescent="0.25">
      <c r="A1867" s="426" t="s">
        <v>208</v>
      </c>
      <c r="B1867" s="426" t="s">
        <v>309</v>
      </c>
    </row>
    <row r="1868" spans="1:2" ht="15" hidden="1" x14ac:dyDescent="0.25">
      <c r="A1868" s="426" t="s">
        <v>208</v>
      </c>
      <c r="B1868" s="426" t="s">
        <v>309</v>
      </c>
    </row>
    <row r="1869" spans="1:2" ht="15" hidden="1" x14ac:dyDescent="0.25">
      <c r="A1869" s="426" t="s">
        <v>208</v>
      </c>
      <c r="B1869" s="426" t="s">
        <v>309</v>
      </c>
    </row>
    <row r="1870" spans="1:2" ht="15" hidden="1" x14ac:dyDescent="0.25">
      <c r="A1870" s="426" t="s">
        <v>208</v>
      </c>
      <c r="B1870" s="426" t="s">
        <v>309</v>
      </c>
    </row>
    <row r="1871" spans="1:2" ht="15" hidden="1" x14ac:dyDescent="0.25">
      <c r="A1871" s="426" t="s">
        <v>208</v>
      </c>
      <c r="B1871" s="426" t="s">
        <v>309</v>
      </c>
    </row>
    <row r="1872" spans="1:2" ht="15" hidden="1" x14ac:dyDescent="0.25">
      <c r="A1872" s="426" t="s">
        <v>208</v>
      </c>
      <c r="B1872" s="426" t="s">
        <v>309</v>
      </c>
    </row>
    <row r="1873" spans="1:2" ht="15" hidden="1" x14ac:dyDescent="0.25">
      <c r="A1873" s="426" t="s">
        <v>208</v>
      </c>
      <c r="B1873" s="426" t="s">
        <v>309</v>
      </c>
    </row>
    <row r="1874" spans="1:2" ht="15" hidden="1" x14ac:dyDescent="0.25">
      <c r="A1874" s="426" t="s">
        <v>180</v>
      </c>
      <c r="B1874" s="426" t="s">
        <v>312</v>
      </c>
    </row>
    <row r="1875" spans="1:2" ht="15" hidden="1" x14ac:dyDescent="0.25">
      <c r="A1875" s="426" t="s">
        <v>395</v>
      </c>
      <c r="B1875" s="426" t="s">
        <v>396</v>
      </c>
    </row>
    <row r="1876" spans="1:2" ht="15" hidden="1" x14ac:dyDescent="0.25">
      <c r="A1876" s="426" t="s">
        <v>1455</v>
      </c>
      <c r="B1876" s="426" t="s">
        <v>1456</v>
      </c>
    </row>
    <row r="1877" spans="1:2" ht="15" hidden="1" x14ac:dyDescent="0.25">
      <c r="A1877" s="426" t="s">
        <v>1455</v>
      </c>
      <c r="B1877" s="426" t="s">
        <v>1456</v>
      </c>
    </row>
    <row r="1878" spans="1:2" ht="15" hidden="1" x14ac:dyDescent="0.25">
      <c r="A1878" s="426" t="s">
        <v>181</v>
      </c>
      <c r="B1878" s="426" t="s">
        <v>313</v>
      </c>
    </row>
    <row r="1879" spans="1:2" ht="15" hidden="1" x14ac:dyDescent="0.25">
      <c r="A1879" s="426" t="s">
        <v>182</v>
      </c>
      <c r="B1879" s="426" t="s">
        <v>315</v>
      </c>
    </row>
    <row r="1880" spans="1:2" ht="15" hidden="1" x14ac:dyDescent="0.25">
      <c r="A1880" s="426" t="s">
        <v>182</v>
      </c>
      <c r="B1880" s="426" t="s">
        <v>315</v>
      </c>
    </row>
    <row r="1881" spans="1:2" ht="15" hidden="1" x14ac:dyDescent="0.25">
      <c r="A1881" s="426" t="s">
        <v>182</v>
      </c>
      <c r="B1881" s="426" t="s">
        <v>315</v>
      </c>
    </row>
    <row r="1882" spans="1:2" ht="15" hidden="1" x14ac:dyDescent="0.25">
      <c r="A1882" s="426" t="s">
        <v>182</v>
      </c>
      <c r="B1882" s="426" t="s">
        <v>315</v>
      </c>
    </row>
    <row r="1883" spans="1:2" ht="15" hidden="1" x14ac:dyDescent="0.25">
      <c r="A1883" s="426" t="s">
        <v>182</v>
      </c>
      <c r="B1883" s="426" t="s">
        <v>315</v>
      </c>
    </row>
    <row r="1884" spans="1:2" ht="15" hidden="1" x14ac:dyDescent="0.25">
      <c r="A1884" s="426" t="s">
        <v>182</v>
      </c>
      <c r="B1884" s="426" t="s">
        <v>315</v>
      </c>
    </row>
    <row r="1885" spans="1:2" ht="15" hidden="1" x14ac:dyDescent="0.25">
      <c r="A1885" s="426" t="s">
        <v>182</v>
      </c>
      <c r="B1885" s="426" t="s">
        <v>315</v>
      </c>
    </row>
    <row r="1886" spans="1:2" ht="15" hidden="1" x14ac:dyDescent="0.25">
      <c r="A1886" s="426" t="s">
        <v>182</v>
      </c>
      <c r="B1886" s="426" t="s">
        <v>315</v>
      </c>
    </row>
    <row r="1887" spans="1:2" ht="15" hidden="1" x14ac:dyDescent="0.25">
      <c r="A1887" s="426" t="s">
        <v>182</v>
      </c>
      <c r="B1887" s="426" t="s">
        <v>315</v>
      </c>
    </row>
    <row r="1888" spans="1:2" ht="15" hidden="1" x14ac:dyDescent="0.25">
      <c r="A1888" s="426" t="s">
        <v>182</v>
      </c>
      <c r="B1888" s="426" t="s">
        <v>315</v>
      </c>
    </row>
    <row r="1889" spans="1:2" ht="15" hidden="1" x14ac:dyDescent="0.25">
      <c r="A1889" s="426" t="s">
        <v>182</v>
      </c>
      <c r="B1889" s="426" t="s">
        <v>315</v>
      </c>
    </row>
    <row r="1890" spans="1:2" ht="15" hidden="1" x14ac:dyDescent="0.25">
      <c r="A1890" s="426" t="s">
        <v>182</v>
      </c>
      <c r="B1890" s="426" t="s">
        <v>315</v>
      </c>
    </row>
    <row r="1891" spans="1:2" ht="15" hidden="1" x14ac:dyDescent="0.25">
      <c r="A1891" s="426" t="s">
        <v>182</v>
      </c>
      <c r="B1891" s="426" t="s">
        <v>315</v>
      </c>
    </row>
    <row r="1892" spans="1:2" ht="15" hidden="1" x14ac:dyDescent="0.25">
      <c r="A1892" s="426" t="s">
        <v>182</v>
      </c>
      <c r="B1892" s="426" t="s">
        <v>315</v>
      </c>
    </row>
    <row r="1893" spans="1:2" ht="15" hidden="1" x14ac:dyDescent="0.25">
      <c r="A1893" s="426" t="s">
        <v>210</v>
      </c>
      <c r="B1893" s="426" t="s">
        <v>316</v>
      </c>
    </row>
    <row r="1894" spans="1:2" ht="15" hidden="1" x14ac:dyDescent="0.25">
      <c r="A1894" s="426" t="s">
        <v>210</v>
      </c>
      <c r="B1894" s="426" t="s">
        <v>316</v>
      </c>
    </row>
    <row r="1895" spans="1:2" ht="15" hidden="1" x14ac:dyDescent="0.25">
      <c r="A1895" s="426" t="s">
        <v>210</v>
      </c>
      <c r="B1895" s="426" t="s">
        <v>316</v>
      </c>
    </row>
    <row r="1896" spans="1:2" ht="15" hidden="1" x14ac:dyDescent="0.25">
      <c r="A1896" s="426" t="s">
        <v>210</v>
      </c>
      <c r="B1896" s="426" t="s">
        <v>316</v>
      </c>
    </row>
    <row r="1897" spans="1:2" ht="15" hidden="1" x14ac:dyDescent="0.25">
      <c r="A1897" s="426" t="s">
        <v>210</v>
      </c>
      <c r="B1897" s="426" t="s">
        <v>316</v>
      </c>
    </row>
    <row r="1898" spans="1:2" ht="15" hidden="1" x14ac:dyDescent="0.25">
      <c r="A1898" s="426" t="s">
        <v>210</v>
      </c>
      <c r="B1898" s="426" t="s">
        <v>316</v>
      </c>
    </row>
    <row r="1899" spans="1:2" ht="15" hidden="1" x14ac:dyDescent="0.25">
      <c r="A1899" s="426" t="s">
        <v>210</v>
      </c>
      <c r="B1899" s="426" t="s">
        <v>316</v>
      </c>
    </row>
    <row r="1900" spans="1:2" ht="15" hidden="1" x14ac:dyDescent="0.25">
      <c r="A1900" s="426" t="s">
        <v>210</v>
      </c>
      <c r="B1900" s="426" t="s">
        <v>316</v>
      </c>
    </row>
    <row r="1901" spans="1:2" ht="15" hidden="1" x14ac:dyDescent="0.25">
      <c r="A1901" s="426" t="s">
        <v>210</v>
      </c>
      <c r="B1901" s="426" t="s">
        <v>316</v>
      </c>
    </row>
    <row r="1902" spans="1:2" ht="15" hidden="1" x14ac:dyDescent="0.25">
      <c r="A1902" s="426" t="s">
        <v>210</v>
      </c>
      <c r="B1902" s="426" t="s">
        <v>316</v>
      </c>
    </row>
    <row r="1903" spans="1:2" ht="15" hidden="1" x14ac:dyDescent="0.25">
      <c r="A1903" s="426" t="s">
        <v>210</v>
      </c>
      <c r="B1903" s="426" t="s">
        <v>316</v>
      </c>
    </row>
    <row r="1904" spans="1:2" ht="15" hidden="1" x14ac:dyDescent="0.25">
      <c r="A1904" s="426" t="s">
        <v>210</v>
      </c>
      <c r="B1904" s="426" t="s">
        <v>316</v>
      </c>
    </row>
    <row r="1905" spans="1:2" ht="15" hidden="1" x14ac:dyDescent="0.25">
      <c r="A1905" s="426" t="s">
        <v>210</v>
      </c>
      <c r="B1905" s="426" t="s">
        <v>316</v>
      </c>
    </row>
    <row r="1906" spans="1:2" ht="15" hidden="1" x14ac:dyDescent="0.25">
      <c r="A1906" s="426" t="s">
        <v>210</v>
      </c>
      <c r="B1906" s="426" t="s">
        <v>316</v>
      </c>
    </row>
    <row r="1907" spans="1:2" ht="15" hidden="1" x14ac:dyDescent="0.25">
      <c r="A1907" s="426" t="s">
        <v>210</v>
      </c>
      <c r="B1907" s="426" t="s">
        <v>316</v>
      </c>
    </row>
    <row r="1908" spans="1:2" ht="15" hidden="1" x14ac:dyDescent="0.25">
      <c r="A1908" s="426" t="s">
        <v>210</v>
      </c>
      <c r="B1908" s="426" t="s">
        <v>316</v>
      </c>
    </row>
    <row r="1909" spans="1:2" ht="15" hidden="1" x14ac:dyDescent="0.25">
      <c r="A1909" s="426" t="s">
        <v>210</v>
      </c>
      <c r="B1909" s="426" t="s">
        <v>316</v>
      </c>
    </row>
    <row r="1910" spans="1:2" ht="15" hidden="1" x14ac:dyDescent="0.25">
      <c r="A1910" s="426" t="s">
        <v>184</v>
      </c>
      <c r="B1910" s="426" t="s">
        <v>318</v>
      </c>
    </row>
    <row r="1911" spans="1:2" ht="15" hidden="1" x14ac:dyDescent="0.25">
      <c r="A1911" s="426" t="s">
        <v>185</v>
      </c>
      <c r="B1911" s="426" t="s">
        <v>319</v>
      </c>
    </row>
    <row r="1912" spans="1:2" ht="15" hidden="1" x14ac:dyDescent="0.25">
      <c r="A1912" s="426" t="s">
        <v>185</v>
      </c>
      <c r="B1912" s="426" t="s">
        <v>319</v>
      </c>
    </row>
    <row r="1913" spans="1:2" ht="15" hidden="1" x14ac:dyDescent="0.25">
      <c r="A1913" s="426" t="s">
        <v>185</v>
      </c>
      <c r="B1913" s="426" t="s">
        <v>319</v>
      </c>
    </row>
    <row r="1914" spans="1:2" ht="15" hidden="1" x14ac:dyDescent="0.25">
      <c r="A1914" s="426" t="s">
        <v>185</v>
      </c>
      <c r="B1914" s="426" t="s">
        <v>319</v>
      </c>
    </row>
    <row r="1915" spans="1:2" ht="15" hidden="1" x14ac:dyDescent="0.25">
      <c r="A1915" s="426" t="s">
        <v>185</v>
      </c>
      <c r="B1915" s="426" t="s">
        <v>319</v>
      </c>
    </row>
    <row r="1916" spans="1:2" ht="15" hidden="1" x14ac:dyDescent="0.25">
      <c r="A1916" s="426" t="s">
        <v>185</v>
      </c>
      <c r="B1916" s="426" t="s">
        <v>319</v>
      </c>
    </row>
    <row r="1917" spans="1:2" ht="15" hidden="1" x14ac:dyDescent="0.25">
      <c r="A1917" s="426" t="s">
        <v>185</v>
      </c>
      <c r="B1917" s="426" t="s">
        <v>319</v>
      </c>
    </row>
    <row r="1918" spans="1:2" ht="15" hidden="1" x14ac:dyDescent="0.25">
      <c r="A1918" s="426" t="s">
        <v>185</v>
      </c>
      <c r="B1918" s="426" t="s">
        <v>319</v>
      </c>
    </row>
    <row r="1919" spans="1:2" ht="15" hidden="1" x14ac:dyDescent="0.25">
      <c r="A1919" s="426" t="s">
        <v>185</v>
      </c>
      <c r="B1919" s="426" t="s">
        <v>319</v>
      </c>
    </row>
    <row r="1920" spans="1:2" ht="15" hidden="1" x14ac:dyDescent="0.25">
      <c r="A1920" s="426" t="s">
        <v>185</v>
      </c>
      <c r="B1920" s="426" t="s">
        <v>319</v>
      </c>
    </row>
    <row r="1921" spans="1:2" ht="15" hidden="1" x14ac:dyDescent="0.25">
      <c r="A1921" s="426" t="s">
        <v>187</v>
      </c>
      <c r="B1921" s="426" t="s">
        <v>322</v>
      </c>
    </row>
    <row r="1922" spans="1:2" ht="15" hidden="1" x14ac:dyDescent="0.25">
      <c r="A1922" s="426" t="s">
        <v>187</v>
      </c>
      <c r="B1922" s="426" t="s">
        <v>322</v>
      </c>
    </row>
    <row r="1923" spans="1:2" ht="15" hidden="1" x14ac:dyDescent="0.25">
      <c r="A1923" s="426" t="s">
        <v>187</v>
      </c>
      <c r="B1923" s="426" t="s">
        <v>322</v>
      </c>
    </row>
    <row r="1924" spans="1:2" ht="15" hidden="1" x14ac:dyDescent="0.25">
      <c r="A1924" s="426" t="s">
        <v>188</v>
      </c>
      <c r="B1924" s="426" t="s">
        <v>323</v>
      </c>
    </row>
    <row r="1925" spans="1:2" ht="15" hidden="1" x14ac:dyDescent="0.25">
      <c r="A1925" s="426" t="s">
        <v>1269</v>
      </c>
      <c r="B1925" s="426" t="s">
        <v>1270</v>
      </c>
    </row>
    <row r="1926" spans="1:2" ht="15" hidden="1" x14ac:dyDescent="0.25">
      <c r="A1926" s="426" t="s">
        <v>1269</v>
      </c>
      <c r="B1926" s="426" t="s">
        <v>1270</v>
      </c>
    </row>
    <row r="1927" spans="1:2" ht="15" hidden="1" x14ac:dyDescent="0.25">
      <c r="A1927" s="426" t="s">
        <v>1269</v>
      </c>
      <c r="B1927" s="426" t="s">
        <v>1270</v>
      </c>
    </row>
    <row r="1928" spans="1:2" ht="15" hidden="1" x14ac:dyDescent="0.25">
      <c r="A1928" s="426" t="s">
        <v>1269</v>
      </c>
      <c r="B1928" s="426" t="s">
        <v>1270</v>
      </c>
    </row>
    <row r="1929" spans="1:2" ht="15" hidden="1" x14ac:dyDescent="0.25">
      <c r="A1929" s="426" t="s">
        <v>1269</v>
      </c>
      <c r="B1929" s="426" t="s">
        <v>1270</v>
      </c>
    </row>
    <row r="1930" spans="1:2" ht="15" hidden="1" x14ac:dyDescent="0.25">
      <c r="A1930" s="426" t="s">
        <v>1269</v>
      </c>
      <c r="B1930" s="426" t="s">
        <v>1270</v>
      </c>
    </row>
    <row r="1931" spans="1:2" ht="15" hidden="1" x14ac:dyDescent="0.25">
      <c r="A1931" s="426" t="s">
        <v>1705</v>
      </c>
      <c r="B1931" s="426" t="s">
        <v>1705</v>
      </c>
    </row>
    <row r="1932" spans="1:2" ht="15" hidden="1" x14ac:dyDescent="0.25">
      <c r="A1932" s="426" t="s">
        <v>1705</v>
      </c>
      <c r="B1932" s="426" t="s">
        <v>1705</v>
      </c>
    </row>
    <row r="1933" spans="1:2" ht="15" hidden="1" x14ac:dyDescent="0.25">
      <c r="A1933" s="426" t="s">
        <v>1706</v>
      </c>
      <c r="B1933" s="426" t="s">
        <v>1706</v>
      </c>
    </row>
    <row r="1934" spans="1:2" ht="15" hidden="1" x14ac:dyDescent="0.25">
      <c r="A1934" s="426" t="s">
        <v>1707</v>
      </c>
      <c r="B1934" s="426" t="s">
        <v>1707</v>
      </c>
    </row>
    <row r="1935" spans="1:2" ht="15" hidden="1" x14ac:dyDescent="0.25">
      <c r="A1935" s="426" t="s">
        <v>1708</v>
      </c>
      <c r="B1935" s="426" t="s">
        <v>1708</v>
      </c>
    </row>
    <row r="1936" spans="1:2" ht="15" hidden="1" x14ac:dyDescent="0.25">
      <c r="A1936" s="426" t="s">
        <v>1709</v>
      </c>
      <c r="B1936" s="426" t="s">
        <v>1709</v>
      </c>
    </row>
    <row r="1937" spans="1:2" ht="15" hidden="1" x14ac:dyDescent="0.25">
      <c r="A1937" s="426" t="s">
        <v>1709</v>
      </c>
      <c r="B1937" s="426" t="s">
        <v>1709</v>
      </c>
    </row>
    <row r="1938" spans="1:2" ht="15" hidden="1" x14ac:dyDescent="0.25">
      <c r="A1938" s="426" t="s">
        <v>1710</v>
      </c>
      <c r="B1938" s="426" t="s">
        <v>1710</v>
      </c>
    </row>
    <row r="1939" spans="1:2" ht="15" hidden="1" x14ac:dyDescent="0.25">
      <c r="A1939" s="426" t="s">
        <v>1711</v>
      </c>
      <c r="B1939" s="426" t="s">
        <v>1711</v>
      </c>
    </row>
    <row r="1940" spans="1:2" ht="15" hidden="1" x14ac:dyDescent="0.25">
      <c r="A1940" s="426" t="s">
        <v>1712</v>
      </c>
      <c r="B1940" s="426" t="s">
        <v>1712</v>
      </c>
    </row>
    <row r="1941" spans="1:2" ht="15" hidden="1" x14ac:dyDescent="0.25">
      <c r="A1941" s="426" t="s">
        <v>1713</v>
      </c>
      <c r="B1941" s="426" t="s">
        <v>1713</v>
      </c>
    </row>
    <row r="1942" spans="1:2" ht="15" hidden="1" x14ac:dyDescent="0.25">
      <c r="A1942" s="426" t="s">
        <v>1713</v>
      </c>
      <c r="B1942" s="426" t="s">
        <v>1713</v>
      </c>
    </row>
    <row r="1943" spans="1:2" ht="15" hidden="1" x14ac:dyDescent="0.25">
      <c r="A1943" s="426" t="s">
        <v>1714</v>
      </c>
      <c r="B1943" s="426" t="s">
        <v>1714</v>
      </c>
    </row>
    <row r="1944" spans="1:2" ht="15" hidden="1" x14ac:dyDescent="0.25">
      <c r="A1944" s="426" t="s">
        <v>1714</v>
      </c>
      <c r="B1944" s="426" t="s">
        <v>1714</v>
      </c>
    </row>
    <row r="1945" spans="1:2" ht="15" hidden="1" x14ac:dyDescent="0.25">
      <c r="A1945" s="426" t="s">
        <v>1715</v>
      </c>
      <c r="B1945" s="426" t="s">
        <v>1715</v>
      </c>
    </row>
    <row r="1946" spans="1:2" ht="15" hidden="1" x14ac:dyDescent="0.25">
      <c r="A1946" s="426" t="s">
        <v>1716</v>
      </c>
      <c r="B1946" s="426" t="s">
        <v>1716</v>
      </c>
    </row>
    <row r="1947" spans="1:2" ht="15" hidden="1" x14ac:dyDescent="0.25">
      <c r="A1947" s="426" t="s">
        <v>1717</v>
      </c>
      <c r="B1947" s="426" t="s">
        <v>1717</v>
      </c>
    </row>
    <row r="1948" spans="1:2" ht="15" hidden="1" x14ac:dyDescent="0.25">
      <c r="A1948" s="426" t="s">
        <v>1718</v>
      </c>
      <c r="B1948" s="426" t="s">
        <v>1718</v>
      </c>
    </row>
    <row r="1949" spans="1:2" ht="15" hidden="1" x14ac:dyDescent="0.25">
      <c r="A1949" s="426" t="s">
        <v>1719</v>
      </c>
      <c r="B1949" s="426" t="s">
        <v>1719</v>
      </c>
    </row>
    <row r="1950" spans="1:2" ht="15" hidden="1" x14ac:dyDescent="0.25">
      <c r="A1950" s="426" t="s">
        <v>1720</v>
      </c>
      <c r="B1950" s="426" t="s">
        <v>1720</v>
      </c>
    </row>
    <row r="1951" spans="1:2" ht="15" hidden="1" x14ac:dyDescent="0.25">
      <c r="A1951" s="426" t="s">
        <v>1720</v>
      </c>
      <c r="B1951" s="426" t="s">
        <v>1720</v>
      </c>
    </row>
    <row r="1952" spans="1:2" ht="15" hidden="1" x14ac:dyDescent="0.25">
      <c r="A1952" s="426" t="s">
        <v>1721</v>
      </c>
      <c r="B1952" s="426" t="s">
        <v>1721</v>
      </c>
    </row>
    <row r="1953" spans="1:2" ht="15" hidden="1" x14ac:dyDescent="0.25">
      <c r="A1953" s="426" t="s">
        <v>1722</v>
      </c>
      <c r="B1953" s="426" t="s">
        <v>1722</v>
      </c>
    </row>
    <row r="1954" spans="1:2" ht="15" hidden="1" x14ac:dyDescent="0.25">
      <c r="A1954" s="426" t="s">
        <v>1723</v>
      </c>
      <c r="B1954" s="426" t="s">
        <v>1723</v>
      </c>
    </row>
    <row r="1955" spans="1:2" ht="15" hidden="1" x14ac:dyDescent="0.25">
      <c r="A1955" s="426" t="s">
        <v>1724</v>
      </c>
      <c r="B1955" s="426" t="s">
        <v>1724</v>
      </c>
    </row>
    <row r="1956" spans="1:2" ht="15" hidden="1" x14ac:dyDescent="0.25">
      <c r="A1956" s="426" t="s">
        <v>1724</v>
      </c>
      <c r="B1956" s="426" t="s">
        <v>1724</v>
      </c>
    </row>
    <row r="1957" spans="1:2" ht="15" hidden="1" x14ac:dyDescent="0.25">
      <c r="A1957" s="426" t="s">
        <v>1725</v>
      </c>
      <c r="B1957" s="426" t="s">
        <v>1725</v>
      </c>
    </row>
    <row r="1958" spans="1:2" ht="15" hidden="1" x14ac:dyDescent="0.25">
      <c r="A1958" s="426" t="s">
        <v>1726</v>
      </c>
      <c r="B1958" s="426" t="s">
        <v>1726</v>
      </c>
    </row>
    <row r="1959" spans="1:2" ht="15" x14ac:dyDescent="0.25">
      <c r="A1959" s="426" t="s">
        <v>1727</v>
      </c>
      <c r="B1959" s="426" t="s">
        <v>1727</v>
      </c>
    </row>
    <row r="1960" spans="1:2" ht="15" hidden="1" x14ac:dyDescent="0.25">
      <c r="A1960" s="426" t="s">
        <v>1728</v>
      </c>
      <c r="B1960" s="426" t="s">
        <v>1728</v>
      </c>
    </row>
    <row r="1961" spans="1:2" ht="15" hidden="1" x14ac:dyDescent="0.25">
      <c r="A1961" s="426" t="s">
        <v>1729</v>
      </c>
      <c r="B1961" s="426" t="s">
        <v>1729</v>
      </c>
    </row>
    <row r="1962" spans="1:2" ht="15" hidden="1" x14ac:dyDescent="0.25">
      <c r="A1962" s="426" t="s">
        <v>1729</v>
      </c>
      <c r="B1962" s="426" t="s">
        <v>1729</v>
      </c>
    </row>
    <row r="1963" spans="1:2" ht="15" hidden="1" x14ac:dyDescent="0.25">
      <c r="A1963" s="426" t="s">
        <v>1730</v>
      </c>
      <c r="B1963" s="426" t="s">
        <v>1730</v>
      </c>
    </row>
    <row r="1964" spans="1:2" ht="15" hidden="1" x14ac:dyDescent="0.25">
      <c r="A1964" s="426" t="s">
        <v>1731</v>
      </c>
      <c r="B1964" s="426" t="s">
        <v>1731</v>
      </c>
    </row>
    <row r="1965" spans="1:2" ht="15" hidden="1" x14ac:dyDescent="0.25">
      <c r="A1965" s="426" t="s">
        <v>1732</v>
      </c>
      <c r="B1965" s="426" t="s">
        <v>1732</v>
      </c>
    </row>
    <row r="1966" spans="1:2" ht="15" hidden="1" x14ac:dyDescent="0.25">
      <c r="A1966" s="426" t="s">
        <v>1732</v>
      </c>
      <c r="B1966" s="426" t="s">
        <v>1732</v>
      </c>
    </row>
    <row r="1967" spans="1:2" ht="15" hidden="1" x14ac:dyDescent="0.25">
      <c r="A1967" s="426" t="s">
        <v>1733</v>
      </c>
      <c r="B1967" s="426" t="s">
        <v>1733</v>
      </c>
    </row>
    <row r="1968" spans="1:2" ht="15" hidden="1" x14ac:dyDescent="0.25">
      <c r="A1968" s="426" t="s">
        <v>1734</v>
      </c>
      <c r="B1968" s="426" t="s">
        <v>1734</v>
      </c>
    </row>
    <row r="1969" spans="1:2" ht="15" hidden="1" x14ac:dyDescent="0.25">
      <c r="A1969" s="426" t="s">
        <v>1735</v>
      </c>
      <c r="B1969" s="426" t="s">
        <v>1735</v>
      </c>
    </row>
    <row r="1970" spans="1:2" ht="15" hidden="1" x14ac:dyDescent="0.25">
      <c r="A1970" s="426" t="s">
        <v>1736</v>
      </c>
      <c r="B1970" s="426" t="s">
        <v>1736</v>
      </c>
    </row>
    <row r="1971" spans="1:2" ht="15" hidden="1" x14ac:dyDescent="0.25">
      <c r="A1971" s="426" t="s">
        <v>1737</v>
      </c>
      <c r="B1971" s="426" t="s">
        <v>1737</v>
      </c>
    </row>
    <row r="1972" spans="1:2" ht="15" hidden="1" x14ac:dyDescent="0.25">
      <c r="A1972" s="426" t="s">
        <v>1737</v>
      </c>
      <c r="B1972" s="426" t="s">
        <v>1737</v>
      </c>
    </row>
    <row r="1973" spans="1:2" ht="15" hidden="1" x14ac:dyDescent="0.25">
      <c r="A1973" s="426" t="s">
        <v>1738</v>
      </c>
      <c r="B1973" s="426" t="s">
        <v>1738</v>
      </c>
    </row>
    <row r="1974" spans="1:2" ht="15" hidden="1" x14ac:dyDescent="0.25">
      <c r="A1974" s="426" t="s">
        <v>1739</v>
      </c>
      <c r="B1974" s="426" t="s">
        <v>1739</v>
      </c>
    </row>
    <row r="1975" spans="1:2" ht="15" hidden="1" x14ac:dyDescent="0.25">
      <c r="A1975" s="426" t="s">
        <v>1740</v>
      </c>
      <c r="B1975" s="426" t="s">
        <v>1740</v>
      </c>
    </row>
    <row r="1976" spans="1:2" ht="15" hidden="1" x14ac:dyDescent="0.25">
      <c r="A1976" s="426" t="s">
        <v>1741</v>
      </c>
      <c r="B1976" s="426" t="s">
        <v>1741</v>
      </c>
    </row>
    <row r="1977" spans="1:2" ht="15" hidden="1" x14ac:dyDescent="0.25">
      <c r="A1977" s="426" t="s">
        <v>1742</v>
      </c>
      <c r="B1977" s="426" t="s">
        <v>1742</v>
      </c>
    </row>
    <row r="1978" spans="1:2" ht="15" hidden="1" x14ac:dyDescent="0.25">
      <c r="A1978" s="426" t="s">
        <v>1743</v>
      </c>
      <c r="B1978" s="426" t="s">
        <v>1743</v>
      </c>
    </row>
    <row r="1979" spans="1:2" ht="15" hidden="1" x14ac:dyDescent="0.25">
      <c r="A1979" s="426" t="s">
        <v>1743</v>
      </c>
      <c r="B1979" s="426" t="s">
        <v>1743</v>
      </c>
    </row>
    <row r="1980" spans="1:2" ht="15" hidden="1" x14ac:dyDescent="0.25">
      <c r="A1980" s="426" t="s">
        <v>1744</v>
      </c>
      <c r="B1980" s="426" t="s">
        <v>1744</v>
      </c>
    </row>
    <row r="1981" spans="1:2" ht="15" hidden="1" x14ac:dyDescent="0.25">
      <c r="A1981" s="426" t="s">
        <v>1745</v>
      </c>
      <c r="B1981" s="426" t="s">
        <v>1745</v>
      </c>
    </row>
    <row r="1982" spans="1:2" ht="15" hidden="1" x14ac:dyDescent="0.25">
      <c r="A1982" s="426" t="s">
        <v>1746</v>
      </c>
      <c r="B1982" s="426" t="s">
        <v>1746</v>
      </c>
    </row>
    <row r="1983" spans="1:2" ht="15" hidden="1" x14ac:dyDescent="0.25">
      <c r="A1983" s="426" t="s">
        <v>1746</v>
      </c>
      <c r="B1983" s="426" t="s">
        <v>1746</v>
      </c>
    </row>
    <row r="1984" spans="1:2" ht="15" hidden="1" x14ac:dyDescent="0.25">
      <c r="A1984" s="426" t="s">
        <v>1747</v>
      </c>
      <c r="B1984" s="426" t="s">
        <v>1747</v>
      </c>
    </row>
    <row r="1985" spans="1:2" ht="15" hidden="1" x14ac:dyDescent="0.25">
      <c r="A1985" s="426" t="s">
        <v>1748</v>
      </c>
      <c r="B1985" s="426" t="s">
        <v>1748</v>
      </c>
    </row>
    <row r="1986" spans="1:2" ht="15" hidden="1" x14ac:dyDescent="0.25">
      <c r="A1986" s="426" t="s">
        <v>1749</v>
      </c>
      <c r="B1986" s="426" t="s">
        <v>1749</v>
      </c>
    </row>
    <row r="1987" spans="1:2" ht="15" hidden="1" x14ac:dyDescent="0.25">
      <c r="A1987" s="426" t="s">
        <v>1749</v>
      </c>
      <c r="B1987" s="426" t="s">
        <v>1749</v>
      </c>
    </row>
    <row r="1988" spans="1:2" ht="15" hidden="1" x14ac:dyDescent="0.25">
      <c r="A1988" s="426" t="s">
        <v>1750</v>
      </c>
      <c r="B1988" s="426" t="s">
        <v>1750</v>
      </c>
    </row>
    <row r="1989" spans="1:2" ht="15" hidden="1" x14ac:dyDescent="0.25">
      <c r="A1989" s="426" t="s">
        <v>1751</v>
      </c>
      <c r="B1989" s="426" t="s">
        <v>1751</v>
      </c>
    </row>
    <row r="1990" spans="1:2" ht="15" hidden="1" x14ac:dyDescent="0.25">
      <c r="A1990" s="426" t="s">
        <v>1752</v>
      </c>
      <c r="B1990" s="426" t="s">
        <v>1752</v>
      </c>
    </row>
    <row r="1991" spans="1:2" ht="15" hidden="1" x14ac:dyDescent="0.25">
      <c r="A1991" s="426" t="s">
        <v>1752</v>
      </c>
      <c r="B1991" s="426" t="s">
        <v>1752</v>
      </c>
    </row>
    <row r="1992" spans="1:2" ht="15" hidden="1" x14ac:dyDescent="0.25">
      <c r="A1992" s="426" t="s">
        <v>1753</v>
      </c>
      <c r="B1992" s="426" t="s">
        <v>1753</v>
      </c>
    </row>
    <row r="1993" spans="1:2" ht="15" hidden="1" x14ac:dyDescent="0.25">
      <c r="A1993" s="426" t="s">
        <v>1753</v>
      </c>
      <c r="B1993" s="426" t="s">
        <v>1753</v>
      </c>
    </row>
    <row r="1994" spans="1:2" ht="15" hidden="1" x14ac:dyDescent="0.25">
      <c r="A1994" s="426" t="s">
        <v>1754</v>
      </c>
      <c r="B1994" s="426" t="s">
        <v>1754</v>
      </c>
    </row>
    <row r="1995" spans="1:2" ht="15" hidden="1" x14ac:dyDescent="0.25">
      <c r="A1995" s="426" t="s">
        <v>1755</v>
      </c>
      <c r="B1995" s="426" t="s">
        <v>1755</v>
      </c>
    </row>
    <row r="1996" spans="1:2" ht="15" hidden="1" x14ac:dyDescent="0.25">
      <c r="A1996" s="426" t="s">
        <v>1756</v>
      </c>
      <c r="B1996" s="426" t="s">
        <v>1756</v>
      </c>
    </row>
    <row r="1997" spans="1:2" ht="15" hidden="1" x14ac:dyDescent="0.25">
      <c r="A1997" s="426" t="s">
        <v>1757</v>
      </c>
      <c r="B1997" s="426" t="s">
        <v>1757</v>
      </c>
    </row>
    <row r="1998" spans="1:2" ht="15" hidden="1" x14ac:dyDescent="0.25">
      <c r="A1998" s="426" t="s">
        <v>1758</v>
      </c>
      <c r="B1998" s="426" t="s">
        <v>1758</v>
      </c>
    </row>
    <row r="1999" spans="1:2" ht="15" hidden="1" x14ac:dyDescent="0.25">
      <c r="A1999" s="426" t="s">
        <v>1759</v>
      </c>
      <c r="B1999" s="426" t="s">
        <v>1759</v>
      </c>
    </row>
    <row r="2000" spans="1:2" ht="15" hidden="1" x14ac:dyDescent="0.25">
      <c r="A2000" s="426" t="s">
        <v>1759</v>
      </c>
      <c r="B2000" s="426" t="s">
        <v>1759</v>
      </c>
    </row>
    <row r="2001" spans="1:2" ht="15" hidden="1" x14ac:dyDescent="0.25">
      <c r="A2001" s="426" t="s">
        <v>1760</v>
      </c>
      <c r="B2001" s="426" t="s">
        <v>1761</v>
      </c>
    </row>
    <row r="2002" spans="1:2" ht="15" hidden="1" x14ac:dyDescent="0.25">
      <c r="A2002" s="426" t="s">
        <v>1760</v>
      </c>
      <c r="B2002" s="426" t="s">
        <v>1761</v>
      </c>
    </row>
    <row r="2003" spans="1:2" ht="15" hidden="1" x14ac:dyDescent="0.25">
      <c r="A2003" s="426" t="s">
        <v>1762</v>
      </c>
      <c r="B2003" s="426" t="s">
        <v>1763</v>
      </c>
    </row>
    <row r="2004" spans="1:2" ht="15" hidden="1" x14ac:dyDescent="0.25">
      <c r="A2004" s="426" t="s">
        <v>1764</v>
      </c>
      <c r="B2004" s="426" t="s">
        <v>1765</v>
      </c>
    </row>
    <row r="2005" spans="1:2" ht="15" hidden="1" x14ac:dyDescent="0.25">
      <c r="A2005" s="426" t="s">
        <v>1766</v>
      </c>
      <c r="B2005" s="426" t="s">
        <v>1767</v>
      </c>
    </row>
    <row r="2006" spans="1:2" ht="15" hidden="1" x14ac:dyDescent="0.25">
      <c r="A2006" s="426" t="s">
        <v>1768</v>
      </c>
      <c r="B2006" s="426" t="s">
        <v>1769</v>
      </c>
    </row>
    <row r="2007" spans="1:2" ht="15" hidden="1" x14ac:dyDescent="0.25">
      <c r="A2007" s="426" t="s">
        <v>1770</v>
      </c>
      <c r="B2007" s="426" t="s">
        <v>1771</v>
      </c>
    </row>
    <row r="2008" spans="1:2" ht="15" hidden="1" x14ac:dyDescent="0.25">
      <c r="A2008" s="426" t="s">
        <v>1772</v>
      </c>
      <c r="B2008" s="426" t="s">
        <v>1773</v>
      </c>
    </row>
    <row r="2009" spans="1:2" ht="15" hidden="1" x14ac:dyDescent="0.25">
      <c r="A2009" s="426" t="s">
        <v>1774</v>
      </c>
      <c r="B2009" s="426" t="s">
        <v>1775</v>
      </c>
    </row>
    <row r="2010" spans="1:2" ht="15" hidden="1" x14ac:dyDescent="0.25">
      <c r="A2010" s="426" t="s">
        <v>1776</v>
      </c>
      <c r="B2010" s="426" t="s">
        <v>1777</v>
      </c>
    </row>
    <row r="2011" spans="1:2" ht="15" hidden="1" x14ac:dyDescent="0.25">
      <c r="A2011" s="426" t="s">
        <v>1778</v>
      </c>
      <c r="B2011" s="426" t="s">
        <v>1779</v>
      </c>
    </row>
    <row r="2012" spans="1:2" ht="15" hidden="1" x14ac:dyDescent="0.25">
      <c r="A2012" s="426" t="s">
        <v>1780</v>
      </c>
      <c r="B2012" s="426" t="s">
        <v>1781</v>
      </c>
    </row>
    <row r="2013" spans="1:2" ht="15" hidden="1" x14ac:dyDescent="0.25">
      <c r="A2013" s="426" t="s">
        <v>1782</v>
      </c>
      <c r="B2013" s="426" t="s">
        <v>1783</v>
      </c>
    </row>
    <row r="2014" spans="1:2" ht="15" hidden="1" x14ac:dyDescent="0.25">
      <c r="A2014" s="426" t="s">
        <v>1784</v>
      </c>
      <c r="B2014" s="426" t="s">
        <v>1785</v>
      </c>
    </row>
    <row r="2015" spans="1:2" ht="15" hidden="1" x14ac:dyDescent="0.25">
      <c r="A2015" s="426" t="s">
        <v>1786</v>
      </c>
      <c r="B2015" s="426" t="s">
        <v>1787</v>
      </c>
    </row>
    <row r="2016" spans="1:2" ht="15" hidden="1" x14ac:dyDescent="0.25">
      <c r="A2016" s="426" t="s">
        <v>1788</v>
      </c>
      <c r="B2016" s="426" t="s">
        <v>1789</v>
      </c>
    </row>
    <row r="2017" spans="1:2" ht="15" hidden="1" x14ac:dyDescent="0.25">
      <c r="A2017" s="426" t="s">
        <v>1565</v>
      </c>
      <c r="B2017" s="426" t="s">
        <v>1566</v>
      </c>
    </row>
    <row r="2018" spans="1:2" ht="15" hidden="1" x14ac:dyDescent="0.25">
      <c r="A2018" s="426" t="s">
        <v>382</v>
      </c>
      <c r="B2018" s="426" t="s">
        <v>383</v>
      </c>
    </row>
    <row r="2019" spans="1:2" ht="15" hidden="1" x14ac:dyDescent="0.25">
      <c r="A2019" s="426" t="s">
        <v>382</v>
      </c>
      <c r="B2019" s="426" t="s">
        <v>383</v>
      </c>
    </row>
    <row r="2020" spans="1:2" ht="15" hidden="1" x14ac:dyDescent="0.25">
      <c r="A2020" s="426" t="s">
        <v>382</v>
      </c>
      <c r="B2020" s="426" t="s">
        <v>383</v>
      </c>
    </row>
    <row r="2021" spans="1:2" ht="15" hidden="1" x14ac:dyDescent="0.25">
      <c r="A2021" s="426" t="s">
        <v>1790</v>
      </c>
      <c r="B2021" s="426" t="s">
        <v>1791</v>
      </c>
    </row>
    <row r="2022" spans="1:2" ht="15" hidden="1" x14ac:dyDescent="0.25">
      <c r="A2022" s="426" t="s">
        <v>1792</v>
      </c>
      <c r="B2022" s="426" t="s">
        <v>1793</v>
      </c>
    </row>
    <row r="2023" spans="1:2" ht="15" hidden="1" x14ac:dyDescent="0.25">
      <c r="A2023" s="426" t="s">
        <v>1794</v>
      </c>
      <c r="B2023" s="426" t="s">
        <v>1795</v>
      </c>
    </row>
    <row r="2024" spans="1:2" ht="15" hidden="1" x14ac:dyDescent="0.25">
      <c r="A2024" s="426" t="s">
        <v>1794</v>
      </c>
      <c r="B2024" s="426" t="s">
        <v>1795</v>
      </c>
    </row>
    <row r="2025" spans="1:2" ht="15" hidden="1" x14ac:dyDescent="0.25">
      <c r="A2025" s="426" t="s">
        <v>1794</v>
      </c>
      <c r="B2025" s="426" t="s">
        <v>1795</v>
      </c>
    </row>
    <row r="2026" spans="1:2" ht="15" hidden="1" x14ac:dyDescent="0.25">
      <c r="A2026" s="426" t="s">
        <v>1794</v>
      </c>
      <c r="B2026" s="426" t="s">
        <v>1795</v>
      </c>
    </row>
    <row r="2027" spans="1:2" ht="15" hidden="1" x14ac:dyDescent="0.25">
      <c r="A2027" s="426" t="s">
        <v>1794</v>
      </c>
      <c r="B2027" s="426" t="s">
        <v>1795</v>
      </c>
    </row>
    <row r="2028" spans="1:2" ht="15" hidden="1" x14ac:dyDescent="0.25">
      <c r="A2028" s="426" t="s">
        <v>1794</v>
      </c>
      <c r="B2028" s="426" t="s">
        <v>1795</v>
      </c>
    </row>
    <row r="2029" spans="1:2" ht="15" hidden="1" x14ac:dyDescent="0.25">
      <c r="A2029" s="426" t="s">
        <v>1796</v>
      </c>
      <c r="B2029" s="426" t="s">
        <v>1797</v>
      </c>
    </row>
    <row r="2030" spans="1:2" ht="15" hidden="1" x14ac:dyDescent="0.25">
      <c r="A2030" s="426" t="s">
        <v>1798</v>
      </c>
      <c r="B2030" s="426" t="s">
        <v>1799</v>
      </c>
    </row>
    <row r="2031" spans="1:2" ht="15" hidden="1" x14ac:dyDescent="0.25">
      <c r="A2031" s="426" t="s">
        <v>1591</v>
      </c>
      <c r="B2031" s="426" t="s">
        <v>1592</v>
      </c>
    </row>
    <row r="2032" spans="1:2" ht="15" hidden="1" x14ac:dyDescent="0.25">
      <c r="A2032" s="426" t="s">
        <v>1800</v>
      </c>
      <c r="B2032" s="426" t="s">
        <v>1801</v>
      </c>
    </row>
    <row r="2033" spans="1:2" ht="15" hidden="1" x14ac:dyDescent="0.25">
      <c r="A2033" s="426" t="s">
        <v>1800</v>
      </c>
      <c r="B2033" s="426" t="s">
        <v>1801</v>
      </c>
    </row>
    <row r="2034" spans="1:2" ht="15" hidden="1" x14ac:dyDescent="0.25">
      <c r="A2034" s="426" t="s">
        <v>1802</v>
      </c>
      <c r="B2034" s="426" t="s">
        <v>1803</v>
      </c>
    </row>
    <row r="2035" spans="1:2" ht="15" hidden="1" x14ac:dyDescent="0.25">
      <c r="A2035" s="426" t="s">
        <v>1804</v>
      </c>
      <c r="B2035" s="426" t="s">
        <v>1805</v>
      </c>
    </row>
    <row r="2036" spans="1:2" ht="15" hidden="1" x14ac:dyDescent="0.25">
      <c r="A2036" s="426" t="s">
        <v>1806</v>
      </c>
      <c r="B2036" s="426" t="s">
        <v>1754</v>
      </c>
    </row>
    <row r="2037" spans="1:2" ht="15" hidden="1" x14ac:dyDescent="0.25">
      <c r="A2037" s="426" t="s">
        <v>1807</v>
      </c>
      <c r="B2037" s="426" t="s">
        <v>1808</v>
      </c>
    </row>
    <row r="2038" spans="1:2" ht="15" hidden="1" x14ac:dyDescent="0.25">
      <c r="A2038" s="426" t="s">
        <v>1809</v>
      </c>
      <c r="B2038" s="426" t="s">
        <v>1810</v>
      </c>
    </row>
    <row r="2039" spans="1:2" ht="15" hidden="1" x14ac:dyDescent="0.25">
      <c r="A2039" s="426" t="s">
        <v>1811</v>
      </c>
      <c r="B2039" s="426" t="s">
        <v>1812</v>
      </c>
    </row>
    <row r="2040" spans="1:2" ht="15" hidden="1" x14ac:dyDescent="0.25">
      <c r="A2040" s="426" t="s">
        <v>1811</v>
      </c>
      <c r="B2040" s="426" t="s">
        <v>1812</v>
      </c>
    </row>
    <row r="2041" spans="1:2" ht="15" hidden="1" x14ac:dyDescent="0.25">
      <c r="A2041" s="426" t="s">
        <v>1813</v>
      </c>
      <c r="B2041" s="426" t="s">
        <v>1814</v>
      </c>
    </row>
    <row r="2042" spans="1:2" ht="15" hidden="1" x14ac:dyDescent="0.25">
      <c r="A2042" s="426" t="s">
        <v>1815</v>
      </c>
      <c r="B2042" s="426" t="s">
        <v>1816</v>
      </c>
    </row>
    <row r="2043" spans="1:2" ht="15" hidden="1" x14ac:dyDescent="0.25">
      <c r="A2043" s="426" t="s">
        <v>1817</v>
      </c>
      <c r="B2043" s="426" t="s">
        <v>1818</v>
      </c>
    </row>
    <row r="2044" spans="1:2" ht="15" hidden="1" x14ac:dyDescent="0.25">
      <c r="A2044" s="426" t="s">
        <v>1817</v>
      </c>
      <c r="B2044" s="426" t="s">
        <v>1818</v>
      </c>
    </row>
    <row r="2045" spans="1:2" ht="15" hidden="1" x14ac:dyDescent="0.25">
      <c r="A2045" s="426" t="s">
        <v>1817</v>
      </c>
      <c r="B2045" s="426" t="s">
        <v>1818</v>
      </c>
    </row>
    <row r="2046" spans="1:2" ht="15" hidden="1" x14ac:dyDescent="0.25">
      <c r="A2046" s="426" t="s">
        <v>1819</v>
      </c>
      <c r="B2046" s="426" t="s">
        <v>1820</v>
      </c>
    </row>
    <row r="2047" spans="1:2" ht="15" hidden="1" x14ac:dyDescent="0.25">
      <c r="A2047" s="426" t="s">
        <v>1819</v>
      </c>
      <c r="B2047" s="426" t="s">
        <v>1820</v>
      </c>
    </row>
    <row r="2048" spans="1:2" ht="15" hidden="1" x14ac:dyDescent="0.25">
      <c r="A2048" s="426" t="s">
        <v>1821</v>
      </c>
      <c r="B2048" s="426" t="s">
        <v>1822</v>
      </c>
    </row>
    <row r="2049" spans="1:2" ht="15" hidden="1" x14ac:dyDescent="0.25">
      <c r="A2049" s="426" t="s">
        <v>1823</v>
      </c>
      <c r="B2049" s="426" t="s">
        <v>1824</v>
      </c>
    </row>
    <row r="2050" spans="1:2" ht="15" hidden="1" x14ac:dyDescent="0.25">
      <c r="A2050" s="426" t="s">
        <v>1613</v>
      </c>
      <c r="B2050" s="426" t="s">
        <v>1614</v>
      </c>
    </row>
    <row r="2051" spans="1:2" ht="15" hidden="1" x14ac:dyDescent="0.25">
      <c r="A2051" s="426" t="s">
        <v>1613</v>
      </c>
      <c r="B2051" s="426" t="s">
        <v>1614</v>
      </c>
    </row>
    <row r="2052" spans="1:2" ht="15" hidden="1" x14ac:dyDescent="0.25">
      <c r="A2052" s="428" t="s">
        <v>1825</v>
      </c>
      <c r="B2052" s="428" t="s">
        <v>1826</v>
      </c>
    </row>
    <row r="2053" spans="1:2" ht="15" hidden="1" x14ac:dyDescent="0.25">
      <c r="A2053" s="426" t="s">
        <v>1827</v>
      </c>
      <c r="B2053" s="426" t="s">
        <v>1828</v>
      </c>
    </row>
    <row r="2054" spans="1:2" ht="15" hidden="1" x14ac:dyDescent="0.25">
      <c r="A2054" s="426" t="s">
        <v>1829</v>
      </c>
      <c r="B2054" s="426" t="s">
        <v>1830</v>
      </c>
    </row>
    <row r="2055" spans="1:2" ht="15" hidden="1" x14ac:dyDescent="0.25">
      <c r="A2055" s="426" t="s">
        <v>1831</v>
      </c>
      <c r="B2055" s="426" t="s">
        <v>1832</v>
      </c>
    </row>
    <row r="2056" spans="1:2" ht="15" hidden="1" x14ac:dyDescent="0.25">
      <c r="A2056" s="426" t="s">
        <v>1833</v>
      </c>
      <c r="B2056" s="426" t="s">
        <v>1834</v>
      </c>
    </row>
    <row r="2057" spans="1:2" ht="15" hidden="1" x14ac:dyDescent="0.25">
      <c r="A2057" s="426" t="s">
        <v>1835</v>
      </c>
      <c r="B2057" s="426" t="s">
        <v>1836</v>
      </c>
    </row>
    <row r="2058" spans="1:2" ht="15" hidden="1" x14ac:dyDescent="0.25">
      <c r="A2058" s="426" t="s">
        <v>1615</v>
      </c>
      <c r="B2058" s="426" t="s">
        <v>1616</v>
      </c>
    </row>
    <row r="2059" spans="1:2" ht="15" hidden="1" x14ac:dyDescent="0.25">
      <c r="A2059" s="426" t="s">
        <v>1615</v>
      </c>
      <c r="B2059" s="426" t="s">
        <v>1616</v>
      </c>
    </row>
    <row r="2060" spans="1:2" ht="15" hidden="1" x14ac:dyDescent="0.25">
      <c r="A2060" s="426" t="s">
        <v>208</v>
      </c>
      <c r="B2060" s="426" t="s">
        <v>309</v>
      </c>
    </row>
    <row r="2061" spans="1:2" ht="15" hidden="1" x14ac:dyDescent="0.25">
      <c r="A2061" s="426" t="s">
        <v>208</v>
      </c>
      <c r="B2061" s="426" t="s">
        <v>309</v>
      </c>
    </row>
    <row r="2062" spans="1:2" ht="15" hidden="1" x14ac:dyDescent="0.25">
      <c r="A2062" s="426" t="s">
        <v>208</v>
      </c>
      <c r="B2062" s="426" t="s">
        <v>309</v>
      </c>
    </row>
    <row r="2063" spans="1:2" ht="15" hidden="1" x14ac:dyDescent="0.25">
      <c r="A2063" s="426" t="s">
        <v>208</v>
      </c>
      <c r="B2063" s="426" t="s">
        <v>309</v>
      </c>
    </row>
    <row r="2064" spans="1:2" ht="15" hidden="1" x14ac:dyDescent="0.25">
      <c r="A2064" s="426" t="s">
        <v>208</v>
      </c>
      <c r="B2064" s="426" t="s">
        <v>309</v>
      </c>
    </row>
    <row r="2065" spans="1:2" ht="15" hidden="1" x14ac:dyDescent="0.25">
      <c r="A2065" s="426" t="s">
        <v>208</v>
      </c>
      <c r="B2065" s="426" t="s">
        <v>309</v>
      </c>
    </row>
    <row r="2066" spans="1:2" ht="15" hidden="1" x14ac:dyDescent="0.25">
      <c r="A2066" s="426" t="s">
        <v>208</v>
      </c>
      <c r="B2066" s="426" t="s">
        <v>309</v>
      </c>
    </row>
    <row r="2067" spans="1:2" ht="15" hidden="1" x14ac:dyDescent="0.25">
      <c r="A2067" s="426" t="s">
        <v>208</v>
      </c>
      <c r="B2067" s="426" t="s">
        <v>309</v>
      </c>
    </row>
    <row r="2068" spans="1:2" ht="15" hidden="1" x14ac:dyDescent="0.25">
      <c r="A2068" s="426" t="s">
        <v>208</v>
      </c>
      <c r="B2068" s="426" t="s">
        <v>309</v>
      </c>
    </row>
    <row r="2069" spans="1:2" ht="15" hidden="1" x14ac:dyDescent="0.25">
      <c r="A2069" s="426" t="s">
        <v>208</v>
      </c>
      <c r="B2069" s="426" t="s">
        <v>309</v>
      </c>
    </row>
    <row r="2070" spans="1:2" ht="15" hidden="1" x14ac:dyDescent="0.25">
      <c r="A2070" s="426" t="s">
        <v>208</v>
      </c>
      <c r="B2070" s="426" t="s">
        <v>309</v>
      </c>
    </row>
    <row r="2071" spans="1:2" ht="15" hidden="1" x14ac:dyDescent="0.25">
      <c r="A2071" s="426" t="s">
        <v>208</v>
      </c>
      <c r="B2071" s="426" t="s">
        <v>309</v>
      </c>
    </row>
    <row r="2072" spans="1:2" ht="15" hidden="1" x14ac:dyDescent="0.25">
      <c r="A2072" s="426" t="s">
        <v>208</v>
      </c>
      <c r="B2072" s="426" t="s">
        <v>309</v>
      </c>
    </row>
    <row r="2073" spans="1:2" ht="15" hidden="1" x14ac:dyDescent="0.25">
      <c r="A2073" s="426" t="s">
        <v>208</v>
      </c>
      <c r="B2073" s="426" t="s">
        <v>309</v>
      </c>
    </row>
    <row r="2074" spans="1:2" ht="15" hidden="1" x14ac:dyDescent="0.25">
      <c r="A2074" s="426" t="s">
        <v>208</v>
      </c>
      <c r="B2074" s="426" t="s">
        <v>309</v>
      </c>
    </row>
    <row r="2075" spans="1:2" ht="15" hidden="1" x14ac:dyDescent="0.25">
      <c r="A2075" s="426" t="s">
        <v>178</v>
      </c>
      <c r="B2075" s="426" t="s">
        <v>310</v>
      </c>
    </row>
    <row r="2076" spans="1:2" ht="15" hidden="1" x14ac:dyDescent="0.25">
      <c r="A2076" s="426" t="s">
        <v>179</v>
      </c>
      <c r="B2076" s="426" t="s">
        <v>311</v>
      </c>
    </row>
    <row r="2077" spans="1:2" ht="15" hidden="1" x14ac:dyDescent="0.25">
      <c r="A2077" s="426" t="s">
        <v>179</v>
      </c>
      <c r="B2077" s="426" t="s">
        <v>311</v>
      </c>
    </row>
    <row r="2078" spans="1:2" ht="15" hidden="1" x14ac:dyDescent="0.25">
      <c r="A2078" s="426" t="s">
        <v>179</v>
      </c>
      <c r="B2078" s="426" t="s">
        <v>311</v>
      </c>
    </row>
    <row r="2079" spans="1:2" ht="15" hidden="1" x14ac:dyDescent="0.25">
      <c r="A2079" s="426" t="s">
        <v>179</v>
      </c>
      <c r="B2079" s="426" t="s">
        <v>311</v>
      </c>
    </row>
    <row r="2080" spans="1:2" ht="15" hidden="1" x14ac:dyDescent="0.25">
      <c r="A2080" s="426" t="s">
        <v>179</v>
      </c>
      <c r="B2080" s="426" t="s">
        <v>311</v>
      </c>
    </row>
    <row r="2081" spans="1:2" ht="15" hidden="1" x14ac:dyDescent="0.25">
      <c r="A2081" s="426" t="s">
        <v>179</v>
      </c>
      <c r="B2081" s="426" t="s">
        <v>311</v>
      </c>
    </row>
    <row r="2082" spans="1:2" ht="15" hidden="1" x14ac:dyDescent="0.25">
      <c r="A2082" s="426" t="s">
        <v>395</v>
      </c>
      <c r="B2082" s="426" t="s">
        <v>396</v>
      </c>
    </row>
    <row r="2083" spans="1:2" ht="15" hidden="1" x14ac:dyDescent="0.25">
      <c r="A2083" s="426" t="s">
        <v>1619</v>
      </c>
      <c r="B2083" s="426" t="s">
        <v>1620</v>
      </c>
    </row>
    <row r="2084" spans="1:2" ht="15" hidden="1" x14ac:dyDescent="0.25">
      <c r="A2084" s="426" t="s">
        <v>1619</v>
      </c>
      <c r="B2084" s="426" t="s">
        <v>1620</v>
      </c>
    </row>
    <row r="2085" spans="1:2" ht="15" hidden="1" x14ac:dyDescent="0.25">
      <c r="A2085" s="426" t="s">
        <v>1619</v>
      </c>
      <c r="B2085" s="426" t="s">
        <v>1620</v>
      </c>
    </row>
    <row r="2086" spans="1:2" ht="15" hidden="1" x14ac:dyDescent="0.25">
      <c r="A2086" s="426" t="s">
        <v>1619</v>
      </c>
      <c r="B2086" s="426" t="s">
        <v>1620</v>
      </c>
    </row>
    <row r="2087" spans="1:2" ht="15" hidden="1" x14ac:dyDescent="0.25">
      <c r="A2087" s="426" t="s">
        <v>1619</v>
      </c>
      <c r="B2087" s="426" t="s">
        <v>1620</v>
      </c>
    </row>
    <row r="2088" spans="1:2" ht="15" hidden="1" x14ac:dyDescent="0.25">
      <c r="A2088" s="426" t="s">
        <v>1619</v>
      </c>
      <c r="B2088" s="426" t="s">
        <v>1620</v>
      </c>
    </row>
    <row r="2089" spans="1:2" ht="15" hidden="1" x14ac:dyDescent="0.25">
      <c r="A2089" s="426" t="s">
        <v>1619</v>
      </c>
      <c r="B2089" s="426" t="s">
        <v>1620</v>
      </c>
    </row>
    <row r="2090" spans="1:2" ht="15" hidden="1" x14ac:dyDescent="0.25">
      <c r="A2090" s="426" t="s">
        <v>1619</v>
      </c>
      <c r="B2090" s="426" t="s">
        <v>1620</v>
      </c>
    </row>
    <row r="2091" spans="1:2" ht="15" hidden="1" x14ac:dyDescent="0.25">
      <c r="A2091" s="426" t="s">
        <v>1619</v>
      </c>
      <c r="B2091" s="426" t="s">
        <v>1620</v>
      </c>
    </row>
    <row r="2092" spans="1:2" ht="15" hidden="1" x14ac:dyDescent="0.25">
      <c r="A2092" s="426" t="s">
        <v>1619</v>
      </c>
      <c r="B2092" s="426" t="s">
        <v>1620</v>
      </c>
    </row>
    <row r="2093" spans="1:2" ht="15" hidden="1" x14ac:dyDescent="0.25">
      <c r="A2093" s="426" t="s">
        <v>1455</v>
      </c>
      <c r="B2093" s="426" t="s">
        <v>1456</v>
      </c>
    </row>
    <row r="2094" spans="1:2" ht="15" hidden="1" x14ac:dyDescent="0.25">
      <c r="A2094" s="426" t="s">
        <v>1455</v>
      </c>
      <c r="B2094" s="426" t="s">
        <v>1456</v>
      </c>
    </row>
    <row r="2095" spans="1:2" ht="15" hidden="1" x14ac:dyDescent="0.25">
      <c r="A2095" s="426" t="s">
        <v>1455</v>
      </c>
      <c r="B2095" s="426" t="s">
        <v>1456</v>
      </c>
    </row>
    <row r="2096" spans="1:2" ht="15" hidden="1" x14ac:dyDescent="0.25">
      <c r="A2096" s="426" t="s">
        <v>1261</v>
      </c>
      <c r="B2096" s="426" t="s">
        <v>1262</v>
      </c>
    </row>
    <row r="2097" spans="1:2" ht="15" hidden="1" x14ac:dyDescent="0.25">
      <c r="A2097" s="426" t="s">
        <v>182</v>
      </c>
      <c r="B2097" s="426" t="s">
        <v>315</v>
      </c>
    </row>
    <row r="2098" spans="1:2" ht="15" hidden="1" x14ac:dyDescent="0.25">
      <c r="A2098" s="426" t="s">
        <v>182</v>
      </c>
      <c r="B2098" s="426" t="s">
        <v>315</v>
      </c>
    </row>
    <row r="2099" spans="1:2" ht="15" hidden="1" x14ac:dyDescent="0.25">
      <c r="A2099" s="426" t="s">
        <v>182</v>
      </c>
      <c r="B2099" s="426" t="s">
        <v>315</v>
      </c>
    </row>
    <row r="2100" spans="1:2" ht="15" hidden="1" x14ac:dyDescent="0.25">
      <c r="A2100" s="426" t="s">
        <v>182</v>
      </c>
      <c r="B2100" s="426" t="s">
        <v>315</v>
      </c>
    </row>
    <row r="2101" spans="1:2" ht="15" hidden="1" x14ac:dyDescent="0.25">
      <c r="A2101" s="426" t="s">
        <v>182</v>
      </c>
      <c r="B2101" s="426" t="s">
        <v>315</v>
      </c>
    </row>
    <row r="2102" spans="1:2" ht="15" hidden="1" x14ac:dyDescent="0.25">
      <c r="A2102" s="426" t="s">
        <v>182</v>
      </c>
      <c r="B2102" s="426" t="s">
        <v>315</v>
      </c>
    </row>
    <row r="2103" spans="1:2" ht="15" hidden="1" x14ac:dyDescent="0.25">
      <c r="A2103" s="426" t="s">
        <v>182</v>
      </c>
      <c r="B2103" s="426" t="s">
        <v>315</v>
      </c>
    </row>
    <row r="2104" spans="1:2" ht="15" hidden="1" x14ac:dyDescent="0.25">
      <c r="A2104" s="426" t="s">
        <v>182</v>
      </c>
      <c r="B2104" s="426" t="s">
        <v>315</v>
      </c>
    </row>
    <row r="2105" spans="1:2" ht="15" hidden="1" x14ac:dyDescent="0.25">
      <c r="A2105" s="426" t="s">
        <v>182</v>
      </c>
      <c r="B2105" s="426" t="s">
        <v>315</v>
      </c>
    </row>
    <row r="2106" spans="1:2" ht="15" hidden="1" x14ac:dyDescent="0.25">
      <c r="A2106" s="426" t="s">
        <v>182</v>
      </c>
      <c r="B2106" s="426" t="s">
        <v>315</v>
      </c>
    </row>
    <row r="2107" spans="1:2" ht="15" hidden="1" x14ac:dyDescent="0.25">
      <c r="A2107" s="426" t="s">
        <v>182</v>
      </c>
      <c r="B2107" s="426" t="s">
        <v>315</v>
      </c>
    </row>
    <row r="2108" spans="1:2" ht="15" hidden="1" x14ac:dyDescent="0.25">
      <c r="A2108" s="426" t="s">
        <v>182</v>
      </c>
      <c r="B2108" s="426" t="s">
        <v>315</v>
      </c>
    </row>
    <row r="2109" spans="1:2" ht="15" hidden="1" x14ac:dyDescent="0.25">
      <c r="A2109" s="426" t="s">
        <v>182</v>
      </c>
      <c r="B2109" s="426" t="s">
        <v>315</v>
      </c>
    </row>
    <row r="2110" spans="1:2" ht="15" hidden="1" x14ac:dyDescent="0.25">
      <c r="A2110" s="426" t="s">
        <v>182</v>
      </c>
      <c r="B2110" s="426" t="s">
        <v>315</v>
      </c>
    </row>
    <row r="2111" spans="1:2" ht="15" hidden="1" x14ac:dyDescent="0.25">
      <c r="A2111" s="426" t="s">
        <v>182</v>
      </c>
      <c r="B2111" s="426" t="s">
        <v>315</v>
      </c>
    </row>
    <row r="2112" spans="1:2" ht="15" hidden="1" x14ac:dyDescent="0.25">
      <c r="A2112" s="426" t="s">
        <v>210</v>
      </c>
      <c r="B2112" s="426" t="s">
        <v>316</v>
      </c>
    </row>
    <row r="2113" spans="1:2" ht="15" hidden="1" x14ac:dyDescent="0.25">
      <c r="A2113" s="426" t="s">
        <v>210</v>
      </c>
      <c r="B2113" s="426" t="s">
        <v>316</v>
      </c>
    </row>
    <row r="2114" spans="1:2" ht="15" hidden="1" x14ac:dyDescent="0.25">
      <c r="A2114" s="426" t="s">
        <v>210</v>
      </c>
      <c r="B2114" s="426" t="s">
        <v>316</v>
      </c>
    </row>
    <row r="2115" spans="1:2" ht="15" hidden="1" x14ac:dyDescent="0.25">
      <c r="A2115" s="426" t="s">
        <v>210</v>
      </c>
      <c r="B2115" s="426" t="s">
        <v>316</v>
      </c>
    </row>
    <row r="2116" spans="1:2" ht="15" hidden="1" x14ac:dyDescent="0.25">
      <c r="A2116" s="426" t="s">
        <v>210</v>
      </c>
      <c r="B2116" s="426" t="s">
        <v>316</v>
      </c>
    </row>
    <row r="2117" spans="1:2" ht="15" hidden="1" x14ac:dyDescent="0.25">
      <c r="A2117" s="426" t="s">
        <v>210</v>
      </c>
      <c r="B2117" s="426" t="s">
        <v>316</v>
      </c>
    </row>
    <row r="2118" spans="1:2" ht="15" hidden="1" x14ac:dyDescent="0.25">
      <c r="A2118" s="426" t="s">
        <v>210</v>
      </c>
      <c r="B2118" s="426" t="s">
        <v>316</v>
      </c>
    </row>
    <row r="2119" spans="1:2" ht="15" hidden="1" x14ac:dyDescent="0.25">
      <c r="A2119" s="426" t="s">
        <v>210</v>
      </c>
      <c r="B2119" s="426" t="s">
        <v>316</v>
      </c>
    </row>
    <row r="2120" spans="1:2" ht="15" hidden="1" x14ac:dyDescent="0.25">
      <c r="A2120" s="426" t="s">
        <v>210</v>
      </c>
      <c r="B2120" s="426" t="s">
        <v>316</v>
      </c>
    </row>
    <row r="2121" spans="1:2" ht="15" hidden="1" x14ac:dyDescent="0.25">
      <c r="A2121" s="426" t="s">
        <v>183</v>
      </c>
      <c r="B2121" s="426" t="s">
        <v>317</v>
      </c>
    </row>
    <row r="2122" spans="1:2" ht="15" hidden="1" x14ac:dyDescent="0.25">
      <c r="A2122" s="426" t="s">
        <v>183</v>
      </c>
      <c r="B2122" s="426" t="s">
        <v>317</v>
      </c>
    </row>
    <row r="2123" spans="1:2" ht="15" hidden="1" x14ac:dyDescent="0.25">
      <c r="A2123" s="426" t="s">
        <v>183</v>
      </c>
      <c r="B2123" s="426" t="s">
        <v>317</v>
      </c>
    </row>
    <row r="2124" spans="1:2" ht="15" hidden="1" x14ac:dyDescent="0.25">
      <c r="A2124" s="426" t="s">
        <v>183</v>
      </c>
      <c r="B2124" s="426" t="s">
        <v>317</v>
      </c>
    </row>
    <row r="2125" spans="1:2" ht="15" hidden="1" x14ac:dyDescent="0.25">
      <c r="A2125" s="426" t="s">
        <v>184</v>
      </c>
      <c r="B2125" s="426" t="s">
        <v>318</v>
      </c>
    </row>
    <row r="2126" spans="1:2" ht="15" hidden="1" x14ac:dyDescent="0.25">
      <c r="A2126" s="426" t="s">
        <v>185</v>
      </c>
      <c r="B2126" s="426" t="s">
        <v>319</v>
      </c>
    </row>
    <row r="2127" spans="1:2" ht="15" hidden="1" x14ac:dyDescent="0.25">
      <c r="A2127" s="426" t="s">
        <v>185</v>
      </c>
      <c r="B2127" s="426" t="s">
        <v>319</v>
      </c>
    </row>
    <row r="2128" spans="1:2" ht="15" hidden="1" x14ac:dyDescent="0.25">
      <c r="A2128" s="426" t="s">
        <v>185</v>
      </c>
      <c r="B2128" s="426" t="s">
        <v>319</v>
      </c>
    </row>
    <row r="2129" spans="1:2" ht="15" hidden="1" x14ac:dyDescent="0.25">
      <c r="A2129" s="426" t="s">
        <v>185</v>
      </c>
      <c r="B2129" s="426" t="s">
        <v>319</v>
      </c>
    </row>
    <row r="2130" spans="1:2" ht="15" hidden="1" x14ac:dyDescent="0.25">
      <c r="A2130" s="426" t="s">
        <v>185</v>
      </c>
      <c r="B2130" s="426" t="s">
        <v>319</v>
      </c>
    </row>
    <row r="2131" spans="1:2" ht="15" hidden="1" x14ac:dyDescent="0.25">
      <c r="A2131" s="426" t="s">
        <v>185</v>
      </c>
      <c r="B2131" s="426" t="s">
        <v>319</v>
      </c>
    </row>
    <row r="2132" spans="1:2" ht="15" hidden="1" x14ac:dyDescent="0.25">
      <c r="A2132" s="426" t="s">
        <v>185</v>
      </c>
      <c r="B2132" s="426" t="s">
        <v>319</v>
      </c>
    </row>
    <row r="2133" spans="1:2" ht="15" hidden="1" x14ac:dyDescent="0.25">
      <c r="A2133" s="426" t="s">
        <v>185</v>
      </c>
      <c r="B2133" s="426" t="s">
        <v>319</v>
      </c>
    </row>
    <row r="2134" spans="1:2" ht="15" hidden="1" x14ac:dyDescent="0.25">
      <c r="A2134" s="426" t="s">
        <v>185</v>
      </c>
      <c r="B2134" s="426" t="s">
        <v>319</v>
      </c>
    </row>
    <row r="2135" spans="1:2" ht="15" hidden="1" x14ac:dyDescent="0.25">
      <c r="A2135" s="426" t="s">
        <v>185</v>
      </c>
      <c r="B2135" s="426" t="s">
        <v>319</v>
      </c>
    </row>
    <row r="2136" spans="1:2" ht="15" hidden="1" x14ac:dyDescent="0.25">
      <c r="A2136" s="426" t="s">
        <v>185</v>
      </c>
      <c r="B2136" s="426" t="s">
        <v>319</v>
      </c>
    </row>
    <row r="2137" spans="1:2" ht="15" hidden="1" x14ac:dyDescent="0.25">
      <c r="A2137" s="426" t="s">
        <v>185</v>
      </c>
      <c r="B2137" s="426" t="s">
        <v>319</v>
      </c>
    </row>
    <row r="2138" spans="1:2" ht="15" hidden="1" x14ac:dyDescent="0.25">
      <c r="A2138" s="426" t="s">
        <v>185</v>
      </c>
      <c r="B2138" s="426" t="s">
        <v>319</v>
      </c>
    </row>
    <row r="2139" spans="1:2" ht="15" hidden="1" x14ac:dyDescent="0.25">
      <c r="A2139" s="426" t="s">
        <v>185</v>
      </c>
      <c r="B2139" s="426" t="s">
        <v>319</v>
      </c>
    </row>
    <row r="2140" spans="1:2" ht="15" hidden="1" x14ac:dyDescent="0.25">
      <c r="A2140" s="426" t="s">
        <v>185</v>
      </c>
      <c r="B2140" s="426" t="s">
        <v>319</v>
      </c>
    </row>
    <row r="2141" spans="1:2" ht="15" hidden="1" x14ac:dyDescent="0.25">
      <c r="A2141" s="426" t="s">
        <v>185</v>
      </c>
      <c r="B2141" s="426" t="s">
        <v>319</v>
      </c>
    </row>
    <row r="2142" spans="1:2" ht="15" hidden="1" x14ac:dyDescent="0.25">
      <c r="A2142" s="426" t="s">
        <v>185</v>
      </c>
      <c r="B2142" s="426" t="s">
        <v>319</v>
      </c>
    </row>
    <row r="2143" spans="1:2" ht="15" hidden="1" x14ac:dyDescent="0.25">
      <c r="A2143" s="426" t="s">
        <v>185</v>
      </c>
      <c r="B2143" s="426" t="s">
        <v>319</v>
      </c>
    </row>
    <row r="2144" spans="1:2" ht="15" hidden="1" x14ac:dyDescent="0.25">
      <c r="A2144" s="426" t="s">
        <v>185</v>
      </c>
      <c r="B2144" s="426" t="s">
        <v>319</v>
      </c>
    </row>
    <row r="2145" spans="1:2" ht="15" hidden="1" x14ac:dyDescent="0.25">
      <c r="A2145" s="426" t="s">
        <v>185</v>
      </c>
      <c r="B2145" s="426" t="s">
        <v>319</v>
      </c>
    </row>
    <row r="2146" spans="1:2" ht="15" hidden="1" x14ac:dyDescent="0.25">
      <c r="A2146" s="426" t="s">
        <v>185</v>
      </c>
      <c r="B2146" s="426" t="s">
        <v>319</v>
      </c>
    </row>
    <row r="2147" spans="1:2" ht="15" hidden="1" x14ac:dyDescent="0.25">
      <c r="A2147" s="426" t="s">
        <v>185</v>
      </c>
      <c r="B2147" s="426" t="s">
        <v>319</v>
      </c>
    </row>
    <row r="2148" spans="1:2" ht="15" hidden="1" x14ac:dyDescent="0.25">
      <c r="A2148" s="426" t="s">
        <v>185</v>
      </c>
      <c r="B2148" s="426" t="s">
        <v>319</v>
      </c>
    </row>
    <row r="2149" spans="1:2" ht="15" hidden="1" x14ac:dyDescent="0.25">
      <c r="A2149" s="426" t="s">
        <v>185</v>
      </c>
      <c r="B2149" s="426" t="s">
        <v>319</v>
      </c>
    </row>
    <row r="2150" spans="1:2" ht="15" hidden="1" x14ac:dyDescent="0.25">
      <c r="A2150" s="426" t="s">
        <v>185</v>
      </c>
      <c r="B2150" s="426" t="s">
        <v>319</v>
      </c>
    </row>
    <row r="2151" spans="1:2" ht="15" hidden="1" x14ac:dyDescent="0.25">
      <c r="A2151" s="426" t="s">
        <v>185</v>
      </c>
      <c r="B2151" s="426" t="s">
        <v>319</v>
      </c>
    </row>
    <row r="2152" spans="1:2" ht="15" hidden="1" x14ac:dyDescent="0.25">
      <c r="A2152" s="426" t="s">
        <v>185</v>
      </c>
      <c r="B2152" s="426" t="s">
        <v>319</v>
      </c>
    </row>
    <row r="2153" spans="1:2" ht="15" hidden="1" x14ac:dyDescent="0.25">
      <c r="A2153" s="426" t="s">
        <v>185</v>
      </c>
      <c r="B2153" s="426" t="s">
        <v>319</v>
      </c>
    </row>
    <row r="2154" spans="1:2" ht="15" hidden="1" x14ac:dyDescent="0.25">
      <c r="A2154" s="426" t="s">
        <v>185</v>
      </c>
      <c r="B2154" s="426" t="s">
        <v>319</v>
      </c>
    </row>
    <row r="2155" spans="1:2" ht="15" hidden="1" x14ac:dyDescent="0.25">
      <c r="A2155" s="426" t="s">
        <v>185</v>
      </c>
      <c r="B2155" s="426" t="s">
        <v>319</v>
      </c>
    </row>
    <row r="2156" spans="1:2" ht="15" hidden="1" x14ac:dyDescent="0.25">
      <c r="A2156" s="426" t="s">
        <v>185</v>
      </c>
      <c r="B2156" s="426" t="s">
        <v>319</v>
      </c>
    </row>
    <row r="2157" spans="1:2" ht="15" hidden="1" x14ac:dyDescent="0.25">
      <c r="A2157" s="426" t="s">
        <v>185</v>
      </c>
      <c r="B2157" s="426" t="s">
        <v>319</v>
      </c>
    </row>
    <row r="2158" spans="1:2" ht="15" hidden="1" x14ac:dyDescent="0.25">
      <c r="A2158" s="426" t="s">
        <v>185</v>
      </c>
      <c r="B2158" s="426" t="s">
        <v>319</v>
      </c>
    </row>
    <row r="2159" spans="1:2" ht="15" hidden="1" x14ac:dyDescent="0.25">
      <c r="A2159" s="426" t="s">
        <v>185</v>
      </c>
      <c r="B2159" s="426" t="s">
        <v>319</v>
      </c>
    </row>
    <row r="2160" spans="1:2" ht="15" hidden="1" x14ac:dyDescent="0.25">
      <c r="A2160" s="426" t="s">
        <v>185</v>
      </c>
      <c r="B2160" s="426" t="s">
        <v>319</v>
      </c>
    </row>
    <row r="2161" spans="1:2" ht="15" hidden="1" x14ac:dyDescent="0.25">
      <c r="A2161" s="426" t="s">
        <v>185</v>
      </c>
      <c r="B2161" s="426" t="s">
        <v>319</v>
      </c>
    </row>
    <row r="2162" spans="1:2" ht="15" hidden="1" x14ac:dyDescent="0.25">
      <c r="A2162" s="426" t="s">
        <v>185</v>
      </c>
      <c r="B2162" s="426" t="s">
        <v>319</v>
      </c>
    </row>
    <row r="2163" spans="1:2" ht="15" hidden="1" x14ac:dyDescent="0.25">
      <c r="A2163" s="426" t="s">
        <v>185</v>
      </c>
      <c r="B2163" s="426" t="s">
        <v>319</v>
      </c>
    </row>
    <row r="2164" spans="1:2" ht="15" hidden="1" x14ac:dyDescent="0.25">
      <c r="A2164" s="426" t="s">
        <v>1265</v>
      </c>
      <c r="B2164" s="426" t="s">
        <v>1266</v>
      </c>
    </row>
    <row r="2165" spans="1:2" ht="15" hidden="1" x14ac:dyDescent="0.25">
      <c r="A2165" s="426" t="s">
        <v>1267</v>
      </c>
      <c r="B2165" s="426" t="s">
        <v>1268</v>
      </c>
    </row>
    <row r="2166" spans="1:2" ht="15" hidden="1" x14ac:dyDescent="0.25">
      <c r="A2166" s="426" t="s">
        <v>187</v>
      </c>
      <c r="B2166" s="426" t="s">
        <v>322</v>
      </c>
    </row>
    <row r="2167" spans="1:2" ht="15" hidden="1" x14ac:dyDescent="0.25">
      <c r="A2167" s="426" t="s">
        <v>187</v>
      </c>
      <c r="B2167" s="426" t="s">
        <v>322</v>
      </c>
    </row>
    <row r="2168" spans="1:2" ht="15" hidden="1" x14ac:dyDescent="0.25">
      <c r="A2168" s="426" t="s">
        <v>187</v>
      </c>
      <c r="B2168" s="426" t="s">
        <v>322</v>
      </c>
    </row>
    <row r="2169" spans="1:2" ht="15" hidden="1" x14ac:dyDescent="0.25">
      <c r="A2169" s="426" t="s">
        <v>187</v>
      </c>
      <c r="B2169" s="426" t="s">
        <v>322</v>
      </c>
    </row>
    <row r="2170" spans="1:2" ht="15" hidden="1" x14ac:dyDescent="0.25">
      <c r="A2170" s="426" t="s">
        <v>1459</v>
      </c>
      <c r="B2170" s="426" t="s">
        <v>1460</v>
      </c>
    </row>
    <row r="2171" spans="1:2" ht="15" hidden="1" x14ac:dyDescent="0.25">
      <c r="A2171" s="426" t="s">
        <v>1459</v>
      </c>
      <c r="B2171" s="426" t="s">
        <v>1460</v>
      </c>
    </row>
    <row r="2172" spans="1:2" ht="15" hidden="1" x14ac:dyDescent="0.25">
      <c r="A2172" s="426" t="s">
        <v>1459</v>
      </c>
      <c r="B2172" s="426" t="s">
        <v>1460</v>
      </c>
    </row>
    <row r="2173" spans="1:2" ht="15" hidden="1" x14ac:dyDescent="0.25">
      <c r="A2173" s="426" t="s">
        <v>188</v>
      </c>
      <c r="B2173" s="426" t="s">
        <v>323</v>
      </c>
    </row>
    <row r="2174" spans="1:2" ht="15" hidden="1" x14ac:dyDescent="0.25">
      <c r="A2174" s="426" t="s">
        <v>188</v>
      </c>
      <c r="B2174" s="426" t="s">
        <v>323</v>
      </c>
    </row>
    <row r="2175" spans="1:2" ht="15" hidden="1" x14ac:dyDescent="0.25">
      <c r="A2175" s="426" t="s">
        <v>188</v>
      </c>
      <c r="B2175" s="426" t="s">
        <v>323</v>
      </c>
    </row>
    <row r="2176" spans="1:2" ht="15" hidden="1" x14ac:dyDescent="0.25">
      <c r="A2176" s="426" t="s">
        <v>188</v>
      </c>
      <c r="B2176" s="426" t="s">
        <v>323</v>
      </c>
    </row>
    <row r="2177" spans="1:2" ht="15" hidden="1" x14ac:dyDescent="0.25">
      <c r="A2177" s="426" t="s">
        <v>188</v>
      </c>
      <c r="B2177" s="426" t="s">
        <v>323</v>
      </c>
    </row>
    <row r="2178" spans="1:2" ht="15" hidden="1" x14ac:dyDescent="0.25">
      <c r="A2178" s="426" t="s">
        <v>188</v>
      </c>
      <c r="B2178" s="426" t="s">
        <v>323</v>
      </c>
    </row>
    <row r="2179" spans="1:2" ht="15" hidden="1" x14ac:dyDescent="0.25">
      <c r="A2179" s="426" t="s">
        <v>188</v>
      </c>
      <c r="B2179" s="426" t="s">
        <v>323</v>
      </c>
    </row>
    <row r="2180" spans="1:2" ht="15" hidden="1" x14ac:dyDescent="0.25">
      <c r="A2180" s="426" t="s">
        <v>188</v>
      </c>
      <c r="B2180" s="426" t="s">
        <v>323</v>
      </c>
    </row>
    <row r="2181" spans="1:2" ht="15" hidden="1" x14ac:dyDescent="0.25">
      <c r="A2181" s="426" t="s">
        <v>1269</v>
      </c>
      <c r="B2181" s="426" t="s">
        <v>1270</v>
      </c>
    </row>
    <row r="2182" spans="1:2" ht="15" hidden="1" x14ac:dyDescent="0.25">
      <c r="A2182" s="426" t="s">
        <v>1269</v>
      </c>
      <c r="B2182" s="426" t="s">
        <v>1270</v>
      </c>
    </row>
    <row r="2183" spans="1:2" ht="15" hidden="1" x14ac:dyDescent="0.25">
      <c r="A2183" s="426" t="s">
        <v>1269</v>
      </c>
      <c r="B2183" s="426" t="s">
        <v>1270</v>
      </c>
    </row>
    <row r="2184" spans="1:2" ht="15" hidden="1" x14ac:dyDescent="0.25">
      <c r="A2184" s="426" t="s">
        <v>1269</v>
      </c>
      <c r="B2184" s="426" t="s">
        <v>1270</v>
      </c>
    </row>
    <row r="2185" spans="1:2" ht="15" hidden="1" x14ac:dyDescent="0.25">
      <c r="A2185" s="426" t="s">
        <v>1837</v>
      </c>
      <c r="B2185" s="426" t="s">
        <v>1837</v>
      </c>
    </row>
    <row r="2186" spans="1:2" ht="15" hidden="1" x14ac:dyDescent="0.25">
      <c r="A2186" s="426" t="s">
        <v>1838</v>
      </c>
      <c r="B2186" s="426" t="s">
        <v>1838</v>
      </c>
    </row>
    <row r="2187" spans="1:2" ht="15" hidden="1" x14ac:dyDescent="0.25">
      <c r="A2187" s="426" t="s">
        <v>1839</v>
      </c>
      <c r="B2187" s="426" t="s">
        <v>1839</v>
      </c>
    </row>
    <row r="2188" spans="1:2" ht="15" hidden="1" x14ac:dyDescent="0.25">
      <c r="A2188" s="426" t="s">
        <v>1840</v>
      </c>
      <c r="B2188" s="426" t="s">
        <v>1840</v>
      </c>
    </row>
    <row r="2189" spans="1:2" ht="15" hidden="1" x14ac:dyDescent="0.25">
      <c r="A2189" s="426" t="s">
        <v>1841</v>
      </c>
      <c r="B2189" s="426" t="s">
        <v>1841</v>
      </c>
    </row>
    <row r="2190" spans="1:2" ht="15" hidden="1" x14ac:dyDescent="0.25">
      <c r="A2190" s="426" t="s">
        <v>1842</v>
      </c>
      <c r="B2190" s="426" t="s">
        <v>1842</v>
      </c>
    </row>
    <row r="2191" spans="1:2" ht="15" hidden="1" x14ac:dyDescent="0.25">
      <c r="A2191" s="426" t="s">
        <v>1843</v>
      </c>
      <c r="B2191" s="426" t="s">
        <v>1843</v>
      </c>
    </row>
    <row r="2192" spans="1:2" ht="15" hidden="1" x14ac:dyDescent="0.25">
      <c r="A2192" s="426" t="s">
        <v>1843</v>
      </c>
      <c r="B2192" s="426" t="s">
        <v>1843</v>
      </c>
    </row>
    <row r="2193" spans="1:2" ht="15" hidden="1" x14ac:dyDescent="0.25">
      <c r="A2193" s="426" t="s">
        <v>1844</v>
      </c>
      <c r="B2193" s="426" t="s">
        <v>1844</v>
      </c>
    </row>
    <row r="2194" spans="1:2" ht="15" hidden="1" x14ac:dyDescent="0.25">
      <c r="A2194" s="426" t="s">
        <v>1845</v>
      </c>
      <c r="B2194" s="426" t="s">
        <v>1845</v>
      </c>
    </row>
    <row r="2195" spans="1:2" ht="15" hidden="1" x14ac:dyDescent="0.25">
      <c r="A2195" s="426" t="s">
        <v>1846</v>
      </c>
      <c r="B2195" s="426" t="s">
        <v>1846</v>
      </c>
    </row>
    <row r="2196" spans="1:2" ht="15" hidden="1" x14ac:dyDescent="0.25">
      <c r="A2196" s="426" t="s">
        <v>1846</v>
      </c>
      <c r="B2196" s="426" t="s">
        <v>1846</v>
      </c>
    </row>
    <row r="2197" spans="1:2" ht="15" hidden="1" x14ac:dyDescent="0.25">
      <c r="A2197" s="426" t="s">
        <v>1847</v>
      </c>
      <c r="B2197" s="426" t="s">
        <v>1847</v>
      </c>
    </row>
    <row r="2198" spans="1:2" ht="15" hidden="1" x14ac:dyDescent="0.25">
      <c r="A2198" s="426" t="s">
        <v>1848</v>
      </c>
      <c r="B2198" s="426" t="s">
        <v>1848</v>
      </c>
    </row>
    <row r="2199" spans="1:2" ht="15" hidden="1" x14ac:dyDescent="0.25">
      <c r="A2199" s="426" t="s">
        <v>1849</v>
      </c>
      <c r="B2199" s="426" t="s">
        <v>1849</v>
      </c>
    </row>
    <row r="2200" spans="1:2" ht="15" hidden="1" x14ac:dyDescent="0.25">
      <c r="A2200" s="426" t="s">
        <v>1850</v>
      </c>
      <c r="B2200" s="426" t="s">
        <v>1850</v>
      </c>
    </row>
    <row r="2201" spans="1:2" ht="15" hidden="1" x14ac:dyDescent="0.25">
      <c r="A2201" s="426" t="s">
        <v>1851</v>
      </c>
      <c r="B2201" s="426" t="s">
        <v>1851</v>
      </c>
    </row>
    <row r="2202" spans="1:2" ht="15" hidden="1" x14ac:dyDescent="0.25">
      <c r="A2202" s="426" t="s">
        <v>1852</v>
      </c>
      <c r="B2202" s="426" t="s">
        <v>1852</v>
      </c>
    </row>
    <row r="2203" spans="1:2" ht="15" hidden="1" x14ac:dyDescent="0.25">
      <c r="A2203" s="426" t="s">
        <v>1852</v>
      </c>
      <c r="B2203" s="426" t="s">
        <v>1852</v>
      </c>
    </row>
    <row r="2204" spans="1:2" ht="15" hidden="1" x14ac:dyDescent="0.25">
      <c r="A2204" s="426" t="s">
        <v>1853</v>
      </c>
      <c r="B2204" s="426" t="s">
        <v>1853</v>
      </c>
    </row>
    <row r="2205" spans="1:2" ht="15" hidden="1" x14ac:dyDescent="0.25">
      <c r="A2205" s="426" t="s">
        <v>1854</v>
      </c>
      <c r="B2205" s="426" t="s">
        <v>1854</v>
      </c>
    </row>
    <row r="2206" spans="1:2" ht="15" hidden="1" x14ac:dyDescent="0.25">
      <c r="A2206" s="426" t="s">
        <v>1855</v>
      </c>
      <c r="B2206" s="426" t="s">
        <v>1855</v>
      </c>
    </row>
    <row r="2207" spans="1:2" ht="15" hidden="1" x14ac:dyDescent="0.25">
      <c r="A2207" s="426" t="s">
        <v>1856</v>
      </c>
      <c r="B2207" s="426" t="s">
        <v>1856</v>
      </c>
    </row>
    <row r="2208" spans="1:2" ht="15" hidden="1" x14ac:dyDescent="0.25">
      <c r="A2208" s="426" t="s">
        <v>1857</v>
      </c>
      <c r="B2208" s="426" t="s">
        <v>1857</v>
      </c>
    </row>
    <row r="2209" spans="1:2" ht="15" hidden="1" x14ac:dyDescent="0.25">
      <c r="A2209" s="426" t="s">
        <v>1857</v>
      </c>
      <c r="B2209" s="426" t="s">
        <v>1857</v>
      </c>
    </row>
    <row r="2210" spans="1:2" ht="15" hidden="1" x14ac:dyDescent="0.25">
      <c r="A2210" s="426" t="s">
        <v>1858</v>
      </c>
      <c r="B2210" s="426" t="s">
        <v>1858</v>
      </c>
    </row>
    <row r="2211" spans="1:2" ht="15" hidden="1" x14ac:dyDescent="0.25">
      <c r="A2211" s="426" t="s">
        <v>1859</v>
      </c>
      <c r="B2211" s="426" t="s">
        <v>1859</v>
      </c>
    </row>
    <row r="2212" spans="1:2" ht="15" hidden="1" x14ac:dyDescent="0.25">
      <c r="A2212" s="426" t="s">
        <v>1860</v>
      </c>
      <c r="B2212" s="426" t="s">
        <v>1860</v>
      </c>
    </row>
    <row r="2213" spans="1:2" ht="15" hidden="1" x14ac:dyDescent="0.25">
      <c r="A2213" s="426" t="s">
        <v>1860</v>
      </c>
      <c r="B2213" s="426" t="s">
        <v>1860</v>
      </c>
    </row>
    <row r="2214" spans="1:2" ht="15" hidden="1" x14ac:dyDescent="0.25">
      <c r="A2214" s="426" t="s">
        <v>1861</v>
      </c>
      <c r="B2214" s="426" t="s">
        <v>1861</v>
      </c>
    </row>
    <row r="2215" spans="1:2" ht="15" hidden="1" x14ac:dyDescent="0.25">
      <c r="A2215" s="426" t="s">
        <v>1862</v>
      </c>
      <c r="B2215" s="426" t="s">
        <v>1862</v>
      </c>
    </row>
    <row r="2216" spans="1:2" ht="15" hidden="1" x14ac:dyDescent="0.25">
      <c r="A2216" s="426" t="s">
        <v>1863</v>
      </c>
      <c r="B2216" s="426" t="s">
        <v>1863</v>
      </c>
    </row>
    <row r="2217" spans="1:2" ht="15" hidden="1" x14ac:dyDescent="0.25">
      <c r="A2217" s="426" t="s">
        <v>1864</v>
      </c>
      <c r="B2217" s="426" t="s">
        <v>1864</v>
      </c>
    </row>
    <row r="2218" spans="1:2" ht="15" hidden="1" x14ac:dyDescent="0.25">
      <c r="A2218" s="426" t="s">
        <v>1865</v>
      </c>
      <c r="B2218" s="426" t="s">
        <v>1865</v>
      </c>
    </row>
    <row r="2219" spans="1:2" ht="15" hidden="1" x14ac:dyDescent="0.25">
      <c r="A2219" s="426" t="s">
        <v>1866</v>
      </c>
      <c r="B2219" s="426" t="s">
        <v>1866</v>
      </c>
    </row>
    <row r="2220" spans="1:2" ht="15" hidden="1" x14ac:dyDescent="0.25">
      <c r="A2220" s="426" t="s">
        <v>1867</v>
      </c>
      <c r="B2220" s="426" t="s">
        <v>1867</v>
      </c>
    </row>
    <row r="2221" spans="1:2" ht="15" hidden="1" x14ac:dyDescent="0.25">
      <c r="A2221" s="426" t="s">
        <v>1868</v>
      </c>
      <c r="B2221" s="426" t="s">
        <v>1868</v>
      </c>
    </row>
    <row r="2222" spans="1:2" ht="15" hidden="1" x14ac:dyDescent="0.25">
      <c r="A2222" s="426" t="s">
        <v>1869</v>
      </c>
      <c r="B2222" s="426" t="s">
        <v>1869</v>
      </c>
    </row>
    <row r="2223" spans="1:2" ht="15" hidden="1" x14ac:dyDescent="0.25">
      <c r="A2223" s="426" t="s">
        <v>1870</v>
      </c>
      <c r="B2223" s="426" t="s">
        <v>1870</v>
      </c>
    </row>
    <row r="2224" spans="1:2" ht="15" hidden="1" x14ac:dyDescent="0.25">
      <c r="A2224" s="426" t="s">
        <v>1871</v>
      </c>
      <c r="B2224" s="426" t="s">
        <v>1871</v>
      </c>
    </row>
    <row r="2225" spans="1:2" ht="15" hidden="1" x14ac:dyDescent="0.25">
      <c r="A2225" s="426" t="s">
        <v>1872</v>
      </c>
      <c r="B2225" s="426" t="s">
        <v>1872</v>
      </c>
    </row>
    <row r="2226" spans="1:2" ht="15" hidden="1" x14ac:dyDescent="0.25">
      <c r="A2226" s="426" t="s">
        <v>1873</v>
      </c>
      <c r="B2226" s="426" t="s">
        <v>1873</v>
      </c>
    </row>
    <row r="2227" spans="1:2" ht="15" hidden="1" x14ac:dyDescent="0.25">
      <c r="A2227" s="426" t="s">
        <v>1874</v>
      </c>
      <c r="B2227" s="426" t="s">
        <v>1874</v>
      </c>
    </row>
    <row r="2228" spans="1:2" ht="15" hidden="1" x14ac:dyDescent="0.25">
      <c r="A2228" s="426" t="s">
        <v>1875</v>
      </c>
      <c r="B2228" s="426" t="s">
        <v>1875</v>
      </c>
    </row>
    <row r="2229" spans="1:2" ht="15" hidden="1" x14ac:dyDescent="0.25">
      <c r="A2229" s="426" t="s">
        <v>1875</v>
      </c>
      <c r="B2229" s="426" t="s">
        <v>1875</v>
      </c>
    </row>
    <row r="2230" spans="1:2" ht="15" hidden="1" x14ac:dyDescent="0.25">
      <c r="A2230" s="426" t="s">
        <v>1876</v>
      </c>
      <c r="B2230" s="426" t="s">
        <v>1876</v>
      </c>
    </row>
    <row r="2231" spans="1:2" ht="15" hidden="1" x14ac:dyDescent="0.25">
      <c r="A2231" s="426" t="s">
        <v>1877</v>
      </c>
      <c r="B2231" s="426" t="s">
        <v>1877</v>
      </c>
    </row>
    <row r="2232" spans="1:2" ht="15" hidden="1" x14ac:dyDescent="0.25">
      <c r="A2232" s="426" t="s">
        <v>1878</v>
      </c>
      <c r="B2232" s="426" t="s">
        <v>1878</v>
      </c>
    </row>
    <row r="2233" spans="1:2" ht="15" hidden="1" x14ac:dyDescent="0.25">
      <c r="A2233" s="426" t="s">
        <v>1879</v>
      </c>
      <c r="B2233" s="426" t="s">
        <v>1879</v>
      </c>
    </row>
    <row r="2234" spans="1:2" ht="15" hidden="1" x14ac:dyDescent="0.25">
      <c r="A2234" s="426" t="s">
        <v>1879</v>
      </c>
      <c r="B2234" s="426" t="s">
        <v>1879</v>
      </c>
    </row>
    <row r="2235" spans="1:2" ht="15" hidden="1" x14ac:dyDescent="0.25">
      <c r="A2235" s="426" t="s">
        <v>1880</v>
      </c>
      <c r="B2235" s="426" t="s">
        <v>1880</v>
      </c>
    </row>
    <row r="2236" spans="1:2" ht="15" hidden="1" x14ac:dyDescent="0.25">
      <c r="A2236" s="426" t="s">
        <v>1881</v>
      </c>
      <c r="B2236" s="426" t="s">
        <v>1881</v>
      </c>
    </row>
    <row r="2237" spans="1:2" ht="15" hidden="1" x14ac:dyDescent="0.25">
      <c r="A2237" s="426" t="s">
        <v>1882</v>
      </c>
      <c r="B2237" s="426" t="s">
        <v>1882</v>
      </c>
    </row>
    <row r="2238" spans="1:2" ht="15" hidden="1" x14ac:dyDescent="0.25">
      <c r="A2238" s="426" t="s">
        <v>1883</v>
      </c>
      <c r="B2238" s="426" t="s">
        <v>1883</v>
      </c>
    </row>
    <row r="2239" spans="1:2" ht="15" hidden="1" x14ac:dyDescent="0.25">
      <c r="A2239" s="426" t="s">
        <v>1884</v>
      </c>
      <c r="B2239" s="426" t="s">
        <v>1884</v>
      </c>
    </row>
    <row r="2240" spans="1:2" ht="15" hidden="1" x14ac:dyDescent="0.25">
      <c r="A2240" s="426" t="s">
        <v>1885</v>
      </c>
      <c r="B2240" s="426" t="s">
        <v>1885</v>
      </c>
    </row>
    <row r="2241" spans="1:2" ht="15" hidden="1" x14ac:dyDescent="0.25">
      <c r="A2241" s="426" t="s">
        <v>1886</v>
      </c>
      <c r="B2241" s="426" t="s">
        <v>1886</v>
      </c>
    </row>
    <row r="2242" spans="1:2" ht="15" hidden="1" x14ac:dyDescent="0.25">
      <c r="A2242" s="426" t="s">
        <v>1886</v>
      </c>
      <c r="B2242" s="426" t="s">
        <v>1886</v>
      </c>
    </row>
    <row r="2243" spans="1:2" ht="15" hidden="1" x14ac:dyDescent="0.25">
      <c r="A2243" s="426" t="s">
        <v>1887</v>
      </c>
      <c r="B2243" s="426" t="s">
        <v>1887</v>
      </c>
    </row>
    <row r="2244" spans="1:2" ht="15" hidden="1" x14ac:dyDescent="0.25">
      <c r="A2244" s="426" t="s">
        <v>1888</v>
      </c>
      <c r="B2244" s="426" t="s">
        <v>1888</v>
      </c>
    </row>
    <row r="2245" spans="1:2" ht="15" hidden="1" x14ac:dyDescent="0.25">
      <c r="A2245" s="426" t="s">
        <v>1889</v>
      </c>
      <c r="B2245" s="426" t="s">
        <v>1889</v>
      </c>
    </row>
    <row r="2246" spans="1:2" ht="15" hidden="1" x14ac:dyDescent="0.25">
      <c r="A2246" s="426" t="s">
        <v>1890</v>
      </c>
      <c r="B2246" s="426" t="s">
        <v>1890</v>
      </c>
    </row>
    <row r="2247" spans="1:2" ht="15" hidden="1" x14ac:dyDescent="0.25">
      <c r="A2247" s="426" t="s">
        <v>1891</v>
      </c>
      <c r="B2247" s="426" t="s">
        <v>1891</v>
      </c>
    </row>
    <row r="2248" spans="1:2" ht="15" hidden="1" x14ac:dyDescent="0.25">
      <c r="A2248" s="426" t="s">
        <v>1891</v>
      </c>
      <c r="B2248" s="426" t="s">
        <v>1891</v>
      </c>
    </row>
    <row r="2249" spans="1:2" ht="15" hidden="1" x14ac:dyDescent="0.25">
      <c r="A2249" s="426" t="s">
        <v>1892</v>
      </c>
      <c r="B2249" s="426" t="s">
        <v>1892</v>
      </c>
    </row>
    <row r="2250" spans="1:2" ht="15" hidden="1" x14ac:dyDescent="0.25">
      <c r="A2250" s="426" t="s">
        <v>1893</v>
      </c>
      <c r="B2250" s="426" t="s">
        <v>1893</v>
      </c>
    </row>
    <row r="2251" spans="1:2" ht="15" hidden="1" x14ac:dyDescent="0.25">
      <c r="A2251" s="426" t="s">
        <v>1894</v>
      </c>
      <c r="B2251" s="426" t="s">
        <v>1894</v>
      </c>
    </row>
    <row r="2252" spans="1:2" ht="15" hidden="1" x14ac:dyDescent="0.25">
      <c r="A2252" s="426" t="s">
        <v>1895</v>
      </c>
      <c r="B2252" s="426" t="s">
        <v>1895</v>
      </c>
    </row>
    <row r="2253" spans="1:2" ht="15" hidden="1" x14ac:dyDescent="0.25">
      <c r="A2253" s="426" t="s">
        <v>1896</v>
      </c>
      <c r="B2253" s="426" t="s">
        <v>1896</v>
      </c>
    </row>
    <row r="2254" spans="1:2" ht="15" hidden="1" x14ac:dyDescent="0.25">
      <c r="A2254" s="426" t="s">
        <v>1897</v>
      </c>
      <c r="B2254" s="426" t="s">
        <v>1897</v>
      </c>
    </row>
    <row r="2255" spans="1:2" ht="15" hidden="1" x14ac:dyDescent="0.25">
      <c r="A2255" s="426" t="s">
        <v>1898</v>
      </c>
      <c r="B2255" s="426" t="s">
        <v>1898</v>
      </c>
    </row>
    <row r="2256" spans="1:2" ht="15" hidden="1" x14ac:dyDescent="0.25">
      <c r="A2256" s="426" t="s">
        <v>1899</v>
      </c>
      <c r="B2256" s="426" t="s">
        <v>1899</v>
      </c>
    </row>
    <row r="2257" spans="1:2" ht="15" hidden="1" x14ac:dyDescent="0.25">
      <c r="A2257" s="426" t="s">
        <v>1900</v>
      </c>
      <c r="B2257" s="426" t="s">
        <v>1900</v>
      </c>
    </row>
    <row r="2258" spans="1:2" ht="15" hidden="1" x14ac:dyDescent="0.25">
      <c r="A2258" s="426" t="s">
        <v>1901</v>
      </c>
      <c r="B2258" s="426" t="s">
        <v>1901</v>
      </c>
    </row>
    <row r="2259" spans="1:2" ht="15" hidden="1" x14ac:dyDescent="0.25">
      <c r="A2259" s="426" t="s">
        <v>1902</v>
      </c>
      <c r="B2259" s="426" t="s">
        <v>1902</v>
      </c>
    </row>
    <row r="2260" spans="1:2" ht="15" hidden="1" x14ac:dyDescent="0.25">
      <c r="A2260" s="426" t="s">
        <v>1903</v>
      </c>
      <c r="B2260" s="426" t="s">
        <v>1903</v>
      </c>
    </row>
    <row r="2261" spans="1:2" ht="15" hidden="1" x14ac:dyDescent="0.25">
      <c r="A2261" s="426" t="s">
        <v>1904</v>
      </c>
      <c r="B2261" s="426" t="s">
        <v>1904</v>
      </c>
    </row>
    <row r="2262" spans="1:2" ht="15" hidden="1" x14ac:dyDescent="0.25">
      <c r="A2262" s="426" t="s">
        <v>1904</v>
      </c>
      <c r="B2262" s="426" t="s">
        <v>1904</v>
      </c>
    </row>
    <row r="2263" spans="1:2" ht="15" hidden="1" x14ac:dyDescent="0.25">
      <c r="A2263" s="426" t="s">
        <v>1905</v>
      </c>
      <c r="B2263" s="426" t="s">
        <v>1905</v>
      </c>
    </row>
    <row r="2264" spans="1:2" ht="15" hidden="1" x14ac:dyDescent="0.25">
      <c r="A2264" s="426" t="s">
        <v>1906</v>
      </c>
      <c r="B2264" s="426" t="s">
        <v>1906</v>
      </c>
    </row>
    <row r="2265" spans="1:2" ht="15" hidden="1" x14ac:dyDescent="0.25">
      <c r="A2265" s="426" t="s">
        <v>1907</v>
      </c>
      <c r="B2265" s="426" t="s">
        <v>1907</v>
      </c>
    </row>
    <row r="2266" spans="1:2" ht="15" hidden="1" x14ac:dyDescent="0.25">
      <c r="A2266" s="426" t="s">
        <v>1907</v>
      </c>
      <c r="B2266" s="426" t="s">
        <v>1907</v>
      </c>
    </row>
    <row r="2267" spans="1:2" ht="15" hidden="1" x14ac:dyDescent="0.25">
      <c r="A2267" s="426" t="s">
        <v>1908</v>
      </c>
      <c r="B2267" s="426" t="s">
        <v>1908</v>
      </c>
    </row>
    <row r="2268" spans="1:2" ht="15" hidden="1" x14ac:dyDescent="0.25">
      <c r="A2268" s="426" t="s">
        <v>1909</v>
      </c>
      <c r="B2268" s="426" t="s">
        <v>1909</v>
      </c>
    </row>
    <row r="2269" spans="1:2" ht="15" hidden="1" x14ac:dyDescent="0.25">
      <c r="A2269" s="426" t="s">
        <v>1910</v>
      </c>
      <c r="B2269" s="426" t="s">
        <v>1910</v>
      </c>
    </row>
    <row r="2270" spans="1:2" ht="15" hidden="1" x14ac:dyDescent="0.25">
      <c r="A2270" s="426" t="s">
        <v>1911</v>
      </c>
      <c r="B2270" s="426" t="s">
        <v>1911</v>
      </c>
    </row>
    <row r="2271" spans="1:2" ht="15" hidden="1" x14ac:dyDescent="0.25">
      <c r="A2271" s="426" t="s">
        <v>1912</v>
      </c>
      <c r="B2271" s="426" t="s">
        <v>1912</v>
      </c>
    </row>
    <row r="2272" spans="1:2" ht="15" hidden="1" x14ac:dyDescent="0.25">
      <c r="A2272" s="426" t="s">
        <v>1913</v>
      </c>
      <c r="B2272" s="426" t="s">
        <v>1913</v>
      </c>
    </row>
    <row r="2273" spans="1:2" ht="15" hidden="1" x14ac:dyDescent="0.25">
      <c r="A2273" s="426" t="s">
        <v>1914</v>
      </c>
      <c r="B2273" s="426" t="s">
        <v>1914</v>
      </c>
    </row>
    <row r="2274" spans="1:2" ht="15" hidden="1" x14ac:dyDescent="0.25">
      <c r="A2274" s="426" t="s">
        <v>1915</v>
      </c>
      <c r="B2274" s="426" t="s">
        <v>1915</v>
      </c>
    </row>
    <row r="2275" spans="1:2" ht="15" hidden="1" x14ac:dyDescent="0.25">
      <c r="A2275" s="426" t="s">
        <v>1916</v>
      </c>
      <c r="B2275" s="426" t="s">
        <v>1916</v>
      </c>
    </row>
    <row r="2276" spans="1:2" ht="15" hidden="1" x14ac:dyDescent="0.25">
      <c r="A2276" s="426" t="s">
        <v>1917</v>
      </c>
      <c r="B2276" s="426" t="s">
        <v>1917</v>
      </c>
    </row>
    <row r="2277" spans="1:2" ht="15" hidden="1" x14ac:dyDescent="0.25">
      <c r="A2277" s="426" t="s">
        <v>1917</v>
      </c>
      <c r="B2277" s="426" t="s">
        <v>1917</v>
      </c>
    </row>
    <row r="2278" spans="1:2" ht="15" hidden="1" x14ac:dyDescent="0.25">
      <c r="A2278" s="426" t="s">
        <v>1918</v>
      </c>
      <c r="B2278" s="426" t="s">
        <v>1918</v>
      </c>
    </row>
    <row r="2279" spans="1:2" ht="15" hidden="1" x14ac:dyDescent="0.25">
      <c r="A2279" s="426" t="s">
        <v>1919</v>
      </c>
      <c r="B2279" s="426" t="s">
        <v>1919</v>
      </c>
    </row>
    <row r="2280" spans="1:2" ht="15" hidden="1" x14ac:dyDescent="0.25">
      <c r="A2280" s="426" t="s">
        <v>1920</v>
      </c>
      <c r="B2280" s="426" t="s">
        <v>1920</v>
      </c>
    </row>
    <row r="2281" spans="1:2" ht="15" hidden="1" x14ac:dyDescent="0.25">
      <c r="A2281" s="426" t="s">
        <v>1921</v>
      </c>
      <c r="B2281" s="426" t="s">
        <v>1921</v>
      </c>
    </row>
    <row r="2282" spans="1:2" ht="15" hidden="1" x14ac:dyDescent="0.25">
      <c r="A2282" s="426" t="s">
        <v>1922</v>
      </c>
      <c r="B2282" s="426" t="s">
        <v>1922</v>
      </c>
    </row>
    <row r="2283" spans="1:2" ht="15" hidden="1" x14ac:dyDescent="0.25">
      <c r="A2283" s="426" t="s">
        <v>1923</v>
      </c>
      <c r="B2283" s="426" t="s">
        <v>1923</v>
      </c>
    </row>
    <row r="2284" spans="1:2" ht="15" hidden="1" x14ac:dyDescent="0.25">
      <c r="A2284" s="426" t="s">
        <v>1924</v>
      </c>
      <c r="B2284" s="426" t="s">
        <v>1924</v>
      </c>
    </row>
    <row r="2285" spans="1:2" ht="15" hidden="1" x14ac:dyDescent="0.25">
      <c r="A2285" s="426" t="s">
        <v>1925</v>
      </c>
      <c r="B2285" s="426" t="s">
        <v>1925</v>
      </c>
    </row>
    <row r="2286" spans="1:2" ht="15" hidden="1" x14ac:dyDescent="0.25">
      <c r="A2286" s="426" t="s">
        <v>1926</v>
      </c>
      <c r="B2286" s="426" t="s">
        <v>1926</v>
      </c>
    </row>
    <row r="2287" spans="1:2" ht="15" hidden="1" x14ac:dyDescent="0.25">
      <c r="A2287" s="426" t="s">
        <v>1927</v>
      </c>
      <c r="B2287" s="426" t="s">
        <v>1927</v>
      </c>
    </row>
    <row r="2288" spans="1:2" ht="15" hidden="1" x14ac:dyDescent="0.25">
      <c r="A2288" s="426" t="s">
        <v>1928</v>
      </c>
      <c r="B2288" s="426" t="s">
        <v>1928</v>
      </c>
    </row>
    <row r="2289" spans="1:2" ht="15" hidden="1" x14ac:dyDescent="0.25">
      <c r="A2289" s="426" t="s">
        <v>1929</v>
      </c>
      <c r="B2289" s="426" t="s">
        <v>1929</v>
      </c>
    </row>
    <row r="2290" spans="1:2" ht="15" hidden="1" x14ac:dyDescent="0.25">
      <c r="A2290" s="426" t="s">
        <v>1930</v>
      </c>
      <c r="B2290" s="426" t="s">
        <v>1930</v>
      </c>
    </row>
    <row r="2291" spans="1:2" ht="15" hidden="1" x14ac:dyDescent="0.25">
      <c r="A2291" s="426" t="s">
        <v>1931</v>
      </c>
      <c r="B2291" s="426" t="s">
        <v>1931</v>
      </c>
    </row>
    <row r="2292" spans="1:2" ht="15" hidden="1" x14ac:dyDescent="0.25">
      <c r="A2292" s="426" t="s">
        <v>1931</v>
      </c>
      <c r="B2292" s="426" t="s">
        <v>1931</v>
      </c>
    </row>
    <row r="2293" spans="1:2" ht="15" hidden="1" x14ac:dyDescent="0.25">
      <c r="A2293" s="426" t="s">
        <v>1932</v>
      </c>
      <c r="B2293" s="426" t="s">
        <v>1932</v>
      </c>
    </row>
    <row r="2294" spans="1:2" ht="15" hidden="1" x14ac:dyDescent="0.25">
      <c r="A2294" s="426" t="s">
        <v>1933</v>
      </c>
      <c r="B2294" s="426" t="s">
        <v>1933</v>
      </c>
    </row>
    <row r="2295" spans="1:2" ht="15" hidden="1" x14ac:dyDescent="0.25">
      <c r="A2295" s="426" t="s">
        <v>1934</v>
      </c>
      <c r="B2295" s="426" t="s">
        <v>1934</v>
      </c>
    </row>
    <row r="2296" spans="1:2" ht="15" hidden="1" x14ac:dyDescent="0.25">
      <c r="A2296" s="426" t="s">
        <v>1935</v>
      </c>
      <c r="B2296" s="426" t="s">
        <v>1935</v>
      </c>
    </row>
    <row r="2297" spans="1:2" ht="15" hidden="1" x14ac:dyDescent="0.25">
      <c r="A2297" s="426" t="s">
        <v>1936</v>
      </c>
      <c r="B2297" s="426" t="s">
        <v>1936</v>
      </c>
    </row>
    <row r="2298" spans="1:2" ht="15" hidden="1" x14ac:dyDescent="0.25">
      <c r="A2298" s="426" t="s">
        <v>1937</v>
      </c>
      <c r="B2298" s="426" t="s">
        <v>1937</v>
      </c>
    </row>
    <row r="2299" spans="1:2" ht="15" hidden="1" x14ac:dyDescent="0.25">
      <c r="A2299" s="426" t="s">
        <v>1938</v>
      </c>
      <c r="B2299" s="426" t="s">
        <v>1938</v>
      </c>
    </row>
    <row r="2300" spans="1:2" ht="15" hidden="1" x14ac:dyDescent="0.25">
      <c r="A2300" s="426" t="s">
        <v>1938</v>
      </c>
      <c r="B2300" s="426" t="s">
        <v>1938</v>
      </c>
    </row>
    <row r="2301" spans="1:2" ht="15" hidden="1" x14ac:dyDescent="0.25">
      <c r="A2301" s="426" t="s">
        <v>1939</v>
      </c>
      <c r="B2301" s="426" t="s">
        <v>1939</v>
      </c>
    </row>
    <row r="2302" spans="1:2" ht="15" hidden="1" x14ac:dyDescent="0.25">
      <c r="A2302" s="426" t="s">
        <v>1940</v>
      </c>
      <c r="B2302" s="426" t="s">
        <v>1941</v>
      </c>
    </row>
    <row r="2303" spans="1:2" ht="15" hidden="1" x14ac:dyDescent="0.25">
      <c r="A2303" s="426" t="s">
        <v>1942</v>
      </c>
      <c r="B2303" s="426" t="s">
        <v>1943</v>
      </c>
    </row>
    <row r="2304" spans="1:2" ht="15" hidden="1" x14ac:dyDescent="0.25">
      <c r="A2304" s="426" t="s">
        <v>1942</v>
      </c>
      <c r="B2304" s="426" t="s">
        <v>1943</v>
      </c>
    </row>
    <row r="2305" spans="1:2" ht="15" hidden="1" x14ac:dyDescent="0.25">
      <c r="A2305" s="426" t="s">
        <v>1766</v>
      </c>
      <c r="B2305" s="426" t="s">
        <v>1767</v>
      </c>
    </row>
    <row r="2306" spans="1:2" ht="15" hidden="1" x14ac:dyDescent="0.25">
      <c r="A2306" s="426" t="s">
        <v>1944</v>
      </c>
      <c r="B2306" s="426" t="s">
        <v>1945</v>
      </c>
    </row>
    <row r="2307" spans="1:2" ht="15" hidden="1" x14ac:dyDescent="0.25">
      <c r="A2307" s="426" t="s">
        <v>1944</v>
      </c>
      <c r="B2307" s="426" t="s">
        <v>1945</v>
      </c>
    </row>
    <row r="2308" spans="1:2" ht="15" hidden="1" x14ac:dyDescent="0.25">
      <c r="A2308" s="426" t="s">
        <v>1367</v>
      </c>
      <c r="B2308" s="426" t="s">
        <v>1368</v>
      </c>
    </row>
    <row r="2309" spans="1:2" ht="15" hidden="1" x14ac:dyDescent="0.25">
      <c r="A2309" s="426" t="s">
        <v>1946</v>
      </c>
      <c r="B2309" s="426" t="s">
        <v>1947</v>
      </c>
    </row>
    <row r="2310" spans="1:2" ht="15" hidden="1" x14ac:dyDescent="0.25">
      <c r="A2310" s="426" t="s">
        <v>1948</v>
      </c>
      <c r="B2310" s="426" t="s">
        <v>1949</v>
      </c>
    </row>
    <row r="2311" spans="1:2" ht="15" hidden="1" x14ac:dyDescent="0.25">
      <c r="A2311" s="427" t="s">
        <v>1948</v>
      </c>
      <c r="B2311" s="426" t="s">
        <v>1949</v>
      </c>
    </row>
    <row r="2312" spans="1:2" ht="15" hidden="1" x14ac:dyDescent="0.25">
      <c r="A2312" s="426" t="s">
        <v>1950</v>
      </c>
      <c r="B2312" s="426" t="s">
        <v>1951</v>
      </c>
    </row>
    <row r="2313" spans="1:2" ht="15" hidden="1" x14ac:dyDescent="0.25">
      <c r="A2313" s="426" t="s">
        <v>1952</v>
      </c>
      <c r="B2313" s="426" t="s">
        <v>1953</v>
      </c>
    </row>
    <row r="2314" spans="1:2" ht="15" hidden="1" x14ac:dyDescent="0.25">
      <c r="A2314" s="426" t="s">
        <v>1954</v>
      </c>
      <c r="B2314" s="426" t="s">
        <v>1955</v>
      </c>
    </row>
    <row r="2315" spans="1:2" ht="15" hidden="1" x14ac:dyDescent="0.25">
      <c r="A2315" s="426" t="s">
        <v>1956</v>
      </c>
      <c r="B2315" s="426" t="s">
        <v>1957</v>
      </c>
    </row>
    <row r="2316" spans="1:2" ht="15" hidden="1" x14ac:dyDescent="0.25">
      <c r="A2316" s="426" t="s">
        <v>1958</v>
      </c>
      <c r="B2316" s="426" t="s">
        <v>1959</v>
      </c>
    </row>
    <row r="2317" spans="1:2" ht="15" hidden="1" x14ac:dyDescent="0.25">
      <c r="A2317" s="426" t="s">
        <v>1960</v>
      </c>
      <c r="B2317" s="426" t="s">
        <v>1961</v>
      </c>
    </row>
    <row r="2318" spans="1:2" ht="15" hidden="1" x14ac:dyDescent="0.25">
      <c r="A2318" s="426" t="s">
        <v>1962</v>
      </c>
      <c r="B2318" s="426" t="s">
        <v>394</v>
      </c>
    </row>
    <row r="2319" spans="1:2" ht="15" hidden="1" x14ac:dyDescent="0.25">
      <c r="A2319" s="426" t="s">
        <v>1962</v>
      </c>
      <c r="B2319" s="426" t="s">
        <v>394</v>
      </c>
    </row>
    <row r="2320" spans="1:2" ht="15" hidden="1" x14ac:dyDescent="0.25">
      <c r="A2320" s="426" t="s">
        <v>1963</v>
      </c>
      <c r="B2320" s="426" t="s">
        <v>1964</v>
      </c>
    </row>
    <row r="2321" spans="1:2" ht="15" hidden="1" x14ac:dyDescent="0.25">
      <c r="A2321" s="426" t="s">
        <v>1963</v>
      </c>
      <c r="B2321" s="426" t="s">
        <v>1964</v>
      </c>
    </row>
    <row r="2322" spans="1:2" ht="15" hidden="1" x14ac:dyDescent="0.25">
      <c r="A2322" s="426" t="s">
        <v>1965</v>
      </c>
      <c r="B2322" s="426" t="s">
        <v>1966</v>
      </c>
    </row>
    <row r="2323" spans="1:2" ht="15" hidden="1" x14ac:dyDescent="0.25">
      <c r="A2323" s="426" t="s">
        <v>1967</v>
      </c>
      <c r="B2323" s="426" t="s">
        <v>1968</v>
      </c>
    </row>
    <row r="2324" spans="1:2" ht="15" hidden="1" x14ac:dyDescent="0.25">
      <c r="A2324" s="426" t="s">
        <v>1969</v>
      </c>
      <c r="B2324" s="426" t="s">
        <v>1970</v>
      </c>
    </row>
    <row r="2325" spans="1:2" ht="15" hidden="1" x14ac:dyDescent="0.25">
      <c r="A2325" s="426" t="s">
        <v>1971</v>
      </c>
      <c r="B2325" s="426" t="s">
        <v>1972</v>
      </c>
    </row>
    <row r="2326" spans="1:2" ht="15" hidden="1" x14ac:dyDescent="0.25">
      <c r="A2326" s="426" t="s">
        <v>1973</v>
      </c>
      <c r="B2326" s="426" t="s">
        <v>1974</v>
      </c>
    </row>
    <row r="2327" spans="1:2" ht="15" hidden="1" x14ac:dyDescent="0.25">
      <c r="A2327" s="426" t="s">
        <v>1391</v>
      </c>
      <c r="B2327" s="426" t="s">
        <v>1392</v>
      </c>
    </row>
    <row r="2328" spans="1:2" ht="15" hidden="1" x14ac:dyDescent="0.25">
      <c r="A2328" s="426" t="s">
        <v>1391</v>
      </c>
      <c r="B2328" s="426" t="s">
        <v>1392</v>
      </c>
    </row>
    <row r="2329" spans="1:2" ht="15" hidden="1" x14ac:dyDescent="0.25">
      <c r="A2329" s="426" t="s">
        <v>1975</v>
      </c>
      <c r="B2329" s="426" t="s">
        <v>1976</v>
      </c>
    </row>
    <row r="2330" spans="1:2" ht="15" hidden="1" x14ac:dyDescent="0.25">
      <c r="A2330" s="426" t="s">
        <v>1977</v>
      </c>
      <c r="B2330" s="426" t="s">
        <v>1978</v>
      </c>
    </row>
    <row r="2331" spans="1:2" ht="15" hidden="1" x14ac:dyDescent="0.25">
      <c r="A2331" s="426" t="s">
        <v>1977</v>
      </c>
      <c r="B2331" s="426" t="s">
        <v>1978</v>
      </c>
    </row>
    <row r="2332" spans="1:2" ht="15" hidden="1" x14ac:dyDescent="0.25">
      <c r="A2332" s="426" t="s">
        <v>1979</v>
      </c>
      <c r="B2332" s="426" t="s">
        <v>1980</v>
      </c>
    </row>
    <row r="2333" spans="1:2" ht="15" hidden="1" x14ac:dyDescent="0.25">
      <c r="A2333" s="426" t="s">
        <v>1981</v>
      </c>
      <c r="B2333" s="426" t="s">
        <v>1982</v>
      </c>
    </row>
    <row r="2334" spans="1:2" ht="15" hidden="1" x14ac:dyDescent="0.25">
      <c r="A2334" s="426" t="s">
        <v>1981</v>
      </c>
      <c r="B2334" s="426" t="s">
        <v>1982</v>
      </c>
    </row>
    <row r="2335" spans="1:2" ht="15" hidden="1" x14ac:dyDescent="0.25">
      <c r="A2335" s="426" t="s">
        <v>1981</v>
      </c>
      <c r="B2335" s="426" t="s">
        <v>1982</v>
      </c>
    </row>
    <row r="2336" spans="1:2" ht="15" hidden="1" x14ac:dyDescent="0.25">
      <c r="A2336" s="426" t="s">
        <v>1981</v>
      </c>
      <c r="B2336" s="426" t="s">
        <v>1982</v>
      </c>
    </row>
    <row r="2337" spans="1:2" ht="15" hidden="1" x14ac:dyDescent="0.25">
      <c r="A2337" s="426" t="s">
        <v>1983</v>
      </c>
      <c r="B2337" s="426" t="s">
        <v>1984</v>
      </c>
    </row>
    <row r="2338" spans="1:2" ht="15" hidden="1" x14ac:dyDescent="0.25">
      <c r="A2338" s="426" t="s">
        <v>1985</v>
      </c>
      <c r="B2338" s="426" t="s">
        <v>1986</v>
      </c>
    </row>
    <row r="2339" spans="1:2" ht="15" hidden="1" x14ac:dyDescent="0.25">
      <c r="A2339" s="426" t="s">
        <v>1985</v>
      </c>
      <c r="B2339" s="426" t="s">
        <v>1986</v>
      </c>
    </row>
    <row r="2340" spans="1:2" ht="15" hidden="1" x14ac:dyDescent="0.25">
      <c r="A2340" s="426" t="s">
        <v>1985</v>
      </c>
      <c r="B2340" s="426" t="s">
        <v>1986</v>
      </c>
    </row>
    <row r="2341" spans="1:2" ht="15" hidden="1" x14ac:dyDescent="0.25">
      <c r="A2341" s="426" t="s">
        <v>1987</v>
      </c>
      <c r="B2341" s="426" t="s">
        <v>1988</v>
      </c>
    </row>
    <row r="2342" spans="1:2" ht="15" hidden="1" x14ac:dyDescent="0.25">
      <c r="A2342" s="426" t="s">
        <v>1987</v>
      </c>
      <c r="B2342" s="426" t="s">
        <v>1988</v>
      </c>
    </row>
    <row r="2343" spans="1:2" ht="15" hidden="1" x14ac:dyDescent="0.25">
      <c r="A2343" s="426" t="s">
        <v>1989</v>
      </c>
      <c r="B2343" s="426" t="s">
        <v>1990</v>
      </c>
    </row>
    <row r="2344" spans="1:2" ht="15" hidden="1" x14ac:dyDescent="0.25">
      <c r="A2344" s="426" t="s">
        <v>1989</v>
      </c>
      <c r="B2344" s="426" t="s">
        <v>1990</v>
      </c>
    </row>
    <row r="2345" spans="1:2" ht="15" hidden="1" x14ac:dyDescent="0.25">
      <c r="A2345" s="426" t="s">
        <v>1991</v>
      </c>
      <c r="B2345" s="426" t="s">
        <v>1992</v>
      </c>
    </row>
    <row r="2346" spans="1:2" ht="15" hidden="1" x14ac:dyDescent="0.25">
      <c r="A2346" s="426" t="s">
        <v>1991</v>
      </c>
      <c r="B2346" s="426" t="s">
        <v>1992</v>
      </c>
    </row>
    <row r="2347" spans="1:2" ht="15" hidden="1" x14ac:dyDescent="0.25">
      <c r="A2347" s="426" t="s">
        <v>1993</v>
      </c>
      <c r="B2347" s="426" t="s">
        <v>1994</v>
      </c>
    </row>
    <row r="2348" spans="1:2" ht="15" hidden="1" x14ac:dyDescent="0.25">
      <c r="A2348" s="426" t="s">
        <v>1409</v>
      </c>
      <c r="B2348" s="426" t="s">
        <v>1410</v>
      </c>
    </row>
    <row r="2349" spans="1:2" ht="15" hidden="1" x14ac:dyDescent="0.25">
      <c r="A2349" s="426" t="s">
        <v>1409</v>
      </c>
      <c r="B2349" s="426" t="s">
        <v>1410</v>
      </c>
    </row>
    <row r="2350" spans="1:2" ht="15" hidden="1" x14ac:dyDescent="0.25">
      <c r="A2350" s="426" t="s">
        <v>1995</v>
      </c>
      <c r="B2350" s="426" t="s">
        <v>1996</v>
      </c>
    </row>
    <row r="2351" spans="1:2" ht="15" hidden="1" x14ac:dyDescent="0.25">
      <c r="A2351" s="426" t="s">
        <v>1995</v>
      </c>
      <c r="B2351" s="426" t="s">
        <v>1996</v>
      </c>
    </row>
    <row r="2352" spans="1:2" ht="15" hidden="1" x14ac:dyDescent="0.25">
      <c r="A2352" s="426" t="s">
        <v>1997</v>
      </c>
      <c r="B2352" s="426" t="s">
        <v>1998</v>
      </c>
    </row>
    <row r="2353" spans="1:2" ht="15" hidden="1" x14ac:dyDescent="0.25">
      <c r="A2353" s="426" t="s">
        <v>1999</v>
      </c>
      <c r="B2353" s="426" t="s">
        <v>2000</v>
      </c>
    </row>
    <row r="2354" spans="1:2" ht="15" hidden="1" x14ac:dyDescent="0.25">
      <c r="A2354" s="426" t="s">
        <v>1999</v>
      </c>
      <c r="B2354" s="426" t="s">
        <v>2000</v>
      </c>
    </row>
    <row r="2355" spans="1:2" ht="15" hidden="1" x14ac:dyDescent="0.25">
      <c r="A2355" s="426" t="s">
        <v>2001</v>
      </c>
      <c r="B2355" s="426" t="s">
        <v>2002</v>
      </c>
    </row>
    <row r="2356" spans="1:2" ht="15" hidden="1" x14ac:dyDescent="0.25">
      <c r="A2356" s="426" t="s">
        <v>2003</v>
      </c>
      <c r="B2356" s="426" t="s">
        <v>2004</v>
      </c>
    </row>
    <row r="2357" spans="1:2" ht="15" hidden="1" x14ac:dyDescent="0.25">
      <c r="A2357" s="426" t="s">
        <v>2005</v>
      </c>
      <c r="B2357" s="426" t="s">
        <v>2006</v>
      </c>
    </row>
    <row r="2358" spans="1:2" ht="15" hidden="1" x14ac:dyDescent="0.25">
      <c r="A2358" s="426" t="s">
        <v>2005</v>
      </c>
      <c r="B2358" s="426" t="s">
        <v>2006</v>
      </c>
    </row>
    <row r="2359" spans="1:2" ht="15" hidden="1" x14ac:dyDescent="0.25">
      <c r="A2359" s="426" t="s">
        <v>234</v>
      </c>
      <c r="B2359" s="426" t="s">
        <v>384</v>
      </c>
    </row>
    <row r="2360" spans="1:2" ht="15" hidden="1" x14ac:dyDescent="0.25">
      <c r="A2360" s="426" t="s">
        <v>234</v>
      </c>
      <c r="B2360" s="426" t="s">
        <v>384</v>
      </c>
    </row>
    <row r="2361" spans="1:2" ht="15" hidden="1" x14ac:dyDescent="0.25">
      <c r="A2361" s="426" t="s">
        <v>2007</v>
      </c>
      <c r="B2361" s="426" t="s">
        <v>1974</v>
      </c>
    </row>
    <row r="2362" spans="1:2" ht="15" hidden="1" x14ac:dyDescent="0.25">
      <c r="A2362" s="426" t="s">
        <v>2008</v>
      </c>
      <c r="B2362" s="426" t="s">
        <v>2009</v>
      </c>
    </row>
    <row r="2363" spans="1:2" ht="15" hidden="1" x14ac:dyDescent="0.25">
      <c r="A2363" s="426" t="s">
        <v>2008</v>
      </c>
      <c r="B2363" s="426" t="s">
        <v>2009</v>
      </c>
    </row>
    <row r="2364" spans="1:2" ht="15" hidden="1" x14ac:dyDescent="0.25">
      <c r="A2364" s="426" t="s">
        <v>1697</v>
      </c>
      <c r="B2364" s="426" t="s">
        <v>1698</v>
      </c>
    </row>
    <row r="2365" spans="1:2" ht="15" hidden="1" x14ac:dyDescent="0.25">
      <c r="A2365" s="426" t="s">
        <v>1697</v>
      </c>
      <c r="B2365" s="426" t="s">
        <v>1698</v>
      </c>
    </row>
    <row r="2366" spans="1:2" ht="15" hidden="1" x14ac:dyDescent="0.25">
      <c r="A2366" s="426" t="s">
        <v>1697</v>
      </c>
      <c r="B2366" s="426" t="s">
        <v>1698</v>
      </c>
    </row>
    <row r="2367" spans="1:2" ht="15" hidden="1" x14ac:dyDescent="0.25">
      <c r="A2367" s="426" t="s">
        <v>2010</v>
      </c>
      <c r="B2367" s="426" t="s">
        <v>2011</v>
      </c>
    </row>
    <row r="2368" spans="1:2" ht="15" hidden="1" x14ac:dyDescent="0.25">
      <c r="A2368" s="426" t="s">
        <v>2012</v>
      </c>
      <c r="B2368" s="426" t="s">
        <v>2013</v>
      </c>
    </row>
    <row r="2369" spans="1:2" ht="15" hidden="1" x14ac:dyDescent="0.25">
      <c r="A2369" s="426" t="s">
        <v>2014</v>
      </c>
      <c r="B2369" s="426" t="s">
        <v>2015</v>
      </c>
    </row>
    <row r="2370" spans="1:2" ht="15" hidden="1" x14ac:dyDescent="0.25">
      <c r="A2370" s="426" t="s">
        <v>2016</v>
      </c>
      <c r="B2370" s="426" t="s">
        <v>2017</v>
      </c>
    </row>
    <row r="2371" spans="1:2" ht="15" hidden="1" x14ac:dyDescent="0.25">
      <c r="A2371" s="426" t="s">
        <v>1928</v>
      </c>
      <c r="B2371" s="426" t="s">
        <v>2018</v>
      </c>
    </row>
    <row r="2372" spans="1:2" ht="15" hidden="1" x14ac:dyDescent="0.25">
      <c r="A2372" s="426" t="s">
        <v>2019</v>
      </c>
      <c r="B2372" s="426" t="s">
        <v>2020</v>
      </c>
    </row>
    <row r="2373" spans="1:2" ht="15" hidden="1" x14ac:dyDescent="0.25">
      <c r="A2373" s="426" t="s">
        <v>2019</v>
      </c>
      <c r="B2373" s="426" t="s">
        <v>2020</v>
      </c>
    </row>
    <row r="2374" spans="1:2" ht="15" hidden="1" x14ac:dyDescent="0.25">
      <c r="A2374" s="426" t="s">
        <v>2021</v>
      </c>
      <c r="B2374" s="426" t="s">
        <v>2022</v>
      </c>
    </row>
    <row r="2375" spans="1:2" ht="15" hidden="1" x14ac:dyDescent="0.25">
      <c r="A2375" s="426" t="s">
        <v>2021</v>
      </c>
      <c r="B2375" s="426" t="s">
        <v>2022</v>
      </c>
    </row>
    <row r="2376" spans="1:2" ht="15" hidden="1" x14ac:dyDescent="0.25">
      <c r="A2376" s="426" t="s">
        <v>2023</v>
      </c>
      <c r="B2376" s="426" t="s">
        <v>2024</v>
      </c>
    </row>
    <row r="2377" spans="1:2" ht="15" hidden="1" x14ac:dyDescent="0.25">
      <c r="A2377" s="426" t="s">
        <v>2023</v>
      </c>
      <c r="B2377" s="426" t="s">
        <v>2024</v>
      </c>
    </row>
    <row r="2378" spans="1:2" ht="15" hidden="1" x14ac:dyDescent="0.25">
      <c r="A2378" s="426" t="s">
        <v>2025</v>
      </c>
      <c r="B2378" s="426" t="s">
        <v>2026</v>
      </c>
    </row>
    <row r="2379" spans="1:2" ht="15" hidden="1" x14ac:dyDescent="0.25">
      <c r="A2379" s="426" t="s">
        <v>2025</v>
      </c>
      <c r="B2379" s="426" t="s">
        <v>2026</v>
      </c>
    </row>
    <row r="2380" spans="1:2" ht="15" hidden="1" x14ac:dyDescent="0.25">
      <c r="A2380" s="426" t="s">
        <v>1813</v>
      </c>
      <c r="B2380" s="426" t="s">
        <v>1814</v>
      </c>
    </row>
    <row r="2381" spans="1:2" ht="15" hidden="1" x14ac:dyDescent="0.25">
      <c r="A2381" s="426" t="s">
        <v>1813</v>
      </c>
      <c r="B2381" s="426" t="s">
        <v>1814</v>
      </c>
    </row>
    <row r="2382" spans="1:2" ht="15" hidden="1" x14ac:dyDescent="0.25">
      <c r="A2382" s="426" t="s">
        <v>2027</v>
      </c>
      <c r="B2382" s="426" t="s">
        <v>2028</v>
      </c>
    </row>
    <row r="2383" spans="1:2" ht="15" hidden="1" x14ac:dyDescent="0.25">
      <c r="A2383" s="426" t="s">
        <v>2027</v>
      </c>
      <c r="B2383" s="426" t="s">
        <v>2028</v>
      </c>
    </row>
    <row r="2384" spans="1:2" ht="15" hidden="1" x14ac:dyDescent="0.25">
      <c r="A2384" s="426" t="s">
        <v>2029</v>
      </c>
      <c r="B2384" s="426" t="s">
        <v>2030</v>
      </c>
    </row>
    <row r="2385" spans="1:2" ht="15" hidden="1" x14ac:dyDescent="0.25">
      <c r="A2385" s="426" t="s">
        <v>2029</v>
      </c>
      <c r="B2385" s="426" t="s">
        <v>2030</v>
      </c>
    </row>
    <row r="2386" spans="1:2" ht="15" hidden="1" x14ac:dyDescent="0.25">
      <c r="A2386" s="426" t="s">
        <v>2031</v>
      </c>
      <c r="B2386" s="426" t="s">
        <v>2032</v>
      </c>
    </row>
    <row r="2387" spans="1:2" ht="15" hidden="1" x14ac:dyDescent="0.25">
      <c r="A2387" s="428" t="s">
        <v>2033</v>
      </c>
      <c r="B2387" s="426" t="s">
        <v>2034</v>
      </c>
    </row>
    <row r="2388" spans="1:2" ht="15" hidden="1" x14ac:dyDescent="0.25">
      <c r="A2388" s="426" t="s">
        <v>208</v>
      </c>
      <c r="B2388" s="426" t="s">
        <v>309</v>
      </c>
    </row>
    <row r="2389" spans="1:2" ht="15" hidden="1" x14ac:dyDescent="0.25">
      <c r="A2389" s="426" t="s">
        <v>208</v>
      </c>
      <c r="B2389" s="426" t="s">
        <v>309</v>
      </c>
    </row>
    <row r="2390" spans="1:2" ht="15" hidden="1" x14ac:dyDescent="0.25">
      <c r="A2390" s="426" t="s">
        <v>208</v>
      </c>
      <c r="B2390" s="426" t="s">
        <v>309</v>
      </c>
    </row>
    <row r="2391" spans="1:2" ht="15" hidden="1" x14ac:dyDescent="0.25">
      <c r="A2391" s="426" t="s">
        <v>2035</v>
      </c>
      <c r="B2391" s="426" t="s">
        <v>2036</v>
      </c>
    </row>
    <row r="2392" spans="1:2" ht="15" hidden="1" x14ac:dyDescent="0.25">
      <c r="A2392" s="426" t="s">
        <v>2035</v>
      </c>
      <c r="B2392" s="426" t="s">
        <v>2036</v>
      </c>
    </row>
    <row r="2393" spans="1:2" ht="15" hidden="1" x14ac:dyDescent="0.25">
      <c r="A2393" s="426" t="s">
        <v>2035</v>
      </c>
      <c r="B2393" s="426" t="s">
        <v>2036</v>
      </c>
    </row>
    <row r="2394" spans="1:2" ht="15" hidden="1" x14ac:dyDescent="0.25">
      <c r="A2394" s="426" t="s">
        <v>2035</v>
      </c>
      <c r="B2394" s="426" t="s">
        <v>2036</v>
      </c>
    </row>
    <row r="2395" spans="1:2" ht="15" hidden="1" x14ac:dyDescent="0.25">
      <c r="A2395" s="426" t="s">
        <v>2035</v>
      </c>
      <c r="B2395" s="426" t="s">
        <v>2036</v>
      </c>
    </row>
    <row r="2396" spans="1:2" ht="15" hidden="1" x14ac:dyDescent="0.25">
      <c r="A2396" s="426" t="s">
        <v>2035</v>
      </c>
      <c r="B2396" s="426" t="s">
        <v>2036</v>
      </c>
    </row>
    <row r="2397" spans="1:2" ht="15" hidden="1" x14ac:dyDescent="0.25">
      <c r="A2397" s="426" t="s">
        <v>182</v>
      </c>
      <c r="B2397" s="426" t="s">
        <v>315</v>
      </c>
    </row>
    <row r="2398" spans="1:2" ht="15" hidden="1" x14ac:dyDescent="0.25">
      <c r="A2398" s="426" t="s">
        <v>182</v>
      </c>
      <c r="B2398" s="426" t="s">
        <v>315</v>
      </c>
    </row>
    <row r="2399" spans="1:2" ht="15" hidden="1" x14ac:dyDescent="0.25">
      <c r="A2399" s="426" t="s">
        <v>182</v>
      </c>
      <c r="B2399" s="426" t="s">
        <v>315</v>
      </c>
    </row>
    <row r="2400" spans="1:2" ht="15" hidden="1" x14ac:dyDescent="0.25">
      <c r="A2400" s="426" t="s">
        <v>182</v>
      </c>
      <c r="B2400" s="426" t="s">
        <v>315</v>
      </c>
    </row>
    <row r="2401" spans="1:2" ht="15" hidden="1" x14ac:dyDescent="0.25">
      <c r="A2401" s="426" t="s">
        <v>182</v>
      </c>
      <c r="B2401" s="426" t="s">
        <v>315</v>
      </c>
    </row>
    <row r="2402" spans="1:2" ht="15" hidden="1" x14ac:dyDescent="0.25">
      <c r="A2402" s="426" t="s">
        <v>182</v>
      </c>
      <c r="B2402" s="426" t="s">
        <v>315</v>
      </c>
    </row>
    <row r="2403" spans="1:2" ht="15" hidden="1" x14ac:dyDescent="0.25">
      <c r="A2403" s="426" t="s">
        <v>182</v>
      </c>
      <c r="B2403" s="426" t="s">
        <v>315</v>
      </c>
    </row>
    <row r="2404" spans="1:2" ht="15" hidden="1" x14ac:dyDescent="0.25">
      <c r="A2404" s="426" t="s">
        <v>182</v>
      </c>
      <c r="B2404" s="426" t="s">
        <v>315</v>
      </c>
    </row>
    <row r="2405" spans="1:2" ht="15" hidden="1" x14ac:dyDescent="0.25">
      <c r="A2405" s="426" t="s">
        <v>182</v>
      </c>
      <c r="B2405" s="426" t="s">
        <v>315</v>
      </c>
    </row>
    <row r="2406" spans="1:2" ht="15" hidden="1" x14ac:dyDescent="0.25">
      <c r="A2406" s="426" t="s">
        <v>210</v>
      </c>
      <c r="B2406" s="426" t="s">
        <v>316</v>
      </c>
    </row>
    <row r="2407" spans="1:2" ht="15" hidden="1" x14ac:dyDescent="0.25">
      <c r="A2407" s="426" t="s">
        <v>210</v>
      </c>
      <c r="B2407" s="426" t="s">
        <v>316</v>
      </c>
    </row>
    <row r="2408" spans="1:2" ht="15" hidden="1" x14ac:dyDescent="0.25">
      <c r="A2408" s="426" t="s">
        <v>210</v>
      </c>
      <c r="B2408" s="426" t="s">
        <v>316</v>
      </c>
    </row>
    <row r="2409" spans="1:2" ht="15" hidden="1" x14ac:dyDescent="0.25">
      <c r="A2409" s="426" t="s">
        <v>210</v>
      </c>
      <c r="B2409" s="426" t="s">
        <v>316</v>
      </c>
    </row>
    <row r="2410" spans="1:2" ht="15" hidden="1" x14ac:dyDescent="0.25">
      <c r="A2410" s="426" t="s">
        <v>210</v>
      </c>
      <c r="B2410" s="426" t="s">
        <v>316</v>
      </c>
    </row>
    <row r="2411" spans="1:2" ht="15" hidden="1" x14ac:dyDescent="0.25">
      <c r="A2411" s="426" t="s">
        <v>210</v>
      </c>
      <c r="B2411" s="426" t="s">
        <v>316</v>
      </c>
    </row>
    <row r="2412" spans="1:2" ht="15" hidden="1" x14ac:dyDescent="0.25">
      <c r="A2412" s="426" t="s">
        <v>210</v>
      </c>
      <c r="B2412" s="426" t="s">
        <v>316</v>
      </c>
    </row>
    <row r="2413" spans="1:2" ht="15" hidden="1" x14ac:dyDescent="0.25">
      <c r="A2413" s="426" t="s">
        <v>210</v>
      </c>
      <c r="B2413" s="426" t="s">
        <v>316</v>
      </c>
    </row>
    <row r="2414" spans="1:2" ht="15" hidden="1" x14ac:dyDescent="0.25">
      <c r="A2414" s="426" t="s">
        <v>210</v>
      </c>
      <c r="B2414" s="426" t="s">
        <v>316</v>
      </c>
    </row>
    <row r="2415" spans="1:2" ht="15" hidden="1" x14ac:dyDescent="0.25">
      <c r="A2415" s="426" t="s">
        <v>210</v>
      </c>
      <c r="B2415" s="426" t="s">
        <v>316</v>
      </c>
    </row>
    <row r="2416" spans="1:2" ht="15" hidden="1" x14ac:dyDescent="0.25">
      <c r="A2416" s="426" t="s">
        <v>183</v>
      </c>
      <c r="B2416" s="426" t="s">
        <v>317</v>
      </c>
    </row>
    <row r="2417" spans="1:2" ht="15" hidden="1" x14ac:dyDescent="0.25">
      <c r="A2417" s="426" t="s">
        <v>185</v>
      </c>
      <c r="B2417" s="426" t="s">
        <v>319</v>
      </c>
    </row>
    <row r="2418" spans="1:2" ht="15" hidden="1" x14ac:dyDescent="0.25">
      <c r="A2418" s="426" t="s">
        <v>185</v>
      </c>
      <c r="B2418" s="426" t="s">
        <v>319</v>
      </c>
    </row>
    <row r="2419" spans="1:2" ht="15" hidden="1" x14ac:dyDescent="0.25">
      <c r="A2419" s="426" t="s">
        <v>185</v>
      </c>
      <c r="B2419" s="426" t="s">
        <v>319</v>
      </c>
    </row>
    <row r="2420" spans="1:2" ht="15" hidden="1" x14ac:dyDescent="0.25">
      <c r="A2420" s="426" t="s">
        <v>185</v>
      </c>
      <c r="B2420" s="426" t="s">
        <v>319</v>
      </c>
    </row>
    <row r="2421" spans="1:2" ht="15" hidden="1" x14ac:dyDescent="0.25">
      <c r="A2421" s="426" t="s">
        <v>187</v>
      </c>
      <c r="B2421" s="426" t="s">
        <v>322</v>
      </c>
    </row>
    <row r="2422" spans="1:2" ht="15" hidden="1" x14ac:dyDescent="0.25">
      <c r="A2422" s="426" t="s">
        <v>187</v>
      </c>
      <c r="B2422" s="426" t="s">
        <v>322</v>
      </c>
    </row>
    <row r="2423" spans="1:2" ht="15" hidden="1" x14ac:dyDescent="0.25">
      <c r="A2423" s="426" t="s">
        <v>187</v>
      </c>
      <c r="B2423" s="426" t="s">
        <v>322</v>
      </c>
    </row>
    <row r="2424" spans="1:2" ht="15" hidden="1" x14ac:dyDescent="0.25">
      <c r="A2424" s="426" t="s">
        <v>187</v>
      </c>
      <c r="B2424" s="426" t="s">
        <v>322</v>
      </c>
    </row>
    <row r="2425" spans="1:2" ht="15" hidden="1" x14ac:dyDescent="0.25">
      <c r="A2425" s="426" t="s">
        <v>187</v>
      </c>
      <c r="B2425" s="426" t="s">
        <v>322</v>
      </c>
    </row>
    <row r="2426" spans="1:2" ht="15" hidden="1" x14ac:dyDescent="0.25">
      <c r="A2426" s="426" t="s">
        <v>187</v>
      </c>
      <c r="B2426" s="426" t="s">
        <v>322</v>
      </c>
    </row>
    <row r="2427" spans="1:2" ht="15" hidden="1" x14ac:dyDescent="0.25">
      <c r="A2427" s="426" t="s">
        <v>1269</v>
      </c>
      <c r="B2427" s="426" t="s">
        <v>1270</v>
      </c>
    </row>
    <row r="2428" spans="1:2" ht="15" hidden="1" x14ac:dyDescent="0.25">
      <c r="A2428" s="426" t="s">
        <v>1269</v>
      </c>
      <c r="B2428" s="426" t="s">
        <v>1270</v>
      </c>
    </row>
    <row r="2429" spans="1:2" ht="15" hidden="1" x14ac:dyDescent="0.25">
      <c r="A2429" s="426" t="s">
        <v>1269</v>
      </c>
      <c r="B2429" s="426" t="s">
        <v>1270</v>
      </c>
    </row>
    <row r="2430" spans="1:2" ht="15" hidden="1" x14ac:dyDescent="0.25">
      <c r="A2430" s="426" t="s">
        <v>1269</v>
      </c>
      <c r="B2430" s="426" t="s">
        <v>1270</v>
      </c>
    </row>
    <row r="2431" spans="1:2" ht="15" hidden="1" x14ac:dyDescent="0.25">
      <c r="A2431" s="426" t="s">
        <v>1269</v>
      </c>
      <c r="B2431" s="426" t="s">
        <v>1270</v>
      </c>
    </row>
    <row r="2432" spans="1:2" ht="15" hidden="1" x14ac:dyDescent="0.25">
      <c r="A2432" s="426" t="s">
        <v>1269</v>
      </c>
      <c r="B2432" s="426" t="s">
        <v>1270</v>
      </c>
    </row>
    <row r="2433" spans="1:2" ht="15" hidden="1" x14ac:dyDescent="0.25">
      <c r="A2433" s="426" t="s">
        <v>1269</v>
      </c>
      <c r="B2433" s="426" t="s">
        <v>1270</v>
      </c>
    </row>
    <row r="2434" spans="1:2" ht="15" hidden="1" x14ac:dyDescent="0.25">
      <c r="A2434" s="426" t="s">
        <v>1269</v>
      </c>
      <c r="B2434" s="426" t="s">
        <v>1270</v>
      </c>
    </row>
    <row r="2435" spans="1:2" ht="15" hidden="1" x14ac:dyDescent="0.25">
      <c r="A2435" s="426" t="s">
        <v>1269</v>
      </c>
      <c r="B2435" s="426" t="s">
        <v>1270</v>
      </c>
    </row>
    <row r="2436" spans="1:2" ht="15" hidden="1" x14ac:dyDescent="0.25">
      <c r="A2436" s="426" t="s">
        <v>2037</v>
      </c>
      <c r="B2436" s="426" t="s">
        <v>2037</v>
      </c>
    </row>
    <row r="2437" spans="1:2" ht="15" hidden="1" x14ac:dyDescent="0.25">
      <c r="A2437" s="426" t="s">
        <v>2038</v>
      </c>
      <c r="B2437" s="426" t="s">
        <v>2038</v>
      </c>
    </row>
    <row r="2438" spans="1:2" ht="15" hidden="1" x14ac:dyDescent="0.25">
      <c r="A2438" s="426" t="s">
        <v>2039</v>
      </c>
      <c r="B2438" s="426" t="s">
        <v>2039</v>
      </c>
    </row>
    <row r="2439" spans="1:2" ht="15" hidden="1" x14ac:dyDescent="0.25">
      <c r="A2439" s="426" t="s">
        <v>2040</v>
      </c>
      <c r="B2439" s="426" t="s">
        <v>2040</v>
      </c>
    </row>
    <row r="2440" spans="1:2" ht="15" hidden="1" x14ac:dyDescent="0.25">
      <c r="A2440" s="426" t="s">
        <v>2041</v>
      </c>
      <c r="B2440" s="426" t="s">
        <v>2041</v>
      </c>
    </row>
    <row r="2441" spans="1:2" ht="15" hidden="1" x14ac:dyDescent="0.25">
      <c r="A2441" s="426" t="s">
        <v>2042</v>
      </c>
      <c r="B2441" s="426" t="s">
        <v>2042</v>
      </c>
    </row>
    <row r="2442" spans="1:2" ht="15" hidden="1" x14ac:dyDescent="0.25">
      <c r="A2442" s="426" t="s">
        <v>2043</v>
      </c>
      <c r="B2442" s="426" t="s">
        <v>2043</v>
      </c>
    </row>
    <row r="2443" spans="1:2" ht="15" hidden="1" x14ac:dyDescent="0.25">
      <c r="A2443" s="426" t="s">
        <v>2044</v>
      </c>
      <c r="B2443" s="426" t="s">
        <v>2044</v>
      </c>
    </row>
    <row r="2444" spans="1:2" ht="15" hidden="1" x14ac:dyDescent="0.25">
      <c r="A2444" s="426" t="s">
        <v>2045</v>
      </c>
      <c r="B2444" s="426" t="s">
        <v>2045</v>
      </c>
    </row>
    <row r="2445" spans="1:2" ht="15" hidden="1" x14ac:dyDescent="0.25">
      <c r="A2445" s="426" t="s">
        <v>2046</v>
      </c>
      <c r="B2445" s="426" t="s">
        <v>2046</v>
      </c>
    </row>
    <row r="2446" spans="1:2" ht="15" hidden="1" x14ac:dyDescent="0.25">
      <c r="A2446" s="426" t="s">
        <v>2047</v>
      </c>
      <c r="B2446" s="426" t="s">
        <v>2047</v>
      </c>
    </row>
    <row r="2447" spans="1:2" ht="15" hidden="1" x14ac:dyDescent="0.25">
      <c r="A2447" s="426" t="s">
        <v>2048</v>
      </c>
      <c r="B2447" s="426" t="s">
        <v>2048</v>
      </c>
    </row>
    <row r="2448" spans="1:2" ht="15" hidden="1" x14ac:dyDescent="0.25">
      <c r="A2448" s="426" t="s">
        <v>2049</v>
      </c>
      <c r="B2448" s="426" t="s">
        <v>2049</v>
      </c>
    </row>
    <row r="2449" spans="1:2" ht="15" hidden="1" x14ac:dyDescent="0.25">
      <c r="A2449" s="426" t="s">
        <v>2050</v>
      </c>
      <c r="B2449" s="426" t="s">
        <v>2050</v>
      </c>
    </row>
    <row r="2450" spans="1:2" ht="15" hidden="1" x14ac:dyDescent="0.25">
      <c r="A2450" s="426" t="s">
        <v>2051</v>
      </c>
      <c r="B2450" s="426" t="s">
        <v>2051</v>
      </c>
    </row>
    <row r="2451" spans="1:2" ht="15" hidden="1" x14ac:dyDescent="0.25">
      <c r="A2451" s="426" t="s">
        <v>2052</v>
      </c>
      <c r="B2451" s="426" t="s">
        <v>2052</v>
      </c>
    </row>
    <row r="2452" spans="1:2" ht="15" hidden="1" x14ac:dyDescent="0.25">
      <c r="A2452" s="426" t="s">
        <v>2053</v>
      </c>
      <c r="B2452" s="426" t="s">
        <v>2053</v>
      </c>
    </row>
    <row r="2453" spans="1:2" ht="15" hidden="1" x14ac:dyDescent="0.25">
      <c r="A2453" s="426" t="s">
        <v>2054</v>
      </c>
      <c r="B2453" s="426" t="s">
        <v>2054</v>
      </c>
    </row>
    <row r="2454" spans="1:2" ht="15" hidden="1" x14ac:dyDescent="0.25">
      <c r="A2454" s="426" t="s">
        <v>2055</v>
      </c>
      <c r="B2454" s="426" t="s">
        <v>2055</v>
      </c>
    </row>
    <row r="2455" spans="1:2" ht="15" hidden="1" x14ac:dyDescent="0.25">
      <c r="A2455" s="426" t="s">
        <v>2056</v>
      </c>
      <c r="B2455" s="426" t="s">
        <v>2056</v>
      </c>
    </row>
    <row r="2456" spans="1:2" ht="15" hidden="1" x14ac:dyDescent="0.25">
      <c r="A2456" s="426" t="s">
        <v>2057</v>
      </c>
      <c r="B2456" s="426" t="s">
        <v>2057</v>
      </c>
    </row>
    <row r="2457" spans="1:2" ht="15" hidden="1" x14ac:dyDescent="0.25">
      <c r="A2457" s="426" t="s">
        <v>2058</v>
      </c>
      <c r="B2457" s="426" t="s">
        <v>2058</v>
      </c>
    </row>
    <row r="2458" spans="1:2" ht="15" hidden="1" x14ac:dyDescent="0.25">
      <c r="A2458" s="426" t="s">
        <v>2059</v>
      </c>
      <c r="B2458" s="426" t="s">
        <v>2059</v>
      </c>
    </row>
    <row r="2459" spans="1:2" ht="15" hidden="1" x14ac:dyDescent="0.25">
      <c r="A2459" s="426" t="s">
        <v>2060</v>
      </c>
      <c r="B2459" s="426" t="s">
        <v>2060</v>
      </c>
    </row>
    <row r="2460" spans="1:2" ht="15" hidden="1" x14ac:dyDescent="0.25">
      <c r="A2460" s="426" t="s">
        <v>2060</v>
      </c>
      <c r="B2460" s="426" t="s">
        <v>2060</v>
      </c>
    </row>
    <row r="2461" spans="1:2" ht="15" hidden="1" x14ac:dyDescent="0.25">
      <c r="A2461" s="426" t="s">
        <v>2061</v>
      </c>
      <c r="B2461" s="426" t="s">
        <v>2061</v>
      </c>
    </row>
    <row r="2462" spans="1:2" ht="15" hidden="1" x14ac:dyDescent="0.25">
      <c r="A2462" s="426" t="s">
        <v>2062</v>
      </c>
      <c r="B2462" s="426" t="s">
        <v>2062</v>
      </c>
    </row>
    <row r="2463" spans="1:2" ht="15" hidden="1" x14ac:dyDescent="0.25">
      <c r="A2463" s="426" t="s">
        <v>2063</v>
      </c>
      <c r="B2463" s="426" t="s">
        <v>2063</v>
      </c>
    </row>
    <row r="2464" spans="1:2" ht="15" hidden="1" x14ac:dyDescent="0.25">
      <c r="A2464" s="426" t="s">
        <v>2064</v>
      </c>
      <c r="B2464" s="426" t="s">
        <v>2064</v>
      </c>
    </row>
    <row r="2465" spans="1:2" ht="15" hidden="1" x14ac:dyDescent="0.25">
      <c r="A2465" s="426" t="s">
        <v>2065</v>
      </c>
      <c r="B2465" s="426" t="s">
        <v>2065</v>
      </c>
    </row>
    <row r="2466" spans="1:2" ht="15" hidden="1" x14ac:dyDescent="0.25">
      <c r="A2466" s="426" t="s">
        <v>2066</v>
      </c>
      <c r="B2466" s="426" t="s">
        <v>2066</v>
      </c>
    </row>
    <row r="2467" spans="1:2" ht="15" hidden="1" x14ac:dyDescent="0.25">
      <c r="A2467" s="426" t="s">
        <v>2067</v>
      </c>
      <c r="B2467" s="426" t="s">
        <v>2067</v>
      </c>
    </row>
    <row r="2468" spans="1:2" ht="15" hidden="1" x14ac:dyDescent="0.25">
      <c r="A2468" s="426" t="s">
        <v>2068</v>
      </c>
      <c r="B2468" s="426" t="s">
        <v>2068</v>
      </c>
    </row>
    <row r="2469" spans="1:2" ht="15" hidden="1" x14ac:dyDescent="0.25">
      <c r="A2469" s="426" t="s">
        <v>2069</v>
      </c>
      <c r="B2469" s="426" t="s">
        <v>2069</v>
      </c>
    </row>
    <row r="2470" spans="1:2" ht="15" hidden="1" x14ac:dyDescent="0.25">
      <c r="A2470" s="426" t="s">
        <v>2070</v>
      </c>
      <c r="B2470" s="426" t="s">
        <v>2070</v>
      </c>
    </row>
    <row r="2471" spans="1:2" ht="15" hidden="1" x14ac:dyDescent="0.25">
      <c r="A2471" s="426" t="s">
        <v>2071</v>
      </c>
      <c r="B2471" s="426" t="s">
        <v>2071</v>
      </c>
    </row>
    <row r="2472" spans="1:2" ht="15" hidden="1" x14ac:dyDescent="0.25">
      <c r="A2472" s="426" t="s">
        <v>2072</v>
      </c>
      <c r="B2472" s="426" t="s">
        <v>2072</v>
      </c>
    </row>
    <row r="2473" spans="1:2" ht="15" hidden="1" x14ac:dyDescent="0.25">
      <c r="A2473" s="426" t="s">
        <v>2073</v>
      </c>
      <c r="B2473" s="426" t="s">
        <v>2073</v>
      </c>
    </row>
    <row r="2474" spans="1:2" ht="15" hidden="1" x14ac:dyDescent="0.25">
      <c r="A2474" s="426" t="s">
        <v>2074</v>
      </c>
      <c r="B2474" s="426" t="s">
        <v>2074</v>
      </c>
    </row>
    <row r="2475" spans="1:2" ht="15" hidden="1" x14ac:dyDescent="0.25">
      <c r="A2475" s="426" t="s">
        <v>2075</v>
      </c>
      <c r="B2475" s="426" t="s">
        <v>2075</v>
      </c>
    </row>
    <row r="2476" spans="1:2" ht="15" hidden="1" x14ac:dyDescent="0.25">
      <c r="A2476" s="426" t="s">
        <v>2076</v>
      </c>
      <c r="B2476" s="426" t="s">
        <v>2076</v>
      </c>
    </row>
    <row r="2477" spans="1:2" ht="15" hidden="1" x14ac:dyDescent="0.25">
      <c r="A2477" s="426" t="s">
        <v>2077</v>
      </c>
      <c r="B2477" s="426" t="s">
        <v>2077</v>
      </c>
    </row>
    <row r="2478" spans="1:2" ht="15" hidden="1" x14ac:dyDescent="0.25">
      <c r="A2478" s="426" t="s">
        <v>2078</v>
      </c>
      <c r="B2478" s="426" t="s">
        <v>2078</v>
      </c>
    </row>
    <row r="2479" spans="1:2" ht="15" hidden="1" x14ac:dyDescent="0.25">
      <c r="A2479" s="426" t="s">
        <v>2079</v>
      </c>
      <c r="B2479" s="426" t="s">
        <v>2079</v>
      </c>
    </row>
    <row r="2480" spans="1:2" ht="15" hidden="1" x14ac:dyDescent="0.25">
      <c r="A2480" s="426" t="s">
        <v>2080</v>
      </c>
      <c r="B2480" s="426" t="s">
        <v>2080</v>
      </c>
    </row>
    <row r="2481" spans="1:2" ht="15" hidden="1" x14ac:dyDescent="0.25">
      <c r="A2481" s="426" t="s">
        <v>2081</v>
      </c>
      <c r="B2481" s="426" t="s">
        <v>2081</v>
      </c>
    </row>
    <row r="2482" spans="1:2" ht="15" hidden="1" x14ac:dyDescent="0.25">
      <c r="A2482" s="426" t="s">
        <v>2082</v>
      </c>
      <c r="B2482" s="426" t="s">
        <v>2082</v>
      </c>
    </row>
    <row r="2483" spans="1:2" ht="15" hidden="1" x14ac:dyDescent="0.25">
      <c r="A2483" s="426" t="s">
        <v>2083</v>
      </c>
      <c r="B2483" s="426" t="s">
        <v>2083</v>
      </c>
    </row>
    <row r="2484" spans="1:2" ht="15" hidden="1" x14ac:dyDescent="0.25">
      <c r="A2484" s="426" t="s">
        <v>2084</v>
      </c>
      <c r="B2484" s="426" t="s">
        <v>2084</v>
      </c>
    </row>
    <row r="2485" spans="1:2" ht="15" hidden="1" x14ac:dyDescent="0.25">
      <c r="A2485" s="426" t="s">
        <v>2085</v>
      </c>
      <c r="B2485" s="426" t="s">
        <v>2085</v>
      </c>
    </row>
    <row r="2486" spans="1:2" ht="15" hidden="1" x14ac:dyDescent="0.25">
      <c r="A2486" s="426" t="s">
        <v>2086</v>
      </c>
      <c r="B2486" s="426" t="s">
        <v>2086</v>
      </c>
    </row>
    <row r="2487" spans="1:2" ht="15" hidden="1" x14ac:dyDescent="0.25">
      <c r="A2487" s="426" t="s">
        <v>2087</v>
      </c>
      <c r="B2487" s="426" t="s">
        <v>2087</v>
      </c>
    </row>
    <row r="2488" spans="1:2" ht="15" hidden="1" x14ac:dyDescent="0.25">
      <c r="A2488" s="426" t="s">
        <v>2088</v>
      </c>
      <c r="B2488" s="426" t="s">
        <v>2088</v>
      </c>
    </row>
    <row r="2489" spans="1:2" ht="15" hidden="1" x14ac:dyDescent="0.25">
      <c r="A2489" s="426" t="s">
        <v>2089</v>
      </c>
      <c r="B2489" s="426" t="s">
        <v>2089</v>
      </c>
    </row>
    <row r="2490" spans="1:2" ht="15" hidden="1" x14ac:dyDescent="0.25">
      <c r="A2490" s="426" t="s">
        <v>2090</v>
      </c>
      <c r="B2490" s="426" t="s">
        <v>2090</v>
      </c>
    </row>
    <row r="2491" spans="1:2" ht="15" hidden="1" x14ac:dyDescent="0.25">
      <c r="A2491" s="426" t="s">
        <v>2091</v>
      </c>
      <c r="B2491" s="426" t="s">
        <v>2091</v>
      </c>
    </row>
    <row r="2492" spans="1:2" ht="15" hidden="1" x14ac:dyDescent="0.25">
      <c r="A2492" s="426" t="s">
        <v>2092</v>
      </c>
      <c r="B2492" s="426" t="s">
        <v>2092</v>
      </c>
    </row>
    <row r="2493" spans="1:2" ht="15" hidden="1" x14ac:dyDescent="0.25">
      <c r="A2493" s="426" t="s">
        <v>2093</v>
      </c>
      <c r="B2493" s="426" t="s">
        <v>2093</v>
      </c>
    </row>
    <row r="2494" spans="1:2" ht="15" hidden="1" x14ac:dyDescent="0.25">
      <c r="A2494" s="426" t="s">
        <v>2094</v>
      </c>
      <c r="B2494" s="426" t="s">
        <v>2094</v>
      </c>
    </row>
    <row r="2495" spans="1:2" ht="15" hidden="1" x14ac:dyDescent="0.25">
      <c r="A2495" s="426" t="s">
        <v>2095</v>
      </c>
      <c r="B2495" s="426" t="s">
        <v>2095</v>
      </c>
    </row>
    <row r="2496" spans="1:2" ht="15" hidden="1" x14ac:dyDescent="0.25">
      <c r="A2496" s="426" t="s">
        <v>2096</v>
      </c>
      <c r="B2496" s="426" t="s">
        <v>2096</v>
      </c>
    </row>
    <row r="2497" spans="1:2" ht="15" hidden="1" x14ac:dyDescent="0.25">
      <c r="A2497" s="426" t="s">
        <v>2097</v>
      </c>
      <c r="B2497" s="426" t="s">
        <v>2097</v>
      </c>
    </row>
    <row r="2498" spans="1:2" ht="15" hidden="1" x14ac:dyDescent="0.25">
      <c r="A2498" s="426" t="s">
        <v>2098</v>
      </c>
      <c r="B2498" s="426" t="s">
        <v>2098</v>
      </c>
    </row>
    <row r="2499" spans="1:2" ht="15" hidden="1" x14ac:dyDescent="0.25">
      <c r="A2499" s="426" t="s">
        <v>2099</v>
      </c>
      <c r="B2499" s="426" t="s">
        <v>2099</v>
      </c>
    </row>
    <row r="2500" spans="1:2" ht="15" hidden="1" x14ac:dyDescent="0.25">
      <c r="A2500" s="426" t="s">
        <v>2100</v>
      </c>
      <c r="B2500" s="426" t="s">
        <v>2100</v>
      </c>
    </row>
    <row r="2501" spans="1:2" ht="15" hidden="1" x14ac:dyDescent="0.25">
      <c r="A2501" s="426" t="s">
        <v>2101</v>
      </c>
      <c r="B2501" s="426" t="s">
        <v>2101</v>
      </c>
    </row>
    <row r="2502" spans="1:2" ht="15" hidden="1" x14ac:dyDescent="0.25">
      <c r="A2502" s="426" t="s">
        <v>2102</v>
      </c>
      <c r="B2502" s="426" t="s">
        <v>2102</v>
      </c>
    </row>
    <row r="2503" spans="1:2" ht="15" hidden="1" x14ac:dyDescent="0.25">
      <c r="A2503" s="426" t="s">
        <v>2103</v>
      </c>
      <c r="B2503" s="426" t="s">
        <v>2103</v>
      </c>
    </row>
    <row r="2504" spans="1:2" ht="15" hidden="1" x14ac:dyDescent="0.25">
      <c r="A2504" s="426" t="s">
        <v>2104</v>
      </c>
      <c r="B2504" s="426" t="s">
        <v>2104</v>
      </c>
    </row>
    <row r="2505" spans="1:2" ht="15" hidden="1" x14ac:dyDescent="0.25">
      <c r="A2505" s="426" t="s">
        <v>2105</v>
      </c>
      <c r="B2505" s="426" t="s">
        <v>2105</v>
      </c>
    </row>
    <row r="2506" spans="1:2" ht="15" hidden="1" x14ac:dyDescent="0.25">
      <c r="A2506" s="426" t="s">
        <v>2106</v>
      </c>
      <c r="B2506" s="426" t="s">
        <v>2106</v>
      </c>
    </row>
    <row r="2507" spans="1:2" ht="15" hidden="1" x14ac:dyDescent="0.25">
      <c r="A2507" s="426" t="s">
        <v>2107</v>
      </c>
      <c r="B2507" s="426" t="s">
        <v>2107</v>
      </c>
    </row>
    <row r="2508" spans="1:2" ht="15" hidden="1" x14ac:dyDescent="0.25">
      <c r="A2508" s="426" t="s">
        <v>2108</v>
      </c>
      <c r="B2508" s="426" t="s">
        <v>2108</v>
      </c>
    </row>
    <row r="2509" spans="1:2" ht="15" hidden="1" x14ac:dyDescent="0.25">
      <c r="A2509" s="426" t="s">
        <v>2109</v>
      </c>
      <c r="B2509" s="426" t="s">
        <v>2109</v>
      </c>
    </row>
    <row r="2510" spans="1:2" ht="15" hidden="1" x14ac:dyDescent="0.25">
      <c r="A2510" s="426" t="s">
        <v>2110</v>
      </c>
      <c r="B2510" s="426" t="s">
        <v>2110</v>
      </c>
    </row>
    <row r="2511" spans="1:2" ht="15" hidden="1" x14ac:dyDescent="0.25">
      <c r="A2511" s="426" t="s">
        <v>2111</v>
      </c>
      <c r="B2511" s="426" t="s">
        <v>2111</v>
      </c>
    </row>
    <row r="2512" spans="1:2" ht="15" hidden="1" x14ac:dyDescent="0.25">
      <c r="A2512" s="426" t="s">
        <v>2112</v>
      </c>
      <c r="B2512" s="426" t="s">
        <v>2112</v>
      </c>
    </row>
    <row r="2513" spans="1:2" ht="15" hidden="1" x14ac:dyDescent="0.25">
      <c r="A2513" s="426" t="s">
        <v>2113</v>
      </c>
      <c r="B2513" s="426" t="s">
        <v>2113</v>
      </c>
    </row>
    <row r="2514" spans="1:2" ht="15" hidden="1" x14ac:dyDescent="0.25">
      <c r="A2514" s="426" t="s">
        <v>2114</v>
      </c>
      <c r="B2514" s="426" t="s">
        <v>2114</v>
      </c>
    </row>
    <row r="2515" spans="1:2" ht="15" hidden="1" x14ac:dyDescent="0.25">
      <c r="A2515" s="426" t="s">
        <v>2115</v>
      </c>
      <c r="B2515" s="426" t="s">
        <v>2115</v>
      </c>
    </row>
    <row r="2516" spans="1:2" ht="15" hidden="1" x14ac:dyDescent="0.25">
      <c r="A2516" s="426" t="s">
        <v>2116</v>
      </c>
      <c r="B2516" s="426" t="s">
        <v>2116</v>
      </c>
    </row>
    <row r="2517" spans="1:2" ht="15" hidden="1" x14ac:dyDescent="0.25">
      <c r="A2517" s="426" t="s">
        <v>2117</v>
      </c>
      <c r="B2517" s="426" t="s">
        <v>2117</v>
      </c>
    </row>
    <row r="2518" spans="1:2" ht="15" hidden="1" x14ac:dyDescent="0.25">
      <c r="A2518" s="426" t="s">
        <v>2118</v>
      </c>
      <c r="B2518" s="426" t="s">
        <v>2118</v>
      </c>
    </row>
    <row r="2519" spans="1:2" ht="15" hidden="1" x14ac:dyDescent="0.25">
      <c r="A2519" s="426" t="s">
        <v>2119</v>
      </c>
      <c r="B2519" s="426" t="s">
        <v>2119</v>
      </c>
    </row>
    <row r="2520" spans="1:2" ht="15" hidden="1" x14ac:dyDescent="0.25">
      <c r="A2520" s="426" t="s">
        <v>2120</v>
      </c>
      <c r="B2520" s="426" t="s">
        <v>2120</v>
      </c>
    </row>
    <row r="2521" spans="1:2" ht="15" hidden="1" x14ac:dyDescent="0.25">
      <c r="A2521" s="426" t="s">
        <v>2121</v>
      </c>
      <c r="B2521" s="426" t="s">
        <v>2121</v>
      </c>
    </row>
    <row r="2522" spans="1:2" ht="15" hidden="1" x14ac:dyDescent="0.25">
      <c r="A2522" s="426" t="s">
        <v>2122</v>
      </c>
      <c r="B2522" s="426" t="s">
        <v>2122</v>
      </c>
    </row>
    <row r="2523" spans="1:2" ht="15" hidden="1" x14ac:dyDescent="0.25">
      <c r="A2523" s="426" t="s">
        <v>2123</v>
      </c>
      <c r="B2523" s="426" t="s">
        <v>2123</v>
      </c>
    </row>
    <row r="2524" spans="1:2" ht="15" hidden="1" x14ac:dyDescent="0.25">
      <c r="A2524" s="426" t="s">
        <v>2124</v>
      </c>
      <c r="B2524" s="426" t="s">
        <v>2124</v>
      </c>
    </row>
    <row r="2525" spans="1:2" ht="15" hidden="1" x14ac:dyDescent="0.25">
      <c r="A2525" s="426" t="s">
        <v>2125</v>
      </c>
      <c r="B2525" s="426" t="s">
        <v>2125</v>
      </c>
    </row>
    <row r="2526" spans="1:2" ht="15" hidden="1" x14ac:dyDescent="0.25">
      <c r="A2526" s="426" t="s">
        <v>2126</v>
      </c>
      <c r="B2526" s="426" t="s">
        <v>2126</v>
      </c>
    </row>
    <row r="2527" spans="1:2" ht="15" hidden="1" x14ac:dyDescent="0.25">
      <c r="A2527" s="426" t="s">
        <v>2127</v>
      </c>
      <c r="B2527" s="426" t="s">
        <v>2127</v>
      </c>
    </row>
    <row r="2528" spans="1:2" ht="15" hidden="1" x14ac:dyDescent="0.25">
      <c r="A2528" s="426" t="s">
        <v>2128</v>
      </c>
      <c r="B2528" s="426" t="s">
        <v>2128</v>
      </c>
    </row>
    <row r="2529" spans="1:2" ht="15" hidden="1" x14ac:dyDescent="0.25">
      <c r="A2529" s="426" t="s">
        <v>2129</v>
      </c>
      <c r="B2529" s="426" t="s">
        <v>2129</v>
      </c>
    </row>
    <row r="2530" spans="1:2" ht="15" hidden="1" x14ac:dyDescent="0.25">
      <c r="A2530" s="426" t="s">
        <v>2130</v>
      </c>
      <c r="B2530" s="426" t="s">
        <v>2130</v>
      </c>
    </row>
    <row r="2531" spans="1:2" ht="15" hidden="1" x14ac:dyDescent="0.25">
      <c r="A2531" s="426" t="s">
        <v>2131</v>
      </c>
      <c r="B2531" s="426" t="s">
        <v>2132</v>
      </c>
    </row>
    <row r="2532" spans="1:2" ht="15" hidden="1" x14ac:dyDescent="0.25">
      <c r="A2532" s="426" t="s">
        <v>2133</v>
      </c>
      <c r="B2532" s="426" t="s">
        <v>2134</v>
      </c>
    </row>
    <row r="2533" spans="1:2" ht="15" hidden="1" x14ac:dyDescent="0.25">
      <c r="A2533" s="426" t="s">
        <v>2135</v>
      </c>
      <c r="B2533" s="426" t="s">
        <v>2136</v>
      </c>
    </row>
    <row r="2534" spans="1:2" ht="15" hidden="1" x14ac:dyDescent="0.25">
      <c r="A2534" s="426" t="s">
        <v>2137</v>
      </c>
      <c r="B2534" s="426" t="s">
        <v>2138</v>
      </c>
    </row>
    <row r="2535" spans="1:2" ht="15" hidden="1" x14ac:dyDescent="0.25">
      <c r="A2535" s="426" t="s">
        <v>2139</v>
      </c>
      <c r="B2535" s="426" t="s">
        <v>2059</v>
      </c>
    </row>
    <row r="2536" spans="1:2" ht="15" hidden="1" x14ac:dyDescent="0.25">
      <c r="A2536" s="426" t="s">
        <v>2140</v>
      </c>
      <c r="B2536" s="426" t="s">
        <v>2141</v>
      </c>
    </row>
    <row r="2537" spans="1:2" ht="15" hidden="1" x14ac:dyDescent="0.25">
      <c r="A2537" s="426" t="s">
        <v>2142</v>
      </c>
      <c r="B2537" s="426" t="s">
        <v>2143</v>
      </c>
    </row>
    <row r="2538" spans="1:2" ht="15" hidden="1" x14ac:dyDescent="0.25">
      <c r="A2538" s="426" t="s">
        <v>1533</v>
      </c>
      <c r="B2538" s="426" t="s">
        <v>1534</v>
      </c>
    </row>
    <row r="2539" spans="1:2" ht="15" hidden="1" x14ac:dyDescent="0.25">
      <c r="A2539" s="426" t="s">
        <v>2144</v>
      </c>
      <c r="B2539" s="426" t="s">
        <v>2145</v>
      </c>
    </row>
    <row r="2540" spans="1:2" ht="15" hidden="1" x14ac:dyDescent="0.25">
      <c r="A2540" s="426" t="s">
        <v>2146</v>
      </c>
      <c r="B2540" s="426" t="s">
        <v>2147</v>
      </c>
    </row>
    <row r="2541" spans="1:2" ht="15" hidden="1" x14ac:dyDescent="0.25">
      <c r="A2541" s="426" t="s">
        <v>1537</v>
      </c>
      <c r="B2541" s="426" t="s">
        <v>1538</v>
      </c>
    </row>
    <row r="2542" spans="1:2" ht="15" hidden="1" x14ac:dyDescent="0.25">
      <c r="A2542" s="426" t="s">
        <v>2148</v>
      </c>
      <c r="B2542" s="426" t="s">
        <v>2149</v>
      </c>
    </row>
    <row r="2543" spans="1:2" ht="15" hidden="1" x14ac:dyDescent="0.25">
      <c r="A2543" s="426" t="s">
        <v>1540</v>
      </c>
      <c r="B2543" s="426" t="s">
        <v>1541</v>
      </c>
    </row>
    <row r="2544" spans="1:2" ht="15" hidden="1" x14ac:dyDescent="0.25">
      <c r="A2544" s="426" t="s">
        <v>2150</v>
      </c>
      <c r="B2544" s="426" t="s">
        <v>2151</v>
      </c>
    </row>
    <row r="2545" spans="1:2" ht="15" hidden="1" x14ac:dyDescent="0.25">
      <c r="A2545" s="426" t="s">
        <v>2152</v>
      </c>
      <c r="B2545" s="426" t="s">
        <v>2153</v>
      </c>
    </row>
    <row r="2546" spans="1:2" ht="15" hidden="1" x14ac:dyDescent="0.25">
      <c r="A2546" s="426" t="s">
        <v>2154</v>
      </c>
      <c r="B2546" s="426" t="s">
        <v>2155</v>
      </c>
    </row>
    <row r="2547" spans="1:2" ht="15" hidden="1" x14ac:dyDescent="0.25">
      <c r="A2547" s="426" t="s">
        <v>2156</v>
      </c>
      <c r="B2547" s="426" t="s">
        <v>2157</v>
      </c>
    </row>
    <row r="2548" spans="1:2" ht="15" hidden="1" x14ac:dyDescent="0.25">
      <c r="A2548" s="426" t="s">
        <v>1669</v>
      </c>
      <c r="B2548" s="426" t="s">
        <v>1670</v>
      </c>
    </row>
    <row r="2549" spans="1:2" ht="15" hidden="1" x14ac:dyDescent="0.25">
      <c r="A2549" s="426" t="s">
        <v>2158</v>
      </c>
      <c r="B2549" s="426" t="s">
        <v>2159</v>
      </c>
    </row>
    <row r="2550" spans="1:2" ht="15" hidden="1" x14ac:dyDescent="0.25">
      <c r="A2550" s="426" t="s">
        <v>2158</v>
      </c>
      <c r="B2550" s="426" t="s">
        <v>2159</v>
      </c>
    </row>
    <row r="2551" spans="1:2" ht="15" hidden="1" x14ac:dyDescent="0.25">
      <c r="A2551" s="426" t="s">
        <v>2160</v>
      </c>
      <c r="B2551" s="426" t="s">
        <v>2161</v>
      </c>
    </row>
    <row r="2552" spans="1:2" ht="15" hidden="1" x14ac:dyDescent="0.25">
      <c r="A2552" s="426" t="s">
        <v>2162</v>
      </c>
      <c r="B2552" s="426" t="s">
        <v>2163</v>
      </c>
    </row>
    <row r="2553" spans="1:2" ht="15" hidden="1" x14ac:dyDescent="0.25">
      <c r="A2553" s="426" t="s">
        <v>2164</v>
      </c>
      <c r="B2553" s="426" t="s">
        <v>2165</v>
      </c>
    </row>
    <row r="2554" spans="1:2" ht="15" hidden="1" x14ac:dyDescent="0.25">
      <c r="A2554" s="426" t="s">
        <v>2166</v>
      </c>
      <c r="B2554" s="426" t="s">
        <v>2167</v>
      </c>
    </row>
    <row r="2555" spans="1:2" ht="15" hidden="1" x14ac:dyDescent="0.25">
      <c r="A2555" s="426" t="s">
        <v>2168</v>
      </c>
      <c r="B2555" s="426" t="s">
        <v>2169</v>
      </c>
    </row>
    <row r="2556" spans="1:2" ht="15" hidden="1" x14ac:dyDescent="0.25">
      <c r="A2556" s="426" t="s">
        <v>2168</v>
      </c>
      <c r="B2556" s="426" t="s">
        <v>2169</v>
      </c>
    </row>
    <row r="2557" spans="1:2" ht="15" hidden="1" x14ac:dyDescent="0.25">
      <c r="A2557" s="426" t="s">
        <v>2170</v>
      </c>
      <c r="B2557" s="426" t="s">
        <v>2171</v>
      </c>
    </row>
    <row r="2558" spans="1:2" ht="15" hidden="1" x14ac:dyDescent="0.25">
      <c r="A2558" s="426" t="s">
        <v>2172</v>
      </c>
      <c r="B2558" s="426" t="s">
        <v>2173</v>
      </c>
    </row>
    <row r="2559" spans="1:2" ht="15" hidden="1" x14ac:dyDescent="0.25">
      <c r="A2559" s="426" t="s">
        <v>2174</v>
      </c>
      <c r="B2559" s="426" t="s">
        <v>2175</v>
      </c>
    </row>
    <row r="2560" spans="1:2" ht="15" hidden="1" x14ac:dyDescent="0.25">
      <c r="A2560" s="426" t="s">
        <v>2176</v>
      </c>
      <c r="B2560" s="426" t="s">
        <v>2177</v>
      </c>
    </row>
    <row r="2561" spans="1:2" ht="15" hidden="1" x14ac:dyDescent="0.25">
      <c r="A2561" s="426" t="s">
        <v>2178</v>
      </c>
      <c r="B2561" s="426" t="s">
        <v>2179</v>
      </c>
    </row>
    <row r="2562" spans="1:2" ht="15" hidden="1" x14ac:dyDescent="0.25">
      <c r="A2562" s="426" t="s">
        <v>2180</v>
      </c>
      <c r="B2562" s="426" t="s">
        <v>2181</v>
      </c>
    </row>
    <row r="2563" spans="1:2" ht="15" hidden="1" x14ac:dyDescent="0.25">
      <c r="A2563" s="426" t="s">
        <v>2180</v>
      </c>
      <c r="B2563" s="426" t="s">
        <v>2181</v>
      </c>
    </row>
    <row r="2564" spans="1:2" ht="15" hidden="1" x14ac:dyDescent="0.25">
      <c r="A2564" s="426" t="s">
        <v>2182</v>
      </c>
      <c r="B2564" s="426" t="s">
        <v>2183</v>
      </c>
    </row>
    <row r="2565" spans="1:2" ht="15" hidden="1" x14ac:dyDescent="0.25">
      <c r="A2565" s="426" t="s">
        <v>2184</v>
      </c>
      <c r="B2565" s="426" t="s">
        <v>2185</v>
      </c>
    </row>
    <row r="2566" spans="1:2" ht="15" hidden="1" x14ac:dyDescent="0.25">
      <c r="A2566" s="426" t="s">
        <v>2186</v>
      </c>
      <c r="B2566" s="426" t="s">
        <v>2187</v>
      </c>
    </row>
    <row r="2567" spans="1:2" ht="15" hidden="1" x14ac:dyDescent="0.25">
      <c r="A2567" s="426" t="s">
        <v>2188</v>
      </c>
      <c r="B2567" s="426" t="s">
        <v>2189</v>
      </c>
    </row>
    <row r="2568" spans="1:2" ht="15" hidden="1" x14ac:dyDescent="0.25">
      <c r="A2568" s="426" t="s">
        <v>2188</v>
      </c>
      <c r="B2568" s="426" t="s">
        <v>2189</v>
      </c>
    </row>
    <row r="2569" spans="1:2" ht="15" hidden="1" x14ac:dyDescent="0.25">
      <c r="A2569" s="426" t="s">
        <v>2190</v>
      </c>
      <c r="B2569" s="426" t="s">
        <v>2191</v>
      </c>
    </row>
    <row r="2570" spans="1:2" ht="15" hidden="1" x14ac:dyDescent="0.25">
      <c r="A2570" s="426" t="s">
        <v>1603</v>
      </c>
      <c r="B2570" s="426" t="s">
        <v>1604</v>
      </c>
    </row>
    <row r="2571" spans="1:2" ht="15" hidden="1" x14ac:dyDescent="0.25">
      <c r="A2571" s="426" t="s">
        <v>2192</v>
      </c>
      <c r="B2571" s="426" t="s">
        <v>1226</v>
      </c>
    </row>
    <row r="2572" spans="1:2" ht="15" hidden="1" x14ac:dyDescent="0.25">
      <c r="A2572" s="426" t="s">
        <v>2193</v>
      </c>
      <c r="B2572" s="426" t="s">
        <v>2194</v>
      </c>
    </row>
    <row r="2573" spans="1:2" ht="15" hidden="1" x14ac:dyDescent="0.25">
      <c r="A2573" s="426" t="s">
        <v>2195</v>
      </c>
      <c r="B2573" s="426" t="s">
        <v>2196</v>
      </c>
    </row>
    <row r="2574" spans="1:2" ht="15" hidden="1" x14ac:dyDescent="0.25">
      <c r="A2574" s="426" t="s">
        <v>2197</v>
      </c>
      <c r="B2574" s="426" t="s">
        <v>2198</v>
      </c>
    </row>
    <row r="2575" spans="1:2" ht="15" hidden="1" x14ac:dyDescent="0.25">
      <c r="A2575" s="426" t="s">
        <v>1701</v>
      </c>
      <c r="B2575" s="426" t="s">
        <v>1702</v>
      </c>
    </row>
    <row r="2576" spans="1:2" ht="15" hidden="1" x14ac:dyDescent="0.25">
      <c r="A2576" s="426" t="s">
        <v>2199</v>
      </c>
      <c r="B2576" s="426" t="s">
        <v>2200</v>
      </c>
    </row>
    <row r="2577" spans="1:2" ht="15" hidden="1" x14ac:dyDescent="0.25">
      <c r="A2577" s="426" t="s">
        <v>2201</v>
      </c>
      <c r="B2577" s="426" t="s">
        <v>2202</v>
      </c>
    </row>
    <row r="2578" spans="1:2" ht="15" hidden="1" x14ac:dyDescent="0.25">
      <c r="A2578" s="426" t="s">
        <v>208</v>
      </c>
      <c r="B2578" s="426" t="s">
        <v>309</v>
      </c>
    </row>
    <row r="2579" spans="1:2" ht="15" hidden="1" x14ac:dyDescent="0.25">
      <c r="A2579" s="426" t="s">
        <v>208</v>
      </c>
      <c r="B2579" s="426" t="s">
        <v>309</v>
      </c>
    </row>
    <row r="2580" spans="1:2" ht="15" hidden="1" x14ac:dyDescent="0.25">
      <c r="A2580" s="426" t="s">
        <v>208</v>
      </c>
      <c r="B2580" s="426" t="s">
        <v>309</v>
      </c>
    </row>
    <row r="2581" spans="1:2" ht="15" hidden="1" x14ac:dyDescent="0.25">
      <c r="A2581" s="426" t="s">
        <v>208</v>
      </c>
      <c r="B2581" s="426" t="s">
        <v>309</v>
      </c>
    </row>
    <row r="2582" spans="1:2" ht="15" hidden="1" x14ac:dyDescent="0.25">
      <c r="A2582" s="426" t="s">
        <v>208</v>
      </c>
      <c r="B2582" s="426" t="s">
        <v>309</v>
      </c>
    </row>
    <row r="2583" spans="1:2" ht="15" hidden="1" x14ac:dyDescent="0.25">
      <c r="A2583" s="426" t="s">
        <v>208</v>
      </c>
      <c r="B2583" s="426" t="s">
        <v>309</v>
      </c>
    </row>
    <row r="2584" spans="1:2" ht="15" hidden="1" x14ac:dyDescent="0.25">
      <c r="A2584" s="426" t="s">
        <v>208</v>
      </c>
      <c r="B2584" s="426" t="s">
        <v>309</v>
      </c>
    </row>
    <row r="2585" spans="1:2" ht="15" hidden="1" x14ac:dyDescent="0.25">
      <c r="A2585" s="426" t="s">
        <v>179</v>
      </c>
      <c r="B2585" s="426" t="s">
        <v>311</v>
      </c>
    </row>
    <row r="2586" spans="1:2" ht="15" hidden="1" x14ac:dyDescent="0.25">
      <c r="A2586" s="426" t="s">
        <v>179</v>
      </c>
      <c r="B2586" s="426" t="s">
        <v>311</v>
      </c>
    </row>
    <row r="2587" spans="1:2" ht="15" hidden="1" x14ac:dyDescent="0.25">
      <c r="A2587" s="426" t="s">
        <v>179</v>
      </c>
      <c r="B2587" s="426" t="s">
        <v>311</v>
      </c>
    </row>
    <row r="2588" spans="1:2" ht="15" hidden="1" x14ac:dyDescent="0.25">
      <c r="A2588" s="426" t="s">
        <v>395</v>
      </c>
      <c r="B2588" s="426" t="s">
        <v>396</v>
      </c>
    </row>
    <row r="2589" spans="1:2" ht="15" hidden="1" x14ac:dyDescent="0.25">
      <c r="A2589" s="426" t="s">
        <v>1619</v>
      </c>
      <c r="B2589" s="426" t="s">
        <v>1620</v>
      </c>
    </row>
    <row r="2590" spans="1:2" ht="15" hidden="1" x14ac:dyDescent="0.25">
      <c r="A2590" s="426" t="s">
        <v>1455</v>
      </c>
      <c r="B2590" s="426" t="s">
        <v>1456</v>
      </c>
    </row>
    <row r="2591" spans="1:2" ht="15" hidden="1" x14ac:dyDescent="0.25">
      <c r="A2591" s="426" t="s">
        <v>1455</v>
      </c>
      <c r="B2591" s="426" t="s">
        <v>1456</v>
      </c>
    </row>
    <row r="2592" spans="1:2" ht="15" hidden="1" x14ac:dyDescent="0.25">
      <c r="A2592" s="427" t="s">
        <v>1455</v>
      </c>
      <c r="B2592" s="427" t="s">
        <v>1456</v>
      </c>
    </row>
    <row r="2593" spans="1:2" ht="15" hidden="1" x14ac:dyDescent="0.25">
      <c r="A2593" s="426" t="s">
        <v>1455</v>
      </c>
      <c r="B2593" s="426" t="s">
        <v>1456</v>
      </c>
    </row>
    <row r="2594" spans="1:2" ht="15" hidden="1" x14ac:dyDescent="0.25">
      <c r="A2594" s="426" t="s">
        <v>1455</v>
      </c>
      <c r="B2594" s="426" t="s">
        <v>1456</v>
      </c>
    </row>
    <row r="2595" spans="1:2" ht="15" hidden="1" x14ac:dyDescent="0.25">
      <c r="A2595" s="426" t="s">
        <v>182</v>
      </c>
      <c r="B2595" s="426" t="s">
        <v>315</v>
      </c>
    </row>
    <row r="2596" spans="1:2" ht="15" hidden="1" x14ac:dyDescent="0.25">
      <c r="A2596" s="426" t="s">
        <v>182</v>
      </c>
      <c r="B2596" s="426" t="s">
        <v>315</v>
      </c>
    </row>
    <row r="2597" spans="1:2" ht="15" hidden="1" x14ac:dyDescent="0.25">
      <c r="A2597" s="426" t="s">
        <v>182</v>
      </c>
      <c r="B2597" s="426" t="s">
        <v>315</v>
      </c>
    </row>
    <row r="2598" spans="1:2" ht="15" hidden="1" x14ac:dyDescent="0.25">
      <c r="A2598" s="426" t="s">
        <v>182</v>
      </c>
      <c r="B2598" s="426" t="s">
        <v>315</v>
      </c>
    </row>
    <row r="2599" spans="1:2" ht="15" hidden="1" x14ac:dyDescent="0.25">
      <c r="A2599" s="426" t="s">
        <v>182</v>
      </c>
      <c r="B2599" s="426" t="s">
        <v>315</v>
      </c>
    </row>
    <row r="2600" spans="1:2" ht="15" hidden="1" x14ac:dyDescent="0.25">
      <c r="A2600" s="426" t="s">
        <v>182</v>
      </c>
      <c r="B2600" s="426" t="s">
        <v>315</v>
      </c>
    </row>
    <row r="2601" spans="1:2" ht="15" hidden="1" x14ac:dyDescent="0.25">
      <c r="A2601" s="426" t="s">
        <v>182</v>
      </c>
      <c r="B2601" s="426" t="s">
        <v>315</v>
      </c>
    </row>
    <row r="2602" spans="1:2" ht="15" hidden="1" x14ac:dyDescent="0.25">
      <c r="A2602" s="426" t="s">
        <v>182</v>
      </c>
      <c r="B2602" s="426" t="s">
        <v>315</v>
      </c>
    </row>
    <row r="2603" spans="1:2" ht="15" hidden="1" x14ac:dyDescent="0.25">
      <c r="A2603" s="426" t="s">
        <v>182</v>
      </c>
      <c r="B2603" s="426" t="s">
        <v>315</v>
      </c>
    </row>
    <row r="2604" spans="1:2" ht="15" hidden="1" x14ac:dyDescent="0.25">
      <c r="A2604" s="426" t="s">
        <v>182</v>
      </c>
      <c r="B2604" s="426" t="s">
        <v>315</v>
      </c>
    </row>
    <row r="2605" spans="1:2" ht="15" hidden="1" x14ac:dyDescent="0.25">
      <c r="A2605" s="426" t="s">
        <v>182</v>
      </c>
      <c r="B2605" s="426" t="s">
        <v>315</v>
      </c>
    </row>
    <row r="2606" spans="1:2" ht="15" hidden="1" x14ac:dyDescent="0.25">
      <c r="A2606" s="426" t="s">
        <v>182</v>
      </c>
      <c r="B2606" s="426" t="s">
        <v>315</v>
      </c>
    </row>
    <row r="2607" spans="1:2" ht="15" hidden="1" x14ac:dyDescent="0.25">
      <c r="A2607" s="426" t="s">
        <v>210</v>
      </c>
      <c r="B2607" s="426" t="s">
        <v>316</v>
      </c>
    </row>
    <row r="2608" spans="1:2" ht="15" hidden="1" x14ac:dyDescent="0.25">
      <c r="A2608" s="426" t="s">
        <v>210</v>
      </c>
      <c r="B2608" s="426" t="s">
        <v>316</v>
      </c>
    </row>
    <row r="2609" spans="1:2" ht="15" hidden="1" x14ac:dyDescent="0.25">
      <c r="A2609" s="426" t="s">
        <v>210</v>
      </c>
      <c r="B2609" s="426" t="s">
        <v>316</v>
      </c>
    </row>
    <row r="2610" spans="1:2" ht="15" hidden="1" x14ac:dyDescent="0.25">
      <c r="A2610" s="426" t="s">
        <v>210</v>
      </c>
      <c r="B2610" s="426" t="s">
        <v>316</v>
      </c>
    </row>
    <row r="2611" spans="1:2" ht="15" hidden="1" x14ac:dyDescent="0.25">
      <c r="A2611" s="426" t="s">
        <v>183</v>
      </c>
      <c r="B2611" s="426" t="s">
        <v>317</v>
      </c>
    </row>
    <row r="2612" spans="1:2" ht="15" hidden="1" x14ac:dyDescent="0.25">
      <c r="A2612" s="426" t="s">
        <v>184</v>
      </c>
      <c r="B2612" s="426" t="s">
        <v>318</v>
      </c>
    </row>
    <row r="2613" spans="1:2" ht="15" hidden="1" x14ac:dyDescent="0.25">
      <c r="A2613" s="426" t="s">
        <v>184</v>
      </c>
      <c r="B2613" s="426" t="s">
        <v>318</v>
      </c>
    </row>
    <row r="2614" spans="1:2" ht="15" hidden="1" x14ac:dyDescent="0.25">
      <c r="A2614" s="426" t="s">
        <v>184</v>
      </c>
      <c r="B2614" s="426" t="s">
        <v>318</v>
      </c>
    </row>
    <row r="2615" spans="1:2" ht="15" hidden="1" x14ac:dyDescent="0.25">
      <c r="A2615" s="426" t="s">
        <v>184</v>
      </c>
      <c r="B2615" s="426" t="s">
        <v>318</v>
      </c>
    </row>
    <row r="2616" spans="1:2" ht="15" hidden="1" x14ac:dyDescent="0.25">
      <c r="A2616" s="426" t="s">
        <v>185</v>
      </c>
      <c r="B2616" s="426" t="s">
        <v>319</v>
      </c>
    </row>
    <row r="2617" spans="1:2" ht="15" hidden="1" x14ac:dyDescent="0.25">
      <c r="A2617" s="426" t="s">
        <v>185</v>
      </c>
      <c r="B2617" s="426" t="s">
        <v>319</v>
      </c>
    </row>
    <row r="2618" spans="1:2" ht="15" hidden="1" x14ac:dyDescent="0.25">
      <c r="A2618" s="426" t="s">
        <v>185</v>
      </c>
      <c r="B2618" s="426" t="s">
        <v>319</v>
      </c>
    </row>
    <row r="2619" spans="1:2" ht="15" hidden="1" x14ac:dyDescent="0.25">
      <c r="A2619" s="426" t="s">
        <v>185</v>
      </c>
      <c r="B2619" s="426" t="s">
        <v>319</v>
      </c>
    </row>
    <row r="2620" spans="1:2" ht="15" hidden="1" x14ac:dyDescent="0.25">
      <c r="A2620" s="426" t="s">
        <v>185</v>
      </c>
      <c r="B2620" s="426" t="s">
        <v>319</v>
      </c>
    </row>
    <row r="2621" spans="1:2" ht="15" hidden="1" x14ac:dyDescent="0.25">
      <c r="A2621" s="426" t="s">
        <v>185</v>
      </c>
      <c r="B2621" s="426" t="s">
        <v>319</v>
      </c>
    </row>
    <row r="2622" spans="1:2" ht="15" hidden="1" x14ac:dyDescent="0.25">
      <c r="A2622" s="426" t="s">
        <v>185</v>
      </c>
      <c r="B2622" s="426" t="s">
        <v>319</v>
      </c>
    </row>
    <row r="2623" spans="1:2" ht="15" hidden="1" x14ac:dyDescent="0.25">
      <c r="A2623" s="426" t="s">
        <v>185</v>
      </c>
      <c r="B2623" s="426" t="s">
        <v>319</v>
      </c>
    </row>
    <row r="2624" spans="1:2" ht="15" hidden="1" x14ac:dyDescent="0.25">
      <c r="A2624" s="426" t="s">
        <v>185</v>
      </c>
      <c r="B2624" s="426" t="s">
        <v>319</v>
      </c>
    </row>
    <row r="2625" spans="1:2" ht="15" hidden="1" x14ac:dyDescent="0.25">
      <c r="A2625" s="426" t="s">
        <v>185</v>
      </c>
      <c r="B2625" s="426" t="s">
        <v>319</v>
      </c>
    </row>
    <row r="2626" spans="1:2" ht="15" hidden="1" x14ac:dyDescent="0.25">
      <c r="A2626" s="426" t="s">
        <v>185</v>
      </c>
      <c r="B2626" s="426" t="s">
        <v>319</v>
      </c>
    </row>
    <row r="2627" spans="1:2" ht="15" hidden="1" x14ac:dyDescent="0.25">
      <c r="A2627" s="426" t="s">
        <v>185</v>
      </c>
      <c r="B2627" s="426" t="s">
        <v>319</v>
      </c>
    </row>
    <row r="2628" spans="1:2" ht="15" hidden="1" x14ac:dyDescent="0.25">
      <c r="A2628" s="426" t="s">
        <v>185</v>
      </c>
      <c r="B2628" s="426" t="s">
        <v>319</v>
      </c>
    </row>
    <row r="2629" spans="1:2" ht="15" hidden="1" x14ac:dyDescent="0.25">
      <c r="A2629" s="426" t="s">
        <v>185</v>
      </c>
      <c r="B2629" s="426" t="s">
        <v>319</v>
      </c>
    </row>
    <row r="2630" spans="1:2" ht="15" hidden="1" x14ac:dyDescent="0.25">
      <c r="A2630" s="426" t="s">
        <v>185</v>
      </c>
      <c r="B2630" s="426" t="s">
        <v>319</v>
      </c>
    </row>
    <row r="2631" spans="1:2" ht="15" hidden="1" x14ac:dyDescent="0.25">
      <c r="A2631" s="426" t="s">
        <v>185</v>
      </c>
      <c r="B2631" s="426" t="s">
        <v>319</v>
      </c>
    </row>
    <row r="2632" spans="1:2" ht="15" hidden="1" x14ac:dyDescent="0.25">
      <c r="A2632" s="426" t="s">
        <v>185</v>
      </c>
      <c r="B2632" s="426" t="s">
        <v>319</v>
      </c>
    </row>
    <row r="2633" spans="1:2" ht="15" hidden="1" x14ac:dyDescent="0.25">
      <c r="A2633" s="426" t="s">
        <v>185</v>
      </c>
      <c r="B2633" s="426" t="s">
        <v>319</v>
      </c>
    </row>
    <row r="2634" spans="1:2" ht="15" hidden="1" x14ac:dyDescent="0.25">
      <c r="A2634" s="426" t="s">
        <v>185</v>
      </c>
      <c r="B2634" s="426" t="s">
        <v>319</v>
      </c>
    </row>
    <row r="2635" spans="1:2" ht="15" hidden="1" x14ac:dyDescent="0.25">
      <c r="A2635" s="426" t="s">
        <v>185</v>
      </c>
      <c r="B2635" s="426" t="s">
        <v>319</v>
      </c>
    </row>
    <row r="2636" spans="1:2" ht="15" hidden="1" x14ac:dyDescent="0.25">
      <c r="A2636" s="426" t="s">
        <v>185</v>
      </c>
      <c r="B2636" s="426" t="s">
        <v>319</v>
      </c>
    </row>
    <row r="2637" spans="1:2" ht="15" hidden="1" x14ac:dyDescent="0.25">
      <c r="A2637" s="426" t="s">
        <v>185</v>
      </c>
      <c r="B2637" s="426" t="s">
        <v>319</v>
      </c>
    </row>
    <row r="2638" spans="1:2" ht="15" hidden="1" x14ac:dyDescent="0.25">
      <c r="A2638" s="426" t="s">
        <v>185</v>
      </c>
      <c r="B2638" s="426" t="s">
        <v>319</v>
      </c>
    </row>
    <row r="2639" spans="1:2" ht="15" hidden="1" x14ac:dyDescent="0.25">
      <c r="A2639" s="426" t="s">
        <v>185</v>
      </c>
      <c r="B2639" s="426" t="s">
        <v>319</v>
      </c>
    </row>
    <row r="2640" spans="1:2" ht="15" hidden="1" x14ac:dyDescent="0.25">
      <c r="A2640" s="426" t="s">
        <v>185</v>
      </c>
      <c r="B2640" s="426" t="s">
        <v>319</v>
      </c>
    </row>
    <row r="2641" spans="1:2" ht="15" hidden="1" x14ac:dyDescent="0.25">
      <c r="A2641" s="426" t="s">
        <v>185</v>
      </c>
      <c r="B2641" s="426" t="s">
        <v>319</v>
      </c>
    </row>
    <row r="2642" spans="1:2" ht="15" hidden="1" x14ac:dyDescent="0.25">
      <c r="A2642" s="426" t="s">
        <v>187</v>
      </c>
      <c r="B2642" s="426" t="s">
        <v>322</v>
      </c>
    </row>
    <row r="2643" spans="1:2" ht="15" hidden="1" x14ac:dyDescent="0.25">
      <c r="A2643" s="426" t="s">
        <v>187</v>
      </c>
      <c r="B2643" s="426" t="s">
        <v>322</v>
      </c>
    </row>
    <row r="2644" spans="1:2" ht="15" hidden="1" x14ac:dyDescent="0.25">
      <c r="A2644" s="426" t="s">
        <v>187</v>
      </c>
      <c r="B2644" s="426" t="s">
        <v>322</v>
      </c>
    </row>
    <row r="2645" spans="1:2" ht="15" hidden="1" x14ac:dyDescent="0.25">
      <c r="A2645" s="426" t="s">
        <v>187</v>
      </c>
      <c r="B2645" s="426" t="s">
        <v>322</v>
      </c>
    </row>
    <row r="2646" spans="1:2" ht="15" hidden="1" x14ac:dyDescent="0.25">
      <c r="A2646" s="426" t="s">
        <v>187</v>
      </c>
      <c r="B2646" s="426" t="s">
        <v>322</v>
      </c>
    </row>
    <row r="2647" spans="1:2" ht="15" hidden="1" x14ac:dyDescent="0.25">
      <c r="A2647" s="426" t="s">
        <v>1459</v>
      </c>
      <c r="B2647" s="426" t="s">
        <v>1460</v>
      </c>
    </row>
    <row r="2648" spans="1:2" ht="15" hidden="1" x14ac:dyDescent="0.25">
      <c r="A2648" s="426" t="s">
        <v>188</v>
      </c>
      <c r="B2648" s="426" t="s">
        <v>323</v>
      </c>
    </row>
    <row r="2649" spans="1:2" ht="15" hidden="1" x14ac:dyDescent="0.25">
      <c r="A2649" s="426" t="s">
        <v>188</v>
      </c>
      <c r="B2649" s="426" t="s">
        <v>323</v>
      </c>
    </row>
    <row r="2650" spans="1:2" ht="15" hidden="1" x14ac:dyDescent="0.25">
      <c r="A2650" s="426" t="s">
        <v>188</v>
      </c>
      <c r="B2650" s="426" t="s">
        <v>323</v>
      </c>
    </row>
    <row r="2651" spans="1:2" ht="15" hidden="1" x14ac:dyDescent="0.25">
      <c r="A2651" s="426" t="s">
        <v>188</v>
      </c>
      <c r="B2651" s="426" t="s">
        <v>323</v>
      </c>
    </row>
    <row r="2652" spans="1:2" ht="15" hidden="1" x14ac:dyDescent="0.25">
      <c r="A2652" s="426" t="s">
        <v>1269</v>
      </c>
      <c r="B2652" s="426" t="s">
        <v>1270</v>
      </c>
    </row>
    <row r="2653" spans="1:2" ht="15" hidden="1" x14ac:dyDescent="0.25">
      <c r="A2653" s="426" t="s">
        <v>1269</v>
      </c>
      <c r="B2653" s="426" t="s">
        <v>1270</v>
      </c>
    </row>
    <row r="2654" spans="1:2" ht="15" hidden="1" x14ac:dyDescent="0.25">
      <c r="A2654" s="426" t="s">
        <v>1269</v>
      </c>
      <c r="B2654" s="426" t="s">
        <v>1270</v>
      </c>
    </row>
    <row r="2655" spans="1:2" ht="15" hidden="1" x14ac:dyDescent="0.25">
      <c r="A2655" s="426" t="s">
        <v>1269</v>
      </c>
      <c r="B2655" s="426" t="s">
        <v>1270</v>
      </c>
    </row>
    <row r="2656" spans="1:2" ht="15" hidden="1" x14ac:dyDescent="0.25">
      <c r="A2656" s="426" t="s">
        <v>1269</v>
      </c>
      <c r="B2656" s="426" t="s">
        <v>1270</v>
      </c>
    </row>
    <row r="2657" spans="1:2" ht="15" hidden="1" x14ac:dyDescent="0.25">
      <c r="A2657" s="426" t="s">
        <v>1269</v>
      </c>
      <c r="B2657" s="426" t="s">
        <v>1270</v>
      </c>
    </row>
    <row r="2658" spans="1:2" ht="15" hidden="1" x14ac:dyDescent="0.25">
      <c r="A2658" s="426" t="s">
        <v>1269</v>
      </c>
      <c r="B2658" s="426" t="s">
        <v>1270</v>
      </c>
    </row>
    <row r="2659" spans="1:2" ht="15" hidden="1" x14ac:dyDescent="0.25">
      <c r="A2659" s="426" t="s">
        <v>1269</v>
      </c>
      <c r="B2659" s="426" t="s">
        <v>1270</v>
      </c>
    </row>
    <row r="2660" spans="1:2" ht="15" hidden="1" x14ac:dyDescent="0.25">
      <c r="A2660" s="426" t="s">
        <v>2203</v>
      </c>
      <c r="B2660" s="426" t="s">
        <v>2203</v>
      </c>
    </row>
    <row r="2661" spans="1:2" ht="15" hidden="1" x14ac:dyDescent="0.25">
      <c r="A2661" s="426" t="s">
        <v>2204</v>
      </c>
      <c r="B2661" s="426" t="s">
        <v>2204</v>
      </c>
    </row>
    <row r="2662" spans="1:2" ht="15" hidden="1" x14ac:dyDescent="0.25">
      <c r="A2662" s="426" t="s">
        <v>2205</v>
      </c>
      <c r="B2662" s="426" t="s">
        <v>2205</v>
      </c>
    </row>
    <row r="2663" spans="1:2" ht="15" hidden="1" x14ac:dyDescent="0.25">
      <c r="A2663" s="426" t="s">
        <v>2206</v>
      </c>
      <c r="B2663" s="426" t="s">
        <v>2206</v>
      </c>
    </row>
    <row r="2664" spans="1:2" ht="15" hidden="1" x14ac:dyDescent="0.25">
      <c r="A2664" s="426" t="s">
        <v>2207</v>
      </c>
      <c r="B2664" s="426" t="s">
        <v>2207</v>
      </c>
    </row>
    <row r="2665" spans="1:2" ht="15" hidden="1" x14ac:dyDescent="0.25">
      <c r="A2665" s="426" t="s">
        <v>2208</v>
      </c>
      <c r="B2665" s="426" t="s">
        <v>2208</v>
      </c>
    </row>
    <row r="2666" spans="1:2" ht="15" hidden="1" x14ac:dyDescent="0.25">
      <c r="A2666" s="426" t="s">
        <v>2209</v>
      </c>
      <c r="B2666" s="426" t="s">
        <v>2209</v>
      </c>
    </row>
    <row r="2667" spans="1:2" ht="15" hidden="1" x14ac:dyDescent="0.25">
      <c r="A2667" s="426" t="s">
        <v>2210</v>
      </c>
      <c r="B2667" s="426" t="s">
        <v>2210</v>
      </c>
    </row>
    <row r="2668" spans="1:2" ht="15" hidden="1" x14ac:dyDescent="0.25">
      <c r="A2668" s="426" t="s">
        <v>2210</v>
      </c>
      <c r="B2668" s="426" t="s">
        <v>2210</v>
      </c>
    </row>
    <row r="2669" spans="1:2" ht="15" hidden="1" x14ac:dyDescent="0.25">
      <c r="A2669" s="426" t="s">
        <v>2211</v>
      </c>
      <c r="B2669" s="426" t="s">
        <v>2211</v>
      </c>
    </row>
    <row r="2670" spans="1:2" ht="15" hidden="1" x14ac:dyDescent="0.25">
      <c r="A2670" s="426" t="s">
        <v>2212</v>
      </c>
      <c r="B2670" s="426" t="s">
        <v>2212</v>
      </c>
    </row>
    <row r="2671" spans="1:2" ht="15" hidden="1" x14ac:dyDescent="0.25">
      <c r="A2671" s="426" t="s">
        <v>2213</v>
      </c>
      <c r="B2671" s="426" t="s">
        <v>2213</v>
      </c>
    </row>
    <row r="2672" spans="1:2" ht="15" hidden="1" x14ac:dyDescent="0.25">
      <c r="A2672" s="426" t="s">
        <v>2214</v>
      </c>
      <c r="B2672" s="426" t="s">
        <v>2214</v>
      </c>
    </row>
    <row r="2673" spans="1:2" ht="15" hidden="1" x14ac:dyDescent="0.25">
      <c r="A2673" s="426" t="s">
        <v>2215</v>
      </c>
      <c r="B2673" s="426" t="s">
        <v>2215</v>
      </c>
    </row>
    <row r="2674" spans="1:2" ht="15" hidden="1" x14ac:dyDescent="0.25">
      <c r="A2674" s="426" t="s">
        <v>2216</v>
      </c>
      <c r="B2674" s="426" t="s">
        <v>2216</v>
      </c>
    </row>
    <row r="2675" spans="1:2" ht="15" hidden="1" x14ac:dyDescent="0.25">
      <c r="A2675" s="426" t="s">
        <v>2217</v>
      </c>
      <c r="B2675" s="426" t="s">
        <v>2217</v>
      </c>
    </row>
    <row r="2676" spans="1:2" ht="15" hidden="1" x14ac:dyDescent="0.25">
      <c r="A2676" s="426" t="s">
        <v>2218</v>
      </c>
      <c r="B2676" s="426" t="s">
        <v>2218</v>
      </c>
    </row>
    <row r="2677" spans="1:2" ht="15" hidden="1" x14ac:dyDescent="0.25">
      <c r="A2677" s="426" t="s">
        <v>2219</v>
      </c>
      <c r="B2677" s="426" t="s">
        <v>2219</v>
      </c>
    </row>
    <row r="2678" spans="1:2" ht="15" hidden="1" x14ac:dyDescent="0.25">
      <c r="A2678" s="426" t="s">
        <v>2220</v>
      </c>
      <c r="B2678" s="426" t="s">
        <v>2220</v>
      </c>
    </row>
    <row r="2679" spans="1:2" ht="15" hidden="1" x14ac:dyDescent="0.25">
      <c r="A2679" s="426" t="s">
        <v>2221</v>
      </c>
      <c r="B2679" s="426" t="s">
        <v>2221</v>
      </c>
    </row>
    <row r="2680" spans="1:2" ht="15" hidden="1" x14ac:dyDescent="0.25">
      <c r="A2680" s="426" t="s">
        <v>2222</v>
      </c>
      <c r="B2680" s="426" t="s">
        <v>2222</v>
      </c>
    </row>
    <row r="2681" spans="1:2" ht="15" hidden="1" x14ac:dyDescent="0.25">
      <c r="A2681" s="426" t="s">
        <v>2223</v>
      </c>
      <c r="B2681" s="426" t="s">
        <v>2223</v>
      </c>
    </row>
    <row r="2682" spans="1:2" ht="15" hidden="1" x14ac:dyDescent="0.25">
      <c r="A2682" s="426" t="s">
        <v>2224</v>
      </c>
      <c r="B2682" s="426" t="s">
        <v>2224</v>
      </c>
    </row>
    <row r="2683" spans="1:2" ht="15" hidden="1" x14ac:dyDescent="0.25">
      <c r="A2683" s="426" t="s">
        <v>2225</v>
      </c>
      <c r="B2683" s="426" t="s">
        <v>2225</v>
      </c>
    </row>
    <row r="2684" spans="1:2" ht="15" hidden="1" x14ac:dyDescent="0.25">
      <c r="A2684" s="426" t="s">
        <v>2226</v>
      </c>
      <c r="B2684" s="426" t="s">
        <v>2226</v>
      </c>
    </row>
    <row r="2685" spans="1:2" ht="15" hidden="1" x14ac:dyDescent="0.25">
      <c r="A2685" s="426" t="s">
        <v>2227</v>
      </c>
      <c r="B2685" s="426" t="s">
        <v>2227</v>
      </c>
    </row>
    <row r="2686" spans="1:2" ht="15" hidden="1" x14ac:dyDescent="0.25">
      <c r="A2686" s="426" t="s">
        <v>2228</v>
      </c>
      <c r="B2686" s="426" t="s">
        <v>2228</v>
      </c>
    </row>
    <row r="2687" spans="1:2" ht="15" hidden="1" x14ac:dyDescent="0.25">
      <c r="A2687" s="426" t="s">
        <v>2229</v>
      </c>
      <c r="B2687" s="426" t="s">
        <v>2229</v>
      </c>
    </row>
    <row r="2688" spans="1:2" ht="15" hidden="1" x14ac:dyDescent="0.25">
      <c r="A2688" s="426" t="s">
        <v>2230</v>
      </c>
      <c r="B2688" s="426" t="s">
        <v>2230</v>
      </c>
    </row>
    <row r="2689" spans="1:2" ht="15" hidden="1" x14ac:dyDescent="0.25">
      <c r="A2689" s="426" t="s">
        <v>2231</v>
      </c>
      <c r="B2689" s="426" t="s">
        <v>2231</v>
      </c>
    </row>
    <row r="2690" spans="1:2" ht="15" hidden="1" x14ac:dyDescent="0.25">
      <c r="A2690" s="426" t="s">
        <v>2232</v>
      </c>
      <c r="B2690" s="426" t="s">
        <v>2232</v>
      </c>
    </row>
    <row r="2691" spans="1:2" ht="15" hidden="1" x14ac:dyDescent="0.25">
      <c r="A2691" s="426" t="s">
        <v>2233</v>
      </c>
      <c r="B2691" s="426" t="s">
        <v>2233</v>
      </c>
    </row>
    <row r="2692" spans="1:2" ht="15" hidden="1" x14ac:dyDescent="0.25">
      <c r="A2692" s="426" t="s">
        <v>2233</v>
      </c>
      <c r="B2692" s="426" t="s">
        <v>2233</v>
      </c>
    </row>
    <row r="2693" spans="1:2" ht="15" hidden="1" x14ac:dyDescent="0.25">
      <c r="A2693" s="426" t="s">
        <v>2234</v>
      </c>
      <c r="B2693" s="426" t="s">
        <v>2234</v>
      </c>
    </row>
    <row r="2694" spans="1:2" ht="15" hidden="1" x14ac:dyDescent="0.25">
      <c r="A2694" s="426" t="s">
        <v>2235</v>
      </c>
      <c r="B2694" s="426" t="s">
        <v>2235</v>
      </c>
    </row>
    <row r="2695" spans="1:2" ht="15" hidden="1" x14ac:dyDescent="0.25">
      <c r="A2695" s="426" t="s">
        <v>2236</v>
      </c>
      <c r="B2695" s="426" t="s">
        <v>2236</v>
      </c>
    </row>
    <row r="2696" spans="1:2" ht="15" hidden="1" x14ac:dyDescent="0.25">
      <c r="A2696" s="426" t="s">
        <v>2237</v>
      </c>
      <c r="B2696" s="426" t="s">
        <v>2237</v>
      </c>
    </row>
    <row r="2697" spans="1:2" ht="15" hidden="1" x14ac:dyDescent="0.25">
      <c r="A2697" s="426" t="s">
        <v>2238</v>
      </c>
      <c r="B2697" s="426" t="s">
        <v>2238</v>
      </c>
    </row>
    <row r="2698" spans="1:2" ht="15" hidden="1" x14ac:dyDescent="0.25">
      <c r="A2698" s="426" t="s">
        <v>2239</v>
      </c>
      <c r="B2698" s="426" t="s">
        <v>2239</v>
      </c>
    </row>
    <row r="2699" spans="1:2" ht="15" hidden="1" x14ac:dyDescent="0.25">
      <c r="A2699" s="426" t="s">
        <v>2240</v>
      </c>
      <c r="B2699" s="426" t="s">
        <v>2240</v>
      </c>
    </row>
    <row r="2700" spans="1:2" ht="15" hidden="1" x14ac:dyDescent="0.25">
      <c r="A2700" s="426" t="s">
        <v>2241</v>
      </c>
      <c r="B2700" s="426" t="s">
        <v>2241</v>
      </c>
    </row>
    <row r="2701" spans="1:2" ht="15" hidden="1" x14ac:dyDescent="0.25">
      <c r="A2701" s="426" t="s">
        <v>2241</v>
      </c>
      <c r="B2701" s="426" t="s">
        <v>2241</v>
      </c>
    </row>
    <row r="2702" spans="1:2" ht="15" hidden="1" x14ac:dyDescent="0.25">
      <c r="A2702" s="426" t="s">
        <v>2242</v>
      </c>
      <c r="B2702" s="426" t="s">
        <v>2242</v>
      </c>
    </row>
    <row r="2703" spans="1:2" ht="15" hidden="1" x14ac:dyDescent="0.25">
      <c r="A2703" s="426" t="s">
        <v>2242</v>
      </c>
      <c r="B2703" s="426" t="s">
        <v>2242</v>
      </c>
    </row>
    <row r="2704" spans="1:2" ht="15" hidden="1" x14ac:dyDescent="0.25">
      <c r="A2704" s="426" t="s">
        <v>2243</v>
      </c>
      <c r="B2704" s="426" t="s">
        <v>2243</v>
      </c>
    </row>
    <row r="2705" spans="1:2" ht="15" hidden="1" x14ac:dyDescent="0.25">
      <c r="A2705" s="426" t="s">
        <v>2243</v>
      </c>
      <c r="B2705" s="426" t="s">
        <v>2243</v>
      </c>
    </row>
    <row r="2706" spans="1:2" ht="15" hidden="1" x14ac:dyDescent="0.25">
      <c r="A2706" s="426" t="s">
        <v>2244</v>
      </c>
      <c r="B2706" s="426" t="s">
        <v>2244</v>
      </c>
    </row>
    <row r="2707" spans="1:2" ht="15" hidden="1" x14ac:dyDescent="0.25">
      <c r="A2707" s="426" t="s">
        <v>2245</v>
      </c>
      <c r="B2707" s="426" t="s">
        <v>2245</v>
      </c>
    </row>
    <row r="2708" spans="1:2" ht="15" hidden="1" x14ac:dyDescent="0.25">
      <c r="A2708" s="426" t="s">
        <v>2246</v>
      </c>
      <c r="B2708" s="426" t="s">
        <v>2246</v>
      </c>
    </row>
    <row r="2709" spans="1:2" ht="15" hidden="1" x14ac:dyDescent="0.25">
      <c r="A2709" s="426" t="s">
        <v>2247</v>
      </c>
      <c r="B2709" s="426" t="s">
        <v>2247</v>
      </c>
    </row>
    <row r="2710" spans="1:2" ht="15" hidden="1" x14ac:dyDescent="0.25">
      <c r="A2710" s="426" t="s">
        <v>2248</v>
      </c>
      <c r="B2710" s="426" t="s">
        <v>2248</v>
      </c>
    </row>
    <row r="2711" spans="1:2" ht="15" hidden="1" x14ac:dyDescent="0.25">
      <c r="A2711" s="426" t="s">
        <v>2249</v>
      </c>
      <c r="B2711" s="426" t="s">
        <v>2249</v>
      </c>
    </row>
    <row r="2712" spans="1:2" ht="15" hidden="1" x14ac:dyDescent="0.25">
      <c r="A2712" s="426" t="s">
        <v>2250</v>
      </c>
      <c r="B2712" s="426" t="s">
        <v>2250</v>
      </c>
    </row>
    <row r="2713" spans="1:2" ht="15" hidden="1" x14ac:dyDescent="0.25">
      <c r="A2713" s="426" t="s">
        <v>2251</v>
      </c>
      <c r="B2713" s="426" t="s">
        <v>2251</v>
      </c>
    </row>
    <row r="2714" spans="1:2" ht="15" hidden="1" x14ac:dyDescent="0.25">
      <c r="A2714" s="426" t="s">
        <v>2252</v>
      </c>
      <c r="B2714" s="426" t="s">
        <v>2252</v>
      </c>
    </row>
    <row r="2715" spans="1:2" ht="15" hidden="1" x14ac:dyDescent="0.25">
      <c r="A2715" s="426" t="s">
        <v>2253</v>
      </c>
      <c r="B2715" s="426" t="s">
        <v>2253</v>
      </c>
    </row>
    <row r="2716" spans="1:2" ht="15" hidden="1" x14ac:dyDescent="0.25">
      <c r="A2716" s="426" t="s">
        <v>2254</v>
      </c>
      <c r="B2716" s="426" t="s">
        <v>2254</v>
      </c>
    </row>
    <row r="2717" spans="1:2" ht="15" hidden="1" x14ac:dyDescent="0.25">
      <c r="A2717" s="426" t="s">
        <v>2255</v>
      </c>
      <c r="B2717" s="426" t="s">
        <v>2255</v>
      </c>
    </row>
    <row r="2718" spans="1:2" ht="15" hidden="1" x14ac:dyDescent="0.25">
      <c r="A2718" s="426" t="s">
        <v>2256</v>
      </c>
      <c r="B2718" s="426" t="s">
        <v>2256</v>
      </c>
    </row>
    <row r="2719" spans="1:2" ht="15" hidden="1" x14ac:dyDescent="0.25">
      <c r="A2719" s="426" t="s">
        <v>2256</v>
      </c>
      <c r="B2719" s="426" t="s">
        <v>2256</v>
      </c>
    </row>
    <row r="2720" spans="1:2" ht="15" hidden="1" x14ac:dyDescent="0.25">
      <c r="A2720" s="426" t="s">
        <v>2257</v>
      </c>
      <c r="B2720" s="426" t="s">
        <v>2257</v>
      </c>
    </row>
    <row r="2721" spans="1:2" ht="15" hidden="1" x14ac:dyDescent="0.25">
      <c r="A2721" s="426" t="s">
        <v>2258</v>
      </c>
      <c r="B2721" s="426" t="s">
        <v>2258</v>
      </c>
    </row>
    <row r="2722" spans="1:2" ht="15" hidden="1" x14ac:dyDescent="0.25">
      <c r="A2722" s="426" t="s">
        <v>2259</v>
      </c>
      <c r="B2722" s="426" t="s">
        <v>2259</v>
      </c>
    </row>
    <row r="2723" spans="1:2" ht="15" hidden="1" x14ac:dyDescent="0.25">
      <c r="A2723" s="426" t="s">
        <v>2260</v>
      </c>
      <c r="B2723" s="426" t="s">
        <v>2260</v>
      </c>
    </row>
    <row r="2724" spans="1:2" ht="15" hidden="1" x14ac:dyDescent="0.25">
      <c r="A2724" s="426" t="s">
        <v>2261</v>
      </c>
      <c r="B2724" s="426" t="s">
        <v>2261</v>
      </c>
    </row>
    <row r="2725" spans="1:2" ht="15" hidden="1" x14ac:dyDescent="0.25">
      <c r="A2725" s="426" t="s">
        <v>2262</v>
      </c>
      <c r="B2725" s="426" t="s">
        <v>2262</v>
      </c>
    </row>
    <row r="2726" spans="1:2" ht="15" hidden="1" x14ac:dyDescent="0.25">
      <c r="A2726" s="426" t="s">
        <v>2263</v>
      </c>
      <c r="B2726" s="426" t="s">
        <v>2263</v>
      </c>
    </row>
    <row r="2727" spans="1:2" ht="15" hidden="1" x14ac:dyDescent="0.25">
      <c r="A2727" s="426" t="s">
        <v>2264</v>
      </c>
      <c r="B2727" s="426" t="s">
        <v>2264</v>
      </c>
    </row>
    <row r="2728" spans="1:2" ht="15" hidden="1" x14ac:dyDescent="0.25">
      <c r="A2728" s="426" t="s">
        <v>2265</v>
      </c>
      <c r="B2728" s="426" t="s">
        <v>2265</v>
      </c>
    </row>
    <row r="2729" spans="1:2" ht="15" hidden="1" x14ac:dyDescent="0.25">
      <c r="A2729" s="426" t="s">
        <v>2266</v>
      </c>
      <c r="B2729" s="426" t="s">
        <v>2266</v>
      </c>
    </row>
    <row r="2730" spans="1:2" ht="15" hidden="1" x14ac:dyDescent="0.25">
      <c r="A2730" s="426" t="s">
        <v>2267</v>
      </c>
      <c r="B2730" s="426" t="s">
        <v>2248</v>
      </c>
    </row>
    <row r="2731" spans="1:2" ht="15" hidden="1" x14ac:dyDescent="0.25">
      <c r="A2731" s="426" t="s">
        <v>2268</v>
      </c>
      <c r="B2731" s="426" t="s">
        <v>2269</v>
      </c>
    </row>
    <row r="2732" spans="1:2" ht="15" hidden="1" x14ac:dyDescent="0.25">
      <c r="A2732" s="426" t="s">
        <v>2270</v>
      </c>
      <c r="B2732" s="426" t="s">
        <v>2271</v>
      </c>
    </row>
    <row r="2733" spans="1:2" ht="15" hidden="1" x14ac:dyDescent="0.25">
      <c r="A2733" s="426" t="s">
        <v>1768</v>
      </c>
      <c r="B2733" s="426" t="s">
        <v>1769</v>
      </c>
    </row>
    <row r="2734" spans="1:2" ht="15" hidden="1" x14ac:dyDescent="0.25">
      <c r="A2734" s="426" t="s">
        <v>2272</v>
      </c>
      <c r="B2734" s="426" t="s">
        <v>2273</v>
      </c>
    </row>
    <row r="2735" spans="1:2" ht="15" hidden="1" x14ac:dyDescent="0.25">
      <c r="A2735" s="426" t="s">
        <v>2274</v>
      </c>
      <c r="B2735" s="426" t="s">
        <v>2275</v>
      </c>
    </row>
    <row r="2736" spans="1:2" ht="15" hidden="1" x14ac:dyDescent="0.25">
      <c r="A2736" s="426" t="s">
        <v>2274</v>
      </c>
      <c r="B2736" s="426" t="s">
        <v>2275</v>
      </c>
    </row>
    <row r="2737" spans="1:2" ht="15" hidden="1" x14ac:dyDescent="0.25">
      <c r="A2737" s="426" t="s">
        <v>2276</v>
      </c>
      <c r="B2737" s="426" t="s">
        <v>2277</v>
      </c>
    </row>
    <row r="2738" spans="1:2" ht="15" hidden="1" x14ac:dyDescent="0.25">
      <c r="A2738" s="426" t="s">
        <v>1772</v>
      </c>
      <c r="B2738" s="426" t="s">
        <v>2278</v>
      </c>
    </row>
    <row r="2739" spans="1:2" ht="15" hidden="1" x14ac:dyDescent="0.25">
      <c r="A2739" s="426" t="s">
        <v>2279</v>
      </c>
      <c r="B2739" s="426" t="s">
        <v>2280</v>
      </c>
    </row>
    <row r="2740" spans="1:2" ht="15" hidden="1" x14ac:dyDescent="0.25">
      <c r="A2740" s="426" t="s">
        <v>2146</v>
      </c>
      <c r="B2740" s="426" t="s">
        <v>2147</v>
      </c>
    </row>
    <row r="2741" spans="1:2" ht="15" hidden="1" x14ac:dyDescent="0.25">
      <c r="A2741" s="426" t="s">
        <v>2281</v>
      </c>
      <c r="B2741" s="426" t="s">
        <v>2282</v>
      </c>
    </row>
    <row r="2742" spans="1:2" ht="15" hidden="1" x14ac:dyDescent="0.25">
      <c r="A2742" s="426" t="s">
        <v>1542</v>
      </c>
      <c r="B2742" s="426" t="s">
        <v>57</v>
      </c>
    </row>
    <row r="2743" spans="1:2" ht="15" hidden="1" x14ac:dyDescent="0.25">
      <c r="A2743" s="426" t="s">
        <v>2283</v>
      </c>
      <c r="B2743" s="426" t="s">
        <v>2284</v>
      </c>
    </row>
    <row r="2744" spans="1:2" ht="15" hidden="1" x14ac:dyDescent="0.25">
      <c r="A2744" s="426" t="s">
        <v>2285</v>
      </c>
      <c r="B2744" s="426" t="s">
        <v>2286</v>
      </c>
    </row>
    <row r="2745" spans="1:2" ht="15" hidden="1" x14ac:dyDescent="0.25">
      <c r="A2745" s="426" t="s">
        <v>2287</v>
      </c>
      <c r="B2745" s="426" t="s">
        <v>2288</v>
      </c>
    </row>
    <row r="2746" spans="1:2" ht="15" hidden="1" x14ac:dyDescent="0.25">
      <c r="A2746" s="426" t="s">
        <v>2289</v>
      </c>
      <c r="B2746" s="426" t="s">
        <v>2290</v>
      </c>
    </row>
    <row r="2747" spans="1:2" ht="15" hidden="1" x14ac:dyDescent="0.25">
      <c r="A2747" s="426" t="s">
        <v>2291</v>
      </c>
      <c r="B2747" s="426" t="s">
        <v>2292</v>
      </c>
    </row>
    <row r="2748" spans="1:2" ht="15" hidden="1" x14ac:dyDescent="0.25">
      <c r="A2748" s="426" t="s">
        <v>2293</v>
      </c>
      <c r="B2748" s="426" t="s">
        <v>2294</v>
      </c>
    </row>
    <row r="2749" spans="1:2" ht="15" hidden="1" x14ac:dyDescent="0.25">
      <c r="A2749" s="426" t="s">
        <v>2295</v>
      </c>
      <c r="B2749" s="426" t="s">
        <v>2296</v>
      </c>
    </row>
    <row r="2750" spans="1:2" ht="15" hidden="1" x14ac:dyDescent="0.25">
      <c r="A2750" s="426" t="s">
        <v>2297</v>
      </c>
      <c r="B2750" s="426" t="s">
        <v>2298</v>
      </c>
    </row>
    <row r="2751" spans="1:2" ht="15" hidden="1" x14ac:dyDescent="0.25">
      <c r="A2751" s="426" t="s">
        <v>2297</v>
      </c>
      <c r="B2751" s="426" t="s">
        <v>2298</v>
      </c>
    </row>
    <row r="2752" spans="1:2" ht="15" hidden="1" x14ac:dyDescent="0.25">
      <c r="A2752" s="426" t="s">
        <v>226</v>
      </c>
      <c r="B2752" s="426" t="s">
        <v>373</v>
      </c>
    </row>
    <row r="2753" spans="1:2" ht="15" hidden="1" x14ac:dyDescent="0.25">
      <c r="A2753" s="426" t="s">
        <v>2299</v>
      </c>
      <c r="B2753" s="426" t="s">
        <v>2300</v>
      </c>
    </row>
    <row r="2754" spans="1:2" ht="15" hidden="1" x14ac:dyDescent="0.25">
      <c r="A2754" s="427" t="s">
        <v>2301</v>
      </c>
      <c r="B2754" s="427" t="s">
        <v>2302</v>
      </c>
    </row>
    <row r="2755" spans="1:2" ht="15" hidden="1" x14ac:dyDescent="0.25">
      <c r="A2755" s="426" t="s">
        <v>1993</v>
      </c>
      <c r="B2755" s="426" t="s">
        <v>2303</v>
      </c>
    </row>
    <row r="2756" spans="1:2" ht="15" hidden="1" x14ac:dyDescent="0.25">
      <c r="A2756" s="426" t="s">
        <v>2304</v>
      </c>
      <c r="B2756" s="426" t="s">
        <v>2305</v>
      </c>
    </row>
    <row r="2757" spans="1:2" ht="15" hidden="1" x14ac:dyDescent="0.25">
      <c r="A2757" s="426" t="s">
        <v>2306</v>
      </c>
      <c r="B2757" s="426" t="s">
        <v>2307</v>
      </c>
    </row>
    <row r="2758" spans="1:2" ht="15" hidden="1" x14ac:dyDescent="0.25">
      <c r="A2758" s="426" t="s">
        <v>2308</v>
      </c>
      <c r="B2758" s="426" t="s">
        <v>2309</v>
      </c>
    </row>
    <row r="2759" spans="1:2" ht="15" hidden="1" x14ac:dyDescent="0.25">
      <c r="A2759" s="426" t="s">
        <v>2310</v>
      </c>
      <c r="B2759" s="426" t="s">
        <v>2311</v>
      </c>
    </row>
    <row r="2760" spans="1:2" ht="15" hidden="1" x14ac:dyDescent="0.25">
      <c r="A2760" s="426" t="s">
        <v>2310</v>
      </c>
      <c r="B2760" s="426" t="s">
        <v>2311</v>
      </c>
    </row>
    <row r="2761" spans="1:2" ht="15" hidden="1" x14ac:dyDescent="0.25">
      <c r="A2761" s="426" t="s">
        <v>2312</v>
      </c>
      <c r="B2761" s="426" t="s">
        <v>2313</v>
      </c>
    </row>
    <row r="2762" spans="1:2" ht="15" hidden="1" x14ac:dyDescent="0.25">
      <c r="A2762" s="426" t="s">
        <v>2312</v>
      </c>
      <c r="B2762" s="426" t="s">
        <v>2313</v>
      </c>
    </row>
    <row r="2763" spans="1:2" ht="15" hidden="1" x14ac:dyDescent="0.25">
      <c r="A2763" s="426" t="s">
        <v>2314</v>
      </c>
      <c r="B2763" s="426" t="s">
        <v>2315</v>
      </c>
    </row>
    <row r="2764" spans="1:2" ht="15" hidden="1" x14ac:dyDescent="0.25">
      <c r="A2764" s="426" t="s">
        <v>382</v>
      </c>
      <c r="B2764" s="426" t="s">
        <v>383</v>
      </c>
    </row>
    <row r="2765" spans="1:2" ht="15" hidden="1" x14ac:dyDescent="0.25">
      <c r="A2765" s="426" t="s">
        <v>382</v>
      </c>
      <c r="B2765" s="426" t="s">
        <v>383</v>
      </c>
    </row>
    <row r="2766" spans="1:2" ht="15" hidden="1" x14ac:dyDescent="0.25">
      <c r="A2766" s="426" t="s">
        <v>382</v>
      </c>
      <c r="B2766" s="426" t="s">
        <v>383</v>
      </c>
    </row>
    <row r="2767" spans="1:2" ht="15" hidden="1" x14ac:dyDescent="0.25">
      <c r="A2767" s="426" t="s">
        <v>382</v>
      </c>
      <c r="B2767" s="426" t="s">
        <v>383</v>
      </c>
    </row>
    <row r="2768" spans="1:2" ht="15" hidden="1" x14ac:dyDescent="0.25">
      <c r="A2768" s="426" t="s">
        <v>382</v>
      </c>
      <c r="B2768" s="426" t="s">
        <v>383</v>
      </c>
    </row>
    <row r="2769" spans="1:2" ht="15" hidden="1" x14ac:dyDescent="0.25">
      <c r="A2769" s="426" t="s">
        <v>2316</v>
      </c>
      <c r="B2769" s="426" t="s">
        <v>2317</v>
      </c>
    </row>
    <row r="2770" spans="1:2" ht="15" hidden="1" x14ac:dyDescent="0.25">
      <c r="A2770" s="426" t="s">
        <v>2318</v>
      </c>
      <c r="B2770" s="426" t="s">
        <v>2319</v>
      </c>
    </row>
    <row r="2771" spans="1:2" ht="15" hidden="1" x14ac:dyDescent="0.25">
      <c r="A2771" s="426" t="s">
        <v>2318</v>
      </c>
      <c r="B2771" s="426" t="s">
        <v>2319</v>
      </c>
    </row>
    <row r="2772" spans="1:2" ht="15" hidden="1" x14ac:dyDescent="0.25">
      <c r="A2772" s="426" t="s">
        <v>2320</v>
      </c>
      <c r="B2772" s="426" t="s">
        <v>2321</v>
      </c>
    </row>
    <row r="2773" spans="1:2" ht="15" hidden="1" x14ac:dyDescent="0.25">
      <c r="A2773" s="426" t="s">
        <v>2320</v>
      </c>
      <c r="B2773" s="426" t="s">
        <v>2321</v>
      </c>
    </row>
    <row r="2774" spans="1:2" ht="15" hidden="1" x14ac:dyDescent="0.25">
      <c r="A2774" s="426" t="s">
        <v>2322</v>
      </c>
      <c r="B2774" s="426" t="s">
        <v>2323</v>
      </c>
    </row>
    <row r="2775" spans="1:2" ht="15" hidden="1" x14ac:dyDescent="0.25">
      <c r="A2775" s="426" t="s">
        <v>1794</v>
      </c>
      <c r="B2775" s="426" t="s">
        <v>1795</v>
      </c>
    </row>
    <row r="2776" spans="1:2" ht="15" hidden="1" x14ac:dyDescent="0.25">
      <c r="A2776" s="426" t="s">
        <v>1697</v>
      </c>
      <c r="B2776" s="426" t="s">
        <v>1698</v>
      </c>
    </row>
    <row r="2777" spans="1:2" ht="15" hidden="1" x14ac:dyDescent="0.25">
      <c r="A2777" s="426" t="s">
        <v>1697</v>
      </c>
      <c r="B2777" s="426" t="s">
        <v>1698</v>
      </c>
    </row>
    <row r="2778" spans="1:2" ht="15" hidden="1" x14ac:dyDescent="0.25">
      <c r="A2778" s="426" t="s">
        <v>2010</v>
      </c>
      <c r="B2778" s="426" t="s">
        <v>2011</v>
      </c>
    </row>
    <row r="2779" spans="1:2" ht="15" hidden="1" x14ac:dyDescent="0.25">
      <c r="A2779" s="426" t="s">
        <v>1798</v>
      </c>
      <c r="B2779" s="426" t="s">
        <v>1799</v>
      </c>
    </row>
    <row r="2780" spans="1:2" ht="15" hidden="1" x14ac:dyDescent="0.25">
      <c r="A2780" s="426" t="s">
        <v>2324</v>
      </c>
      <c r="B2780" s="426" t="s">
        <v>2325</v>
      </c>
    </row>
    <row r="2781" spans="1:2" ht="15" hidden="1" x14ac:dyDescent="0.25">
      <c r="A2781" s="426" t="s">
        <v>2326</v>
      </c>
      <c r="B2781" s="426" t="s">
        <v>2327</v>
      </c>
    </row>
    <row r="2782" spans="1:2" ht="15" hidden="1" x14ac:dyDescent="0.25">
      <c r="A2782" s="426" t="s">
        <v>2326</v>
      </c>
      <c r="B2782" s="426" t="s">
        <v>2327</v>
      </c>
    </row>
    <row r="2783" spans="1:2" ht="15" hidden="1" x14ac:dyDescent="0.25">
      <c r="A2783" s="426" t="s">
        <v>2328</v>
      </c>
      <c r="B2783" s="426" t="s">
        <v>2329</v>
      </c>
    </row>
    <row r="2784" spans="1:2" ht="15" hidden="1" x14ac:dyDescent="0.25">
      <c r="A2784" s="426" t="s">
        <v>2330</v>
      </c>
      <c r="B2784" s="426" t="s">
        <v>2331</v>
      </c>
    </row>
    <row r="2785" spans="1:2" ht="15" hidden="1" x14ac:dyDescent="0.25">
      <c r="A2785" s="426" t="s">
        <v>2332</v>
      </c>
      <c r="B2785" s="426" t="s">
        <v>2333</v>
      </c>
    </row>
    <row r="2786" spans="1:2" ht="15" hidden="1" x14ac:dyDescent="0.25">
      <c r="A2786" s="426" t="s">
        <v>2334</v>
      </c>
      <c r="B2786" s="426" t="s">
        <v>2335</v>
      </c>
    </row>
    <row r="2787" spans="1:2" ht="15" hidden="1" x14ac:dyDescent="0.25">
      <c r="A2787" s="428" t="s">
        <v>2336</v>
      </c>
      <c r="B2787" s="428" t="s">
        <v>2337</v>
      </c>
    </row>
    <row r="2788" spans="1:2" ht="15" hidden="1" x14ac:dyDescent="0.25">
      <c r="A2788" s="426" t="s">
        <v>2338</v>
      </c>
      <c r="B2788" s="426" t="s">
        <v>2339</v>
      </c>
    </row>
    <row r="2789" spans="1:2" ht="15" hidden="1" x14ac:dyDescent="0.25">
      <c r="A2789" s="426" t="s">
        <v>2340</v>
      </c>
      <c r="B2789" s="426" t="s">
        <v>2341</v>
      </c>
    </row>
    <row r="2790" spans="1:2" ht="15" hidden="1" x14ac:dyDescent="0.25">
      <c r="A2790" s="426" t="s">
        <v>2342</v>
      </c>
      <c r="B2790" s="426" t="s">
        <v>2343</v>
      </c>
    </row>
    <row r="2791" spans="1:2" ht="15" hidden="1" x14ac:dyDescent="0.25">
      <c r="A2791" s="426" t="s">
        <v>2344</v>
      </c>
      <c r="B2791" s="426" t="s">
        <v>2345</v>
      </c>
    </row>
    <row r="2792" spans="1:2" ht="15" hidden="1" x14ac:dyDescent="0.25">
      <c r="A2792" s="426" t="s">
        <v>2344</v>
      </c>
      <c r="B2792" s="426" t="s">
        <v>2345</v>
      </c>
    </row>
    <row r="2793" spans="1:2" ht="15" hidden="1" x14ac:dyDescent="0.25">
      <c r="A2793" s="426" t="s">
        <v>1813</v>
      </c>
      <c r="B2793" s="426" t="s">
        <v>1814</v>
      </c>
    </row>
    <row r="2794" spans="1:2" ht="15" hidden="1" x14ac:dyDescent="0.25">
      <c r="A2794" s="428" t="s">
        <v>2346</v>
      </c>
      <c r="B2794" s="428" t="s">
        <v>2347</v>
      </c>
    </row>
    <row r="2795" spans="1:2" ht="15" hidden="1" x14ac:dyDescent="0.25">
      <c r="A2795" s="426" t="s">
        <v>2348</v>
      </c>
      <c r="B2795" s="426" t="s">
        <v>2349</v>
      </c>
    </row>
    <row r="2796" spans="1:2" ht="15" hidden="1" x14ac:dyDescent="0.25">
      <c r="A2796" s="426" t="s">
        <v>2348</v>
      </c>
      <c r="B2796" s="426" t="s">
        <v>2349</v>
      </c>
    </row>
    <row r="2797" spans="1:2" ht="15" hidden="1" x14ac:dyDescent="0.25">
      <c r="A2797" s="426" t="s">
        <v>1607</v>
      </c>
      <c r="B2797" s="426" t="s">
        <v>1608</v>
      </c>
    </row>
    <row r="2798" spans="1:2" ht="15" hidden="1" x14ac:dyDescent="0.25">
      <c r="A2798" s="426" t="s">
        <v>2195</v>
      </c>
      <c r="B2798" s="426" t="s">
        <v>2350</v>
      </c>
    </row>
    <row r="2799" spans="1:2" ht="15" hidden="1" x14ac:dyDescent="0.25">
      <c r="A2799" s="426" t="s">
        <v>2351</v>
      </c>
      <c r="B2799" s="426" t="s">
        <v>2352</v>
      </c>
    </row>
    <row r="2800" spans="1:2" ht="15" hidden="1" x14ac:dyDescent="0.25">
      <c r="A2800" s="426" t="s">
        <v>2351</v>
      </c>
      <c r="B2800" s="426" t="s">
        <v>2352</v>
      </c>
    </row>
    <row r="2801" spans="1:2" ht="15" hidden="1" x14ac:dyDescent="0.25">
      <c r="A2801" s="426" t="s">
        <v>2353</v>
      </c>
      <c r="B2801" s="426" t="s">
        <v>2354</v>
      </c>
    </row>
    <row r="2802" spans="1:2" ht="15" hidden="1" x14ac:dyDescent="0.25">
      <c r="A2802" s="426" t="s">
        <v>2355</v>
      </c>
      <c r="B2802" s="426" t="s">
        <v>2356</v>
      </c>
    </row>
    <row r="2803" spans="1:2" ht="15" hidden="1" x14ac:dyDescent="0.25">
      <c r="A2803" s="426" t="s">
        <v>2355</v>
      </c>
      <c r="B2803" s="426" t="s">
        <v>2356</v>
      </c>
    </row>
    <row r="2804" spans="1:2" ht="15" hidden="1" x14ac:dyDescent="0.25">
      <c r="A2804" s="426" t="s">
        <v>208</v>
      </c>
      <c r="B2804" s="426" t="s">
        <v>309</v>
      </c>
    </row>
    <row r="2805" spans="1:2" ht="15" hidden="1" x14ac:dyDescent="0.25">
      <c r="A2805" s="426" t="s">
        <v>178</v>
      </c>
      <c r="B2805" s="426" t="s">
        <v>310</v>
      </c>
    </row>
    <row r="2806" spans="1:2" ht="15" hidden="1" x14ac:dyDescent="0.25">
      <c r="A2806" s="426" t="s">
        <v>179</v>
      </c>
      <c r="B2806" s="426" t="s">
        <v>311</v>
      </c>
    </row>
    <row r="2807" spans="1:2" ht="15" hidden="1" x14ac:dyDescent="0.25">
      <c r="A2807" s="426" t="s">
        <v>179</v>
      </c>
      <c r="B2807" s="426" t="s">
        <v>311</v>
      </c>
    </row>
    <row r="2808" spans="1:2" ht="15" hidden="1" x14ac:dyDescent="0.25">
      <c r="A2808" s="426" t="s">
        <v>179</v>
      </c>
      <c r="B2808" s="426" t="s">
        <v>311</v>
      </c>
    </row>
    <row r="2809" spans="1:2" ht="15" hidden="1" x14ac:dyDescent="0.25">
      <c r="A2809" s="426" t="s">
        <v>179</v>
      </c>
      <c r="B2809" s="426" t="s">
        <v>311</v>
      </c>
    </row>
    <row r="2810" spans="1:2" ht="15" hidden="1" x14ac:dyDescent="0.25">
      <c r="A2810" s="426" t="s">
        <v>179</v>
      </c>
      <c r="B2810" s="426" t="s">
        <v>311</v>
      </c>
    </row>
    <row r="2811" spans="1:2" ht="15" hidden="1" x14ac:dyDescent="0.25">
      <c r="A2811" s="426" t="s">
        <v>179</v>
      </c>
      <c r="B2811" s="426" t="s">
        <v>311</v>
      </c>
    </row>
    <row r="2812" spans="1:2" ht="15" hidden="1" x14ac:dyDescent="0.25">
      <c r="A2812" s="426" t="s">
        <v>179</v>
      </c>
      <c r="B2812" s="426" t="s">
        <v>311</v>
      </c>
    </row>
    <row r="2813" spans="1:2" ht="15" hidden="1" x14ac:dyDescent="0.25">
      <c r="A2813" s="426" t="s">
        <v>179</v>
      </c>
      <c r="B2813" s="426" t="s">
        <v>311</v>
      </c>
    </row>
    <row r="2814" spans="1:2" ht="15" hidden="1" x14ac:dyDescent="0.25">
      <c r="A2814" s="426" t="s">
        <v>179</v>
      </c>
      <c r="B2814" s="426" t="s">
        <v>311</v>
      </c>
    </row>
    <row r="2815" spans="1:2" ht="15" hidden="1" x14ac:dyDescent="0.25">
      <c r="A2815" s="426" t="s">
        <v>179</v>
      </c>
      <c r="B2815" s="426" t="s">
        <v>311</v>
      </c>
    </row>
    <row r="2816" spans="1:2" ht="15" hidden="1" x14ac:dyDescent="0.25">
      <c r="A2816" s="426" t="s">
        <v>179</v>
      </c>
      <c r="B2816" s="426" t="s">
        <v>311</v>
      </c>
    </row>
    <row r="2817" spans="1:2" ht="15" hidden="1" x14ac:dyDescent="0.25">
      <c r="A2817" s="426" t="s">
        <v>179</v>
      </c>
      <c r="B2817" s="426" t="s">
        <v>311</v>
      </c>
    </row>
    <row r="2818" spans="1:2" ht="15" hidden="1" x14ac:dyDescent="0.25">
      <c r="A2818" s="426" t="s">
        <v>179</v>
      </c>
      <c r="B2818" s="426" t="s">
        <v>311</v>
      </c>
    </row>
    <row r="2819" spans="1:2" ht="15" hidden="1" x14ac:dyDescent="0.25">
      <c r="A2819" s="426" t="s">
        <v>179</v>
      </c>
      <c r="B2819" s="426" t="s">
        <v>311</v>
      </c>
    </row>
    <row r="2820" spans="1:2" ht="15" hidden="1" x14ac:dyDescent="0.25">
      <c r="A2820" s="426" t="s">
        <v>179</v>
      </c>
      <c r="B2820" s="426" t="s">
        <v>311</v>
      </c>
    </row>
    <row r="2821" spans="1:2" ht="15" hidden="1" x14ac:dyDescent="0.25">
      <c r="A2821" s="426" t="s">
        <v>179</v>
      </c>
      <c r="B2821" s="426" t="s">
        <v>311</v>
      </c>
    </row>
    <row r="2822" spans="1:2" ht="15" hidden="1" x14ac:dyDescent="0.25">
      <c r="A2822" s="426" t="s">
        <v>179</v>
      </c>
      <c r="B2822" s="426" t="s">
        <v>311</v>
      </c>
    </row>
    <row r="2823" spans="1:2" ht="15" hidden="1" x14ac:dyDescent="0.25">
      <c r="A2823" s="426" t="s">
        <v>179</v>
      </c>
      <c r="B2823" s="426" t="s">
        <v>311</v>
      </c>
    </row>
    <row r="2824" spans="1:2" ht="15" hidden="1" x14ac:dyDescent="0.25">
      <c r="A2824" s="426" t="s">
        <v>179</v>
      </c>
      <c r="B2824" s="426" t="s">
        <v>311</v>
      </c>
    </row>
    <row r="2825" spans="1:2" ht="15" hidden="1" x14ac:dyDescent="0.25">
      <c r="A2825" s="426" t="s">
        <v>179</v>
      </c>
      <c r="B2825" s="426" t="s">
        <v>311</v>
      </c>
    </row>
    <row r="2826" spans="1:2" ht="15" hidden="1" x14ac:dyDescent="0.25">
      <c r="A2826" s="426" t="s">
        <v>179</v>
      </c>
      <c r="B2826" s="426" t="s">
        <v>311</v>
      </c>
    </row>
    <row r="2827" spans="1:2" ht="15" hidden="1" x14ac:dyDescent="0.25">
      <c r="A2827" s="426" t="s">
        <v>179</v>
      </c>
      <c r="B2827" s="426" t="s">
        <v>311</v>
      </c>
    </row>
    <row r="2828" spans="1:2" ht="15" hidden="1" x14ac:dyDescent="0.25">
      <c r="A2828" s="426" t="s">
        <v>179</v>
      </c>
      <c r="B2828" s="426" t="s">
        <v>311</v>
      </c>
    </row>
    <row r="2829" spans="1:2" ht="15" hidden="1" x14ac:dyDescent="0.25">
      <c r="A2829" s="426" t="s">
        <v>179</v>
      </c>
      <c r="B2829" s="426" t="s">
        <v>311</v>
      </c>
    </row>
    <row r="2830" spans="1:2" ht="15" hidden="1" x14ac:dyDescent="0.25">
      <c r="A2830" s="426" t="s">
        <v>179</v>
      </c>
      <c r="B2830" s="426" t="s">
        <v>311</v>
      </c>
    </row>
    <row r="2831" spans="1:2" ht="15" hidden="1" x14ac:dyDescent="0.25">
      <c r="A2831" s="426" t="s">
        <v>179</v>
      </c>
      <c r="B2831" s="426" t="s">
        <v>311</v>
      </c>
    </row>
    <row r="2832" spans="1:2" ht="15" hidden="1" x14ac:dyDescent="0.25">
      <c r="A2832" s="426" t="s">
        <v>179</v>
      </c>
      <c r="B2832" s="426" t="s">
        <v>311</v>
      </c>
    </row>
    <row r="2833" spans="1:2" ht="15" hidden="1" x14ac:dyDescent="0.25">
      <c r="A2833" s="426" t="s">
        <v>179</v>
      </c>
      <c r="B2833" s="426" t="s">
        <v>311</v>
      </c>
    </row>
    <row r="2834" spans="1:2" ht="15" hidden="1" x14ac:dyDescent="0.25">
      <c r="A2834" s="426" t="s">
        <v>179</v>
      </c>
      <c r="B2834" s="426" t="s">
        <v>311</v>
      </c>
    </row>
    <row r="2835" spans="1:2" ht="15" hidden="1" x14ac:dyDescent="0.25">
      <c r="A2835" s="426" t="s">
        <v>179</v>
      </c>
      <c r="B2835" s="426" t="s">
        <v>311</v>
      </c>
    </row>
    <row r="2836" spans="1:2" ht="15" hidden="1" x14ac:dyDescent="0.25">
      <c r="A2836" s="426" t="s">
        <v>179</v>
      </c>
      <c r="B2836" s="426" t="s">
        <v>311</v>
      </c>
    </row>
    <row r="2837" spans="1:2" ht="15" hidden="1" x14ac:dyDescent="0.25">
      <c r="A2837" s="426" t="s">
        <v>179</v>
      </c>
      <c r="B2837" s="426" t="s">
        <v>311</v>
      </c>
    </row>
    <row r="2838" spans="1:2" ht="15" hidden="1" x14ac:dyDescent="0.25">
      <c r="A2838" s="426" t="s">
        <v>179</v>
      </c>
      <c r="B2838" s="426" t="s">
        <v>311</v>
      </c>
    </row>
    <row r="2839" spans="1:2" ht="15" hidden="1" x14ac:dyDescent="0.25">
      <c r="A2839" s="426" t="s">
        <v>179</v>
      </c>
      <c r="B2839" s="426" t="s">
        <v>311</v>
      </c>
    </row>
    <row r="2840" spans="1:2" ht="15" hidden="1" x14ac:dyDescent="0.25">
      <c r="A2840" s="426" t="s">
        <v>179</v>
      </c>
      <c r="B2840" s="426" t="s">
        <v>311</v>
      </c>
    </row>
    <row r="2841" spans="1:2" ht="15" hidden="1" x14ac:dyDescent="0.25">
      <c r="A2841" s="426" t="s">
        <v>179</v>
      </c>
      <c r="B2841" s="426" t="s">
        <v>311</v>
      </c>
    </row>
    <row r="2842" spans="1:2" ht="15" hidden="1" x14ac:dyDescent="0.25">
      <c r="A2842" s="426" t="s">
        <v>179</v>
      </c>
      <c r="B2842" s="426" t="s">
        <v>311</v>
      </c>
    </row>
    <row r="2843" spans="1:2" ht="15" hidden="1" x14ac:dyDescent="0.25">
      <c r="A2843" s="426" t="s">
        <v>179</v>
      </c>
      <c r="B2843" s="426" t="s">
        <v>311</v>
      </c>
    </row>
    <row r="2844" spans="1:2" ht="15" hidden="1" x14ac:dyDescent="0.25">
      <c r="A2844" s="426" t="s">
        <v>179</v>
      </c>
      <c r="B2844" s="426" t="s">
        <v>311</v>
      </c>
    </row>
    <row r="2845" spans="1:2" ht="15" hidden="1" x14ac:dyDescent="0.25">
      <c r="A2845" s="426" t="s">
        <v>179</v>
      </c>
      <c r="B2845" s="426" t="s">
        <v>311</v>
      </c>
    </row>
    <row r="2846" spans="1:2" ht="15" hidden="1" x14ac:dyDescent="0.25">
      <c r="A2846" s="426" t="s">
        <v>179</v>
      </c>
      <c r="B2846" s="426" t="s">
        <v>311</v>
      </c>
    </row>
    <row r="2847" spans="1:2" ht="15" hidden="1" x14ac:dyDescent="0.25">
      <c r="A2847" s="426" t="s">
        <v>179</v>
      </c>
      <c r="B2847" s="426" t="s">
        <v>311</v>
      </c>
    </row>
    <row r="2848" spans="1:2" ht="15" hidden="1" x14ac:dyDescent="0.25">
      <c r="A2848" s="426" t="s">
        <v>179</v>
      </c>
      <c r="B2848" s="426" t="s">
        <v>311</v>
      </c>
    </row>
    <row r="2849" spans="1:2" ht="15" hidden="1" x14ac:dyDescent="0.25">
      <c r="A2849" s="426" t="s">
        <v>179</v>
      </c>
      <c r="B2849" s="426" t="s">
        <v>311</v>
      </c>
    </row>
    <row r="2850" spans="1:2" ht="15" hidden="1" x14ac:dyDescent="0.25">
      <c r="A2850" s="426" t="s">
        <v>179</v>
      </c>
      <c r="B2850" s="426" t="s">
        <v>311</v>
      </c>
    </row>
    <row r="2851" spans="1:2" ht="15" hidden="1" x14ac:dyDescent="0.25">
      <c r="A2851" s="426" t="s">
        <v>179</v>
      </c>
      <c r="B2851" s="426" t="s">
        <v>311</v>
      </c>
    </row>
    <row r="2852" spans="1:2" ht="15" hidden="1" x14ac:dyDescent="0.25">
      <c r="A2852" s="426" t="s">
        <v>179</v>
      </c>
      <c r="B2852" s="426" t="s">
        <v>311</v>
      </c>
    </row>
    <row r="2853" spans="1:2" ht="15" hidden="1" x14ac:dyDescent="0.25">
      <c r="A2853" s="426" t="s">
        <v>179</v>
      </c>
      <c r="B2853" s="426" t="s">
        <v>311</v>
      </c>
    </row>
    <row r="2854" spans="1:2" ht="15" hidden="1" x14ac:dyDescent="0.25">
      <c r="A2854" s="426" t="s">
        <v>179</v>
      </c>
      <c r="B2854" s="426" t="s">
        <v>311</v>
      </c>
    </row>
    <row r="2855" spans="1:2" ht="15" hidden="1" x14ac:dyDescent="0.25">
      <c r="A2855" s="426" t="s">
        <v>1617</v>
      </c>
      <c r="B2855" s="426" t="s">
        <v>1618</v>
      </c>
    </row>
    <row r="2856" spans="1:2" ht="15" hidden="1" x14ac:dyDescent="0.25">
      <c r="A2856" s="426" t="s">
        <v>180</v>
      </c>
      <c r="B2856" s="426" t="s">
        <v>312</v>
      </c>
    </row>
    <row r="2857" spans="1:2" ht="15" hidden="1" x14ac:dyDescent="0.25">
      <c r="A2857" s="426" t="s">
        <v>180</v>
      </c>
      <c r="B2857" s="426" t="s">
        <v>312</v>
      </c>
    </row>
    <row r="2858" spans="1:2" ht="15" hidden="1" x14ac:dyDescent="0.25">
      <c r="A2858" s="426" t="s">
        <v>180</v>
      </c>
      <c r="B2858" s="426" t="s">
        <v>312</v>
      </c>
    </row>
    <row r="2859" spans="1:2" ht="15" hidden="1" x14ac:dyDescent="0.25">
      <c r="A2859" s="426" t="s">
        <v>180</v>
      </c>
      <c r="B2859" s="426" t="s">
        <v>312</v>
      </c>
    </row>
    <row r="2860" spans="1:2" ht="15" hidden="1" x14ac:dyDescent="0.25">
      <c r="A2860" s="426" t="s">
        <v>180</v>
      </c>
      <c r="B2860" s="426" t="s">
        <v>312</v>
      </c>
    </row>
    <row r="2861" spans="1:2" ht="15" hidden="1" x14ac:dyDescent="0.25">
      <c r="A2861" s="426" t="s">
        <v>180</v>
      </c>
      <c r="B2861" s="426" t="s">
        <v>312</v>
      </c>
    </row>
    <row r="2862" spans="1:2" ht="15" hidden="1" x14ac:dyDescent="0.25">
      <c r="A2862" s="426" t="s">
        <v>180</v>
      </c>
      <c r="B2862" s="426" t="s">
        <v>312</v>
      </c>
    </row>
    <row r="2863" spans="1:2" ht="15" hidden="1" x14ac:dyDescent="0.25">
      <c r="A2863" s="426" t="s">
        <v>180</v>
      </c>
      <c r="B2863" s="426" t="s">
        <v>312</v>
      </c>
    </row>
    <row r="2864" spans="1:2" ht="15" hidden="1" x14ac:dyDescent="0.25">
      <c r="A2864" s="426" t="s">
        <v>180</v>
      </c>
      <c r="B2864" s="426" t="s">
        <v>312</v>
      </c>
    </row>
    <row r="2865" spans="1:2" ht="15" hidden="1" x14ac:dyDescent="0.25">
      <c r="A2865" s="426" t="s">
        <v>180</v>
      </c>
      <c r="B2865" s="426" t="s">
        <v>312</v>
      </c>
    </row>
    <row r="2866" spans="1:2" ht="15" hidden="1" x14ac:dyDescent="0.25">
      <c r="A2866" s="426" t="s">
        <v>180</v>
      </c>
      <c r="B2866" s="426" t="s">
        <v>312</v>
      </c>
    </row>
    <row r="2867" spans="1:2" ht="15" hidden="1" x14ac:dyDescent="0.25">
      <c r="A2867" s="426" t="s">
        <v>180</v>
      </c>
      <c r="B2867" s="426" t="s">
        <v>312</v>
      </c>
    </row>
    <row r="2868" spans="1:2" ht="15" hidden="1" x14ac:dyDescent="0.25">
      <c r="A2868" s="426" t="s">
        <v>395</v>
      </c>
      <c r="B2868" s="426" t="s">
        <v>396</v>
      </c>
    </row>
    <row r="2869" spans="1:2" ht="15" hidden="1" x14ac:dyDescent="0.25">
      <c r="A2869" s="426" t="s">
        <v>1619</v>
      </c>
      <c r="B2869" s="426" t="s">
        <v>1620</v>
      </c>
    </row>
    <row r="2870" spans="1:2" ht="15" hidden="1" x14ac:dyDescent="0.25">
      <c r="A2870" s="426" t="s">
        <v>209</v>
      </c>
      <c r="B2870" s="426" t="s">
        <v>314</v>
      </c>
    </row>
    <row r="2871" spans="1:2" ht="15" hidden="1" x14ac:dyDescent="0.25">
      <c r="A2871" s="426" t="s">
        <v>182</v>
      </c>
      <c r="B2871" s="426" t="s">
        <v>315</v>
      </c>
    </row>
    <row r="2872" spans="1:2" ht="15" hidden="1" x14ac:dyDescent="0.25">
      <c r="A2872" s="426" t="s">
        <v>182</v>
      </c>
      <c r="B2872" s="426" t="s">
        <v>315</v>
      </c>
    </row>
    <row r="2873" spans="1:2" ht="15" hidden="1" x14ac:dyDescent="0.25">
      <c r="A2873" s="426" t="s">
        <v>182</v>
      </c>
      <c r="B2873" s="426" t="s">
        <v>315</v>
      </c>
    </row>
    <row r="2874" spans="1:2" ht="15" hidden="1" x14ac:dyDescent="0.25">
      <c r="A2874" s="426" t="s">
        <v>182</v>
      </c>
      <c r="B2874" s="426" t="s">
        <v>315</v>
      </c>
    </row>
    <row r="2875" spans="1:2" ht="15" hidden="1" x14ac:dyDescent="0.25">
      <c r="A2875" s="426" t="s">
        <v>182</v>
      </c>
      <c r="B2875" s="426" t="s">
        <v>315</v>
      </c>
    </row>
    <row r="2876" spans="1:2" ht="15" hidden="1" x14ac:dyDescent="0.25">
      <c r="A2876" s="426" t="s">
        <v>182</v>
      </c>
      <c r="B2876" s="426" t="s">
        <v>315</v>
      </c>
    </row>
    <row r="2877" spans="1:2" ht="15" hidden="1" x14ac:dyDescent="0.25">
      <c r="A2877" s="426" t="s">
        <v>182</v>
      </c>
      <c r="B2877" s="426" t="s">
        <v>315</v>
      </c>
    </row>
    <row r="2878" spans="1:2" ht="15" hidden="1" x14ac:dyDescent="0.25">
      <c r="A2878" s="426" t="s">
        <v>182</v>
      </c>
      <c r="B2878" s="426" t="s">
        <v>315</v>
      </c>
    </row>
    <row r="2879" spans="1:2" ht="15" hidden="1" x14ac:dyDescent="0.25">
      <c r="A2879" s="426" t="s">
        <v>182</v>
      </c>
      <c r="B2879" s="426" t="s">
        <v>315</v>
      </c>
    </row>
    <row r="2880" spans="1:2" ht="15" hidden="1" x14ac:dyDescent="0.25">
      <c r="A2880" s="426" t="s">
        <v>182</v>
      </c>
      <c r="B2880" s="426" t="s">
        <v>315</v>
      </c>
    </row>
    <row r="2881" spans="1:2" ht="15" hidden="1" x14ac:dyDescent="0.25">
      <c r="A2881" s="426" t="s">
        <v>182</v>
      </c>
      <c r="B2881" s="426" t="s">
        <v>315</v>
      </c>
    </row>
    <row r="2882" spans="1:2" ht="15" hidden="1" x14ac:dyDescent="0.25">
      <c r="A2882" s="426" t="s">
        <v>182</v>
      </c>
      <c r="B2882" s="426" t="s">
        <v>315</v>
      </c>
    </row>
    <row r="2883" spans="1:2" ht="15" hidden="1" x14ac:dyDescent="0.25">
      <c r="A2883" s="426" t="s">
        <v>182</v>
      </c>
      <c r="B2883" s="426" t="s">
        <v>315</v>
      </c>
    </row>
    <row r="2884" spans="1:2" ht="15" hidden="1" x14ac:dyDescent="0.25">
      <c r="A2884" s="426" t="s">
        <v>210</v>
      </c>
      <c r="B2884" s="426" t="s">
        <v>316</v>
      </c>
    </row>
    <row r="2885" spans="1:2" ht="15" hidden="1" x14ac:dyDescent="0.25">
      <c r="A2885" s="426" t="s">
        <v>210</v>
      </c>
      <c r="B2885" s="426" t="s">
        <v>316</v>
      </c>
    </row>
    <row r="2886" spans="1:2" ht="15" hidden="1" x14ac:dyDescent="0.25">
      <c r="A2886" s="426" t="s">
        <v>210</v>
      </c>
      <c r="B2886" s="426" t="s">
        <v>316</v>
      </c>
    </row>
    <row r="2887" spans="1:2" ht="15" hidden="1" x14ac:dyDescent="0.25">
      <c r="A2887" s="426" t="s">
        <v>210</v>
      </c>
      <c r="B2887" s="426" t="s">
        <v>316</v>
      </c>
    </row>
    <row r="2888" spans="1:2" ht="15" hidden="1" x14ac:dyDescent="0.25">
      <c r="A2888" s="426" t="s">
        <v>210</v>
      </c>
      <c r="B2888" s="426" t="s">
        <v>316</v>
      </c>
    </row>
    <row r="2889" spans="1:2" ht="15" hidden="1" x14ac:dyDescent="0.25">
      <c r="A2889" s="426" t="s">
        <v>210</v>
      </c>
      <c r="B2889" s="426" t="s">
        <v>316</v>
      </c>
    </row>
    <row r="2890" spans="1:2" ht="15" hidden="1" x14ac:dyDescent="0.25">
      <c r="A2890" s="426" t="s">
        <v>210</v>
      </c>
      <c r="B2890" s="426" t="s">
        <v>316</v>
      </c>
    </row>
    <row r="2891" spans="1:2" ht="15" hidden="1" x14ac:dyDescent="0.25">
      <c r="A2891" s="426" t="s">
        <v>210</v>
      </c>
      <c r="B2891" s="426" t="s">
        <v>316</v>
      </c>
    </row>
    <row r="2892" spans="1:2" ht="15" hidden="1" x14ac:dyDescent="0.25">
      <c r="A2892" s="426" t="s">
        <v>210</v>
      </c>
      <c r="B2892" s="426" t="s">
        <v>316</v>
      </c>
    </row>
    <row r="2893" spans="1:2" ht="15" hidden="1" x14ac:dyDescent="0.25">
      <c r="A2893" s="426" t="s">
        <v>184</v>
      </c>
      <c r="B2893" s="426" t="s">
        <v>318</v>
      </c>
    </row>
    <row r="2894" spans="1:2" ht="15" hidden="1" x14ac:dyDescent="0.25">
      <c r="A2894" s="426" t="s">
        <v>185</v>
      </c>
      <c r="B2894" s="426" t="s">
        <v>319</v>
      </c>
    </row>
    <row r="2895" spans="1:2" ht="15" hidden="1" x14ac:dyDescent="0.25">
      <c r="A2895" s="426" t="s">
        <v>185</v>
      </c>
      <c r="B2895" s="426" t="s">
        <v>319</v>
      </c>
    </row>
    <row r="2896" spans="1:2" ht="15" hidden="1" x14ac:dyDescent="0.25">
      <c r="A2896" s="426" t="s">
        <v>185</v>
      </c>
      <c r="B2896" s="426" t="s">
        <v>319</v>
      </c>
    </row>
    <row r="2897" spans="1:2" ht="15" hidden="1" x14ac:dyDescent="0.25">
      <c r="A2897" s="426" t="s">
        <v>185</v>
      </c>
      <c r="B2897" s="426" t="s">
        <v>319</v>
      </c>
    </row>
    <row r="2898" spans="1:2" ht="15" hidden="1" x14ac:dyDescent="0.25">
      <c r="A2898" s="426" t="s">
        <v>185</v>
      </c>
      <c r="B2898" s="426" t="s">
        <v>319</v>
      </c>
    </row>
    <row r="2899" spans="1:2" ht="15" hidden="1" x14ac:dyDescent="0.25">
      <c r="A2899" s="426" t="s">
        <v>185</v>
      </c>
      <c r="B2899" s="426" t="s">
        <v>319</v>
      </c>
    </row>
    <row r="2900" spans="1:2" ht="15" hidden="1" x14ac:dyDescent="0.25">
      <c r="A2900" s="426" t="s">
        <v>401</v>
      </c>
      <c r="B2900" s="426" t="s">
        <v>402</v>
      </c>
    </row>
    <row r="2901" spans="1:2" ht="15" hidden="1" x14ac:dyDescent="0.25">
      <c r="A2901" s="426" t="s">
        <v>1263</v>
      </c>
      <c r="B2901" s="426" t="s">
        <v>1264</v>
      </c>
    </row>
    <row r="2902" spans="1:2" ht="15" hidden="1" x14ac:dyDescent="0.25">
      <c r="A2902" s="426" t="s">
        <v>1263</v>
      </c>
      <c r="B2902" s="426" t="s">
        <v>1264</v>
      </c>
    </row>
    <row r="2903" spans="1:2" ht="15" hidden="1" x14ac:dyDescent="0.25">
      <c r="A2903" s="426" t="s">
        <v>1263</v>
      </c>
      <c r="B2903" s="426" t="s">
        <v>1264</v>
      </c>
    </row>
    <row r="2904" spans="1:2" ht="15" hidden="1" x14ac:dyDescent="0.25">
      <c r="A2904" s="426" t="s">
        <v>1263</v>
      </c>
      <c r="B2904" s="426" t="s">
        <v>1264</v>
      </c>
    </row>
    <row r="2905" spans="1:2" ht="15" hidden="1" x14ac:dyDescent="0.25">
      <c r="A2905" s="426" t="s">
        <v>1263</v>
      </c>
      <c r="B2905" s="426" t="s">
        <v>1264</v>
      </c>
    </row>
    <row r="2906" spans="1:2" ht="15" hidden="1" x14ac:dyDescent="0.25">
      <c r="A2906" s="426" t="s">
        <v>1265</v>
      </c>
      <c r="B2906" s="426" t="s">
        <v>1266</v>
      </c>
    </row>
    <row r="2907" spans="1:2" ht="15" hidden="1" x14ac:dyDescent="0.25">
      <c r="A2907" s="426" t="s">
        <v>1265</v>
      </c>
      <c r="B2907" s="426" t="s">
        <v>1266</v>
      </c>
    </row>
    <row r="2908" spans="1:2" ht="15" hidden="1" x14ac:dyDescent="0.25">
      <c r="A2908" s="426" t="s">
        <v>1265</v>
      </c>
      <c r="B2908" s="426" t="s">
        <v>1266</v>
      </c>
    </row>
    <row r="2909" spans="1:2" ht="15" hidden="1" x14ac:dyDescent="0.25">
      <c r="A2909" s="426" t="s">
        <v>1265</v>
      </c>
      <c r="B2909" s="426" t="s">
        <v>1266</v>
      </c>
    </row>
    <row r="2910" spans="1:2" ht="15" hidden="1" x14ac:dyDescent="0.25">
      <c r="A2910" s="426" t="s">
        <v>1267</v>
      </c>
      <c r="B2910" s="426" t="s">
        <v>1268</v>
      </c>
    </row>
    <row r="2911" spans="1:2" ht="15" hidden="1" x14ac:dyDescent="0.25">
      <c r="A2911" s="426" t="s">
        <v>1267</v>
      </c>
      <c r="B2911" s="426" t="s">
        <v>1268</v>
      </c>
    </row>
    <row r="2912" spans="1:2" ht="15" hidden="1" x14ac:dyDescent="0.25">
      <c r="A2912" s="426" t="s">
        <v>1267</v>
      </c>
      <c r="B2912" s="426" t="s">
        <v>1268</v>
      </c>
    </row>
    <row r="2913" spans="1:2" ht="15" hidden="1" x14ac:dyDescent="0.25">
      <c r="A2913" s="426" t="s">
        <v>1267</v>
      </c>
      <c r="B2913" s="426" t="s">
        <v>1268</v>
      </c>
    </row>
    <row r="2914" spans="1:2" ht="15" hidden="1" x14ac:dyDescent="0.25">
      <c r="A2914" s="426" t="s">
        <v>1267</v>
      </c>
      <c r="B2914" s="426" t="s">
        <v>1268</v>
      </c>
    </row>
    <row r="2915" spans="1:2" ht="15" hidden="1" x14ac:dyDescent="0.25">
      <c r="A2915" s="426" t="s">
        <v>1267</v>
      </c>
      <c r="B2915" s="426" t="s">
        <v>1268</v>
      </c>
    </row>
    <row r="2916" spans="1:2" ht="15" hidden="1" x14ac:dyDescent="0.25">
      <c r="A2916" s="426" t="s">
        <v>1267</v>
      </c>
      <c r="B2916" s="426" t="s">
        <v>1268</v>
      </c>
    </row>
    <row r="2917" spans="1:2" ht="15" hidden="1" x14ac:dyDescent="0.25">
      <c r="A2917" s="426" t="s">
        <v>1267</v>
      </c>
      <c r="B2917" s="426" t="s">
        <v>1268</v>
      </c>
    </row>
    <row r="2918" spans="1:2" ht="15" hidden="1" x14ac:dyDescent="0.25">
      <c r="A2918" s="426" t="s">
        <v>1267</v>
      </c>
      <c r="B2918" s="426" t="s">
        <v>1268</v>
      </c>
    </row>
    <row r="2919" spans="1:2" ht="15" hidden="1" x14ac:dyDescent="0.25">
      <c r="A2919" s="426" t="s">
        <v>1267</v>
      </c>
      <c r="B2919" s="426" t="s">
        <v>1268</v>
      </c>
    </row>
    <row r="2920" spans="1:2" ht="15" hidden="1" x14ac:dyDescent="0.25">
      <c r="A2920" s="426" t="s">
        <v>1267</v>
      </c>
      <c r="B2920" s="426" t="s">
        <v>1268</v>
      </c>
    </row>
    <row r="2921" spans="1:2" ht="15" hidden="1" x14ac:dyDescent="0.25">
      <c r="A2921" s="426" t="s">
        <v>1267</v>
      </c>
      <c r="B2921" s="426" t="s">
        <v>1268</v>
      </c>
    </row>
    <row r="2922" spans="1:2" ht="15" hidden="1" x14ac:dyDescent="0.25">
      <c r="A2922" s="426" t="s">
        <v>1267</v>
      </c>
      <c r="B2922" s="426" t="s">
        <v>1268</v>
      </c>
    </row>
    <row r="2923" spans="1:2" ht="15" hidden="1" x14ac:dyDescent="0.25">
      <c r="A2923" s="426" t="s">
        <v>1267</v>
      </c>
      <c r="B2923" s="426" t="s">
        <v>1268</v>
      </c>
    </row>
    <row r="2924" spans="1:2" ht="15" hidden="1" x14ac:dyDescent="0.25">
      <c r="A2924" s="426" t="s">
        <v>1267</v>
      </c>
      <c r="B2924" s="426" t="s">
        <v>1268</v>
      </c>
    </row>
    <row r="2925" spans="1:2" ht="15" hidden="1" x14ac:dyDescent="0.25">
      <c r="A2925" s="426" t="s">
        <v>1267</v>
      </c>
      <c r="B2925" s="426" t="s">
        <v>1268</v>
      </c>
    </row>
    <row r="2926" spans="1:2" ht="15" hidden="1" x14ac:dyDescent="0.25">
      <c r="A2926" s="426" t="s">
        <v>1267</v>
      </c>
      <c r="B2926" s="426" t="s">
        <v>1268</v>
      </c>
    </row>
    <row r="2927" spans="1:2" ht="15" hidden="1" x14ac:dyDescent="0.25">
      <c r="A2927" s="426" t="s">
        <v>1267</v>
      </c>
      <c r="B2927" s="426" t="s">
        <v>1268</v>
      </c>
    </row>
    <row r="2928" spans="1:2" ht="15" hidden="1" x14ac:dyDescent="0.25">
      <c r="A2928" s="426" t="s">
        <v>1267</v>
      </c>
      <c r="B2928" s="426" t="s">
        <v>1268</v>
      </c>
    </row>
    <row r="2929" spans="1:2" ht="15" hidden="1" x14ac:dyDescent="0.25">
      <c r="A2929" s="426" t="s">
        <v>1267</v>
      </c>
      <c r="B2929" s="426" t="s">
        <v>1268</v>
      </c>
    </row>
    <row r="2930" spans="1:2" ht="15" hidden="1" x14ac:dyDescent="0.25">
      <c r="A2930" s="426" t="s">
        <v>1267</v>
      </c>
      <c r="B2930" s="426" t="s">
        <v>1268</v>
      </c>
    </row>
    <row r="2931" spans="1:2" ht="15" hidden="1" x14ac:dyDescent="0.25">
      <c r="A2931" s="426" t="s">
        <v>1267</v>
      </c>
      <c r="B2931" s="426" t="s">
        <v>1268</v>
      </c>
    </row>
    <row r="2932" spans="1:2" ht="15" hidden="1" x14ac:dyDescent="0.25">
      <c r="A2932" s="426" t="s">
        <v>1267</v>
      </c>
      <c r="B2932" s="426" t="s">
        <v>1268</v>
      </c>
    </row>
    <row r="2933" spans="1:2" ht="15" hidden="1" x14ac:dyDescent="0.25">
      <c r="A2933" s="426" t="s">
        <v>1267</v>
      </c>
      <c r="B2933" s="426" t="s">
        <v>1268</v>
      </c>
    </row>
    <row r="2934" spans="1:2" ht="15" hidden="1" x14ac:dyDescent="0.25">
      <c r="A2934" s="426" t="s">
        <v>1267</v>
      </c>
      <c r="B2934" s="426" t="s">
        <v>1268</v>
      </c>
    </row>
    <row r="2935" spans="1:2" ht="15" hidden="1" x14ac:dyDescent="0.25">
      <c r="A2935" s="426" t="s">
        <v>1267</v>
      </c>
      <c r="B2935" s="426" t="s">
        <v>1268</v>
      </c>
    </row>
    <row r="2936" spans="1:2" ht="15" hidden="1" x14ac:dyDescent="0.25">
      <c r="A2936" s="426" t="s">
        <v>1267</v>
      </c>
      <c r="B2936" s="426" t="s">
        <v>1268</v>
      </c>
    </row>
    <row r="2937" spans="1:2" ht="15" hidden="1" x14ac:dyDescent="0.25">
      <c r="A2937" s="426" t="s">
        <v>1267</v>
      </c>
      <c r="B2937" s="426" t="s">
        <v>1268</v>
      </c>
    </row>
    <row r="2938" spans="1:2" ht="15" hidden="1" x14ac:dyDescent="0.25">
      <c r="A2938" s="426" t="s">
        <v>1267</v>
      </c>
      <c r="B2938" s="426" t="s">
        <v>1268</v>
      </c>
    </row>
    <row r="2939" spans="1:2" ht="15" hidden="1" x14ac:dyDescent="0.25">
      <c r="A2939" s="426" t="s">
        <v>1267</v>
      </c>
      <c r="B2939" s="426" t="s">
        <v>1268</v>
      </c>
    </row>
    <row r="2940" spans="1:2" ht="15" hidden="1" x14ac:dyDescent="0.25">
      <c r="A2940" s="426" t="s">
        <v>1267</v>
      </c>
      <c r="B2940" s="426" t="s">
        <v>1268</v>
      </c>
    </row>
    <row r="2941" spans="1:2" ht="15" hidden="1" x14ac:dyDescent="0.25">
      <c r="A2941" s="426" t="s">
        <v>1267</v>
      </c>
      <c r="B2941" s="426" t="s">
        <v>1268</v>
      </c>
    </row>
    <row r="2942" spans="1:2" ht="15" hidden="1" x14ac:dyDescent="0.25">
      <c r="A2942" s="426" t="s">
        <v>1267</v>
      </c>
      <c r="B2942" s="426" t="s">
        <v>1268</v>
      </c>
    </row>
    <row r="2943" spans="1:2" ht="15" hidden="1" x14ac:dyDescent="0.25">
      <c r="A2943" s="426" t="s">
        <v>1267</v>
      </c>
      <c r="B2943" s="426" t="s">
        <v>1268</v>
      </c>
    </row>
    <row r="2944" spans="1:2" ht="15" hidden="1" x14ac:dyDescent="0.25">
      <c r="A2944" s="426" t="s">
        <v>1267</v>
      </c>
      <c r="B2944" s="426" t="s">
        <v>1268</v>
      </c>
    </row>
    <row r="2945" spans="1:2" ht="15" hidden="1" x14ac:dyDescent="0.25">
      <c r="A2945" s="426" t="s">
        <v>1267</v>
      </c>
      <c r="B2945" s="426" t="s">
        <v>1268</v>
      </c>
    </row>
    <row r="2946" spans="1:2" ht="15" hidden="1" x14ac:dyDescent="0.25">
      <c r="A2946" s="426" t="s">
        <v>1267</v>
      </c>
      <c r="B2946" s="426" t="s">
        <v>1268</v>
      </c>
    </row>
    <row r="2947" spans="1:2" ht="15" hidden="1" x14ac:dyDescent="0.25">
      <c r="A2947" s="426" t="s">
        <v>1267</v>
      </c>
      <c r="B2947" s="426" t="s">
        <v>1268</v>
      </c>
    </row>
    <row r="2948" spans="1:2" ht="15" hidden="1" x14ac:dyDescent="0.25">
      <c r="A2948" s="426" t="s">
        <v>1267</v>
      </c>
      <c r="B2948" s="426" t="s">
        <v>1268</v>
      </c>
    </row>
    <row r="2949" spans="1:2" ht="15" hidden="1" x14ac:dyDescent="0.25">
      <c r="A2949" s="426" t="s">
        <v>187</v>
      </c>
      <c r="B2949" s="426" t="s">
        <v>322</v>
      </c>
    </row>
    <row r="2950" spans="1:2" ht="15" hidden="1" x14ac:dyDescent="0.25">
      <c r="A2950" s="426" t="s">
        <v>187</v>
      </c>
      <c r="B2950" s="426" t="s">
        <v>322</v>
      </c>
    </row>
    <row r="2951" spans="1:2" ht="15" hidden="1" x14ac:dyDescent="0.25">
      <c r="A2951" s="426" t="s">
        <v>188</v>
      </c>
      <c r="B2951" s="426" t="s">
        <v>323</v>
      </c>
    </row>
    <row r="2952" spans="1:2" ht="15" hidden="1" x14ac:dyDescent="0.25">
      <c r="A2952" s="426" t="s">
        <v>188</v>
      </c>
      <c r="B2952" s="426" t="s">
        <v>323</v>
      </c>
    </row>
    <row r="2953" spans="1:2" ht="15" hidden="1" x14ac:dyDescent="0.25">
      <c r="A2953" s="426" t="s">
        <v>188</v>
      </c>
      <c r="B2953" s="426" t="s">
        <v>323</v>
      </c>
    </row>
    <row r="2954" spans="1:2" ht="15" hidden="1" x14ac:dyDescent="0.25">
      <c r="A2954" s="426" t="s">
        <v>188</v>
      </c>
      <c r="B2954" s="426" t="s">
        <v>323</v>
      </c>
    </row>
    <row r="2955" spans="1:2" ht="15" hidden="1" x14ac:dyDescent="0.25">
      <c r="A2955" s="426" t="s">
        <v>188</v>
      </c>
      <c r="B2955" s="426" t="s">
        <v>323</v>
      </c>
    </row>
    <row r="2956" spans="1:2" ht="15" hidden="1" x14ac:dyDescent="0.25">
      <c r="A2956" s="426" t="s">
        <v>1269</v>
      </c>
      <c r="B2956" s="426" t="s">
        <v>1270</v>
      </c>
    </row>
    <row r="2957" spans="1:2" ht="15" hidden="1" x14ac:dyDescent="0.25">
      <c r="A2957" s="426" t="s">
        <v>1269</v>
      </c>
      <c r="B2957" s="426" t="s">
        <v>1270</v>
      </c>
    </row>
    <row r="2958" spans="1:2" ht="15" hidden="1" x14ac:dyDescent="0.25">
      <c r="A2958" s="426" t="s">
        <v>1269</v>
      </c>
      <c r="B2958" s="426" t="s">
        <v>1270</v>
      </c>
    </row>
    <row r="2959" spans="1:2" ht="15" hidden="1" x14ac:dyDescent="0.25">
      <c r="A2959" s="426" t="s">
        <v>2357</v>
      </c>
      <c r="B2959" s="426" t="s">
        <v>2357</v>
      </c>
    </row>
    <row r="2960" spans="1:2" ht="15" hidden="1" x14ac:dyDescent="0.25">
      <c r="A2960" s="426" t="s">
        <v>2358</v>
      </c>
      <c r="B2960" s="426" t="s">
        <v>2358</v>
      </c>
    </row>
    <row r="2961" spans="1:2" ht="15" hidden="1" x14ac:dyDescent="0.25">
      <c r="A2961" s="426" t="s">
        <v>2359</v>
      </c>
      <c r="B2961" s="426" t="s">
        <v>2359</v>
      </c>
    </row>
    <row r="2962" spans="1:2" ht="15" hidden="1" x14ac:dyDescent="0.25">
      <c r="A2962" s="426" t="s">
        <v>2360</v>
      </c>
      <c r="B2962" s="426" t="s">
        <v>2360</v>
      </c>
    </row>
    <row r="2963" spans="1:2" ht="15" hidden="1" x14ac:dyDescent="0.25">
      <c r="A2963" s="426" t="s">
        <v>2361</v>
      </c>
      <c r="B2963" s="426" t="s">
        <v>2361</v>
      </c>
    </row>
    <row r="2964" spans="1:2" ht="15" hidden="1" x14ac:dyDescent="0.25">
      <c r="A2964" s="426" t="s">
        <v>2362</v>
      </c>
      <c r="B2964" s="426" t="s">
        <v>2362</v>
      </c>
    </row>
    <row r="2965" spans="1:2" ht="15" hidden="1" x14ac:dyDescent="0.25">
      <c r="A2965" s="426" t="s">
        <v>2362</v>
      </c>
      <c r="B2965" s="426" t="s">
        <v>2362</v>
      </c>
    </row>
    <row r="2966" spans="1:2" ht="15" hidden="1" x14ac:dyDescent="0.25">
      <c r="A2966" s="426" t="s">
        <v>2363</v>
      </c>
      <c r="B2966" s="426" t="s">
        <v>2363</v>
      </c>
    </row>
    <row r="2967" spans="1:2" ht="15" hidden="1" x14ac:dyDescent="0.25">
      <c r="A2967" s="426" t="s">
        <v>2364</v>
      </c>
      <c r="B2967" s="426" t="s">
        <v>2364</v>
      </c>
    </row>
    <row r="2968" spans="1:2" ht="15" hidden="1" x14ac:dyDescent="0.25">
      <c r="A2968" s="426" t="s">
        <v>2364</v>
      </c>
      <c r="B2968" s="426" t="s">
        <v>2364</v>
      </c>
    </row>
    <row r="2969" spans="1:2" ht="15" hidden="1" x14ac:dyDescent="0.25">
      <c r="A2969" s="426" t="s">
        <v>2365</v>
      </c>
      <c r="B2969" s="426" t="s">
        <v>2365</v>
      </c>
    </row>
    <row r="2970" spans="1:2" ht="15" hidden="1" x14ac:dyDescent="0.25">
      <c r="A2970" s="426" t="s">
        <v>2366</v>
      </c>
      <c r="B2970" s="426" t="s">
        <v>2366</v>
      </c>
    </row>
    <row r="2971" spans="1:2" ht="15" hidden="1" x14ac:dyDescent="0.25">
      <c r="A2971" s="426" t="s">
        <v>2367</v>
      </c>
      <c r="B2971" s="426" t="s">
        <v>2367</v>
      </c>
    </row>
    <row r="2972" spans="1:2" ht="15" hidden="1" x14ac:dyDescent="0.25">
      <c r="A2972" s="426" t="s">
        <v>2367</v>
      </c>
      <c r="B2972" s="426" t="s">
        <v>2367</v>
      </c>
    </row>
    <row r="2973" spans="1:2" ht="15" hidden="1" x14ac:dyDescent="0.25">
      <c r="A2973" s="426" t="s">
        <v>2368</v>
      </c>
      <c r="B2973" s="426" t="s">
        <v>2368</v>
      </c>
    </row>
    <row r="2974" spans="1:2" ht="15" hidden="1" x14ac:dyDescent="0.25">
      <c r="A2974" s="426" t="s">
        <v>2369</v>
      </c>
      <c r="B2974" s="426" t="s">
        <v>2369</v>
      </c>
    </row>
    <row r="2975" spans="1:2" ht="15" hidden="1" x14ac:dyDescent="0.25">
      <c r="A2975" s="426" t="s">
        <v>2369</v>
      </c>
      <c r="B2975" s="426" t="s">
        <v>2369</v>
      </c>
    </row>
    <row r="2976" spans="1:2" ht="15" hidden="1" x14ac:dyDescent="0.25">
      <c r="A2976" s="426" t="s">
        <v>2370</v>
      </c>
      <c r="B2976" s="426" t="s">
        <v>2370</v>
      </c>
    </row>
    <row r="2977" spans="1:2" ht="15" hidden="1" x14ac:dyDescent="0.25">
      <c r="A2977" s="426" t="s">
        <v>2371</v>
      </c>
      <c r="B2977" s="426" t="s">
        <v>2371</v>
      </c>
    </row>
    <row r="2978" spans="1:2" ht="15" hidden="1" x14ac:dyDescent="0.25">
      <c r="A2978" s="426" t="s">
        <v>2372</v>
      </c>
      <c r="B2978" s="426" t="s">
        <v>2372</v>
      </c>
    </row>
    <row r="2979" spans="1:2" ht="15" hidden="1" x14ac:dyDescent="0.25">
      <c r="A2979" s="426" t="s">
        <v>2373</v>
      </c>
      <c r="B2979" s="426" t="s">
        <v>2373</v>
      </c>
    </row>
    <row r="2980" spans="1:2" ht="15" hidden="1" x14ac:dyDescent="0.25">
      <c r="A2980" s="426" t="s">
        <v>2374</v>
      </c>
      <c r="B2980" s="426" t="s">
        <v>2374</v>
      </c>
    </row>
    <row r="2981" spans="1:2" ht="15" hidden="1" x14ac:dyDescent="0.25">
      <c r="A2981" s="426" t="s">
        <v>2374</v>
      </c>
      <c r="B2981" s="426" t="s">
        <v>2374</v>
      </c>
    </row>
    <row r="2982" spans="1:2" ht="15" hidden="1" x14ac:dyDescent="0.25">
      <c r="A2982" s="426" t="s">
        <v>2375</v>
      </c>
      <c r="B2982" s="426" t="s">
        <v>2375</v>
      </c>
    </row>
    <row r="2983" spans="1:2" ht="15" hidden="1" x14ac:dyDescent="0.25">
      <c r="A2983" s="426" t="s">
        <v>2376</v>
      </c>
      <c r="B2983" s="426" t="s">
        <v>2376</v>
      </c>
    </row>
    <row r="2984" spans="1:2" ht="15" hidden="1" x14ac:dyDescent="0.25">
      <c r="A2984" s="426" t="s">
        <v>2377</v>
      </c>
      <c r="B2984" s="426" t="s">
        <v>2377</v>
      </c>
    </row>
    <row r="2985" spans="1:2" ht="15" hidden="1" x14ac:dyDescent="0.25">
      <c r="A2985" s="426" t="s">
        <v>2378</v>
      </c>
      <c r="B2985" s="426" t="s">
        <v>2378</v>
      </c>
    </row>
    <row r="2986" spans="1:2" ht="15" hidden="1" x14ac:dyDescent="0.25">
      <c r="A2986" s="426" t="s">
        <v>2379</v>
      </c>
      <c r="B2986" s="426" t="s">
        <v>2379</v>
      </c>
    </row>
    <row r="2987" spans="1:2" ht="15" hidden="1" x14ac:dyDescent="0.25">
      <c r="A2987" s="426" t="s">
        <v>2380</v>
      </c>
      <c r="B2987" s="426" t="s">
        <v>2380</v>
      </c>
    </row>
    <row r="2988" spans="1:2" ht="15" hidden="1" x14ac:dyDescent="0.25">
      <c r="A2988" s="426" t="s">
        <v>2380</v>
      </c>
      <c r="B2988" s="426" t="s">
        <v>2380</v>
      </c>
    </row>
    <row r="2989" spans="1:2" ht="15" hidden="1" x14ac:dyDescent="0.25">
      <c r="A2989" s="426" t="s">
        <v>2381</v>
      </c>
      <c r="B2989" s="426" t="s">
        <v>2381</v>
      </c>
    </row>
    <row r="2990" spans="1:2" ht="15" hidden="1" x14ac:dyDescent="0.25">
      <c r="A2990" s="426" t="s">
        <v>2382</v>
      </c>
      <c r="B2990" s="426" t="s">
        <v>2382</v>
      </c>
    </row>
    <row r="2991" spans="1:2" ht="15" hidden="1" x14ac:dyDescent="0.25">
      <c r="A2991" s="426" t="s">
        <v>2383</v>
      </c>
      <c r="B2991" s="426" t="s">
        <v>2383</v>
      </c>
    </row>
    <row r="2992" spans="1:2" ht="15" hidden="1" x14ac:dyDescent="0.25">
      <c r="A2992" s="426" t="s">
        <v>2384</v>
      </c>
      <c r="B2992" s="426" t="s">
        <v>2384</v>
      </c>
    </row>
    <row r="2993" spans="1:2" ht="15" hidden="1" x14ac:dyDescent="0.25">
      <c r="A2993" s="426" t="s">
        <v>2385</v>
      </c>
      <c r="B2993" s="426" t="s">
        <v>2385</v>
      </c>
    </row>
    <row r="2994" spans="1:2" ht="15" hidden="1" x14ac:dyDescent="0.25">
      <c r="A2994" s="426" t="s">
        <v>2386</v>
      </c>
      <c r="B2994" s="426" t="s">
        <v>2386</v>
      </c>
    </row>
    <row r="2995" spans="1:2" ht="15" hidden="1" x14ac:dyDescent="0.25">
      <c r="A2995" s="426" t="s">
        <v>2387</v>
      </c>
      <c r="B2995" s="426" t="s">
        <v>2387</v>
      </c>
    </row>
    <row r="2996" spans="1:2" ht="15" hidden="1" x14ac:dyDescent="0.25">
      <c r="A2996" s="426" t="s">
        <v>2388</v>
      </c>
      <c r="B2996" s="426" t="s">
        <v>2388</v>
      </c>
    </row>
    <row r="2997" spans="1:2" ht="15" hidden="1" x14ac:dyDescent="0.25">
      <c r="A2997" s="426" t="s">
        <v>2389</v>
      </c>
      <c r="B2997" s="426" t="s">
        <v>2389</v>
      </c>
    </row>
    <row r="2998" spans="1:2" ht="15" hidden="1" x14ac:dyDescent="0.25">
      <c r="A2998" s="426" t="s">
        <v>2390</v>
      </c>
      <c r="B2998" s="426" t="s">
        <v>2390</v>
      </c>
    </row>
    <row r="2999" spans="1:2" ht="15" hidden="1" x14ac:dyDescent="0.25">
      <c r="A2999" s="426" t="s">
        <v>2391</v>
      </c>
      <c r="B2999" s="426" t="s">
        <v>2391</v>
      </c>
    </row>
    <row r="3000" spans="1:2" ht="15" hidden="1" x14ac:dyDescent="0.25">
      <c r="A3000" s="426" t="s">
        <v>2391</v>
      </c>
      <c r="B3000" s="426" t="s">
        <v>2391</v>
      </c>
    </row>
    <row r="3001" spans="1:2" ht="15" hidden="1" x14ac:dyDescent="0.25">
      <c r="A3001" s="426" t="s">
        <v>2392</v>
      </c>
      <c r="B3001" s="426" t="s">
        <v>2392</v>
      </c>
    </row>
    <row r="3002" spans="1:2" ht="15" hidden="1" x14ac:dyDescent="0.25">
      <c r="A3002" s="426" t="s">
        <v>2393</v>
      </c>
      <c r="B3002" s="426" t="s">
        <v>2393</v>
      </c>
    </row>
    <row r="3003" spans="1:2" ht="15" hidden="1" x14ac:dyDescent="0.25">
      <c r="A3003" s="426" t="s">
        <v>2394</v>
      </c>
      <c r="B3003" s="426" t="s">
        <v>2394</v>
      </c>
    </row>
    <row r="3004" spans="1:2" ht="15" hidden="1" x14ac:dyDescent="0.25">
      <c r="A3004" s="426" t="s">
        <v>2395</v>
      </c>
      <c r="B3004" s="426" t="s">
        <v>2395</v>
      </c>
    </row>
    <row r="3005" spans="1:2" ht="15" hidden="1" x14ac:dyDescent="0.25">
      <c r="A3005" s="426" t="s">
        <v>2396</v>
      </c>
      <c r="B3005" s="426" t="s">
        <v>2396</v>
      </c>
    </row>
    <row r="3006" spans="1:2" ht="15" hidden="1" x14ac:dyDescent="0.25">
      <c r="A3006" s="426" t="s">
        <v>2396</v>
      </c>
      <c r="B3006" s="426" t="s">
        <v>2396</v>
      </c>
    </row>
    <row r="3007" spans="1:2" ht="15" hidden="1" x14ac:dyDescent="0.25">
      <c r="A3007" s="426" t="s">
        <v>2397</v>
      </c>
      <c r="B3007" s="426" t="s">
        <v>2397</v>
      </c>
    </row>
    <row r="3008" spans="1:2" ht="15" hidden="1" x14ac:dyDescent="0.25">
      <c r="A3008" s="426" t="s">
        <v>2398</v>
      </c>
      <c r="B3008" s="426" t="s">
        <v>2398</v>
      </c>
    </row>
    <row r="3009" spans="1:2" ht="15" hidden="1" x14ac:dyDescent="0.25">
      <c r="A3009" s="426" t="s">
        <v>2399</v>
      </c>
      <c r="B3009" s="426" t="s">
        <v>2399</v>
      </c>
    </row>
    <row r="3010" spans="1:2" ht="15" hidden="1" x14ac:dyDescent="0.25">
      <c r="A3010" s="426" t="s">
        <v>2399</v>
      </c>
      <c r="B3010" s="426" t="s">
        <v>2399</v>
      </c>
    </row>
    <row r="3011" spans="1:2" ht="15" hidden="1" x14ac:dyDescent="0.25">
      <c r="A3011" s="426" t="s">
        <v>2400</v>
      </c>
      <c r="B3011" s="426" t="s">
        <v>2400</v>
      </c>
    </row>
    <row r="3012" spans="1:2" ht="15" hidden="1" x14ac:dyDescent="0.25">
      <c r="A3012" s="426" t="s">
        <v>2400</v>
      </c>
      <c r="B3012" s="426" t="s">
        <v>2400</v>
      </c>
    </row>
    <row r="3013" spans="1:2" ht="15" hidden="1" x14ac:dyDescent="0.25">
      <c r="A3013" s="426" t="s">
        <v>2401</v>
      </c>
      <c r="B3013" s="426" t="s">
        <v>2401</v>
      </c>
    </row>
    <row r="3014" spans="1:2" ht="15" hidden="1" x14ac:dyDescent="0.25">
      <c r="A3014" s="426" t="s">
        <v>2402</v>
      </c>
      <c r="B3014" s="426" t="s">
        <v>2402</v>
      </c>
    </row>
    <row r="3015" spans="1:2" ht="15" hidden="1" x14ac:dyDescent="0.25">
      <c r="A3015" s="426" t="s">
        <v>2403</v>
      </c>
      <c r="B3015" s="426" t="s">
        <v>2403</v>
      </c>
    </row>
    <row r="3016" spans="1:2" ht="15" hidden="1" x14ac:dyDescent="0.25">
      <c r="A3016" s="426" t="s">
        <v>2403</v>
      </c>
      <c r="B3016" s="426" t="s">
        <v>2403</v>
      </c>
    </row>
    <row r="3017" spans="1:2" ht="15" hidden="1" x14ac:dyDescent="0.25">
      <c r="A3017" s="426" t="s">
        <v>2404</v>
      </c>
      <c r="B3017" s="426" t="s">
        <v>2404</v>
      </c>
    </row>
    <row r="3018" spans="1:2" ht="15" hidden="1" x14ac:dyDescent="0.25">
      <c r="A3018" s="426" t="s">
        <v>2404</v>
      </c>
      <c r="B3018" s="426" t="s">
        <v>2404</v>
      </c>
    </row>
    <row r="3019" spans="1:2" ht="15" hidden="1" x14ac:dyDescent="0.25">
      <c r="A3019" s="426" t="s">
        <v>2405</v>
      </c>
      <c r="B3019" s="426" t="s">
        <v>2405</v>
      </c>
    </row>
    <row r="3020" spans="1:2" ht="15" hidden="1" x14ac:dyDescent="0.25">
      <c r="A3020" s="426" t="s">
        <v>2406</v>
      </c>
      <c r="B3020" s="426" t="s">
        <v>2406</v>
      </c>
    </row>
    <row r="3021" spans="1:2" ht="15" hidden="1" x14ac:dyDescent="0.25">
      <c r="A3021" s="426" t="s">
        <v>2407</v>
      </c>
      <c r="B3021" s="426" t="s">
        <v>2407</v>
      </c>
    </row>
    <row r="3022" spans="1:2" ht="15" hidden="1" x14ac:dyDescent="0.25">
      <c r="A3022" s="426" t="s">
        <v>2408</v>
      </c>
      <c r="B3022" s="426" t="s">
        <v>2408</v>
      </c>
    </row>
    <row r="3023" spans="1:2" ht="15" hidden="1" x14ac:dyDescent="0.25">
      <c r="A3023" s="426" t="s">
        <v>2408</v>
      </c>
      <c r="B3023" s="426" t="s">
        <v>2408</v>
      </c>
    </row>
    <row r="3024" spans="1:2" ht="15" hidden="1" x14ac:dyDescent="0.25">
      <c r="A3024" s="426" t="s">
        <v>2409</v>
      </c>
      <c r="B3024" s="426" t="s">
        <v>2409</v>
      </c>
    </row>
    <row r="3025" spans="1:2" ht="15" hidden="1" x14ac:dyDescent="0.25">
      <c r="A3025" s="426" t="s">
        <v>2409</v>
      </c>
      <c r="B3025" s="426" t="s">
        <v>2409</v>
      </c>
    </row>
    <row r="3026" spans="1:2" ht="15" hidden="1" x14ac:dyDescent="0.25">
      <c r="A3026" s="426" t="s">
        <v>2410</v>
      </c>
      <c r="B3026" s="426" t="s">
        <v>2410</v>
      </c>
    </row>
    <row r="3027" spans="1:2" ht="15" hidden="1" x14ac:dyDescent="0.25">
      <c r="A3027" s="426" t="s">
        <v>2411</v>
      </c>
      <c r="B3027" s="426" t="s">
        <v>2411</v>
      </c>
    </row>
    <row r="3028" spans="1:2" ht="15" hidden="1" x14ac:dyDescent="0.25">
      <c r="A3028" s="426" t="s">
        <v>2411</v>
      </c>
      <c r="B3028" s="426" t="s">
        <v>2411</v>
      </c>
    </row>
    <row r="3029" spans="1:2" ht="15" hidden="1" x14ac:dyDescent="0.25">
      <c r="A3029" s="426" t="s">
        <v>2412</v>
      </c>
      <c r="B3029" s="426" t="s">
        <v>2412</v>
      </c>
    </row>
    <row r="3030" spans="1:2" ht="15" hidden="1" x14ac:dyDescent="0.25">
      <c r="A3030" s="426" t="s">
        <v>2412</v>
      </c>
      <c r="B3030" s="426" t="s">
        <v>2412</v>
      </c>
    </row>
    <row r="3031" spans="1:2" ht="15" hidden="1" x14ac:dyDescent="0.25">
      <c r="A3031" s="426" t="s">
        <v>2413</v>
      </c>
      <c r="B3031" s="426" t="s">
        <v>2413</v>
      </c>
    </row>
    <row r="3032" spans="1:2" ht="15" hidden="1" x14ac:dyDescent="0.25">
      <c r="A3032" s="426" t="s">
        <v>2414</v>
      </c>
      <c r="B3032" s="426" t="s">
        <v>2414</v>
      </c>
    </row>
    <row r="3033" spans="1:2" ht="15" hidden="1" x14ac:dyDescent="0.25">
      <c r="A3033" s="426" t="s">
        <v>2415</v>
      </c>
      <c r="B3033" s="426" t="s">
        <v>2415</v>
      </c>
    </row>
    <row r="3034" spans="1:2" ht="15" hidden="1" x14ac:dyDescent="0.25">
      <c r="A3034" s="426" t="s">
        <v>2416</v>
      </c>
      <c r="B3034" s="426" t="s">
        <v>2416</v>
      </c>
    </row>
    <row r="3035" spans="1:2" ht="15" hidden="1" x14ac:dyDescent="0.25">
      <c r="A3035" s="426" t="s">
        <v>2417</v>
      </c>
      <c r="B3035" s="426" t="s">
        <v>2417</v>
      </c>
    </row>
    <row r="3036" spans="1:2" ht="15" hidden="1" x14ac:dyDescent="0.25">
      <c r="A3036" s="426" t="s">
        <v>2418</v>
      </c>
      <c r="B3036" s="426" t="s">
        <v>2418</v>
      </c>
    </row>
    <row r="3037" spans="1:2" ht="15" hidden="1" x14ac:dyDescent="0.25">
      <c r="A3037" s="426" t="s">
        <v>2419</v>
      </c>
      <c r="B3037" s="426" t="s">
        <v>2419</v>
      </c>
    </row>
    <row r="3038" spans="1:2" ht="15" hidden="1" x14ac:dyDescent="0.25">
      <c r="A3038" s="426" t="s">
        <v>2420</v>
      </c>
      <c r="B3038" s="426" t="s">
        <v>2420</v>
      </c>
    </row>
    <row r="3039" spans="1:2" ht="15" hidden="1" x14ac:dyDescent="0.25">
      <c r="A3039" s="426" t="s">
        <v>2421</v>
      </c>
      <c r="B3039" s="426" t="s">
        <v>2421</v>
      </c>
    </row>
    <row r="3040" spans="1:2" ht="15" hidden="1" x14ac:dyDescent="0.25">
      <c r="A3040" s="426" t="s">
        <v>2422</v>
      </c>
      <c r="B3040" s="426" t="s">
        <v>2422</v>
      </c>
    </row>
    <row r="3041" spans="1:2" ht="15" hidden="1" x14ac:dyDescent="0.25">
      <c r="A3041" s="426" t="s">
        <v>2423</v>
      </c>
      <c r="B3041" s="426" t="s">
        <v>2423</v>
      </c>
    </row>
    <row r="3042" spans="1:2" ht="15" hidden="1" x14ac:dyDescent="0.25">
      <c r="A3042" s="426" t="s">
        <v>2424</v>
      </c>
      <c r="B3042" s="426" t="s">
        <v>2424</v>
      </c>
    </row>
    <row r="3043" spans="1:2" ht="15" hidden="1" x14ac:dyDescent="0.25">
      <c r="A3043" s="426" t="s">
        <v>2424</v>
      </c>
      <c r="B3043" s="426" t="s">
        <v>2424</v>
      </c>
    </row>
    <row r="3044" spans="1:2" ht="15" hidden="1" x14ac:dyDescent="0.25">
      <c r="A3044" s="426" t="s">
        <v>2425</v>
      </c>
      <c r="B3044" s="426" t="s">
        <v>2425</v>
      </c>
    </row>
    <row r="3045" spans="1:2" ht="15" hidden="1" x14ac:dyDescent="0.25">
      <c r="A3045" s="426" t="s">
        <v>2426</v>
      </c>
      <c r="B3045" s="426" t="s">
        <v>2426</v>
      </c>
    </row>
    <row r="3046" spans="1:2" ht="15" hidden="1" x14ac:dyDescent="0.25">
      <c r="A3046" s="426" t="s">
        <v>2427</v>
      </c>
      <c r="B3046" s="426" t="s">
        <v>2427</v>
      </c>
    </row>
    <row r="3047" spans="1:2" ht="15" hidden="1" x14ac:dyDescent="0.25">
      <c r="A3047" s="426" t="s">
        <v>2427</v>
      </c>
      <c r="B3047" s="426" t="s">
        <v>2427</v>
      </c>
    </row>
    <row r="3048" spans="1:2" ht="15" hidden="1" x14ac:dyDescent="0.25">
      <c r="A3048" s="426" t="s">
        <v>2428</v>
      </c>
      <c r="B3048" s="426" t="s">
        <v>2428</v>
      </c>
    </row>
    <row r="3049" spans="1:2" ht="15" hidden="1" x14ac:dyDescent="0.25">
      <c r="A3049" s="426" t="s">
        <v>2429</v>
      </c>
      <c r="B3049" s="426" t="s">
        <v>2429</v>
      </c>
    </row>
    <row r="3050" spans="1:2" ht="15" hidden="1" x14ac:dyDescent="0.25">
      <c r="A3050" s="426" t="s">
        <v>2430</v>
      </c>
      <c r="B3050" s="426" t="s">
        <v>2430</v>
      </c>
    </row>
    <row r="3051" spans="1:2" ht="15" hidden="1" x14ac:dyDescent="0.25">
      <c r="A3051" s="426" t="s">
        <v>2431</v>
      </c>
      <c r="B3051" s="426" t="s">
        <v>2431</v>
      </c>
    </row>
    <row r="3052" spans="1:2" ht="15" hidden="1" x14ac:dyDescent="0.25">
      <c r="A3052" s="426" t="s">
        <v>2432</v>
      </c>
      <c r="B3052" s="426" t="s">
        <v>2432</v>
      </c>
    </row>
    <row r="3053" spans="1:2" ht="15" hidden="1" x14ac:dyDescent="0.25">
      <c r="A3053" s="426" t="s">
        <v>2433</v>
      </c>
      <c r="B3053" s="426" t="s">
        <v>2433</v>
      </c>
    </row>
    <row r="3054" spans="1:2" ht="15" hidden="1" x14ac:dyDescent="0.25">
      <c r="A3054" s="426" t="s">
        <v>2434</v>
      </c>
      <c r="B3054" s="426" t="s">
        <v>2434</v>
      </c>
    </row>
    <row r="3055" spans="1:2" ht="15" hidden="1" x14ac:dyDescent="0.25">
      <c r="A3055" s="426" t="s">
        <v>2434</v>
      </c>
      <c r="B3055" s="426" t="s">
        <v>2434</v>
      </c>
    </row>
    <row r="3056" spans="1:2" ht="15" hidden="1" x14ac:dyDescent="0.25">
      <c r="A3056" s="426" t="s">
        <v>2435</v>
      </c>
      <c r="B3056" s="426" t="s">
        <v>2435</v>
      </c>
    </row>
    <row r="3057" spans="1:2" ht="15" hidden="1" x14ac:dyDescent="0.25">
      <c r="A3057" s="426" t="s">
        <v>2436</v>
      </c>
      <c r="B3057" s="426" t="s">
        <v>2436</v>
      </c>
    </row>
    <row r="3058" spans="1:2" ht="15" hidden="1" x14ac:dyDescent="0.25">
      <c r="A3058" s="426" t="s">
        <v>2437</v>
      </c>
      <c r="B3058" s="426" t="s">
        <v>2437</v>
      </c>
    </row>
    <row r="3059" spans="1:2" ht="15" hidden="1" x14ac:dyDescent="0.25">
      <c r="A3059" s="426" t="s">
        <v>2438</v>
      </c>
      <c r="B3059" s="426" t="s">
        <v>2438</v>
      </c>
    </row>
    <row r="3060" spans="1:2" ht="15" hidden="1" x14ac:dyDescent="0.25">
      <c r="A3060" s="426" t="s">
        <v>2438</v>
      </c>
      <c r="B3060" s="426" t="s">
        <v>2438</v>
      </c>
    </row>
    <row r="3061" spans="1:2" ht="15" hidden="1" x14ac:dyDescent="0.25">
      <c r="A3061" s="426" t="s">
        <v>2439</v>
      </c>
      <c r="B3061" s="426" t="s">
        <v>2439</v>
      </c>
    </row>
    <row r="3062" spans="1:2" ht="15" hidden="1" x14ac:dyDescent="0.25">
      <c r="A3062" s="426" t="s">
        <v>2440</v>
      </c>
      <c r="B3062" s="426" t="s">
        <v>2440</v>
      </c>
    </row>
    <row r="3063" spans="1:2" ht="15" hidden="1" x14ac:dyDescent="0.25">
      <c r="A3063" s="426" t="s">
        <v>2441</v>
      </c>
      <c r="B3063" s="426" t="s">
        <v>2441</v>
      </c>
    </row>
    <row r="3064" spans="1:2" ht="15" hidden="1" x14ac:dyDescent="0.25">
      <c r="A3064" s="426" t="s">
        <v>2442</v>
      </c>
      <c r="B3064" s="426" t="s">
        <v>2442</v>
      </c>
    </row>
    <row r="3065" spans="1:2" ht="15" hidden="1" x14ac:dyDescent="0.25">
      <c r="A3065" s="426" t="s">
        <v>2443</v>
      </c>
      <c r="B3065" s="426" t="s">
        <v>2443</v>
      </c>
    </row>
    <row r="3066" spans="1:2" ht="15" hidden="1" x14ac:dyDescent="0.25">
      <c r="A3066" s="426" t="s">
        <v>2444</v>
      </c>
      <c r="B3066" s="426" t="s">
        <v>2444</v>
      </c>
    </row>
    <row r="3067" spans="1:2" ht="15" hidden="1" x14ac:dyDescent="0.25">
      <c r="A3067" s="426" t="s">
        <v>2445</v>
      </c>
      <c r="B3067" s="426" t="s">
        <v>2445</v>
      </c>
    </row>
    <row r="3068" spans="1:2" ht="15" hidden="1" x14ac:dyDescent="0.25">
      <c r="A3068" s="426" t="s">
        <v>2446</v>
      </c>
      <c r="B3068" s="426" t="s">
        <v>2446</v>
      </c>
    </row>
    <row r="3069" spans="1:2" ht="15" hidden="1" x14ac:dyDescent="0.25">
      <c r="A3069" s="426" t="s">
        <v>2447</v>
      </c>
      <c r="B3069" s="426" t="s">
        <v>2447</v>
      </c>
    </row>
    <row r="3070" spans="1:2" ht="15" hidden="1" x14ac:dyDescent="0.25">
      <c r="A3070" s="426" t="s">
        <v>2448</v>
      </c>
      <c r="B3070" s="426" t="s">
        <v>2448</v>
      </c>
    </row>
    <row r="3071" spans="1:2" ht="15" hidden="1" x14ac:dyDescent="0.25">
      <c r="A3071" s="426" t="s">
        <v>2448</v>
      </c>
      <c r="B3071" s="426" t="s">
        <v>2448</v>
      </c>
    </row>
    <row r="3072" spans="1:2" ht="15" hidden="1" x14ac:dyDescent="0.25">
      <c r="A3072" s="426" t="s">
        <v>2449</v>
      </c>
      <c r="B3072" s="426" t="s">
        <v>2449</v>
      </c>
    </row>
    <row r="3073" spans="1:2" ht="15" hidden="1" x14ac:dyDescent="0.25">
      <c r="A3073" s="426" t="s">
        <v>2450</v>
      </c>
      <c r="B3073" s="426" t="s">
        <v>2450</v>
      </c>
    </row>
    <row r="3074" spans="1:2" ht="15" hidden="1" x14ac:dyDescent="0.25">
      <c r="A3074" s="426" t="s">
        <v>2451</v>
      </c>
      <c r="B3074" s="426" t="s">
        <v>2451</v>
      </c>
    </row>
    <row r="3075" spans="1:2" ht="15" hidden="1" x14ac:dyDescent="0.25">
      <c r="A3075" s="426" t="s">
        <v>2452</v>
      </c>
      <c r="B3075" s="426" t="s">
        <v>2452</v>
      </c>
    </row>
    <row r="3076" spans="1:2" ht="15" hidden="1" x14ac:dyDescent="0.25">
      <c r="A3076" s="426" t="s">
        <v>2452</v>
      </c>
      <c r="B3076" s="426" t="s">
        <v>2452</v>
      </c>
    </row>
    <row r="3077" spans="1:2" ht="15" hidden="1" x14ac:dyDescent="0.25">
      <c r="A3077" s="426" t="s">
        <v>2453</v>
      </c>
      <c r="B3077" s="426" t="s">
        <v>2453</v>
      </c>
    </row>
    <row r="3078" spans="1:2" ht="15" hidden="1" x14ac:dyDescent="0.25">
      <c r="A3078" s="426" t="s">
        <v>2454</v>
      </c>
      <c r="B3078" s="426" t="s">
        <v>2454</v>
      </c>
    </row>
    <row r="3079" spans="1:2" ht="15" hidden="1" x14ac:dyDescent="0.25">
      <c r="A3079" s="426" t="s">
        <v>2454</v>
      </c>
      <c r="B3079" s="426" t="s">
        <v>2454</v>
      </c>
    </row>
    <row r="3080" spans="1:2" ht="15" hidden="1" x14ac:dyDescent="0.25">
      <c r="A3080" s="426" t="s">
        <v>2455</v>
      </c>
      <c r="B3080" s="426" t="s">
        <v>2455</v>
      </c>
    </row>
    <row r="3081" spans="1:2" ht="15" hidden="1" x14ac:dyDescent="0.25">
      <c r="A3081" s="426" t="s">
        <v>2456</v>
      </c>
      <c r="B3081" s="426" t="s">
        <v>2456</v>
      </c>
    </row>
    <row r="3082" spans="1:2" ht="15" hidden="1" x14ac:dyDescent="0.25">
      <c r="A3082" s="426" t="s">
        <v>2456</v>
      </c>
      <c r="B3082" s="426" t="s">
        <v>2456</v>
      </c>
    </row>
    <row r="3083" spans="1:2" ht="15" hidden="1" x14ac:dyDescent="0.25">
      <c r="A3083" s="426" t="s">
        <v>2457</v>
      </c>
      <c r="B3083" s="426" t="s">
        <v>2457</v>
      </c>
    </row>
    <row r="3084" spans="1:2" ht="15" hidden="1" x14ac:dyDescent="0.25">
      <c r="A3084" s="426" t="s">
        <v>2458</v>
      </c>
      <c r="B3084" s="426" t="s">
        <v>2458</v>
      </c>
    </row>
    <row r="3085" spans="1:2" ht="15" hidden="1" x14ac:dyDescent="0.25">
      <c r="A3085" s="426" t="s">
        <v>2458</v>
      </c>
      <c r="B3085" s="426" t="s">
        <v>2458</v>
      </c>
    </row>
    <row r="3086" spans="1:2" ht="15" hidden="1" x14ac:dyDescent="0.25">
      <c r="A3086" s="426" t="s">
        <v>2459</v>
      </c>
      <c r="B3086" s="426" t="s">
        <v>2459</v>
      </c>
    </row>
    <row r="3087" spans="1:2" ht="15" hidden="1" x14ac:dyDescent="0.25">
      <c r="A3087" s="426" t="s">
        <v>2460</v>
      </c>
      <c r="B3087" s="426" t="s">
        <v>2460</v>
      </c>
    </row>
    <row r="3088" spans="1:2" ht="15" hidden="1" x14ac:dyDescent="0.25">
      <c r="A3088" s="426" t="s">
        <v>2461</v>
      </c>
      <c r="B3088" s="426" t="s">
        <v>2461</v>
      </c>
    </row>
    <row r="3089" spans="1:2" ht="15" hidden="1" x14ac:dyDescent="0.25">
      <c r="A3089" s="426" t="s">
        <v>2461</v>
      </c>
      <c r="B3089" s="426" t="s">
        <v>2461</v>
      </c>
    </row>
    <row r="3090" spans="1:2" ht="15" hidden="1" x14ac:dyDescent="0.25">
      <c r="A3090" s="426" t="s">
        <v>2462</v>
      </c>
      <c r="B3090" s="426" t="s">
        <v>2462</v>
      </c>
    </row>
    <row r="3091" spans="1:2" ht="15" hidden="1" x14ac:dyDescent="0.25">
      <c r="A3091" s="426" t="s">
        <v>2462</v>
      </c>
      <c r="B3091" s="426" t="s">
        <v>2462</v>
      </c>
    </row>
    <row r="3092" spans="1:2" ht="15" hidden="1" x14ac:dyDescent="0.25">
      <c r="A3092" s="426" t="s">
        <v>2463</v>
      </c>
      <c r="B3092" s="426" t="s">
        <v>2463</v>
      </c>
    </row>
    <row r="3093" spans="1:2" ht="15" hidden="1" x14ac:dyDescent="0.25">
      <c r="A3093" s="426" t="s">
        <v>2463</v>
      </c>
      <c r="B3093" s="426" t="s">
        <v>2463</v>
      </c>
    </row>
    <row r="3094" spans="1:2" ht="15" hidden="1" x14ac:dyDescent="0.25">
      <c r="A3094" s="426" t="s">
        <v>2464</v>
      </c>
      <c r="B3094" s="426" t="s">
        <v>2464</v>
      </c>
    </row>
    <row r="3095" spans="1:2" ht="15" hidden="1" x14ac:dyDescent="0.25">
      <c r="A3095" s="426" t="s">
        <v>2464</v>
      </c>
      <c r="B3095" s="426" t="s">
        <v>2464</v>
      </c>
    </row>
    <row r="3096" spans="1:2" ht="15" hidden="1" x14ac:dyDescent="0.25">
      <c r="A3096" s="426" t="s">
        <v>2465</v>
      </c>
      <c r="B3096" s="426" t="s">
        <v>2465</v>
      </c>
    </row>
    <row r="3097" spans="1:2" ht="15" hidden="1" x14ac:dyDescent="0.25">
      <c r="A3097" s="426" t="s">
        <v>2466</v>
      </c>
      <c r="B3097" s="426" t="s">
        <v>2466</v>
      </c>
    </row>
    <row r="3098" spans="1:2" ht="15" hidden="1" x14ac:dyDescent="0.25">
      <c r="A3098" s="426" t="s">
        <v>2467</v>
      </c>
      <c r="B3098" s="426" t="s">
        <v>2467</v>
      </c>
    </row>
    <row r="3099" spans="1:2" ht="15" hidden="1" x14ac:dyDescent="0.25">
      <c r="A3099" s="426" t="s">
        <v>2468</v>
      </c>
      <c r="B3099" s="426" t="s">
        <v>2468</v>
      </c>
    </row>
    <row r="3100" spans="1:2" ht="15" hidden="1" x14ac:dyDescent="0.25">
      <c r="A3100" s="426" t="s">
        <v>2469</v>
      </c>
      <c r="B3100" s="426" t="s">
        <v>2469</v>
      </c>
    </row>
    <row r="3101" spans="1:2" ht="15" hidden="1" x14ac:dyDescent="0.25">
      <c r="A3101" s="426" t="s">
        <v>2470</v>
      </c>
      <c r="B3101" s="426" t="s">
        <v>2470</v>
      </c>
    </row>
    <row r="3102" spans="1:2" ht="15" hidden="1" x14ac:dyDescent="0.25">
      <c r="A3102" s="426" t="s">
        <v>2471</v>
      </c>
      <c r="B3102" s="426" t="s">
        <v>2471</v>
      </c>
    </row>
    <row r="3103" spans="1:2" ht="15" hidden="1" x14ac:dyDescent="0.25">
      <c r="A3103" s="426" t="s">
        <v>2471</v>
      </c>
      <c r="B3103" s="426" t="s">
        <v>2471</v>
      </c>
    </row>
    <row r="3104" spans="1:2" ht="15" hidden="1" x14ac:dyDescent="0.25">
      <c r="A3104" s="426" t="s">
        <v>2472</v>
      </c>
      <c r="B3104" s="426" t="s">
        <v>2472</v>
      </c>
    </row>
    <row r="3105" spans="1:2" ht="15" hidden="1" x14ac:dyDescent="0.25">
      <c r="A3105" s="426" t="s">
        <v>2473</v>
      </c>
      <c r="B3105" s="426" t="s">
        <v>2473</v>
      </c>
    </row>
    <row r="3106" spans="1:2" ht="15" hidden="1" x14ac:dyDescent="0.25">
      <c r="A3106" s="426" t="s">
        <v>2473</v>
      </c>
      <c r="B3106" s="426" t="s">
        <v>2473</v>
      </c>
    </row>
    <row r="3107" spans="1:2" ht="15" hidden="1" x14ac:dyDescent="0.25">
      <c r="A3107" s="426" t="s">
        <v>2474</v>
      </c>
      <c r="B3107" s="426" t="s">
        <v>2474</v>
      </c>
    </row>
    <row r="3108" spans="1:2" ht="15" hidden="1" x14ac:dyDescent="0.25">
      <c r="A3108" s="426" t="s">
        <v>2475</v>
      </c>
      <c r="B3108" s="426" t="s">
        <v>2475</v>
      </c>
    </row>
    <row r="3109" spans="1:2" ht="15" hidden="1" x14ac:dyDescent="0.25">
      <c r="A3109" s="426" t="s">
        <v>2476</v>
      </c>
      <c r="B3109" s="426" t="s">
        <v>2476</v>
      </c>
    </row>
    <row r="3110" spans="1:2" ht="15" hidden="1" x14ac:dyDescent="0.25">
      <c r="A3110" s="426" t="s">
        <v>2477</v>
      </c>
      <c r="B3110" s="426" t="s">
        <v>2477</v>
      </c>
    </row>
    <row r="3111" spans="1:2" ht="15" hidden="1" x14ac:dyDescent="0.25">
      <c r="A3111" s="426" t="s">
        <v>2478</v>
      </c>
      <c r="B3111" s="426" t="s">
        <v>2478</v>
      </c>
    </row>
    <row r="3112" spans="1:2" ht="15" hidden="1" x14ac:dyDescent="0.25">
      <c r="A3112" s="426" t="s">
        <v>2478</v>
      </c>
      <c r="B3112" s="426" t="s">
        <v>2478</v>
      </c>
    </row>
    <row r="3113" spans="1:2" ht="15" hidden="1" x14ac:dyDescent="0.25">
      <c r="A3113" s="426" t="s">
        <v>2479</v>
      </c>
      <c r="B3113" s="426" t="s">
        <v>2479</v>
      </c>
    </row>
    <row r="3114" spans="1:2" ht="15" hidden="1" x14ac:dyDescent="0.25">
      <c r="A3114" s="426" t="s">
        <v>2480</v>
      </c>
      <c r="B3114" s="426" t="s">
        <v>2480</v>
      </c>
    </row>
    <row r="3115" spans="1:2" ht="15" hidden="1" x14ac:dyDescent="0.25">
      <c r="A3115" s="426" t="s">
        <v>2481</v>
      </c>
      <c r="B3115" s="426" t="s">
        <v>2481</v>
      </c>
    </row>
    <row r="3116" spans="1:2" ht="15" hidden="1" x14ac:dyDescent="0.25">
      <c r="A3116" s="426" t="s">
        <v>2482</v>
      </c>
      <c r="B3116" s="426" t="s">
        <v>2482</v>
      </c>
    </row>
    <row r="3117" spans="1:2" ht="15" hidden="1" x14ac:dyDescent="0.25">
      <c r="A3117" s="426" t="s">
        <v>2482</v>
      </c>
      <c r="B3117" s="426" t="s">
        <v>2482</v>
      </c>
    </row>
    <row r="3118" spans="1:2" ht="15" hidden="1" x14ac:dyDescent="0.25">
      <c r="A3118" s="426" t="s">
        <v>2483</v>
      </c>
      <c r="B3118" s="426" t="s">
        <v>2483</v>
      </c>
    </row>
    <row r="3119" spans="1:2" ht="15" hidden="1" x14ac:dyDescent="0.25">
      <c r="A3119" s="426" t="s">
        <v>2484</v>
      </c>
      <c r="B3119" s="426" t="s">
        <v>2484</v>
      </c>
    </row>
    <row r="3120" spans="1:2" ht="15" hidden="1" x14ac:dyDescent="0.25">
      <c r="A3120" s="426" t="s">
        <v>2485</v>
      </c>
      <c r="B3120" s="426" t="s">
        <v>2485</v>
      </c>
    </row>
    <row r="3121" spans="1:2" ht="15" hidden="1" x14ac:dyDescent="0.25">
      <c r="A3121" s="426" t="s">
        <v>2486</v>
      </c>
      <c r="B3121" s="426" t="s">
        <v>2486</v>
      </c>
    </row>
    <row r="3122" spans="1:2" ht="15" hidden="1" x14ac:dyDescent="0.25">
      <c r="A3122" s="426" t="s">
        <v>2486</v>
      </c>
      <c r="B3122" s="426" t="s">
        <v>2486</v>
      </c>
    </row>
    <row r="3123" spans="1:2" ht="15" hidden="1" x14ac:dyDescent="0.25">
      <c r="A3123" s="426" t="s">
        <v>2487</v>
      </c>
      <c r="B3123" s="426" t="s">
        <v>2487</v>
      </c>
    </row>
    <row r="3124" spans="1:2" ht="15" hidden="1" x14ac:dyDescent="0.25">
      <c r="A3124" s="426" t="s">
        <v>2488</v>
      </c>
      <c r="B3124" s="426" t="s">
        <v>2488</v>
      </c>
    </row>
    <row r="3125" spans="1:2" ht="15" hidden="1" x14ac:dyDescent="0.25">
      <c r="A3125" s="426" t="s">
        <v>2489</v>
      </c>
      <c r="B3125" s="426" t="s">
        <v>2489</v>
      </c>
    </row>
    <row r="3126" spans="1:2" ht="15" hidden="1" x14ac:dyDescent="0.25">
      <c r="A3126" s="426" t="s">
        <v>2490</v>
      </c>
      <c r="B3126" s="426" t="s">
        <v>2490</v>
      </c>
    </row>
    <row r="3127" spans="1:2" ht="15" hidden="1" x14ac:dyDescent="0.25">
      <c r="A3127" s="426" t="s">
        <v>2491</v>
      </c>
      <c r="B3127" s="426" t="s">
        <v>2491</v>
      </c>
    </row>
    <row r="3128" spans="1:2" ht="15" hidden="1" x14ac:dyDescent="0.25">
      <c r="A3128" s="426" t="s">
        <v>2492</v>
      </c>
      <c r="B3128" s="426" t="s">
        <v>2492</v>
      </c>
    </row>
    <row r="3129" spans="1:2" ht="15" hidden="1" x14ac:dyDescent="0.25">
      <c r="A3129" s="426" t="s">
        <v>2493</v>
      </c>
      <c r="B3129" s="426" t="s">
        <v>2493</v>
      </c>
    </row>
    <row r="3130" spans="1:2" ht="15" hidden="1" x14ac:dyDescent="0.25">
      <c r="A3130" s="426" t="s">
        <v>2494</v>
      </c>
      <c r="B3130" s="426" t="s">
        <v>2494</v>
      </c>
    </row>
    <row r="3131" spans="1:2" ht="15" hidden="1" x14ac:dyDescent="0.25">
      <c r="A3131" s="426" t="s">
        <v>2495</v>
      </c>
      <c r="B3131" s="426" t="s">
        <v>2495</v>
      </c>
    </row>
    <row r="3132" spans="1:2" ht="15" hidden="1" x14ac:dyDescent="0.25">
      <c r="A3132" s="426" t="s">
        <v>2496</v>
      </c>
      <c r="B3132" s="426" t="s">
        <v>2496</v>
      </c>
    </row>
    <row r="3133" spans="1:2" ht="15" hidden="1" x14ac:dyDescent="0.25">
      <c r="A3133" s="426" t="s">
        <v>2496</v>
      </c>
      <c r="B3133" s="426" t="s">
        <v>2496</v>
      </c>
    </row>
    <row r="3134" spans="1:2" ht="15" hidden="1" x14ac:dyDescent="0.25">
      <c r="A3134" s="426" t="s">
        <v>2497</v>
      </c>
      <c r="B3134" s="426" t="s">
        <v>2497</v>
      </c>
    </row>
    <row r="3135" spans="1:2" ht="15" hidden="1" x14ac:dyDescent="0.25">
      <c r="A3135" s="426" t="s">
        <v>2497</v>
      </c>
      <c r="B3135" s="426" t="s">
        <v>2497</v>
      </c>
    </row>
    <row r="3136" spans="1:2" ht="15" hidden="1" x14ac:dyDescent="0.25">
      <c r="A3136" s="426" t="s">
        <v>2498</v>
      </c>
      <c r="B3136" s="426" t="s">
        <v>2498</v>
      </c>
    </row>
    <row r="3137" spans="1:2" ht="15" hidden="1" x14ac:dyDescent="0.25">
      <c r="A3137" s="426" t="s">
        <v>2498</v>
      </c>
      <c r="B3137" s="426" t="s">
        <v>2498</v>
      </c>
    </row>
    <row r="3138" spans="1:2" ht="15" hidden="1" x14ac:dyDescent="0.25">
      <c r="A3138" s="426" t="s">
        <v>2499</v>
      </c>
      <c r="B3138" s="426" t="s">
        <v>2499</v>
      </c>
    </row>
    <row r="3139" spans="1:2" ht="15" hidden="1" x14ac:dyDescent="0.25">
      <c r="A3139" s="426" t="s">
        <v>2500</v>
      </c>
      <c r="B3139" s="426" t="s">
        <v>2500</v>
      </c>
    </row>
    <row r="3140" spans="1:2" ht="15" hidden="1" x14ac:dyDescent="0.25">
      <c r="A3140" s="426" t="s">
        <v>2500</v>
      </c>
      <c r="B3140" s="426" t="s">
        <v>2500</v>
      </c>
    </row>
    <row r="3141" spans="1:2" ht="15" hidden="1" x14ac:dyDescent="0.25">
      <c r="A3141" s="426" t="s">
        <v>2501</v>
      </c>
      <c r="B3141" s="426" t="s">
        <v>2501</v>
      </c>
    </row>
    <row r="3142" spans="1:2" ht="15" hidden="1" x14ac:dyDescent="0.25">
      <c r="A3142" s="426" t="s">
        <v>2502</v>
      </c>
      <c r="B3142" s="426" t="s">
        <v>2502</v>
      </c>
    </row>
    <row r="3143" spans="1:2" ht="15" hidden="1" x14ac:dyDescent="0.25">
      <c r="A3143" s="426" t="s">
        <v>2503</v>
      </c>
      <c r="B3143" s="426" t="s">
        <v>2503</v>
      </c>
    </row>
    <row r="3144" spans="1:2" ht="15" hidden="1" x14ac:dyDescent="0.25">
      <c r="A3144" s="426" t="s">
        <v>2503</v>
      </c>
      <c r="B3144" s="426" t="s">
        <v>2503</v>
      </c>
    </row>
    <row r="3145" spans="1:2" ht="15" hidden="1" x14ac:dyDescent="0.25">
      <c r="A3145" s="426" t="s">
        <v>2504</v>
      </c>
      <c r="B3145" s="426" t="s">
        <v>2504</v>
      </c>
    </row>
    <row r="3146" spans="1:2" ht="15" hidden="1" x14ac:dyDescent="0.25">
      <c r="A3146" s="426" t="s">
        <v>2504</v>
      </c>
      <c r="B3146" s="426" t="s">
        <v>2504</v>
      </c>
    </row>
    <row r="3147" spans="1:2" ht="15" hidden="1" x14ac:dyDescent="0.25">
      <c r="A3147" s="426" t="s">
        <v>2505</v>
      </c>
      <c r="B3147" s="426" t="s">
        <v>2505</v>
      </c>
    </row>
    <row r="3148" spans="1:2" ht="15" hidden="1" x14ac:dyDescent="0.25">
      <c r="A3148" s="426" t="s">
        <v>2506</v>
      </c>
      <c r="B3148" s="426" t="s">
        <v>2506</v>
      </c>
    </row>
    <row r="3149" spans="1:2" ht="15" hidden="1" x14ac:dyDescent="0.25">
      <c r="A3149" s="426" t="s">
        <v>2506</v>
      </c>
      <c r="B3149" s="426" t="s">
        <v>2506</v>
      </c>
    </row>
    <row r="3150" spans="1:2" ht="15" hidden="1" x14ac:dyDescent="0.25">
      <c r="A3150" s="426" t="s">
        <v>2507</v>
      </c>
      <c r="B3150" s="426" t="s">
        <v>2507</v>
      </c>
    </row>
    <row r="3151" spans="1:2" ht="15" hidden="1" x14ac:dyDescent="0.25">
      <c r="A3151" s="426" t="s">
        <v>2508</v>
      </c>
      <c r="B3151" s="426" t="s">
        <v>2508</v>
      </c>
    </row>
    <row r="3152" spans="1:2" ht="15" hidden="1" x14ac:dyDescent="0.25">
      <c r="A3152" s="426" t="s">
        <v>2508</v>
      </c>
      <c r="B3152" s="426" t="s">
        <v>2508</v>
      </c>
    </row>
    <row r="3153" spans="1:2" ht="15" hidden="1" x14ac:dyDescent="0.25">
      <c r="A3153" s="426" t="s">
        <v>2509</v>
      </c>
      <c r="B3153" s="426" t="s">
        <v>2509</v>
      </c>
    </row>
    <row r="3154" spans="1:2" ht="15" hidden="1" x14ac:dyDescent="0.25">
      <c r="A3154" s="426" t="s">
        <v>2510</v>
      </c>
      <c r="B3154" s="426" t="s">
        <v>2510</v>
      </c>
    </row>
    <row r="3155" spans="1:2" ht="15" hidden="1" x14ac:dyDescent="0.25">
      <c r="A3155" s="426" t="s">
        <v>2511</v>
      </c>
      <c r="B3155" s="426" t="s">
        <v>2511</v>
      </c>
    </row>
    <row r="3156" spans="1:2" ht="15" hidden="1" x14ac:dyDescent="0.25">
      <c r="A3156" s="426" t="s">
        <v>2512</v>
      </c>
      <c r="B3156" s="426" t="s">
        <v>2512</v>
      </c>
    </row>
    <row r="3157" spans="1:2" ht="15" hidden="1" x14ac:dyDescent="0.25">
      <c r="A3157" s="426" t="s">
        <v>2513</v>
      </c>
      <c r="B3157" s="426" t="s">
        <v>2513</v>
      </c>
    </row>
    <row r="3158" spans="1:2" ht="15" hidden="1" x14ac:dyDescent="0.25">
      <c r="A3158" s="426" t="s">
        <v>2514</v>
      </c>
      <c r="B3158" s="426" t="s">
        <v>2514</v>
      </c>
    </row>
    <row r="3159" spans="1:2" ht="15" hidden="1" x14ac:dyDescent="0.25">
      <c r="A3159" s="426" t="s">
        <v>2514</v>
      </c>
      <c r="B3159" s="426" t="s">
        <v>2514</v>
      </c>
    </row>
    <row r="3160" spans="1:2" ht="15" hidden="1" x14ac:dyDescent="0.25">
      <c r="A3160" s="426" t="s">
        <v>2515</v>
      </c>
      <c r="B3160" s="426" t="s">
        <v>2515</v>
      </c>
    </row>
    <row r="3161" spans="1:2" ht="15" hidden="1" x14ac:dyDescent="0.25">
      <c r="A3161" s="426" t="s">
        <v>2515</v>
      </c>
      <c r="B3161" s="426" t="s">
        <v>2515</v>
      </c>
    </row>
    <row r="3162" spans="1:2" ht="15" hidden="1" x14ac:dyDescent="0.25">
      <c r="A3162" s="426" t="s">
        <v>2516</v>
      </c>
      <c r="B3162" s="426" t="s">
        <v>2516</v>
      </c>
    </row>
    <row r="3163" spans="1:2" ht="15" hidden="1" x14ac:dyDescent="0.25">
      <c r="A3163" s="426" t="s">
        <v>2517</v>
      </c>
      <c r="B3163" s="426" t="s">
        <v>2517</v>
      </c>
    </row>
    <row r="3164" spans="1:2" ht="15" hidden="1" x14ac:dyDescent="0.25">
      <c r="A3164" s="426" t="s">
        <v>2518</v>
      </c>
      <c r="B3164" s="426" t="s">
        <v>2518</v>
      </c>
    </row>
    <row r="3165" spans="1:2" ht="15" hidden="1" x14ac:dyDescent="0.25">
      <c r="A3165" s="426" t="s">
        <v>2519</v>
      </c>
      <c r="B3165" s="426" t="s">
        <v>2519</v>
      </c>
    </row>
    <row r="3166" spans="1:2" ht="15" hidden="1" x14ac:dyDescent="0.25">
      <c r="A3166" s="426" t="s">
        <v>2520</v>
      </c>
      <c r="B3166" s="426" t="s">
        <v>2520</v>
      </c>
    </row>
    <row r="3167" spans="1:2" ht="15" hidden="1" x14ac:dyDescent="0.25">
      <c r="A3167" s="426" t="s">
        <v>2521</v>
      </c>
      <c r="B3167" s="426" t="s">
        <v>2521</v>
      </c>
    </row>
    <row r="3168" spans="1:2" ht="15" hidden="1" x14ac:dyDescent="0.25">
      <c r="A3168" s="426" t="s">
        <v>2522</v>
      </c>
      <c r="B3168" s="426" t="s">
        <v>2522</v>
      </c>
    </row>
    <row r="3169" spans="1:2" ht="15" hidden="1" x14ac:dyDescent="0.25">
      <c r="A3169" s="426" t="s">
        <v>2523</v>
      </c>
      <c r="B3169" s="426" t="s">
        <v>2523</v>
      </c>
    </row>
    <row r="3170" spans="1:2" ht="15" hidden="1" x14ac:dyDescent="0.25">
      <c r="A3170" s="426" t="s">
        <v>2524</v>
      </c>
      <c r="B3170" s="426" t="s">
        <v>2524</v>
      </c>
    </row>
    <row r="3171" spans="1:2" ht="15" hidden="1" x14ac:dyDescent="0.25">
      <c r="A3171" s="426" t="s">
        <v>2524</v>
      </c>
      <c r="B3171" s="426" t="s">
        <v>2524</v>
      </c>
    </row>
    <row r="3172" spans="1:2" ht="15" hidden="1" x14ac:dyDescent="0.25">
      <c r="A3172" s="426" t="s">
        <v>2525</v>
      </c>
      <c r="B3172" s="426" t="s">
        <v>2525</v>
      </c>
    </row>
    <row r="3173" spans="1:2" ht="15" hidden="1" x14ac:dyDescent="0.25">
      <c r="A3173" s="426" t="s">
        <v>2525</v>
      </c>
      <c r="B3173" s="426" t="s">
        <v>2525</v>
      </c>
    </row>
    <row r="3174" spans="1:2" ht="15" hidden="1" x14ac:dyDescent="0.25">
      <c r="A3174" s="426" t="s">
        <v>2526</v>
      </c>
      <c r="B3174" s="426" t="s">
        <v>2526</v>
      </c>
    </row>
    <row r="3175" spans="1:2" ht="15" hidden="1" x14ac:dyDescent="0.25">
      <c r="A3175" s="426" t="s">
        <v>2527</v>
      </c>
      <c r="B3175" s="426" t="s">
        <v>2527</v>
      </c>
    </row>
    <row r="3176" spans="1:2" ht="15" hidden="1" x14ac:dyDescent="0.25">
      <c r="A3176" s="426" t="s">
        <v>2528</v>
      </c>
      <c r="B3176" s="426" t="s">
        <v>2528</v>
      </c>
    </row>
    <row r="3177" spans="1:2" ht="15" hidden="1" x14ac:dyDescent="0.25">
      <c r="A3177" s="426" t="s">
        <v>2528</v>
      </c>
      <c r="B3177" s="426" t="s">
        <v>2528</v>
      </c>
    </row>
    <row r="3178" spans="1:2" ht="15" hidden="1" x14ac:dyDescent="0.25">
      <c r="A3178" s="426" t="s">
        <v>2529</v>
      </c>
      <c r="B3178" s="426" t="s">
        <v>2529</v>
      </c>
    </row>
    <row r="3179" spans="1:2" ht="15" hidden="1" x14ac:dyDescent="0.25">
      <c r="A3179" s="426" t="s">
        <v>2530</v>
      </c>
      <c r="B3179" s="426" t="s">
        <v>2530</v>
      </c>
    </row>
    <row r="3180" spans="1:2" ht="15" hidden="1" x14ac:dyDescent="0.25">
      <c r="A3180" s="426" t="s">
        <v>2531</v>
      </c>
      <c r="B3180" s="426" t="s">
        <v>2531</v>
      </c>
    </row>
    <row r="3181" spans="1:2" ht="15" hidden="1" x14ac:dyDescent="0.25">
      <c r="A3181" s="426" t="s">
        <v>2532</v>
      </c>
      <c r="B3181" s="426" t="s">
        <v>2532</v>
      </c>
    </row>
    <row r="3182" spans="1:2" ht="15" hidden="1" x14ac:dyDescent="0.25">
      <c r="A3182" s="426" t="s">
        <v>2533</v>
      </c>
      <c r="B3182" s="426" t="s">
        <v>2533</v>
      </c>
    </row>
    <row r="3183" spans="1:2" ht="15" hidden="1" x14ac:dyDescent="0.25">
      <c r="A3183" s="426" t="s">
        <v>2534</v>
      </c>
      <c r="B3183" s="426" t="s">
        <v>2534</v>
      </c>
    </row>
    <row r="3184" spans="1:2" ht="15" hidden="1" x14ac:dyDescent="0.25">
      <c r="A3184" s="426" t="s">
        <v>2535</v>
      </c>
      <c r="B3184" s="426" t="s">
        <v>2535</v>
      </c>
    </row>
    <row r="3185" spans="1:2" ht="15" hidden="1" x14ac:dyDescent="0.25">
      <c r="A3185" s="426" t="s">
        <v>2535</v>
      </c>
      <c r="B3185" s="426" t="s">
        <v>2535</v>
      </c>
    </row>
    <row r="3186" spans="1:2" ht="15" hidden="1" x14ac:dyDescent="0.25">
      <c r="A3186" s="426" t="s">
        <v>2536</v>
      </c>
      <c r="B3186" s="426" t="s">
        <v>2536</v>
      </c>
    </row>
    <row r="3187" spans="1:2" ht="15" hidden="1" x14ac:dyDescent="0.25">
      <c r="A3187" s="426" t="s">
        <v>2536</v>
      </c>
      <c r="B3187" s="426" t="s">
        <v>2536</v>
      </c>
    </row>
    <row r="3188" spans="1:2" ht="15" hidden="1" x14ac:dyDescent="0.25">
      <c r="A3188" s="426" t="s">
        <v>2537</v>
      </c>
      <c r="B3188" s="426" t="s">
        <v>2537</v>
      </c>
    </row>
    <row r="3189" spans="1:2" ht="15" hidden="1" x14ac:dyDescent="0.25">
      <c r="A3189" s="426" t="s">
        <v>2538</v>
      </c>
      <c r="B3189" s="426" t="s">
        <v>2538</v>
      </c>
    </row>
    <row r="3190" spans="1:2" ht="15" hidden="1" x14ac:dyDescent="0.25">
      <c r="A3190" s="426" t="s">
        <v>2539</v>
      </c>
      <c r="B3190" s="426" t="s">
        <v>2539</v>
      </c>
    </row>
    <row r="3191" spans="1:2" ht="15" hidden="1" x14ac:dyDescent="0.25">
      <c r="A3191" s="426" t="s">
        <v>2540</v>
      </c>
      <c r="B3191" s="426" t="s">
        <v>2540</v>
      </c>
    </row>
    <row r="3192" spans="1:2" ht="15" hidden="1" x14ac:dyDescent="0.25">
      <c r="A3192" s="426" t="s">
        <v>2540</v>
      </c>
      <c r="B3192" s="426" t="s">
        <v>2540</v>
      </c>
    </row>
    <row r="3193" spans="1:2" ht="15" hidden="1" x14ac:dyDescent="0.25">
      <c r="A3193" s="426" t="s">
        <v>2541</v>
      </c>
      <c r="B3193" s="426" t="s">
        <v>2541</v>
      </c>
    </row>
    <row r="3194" spans="1:2" ht="15" hidden="1" x14ac:dyDescent="0.25">
      <c r="A3194" s="426" t="s">
        <v>2542</v>
      </c>
      <c r="B3194" s="426" t="s">
        <v>2542</v>
      </c>
    </row>
    <row r="3195" spans="1:2" ht="15" hidden="1" x14ac:dyDescent="0.25">
      <c r="A3195" s="426" t="s">
        <v>2543</v>
      </c>
      <c r="B3195" s="426" t="s">
        <v>2543</v>
      </c>
    </row>
    <row r="3196" spans="1:2" ht="15" hidden="1" x14ac:dyDescent="0.25">
      <c r="A3196" s="426" t="s">
        <v>2544</v>
      </c>
      <c r="B3196" s="426" t="s">
        <v>2544</v>
      </c>
    </row>
    <row r="3197" spans="1:2" ht="15" hidden="1" x14ac:dyDescent="0.25">
      <c r="A3197" s="426" t="s">
        <v>2545</v>
      </c>
      <c r="B3197" s="426" t="s">
        <v>2545</v>
      </c>
    </row>
    <row r="3198" spans="1:2" ht="15" hidden="1" x14ac:dyDescent="0.25">
      <c r="A3198" s="426" t="s">
        <v>2546</v>
      </c>
      <c r="B3198" s="426" t="s">
        <v>2546</v>
      </c>
    </row>
    <row r="3199" spans="1:2" ht="15" hidden="1" x14ac:dyDescent="0.25">
      <c r="A3199" s="426" t="s">
        <v>2547</v>
      </c>
      <c r="B3199" s="426" t="s">
        <v>2547</v>
      </c>
    </row>
    <row r="3200" spans="1:2" ht="15" hidden="1" x14ac:dyDescent="0.25">
      <c r="A3200" s="426" t="s">
        <v>2548</v>
      </c>
      <c r="B3200" s="426" t="s">
        <v>2548</v>
      </c>
    </row>
    <row r="3201" spans="1:2" ht="15" hidden="1" x14ac:dyDescent="0.25">
      <c r="A3201" s="426" t="s">
        <v>2549</v>
      </c>
      <c r="B3201" s="426" t="s">
        <v>2549</v>
      </c>
    </row>
    <row r="3202" spans="1:2" ht="15" hidden="1" x14ac:dyDescent="0.25">
      <c r="A3202" s="426" t="s">
        <v>2550</v>
      </c>
      <c r="B3202" s="426" t="s">
        <v>2550</v>
      </c>
    </row>
    <row r="3203" spans="1:2" ht="15" hidden="1" x14ac:dyDescent="0.25">
      <c r="A3203" s="426" t="s">
        <v>2551</v>
      </c>
      <c r="B3203" s="426" t="s">
        <v>2551</v>
      </c>
    </row>
    <row r="3204" spans="1:2" ht="15" hidden="1" x14ac:dyDescent="0.25">
      <c r="A3204" s="426" t="s">
        <v>2551</v>
      </c>
      <c r="B3204" s="426" t="s">
        <v>2551</v>
      </c>
    </row>
    <row r="3205" spans="1:2" ht="15" hidden="1" x14ac:dyDescent="0.25">
      <c r="A3205" s="426" t="s">
        <v>2552</v>
      </c>
      <c r="B3205" s="426" t="s">
        <v>2552</v>
      </c>
    </row>
    <row r="3206" spans="1:2" ht="15" hidden="1" x14ac:dyDescent="0.25">
      <c r="A3206" s="426" t="s">
        <v>2553</v>
      </c>
      <c r="B3206" s="426" t="s">
        <v>2553</v>
      </c>
    </row>
    <row r="3207" spans="1:2" ht="15" hidden="1" x14ac:dyDescent="0.25">
      <c r="A3207" s="426" t="s">
        <v>2554</v>
      </c>
      <c r="B3207" s="426" t="s">
        <v>2554</v>
      </c>
    </row>
    <row r="3208" spans="1:2" ht="15" hidden="1" x14ac:dyDescent="0.25">
      <c r="A3208" s="426" t="s">
        <v>2555</v>
      </c>
      <c r="B3208" s="426" t="s">
        <v>2555</v>
      </c>
    </row>
    <row r="3209" spans="1:2" ht="15" hidden="1" x14ac:dyDescent="0.25">
      <c r="A3209" s="426" t="s">
        <v>2556</v>
      </c>
      <c r="B3209" s="426" t="s">
        <v>2556</v>
      </c>
    </row>
    <row r="3210" spans="1:2" ht="15" hidden="1" x14ac:dyDescent="0.25">
      <c r="A3210" s="426" t="s">
        <v>2557</v>
      </c>
      <c r="B3210" s="426" t="s">
        <v>2557</v>
      </c>
    </row>
    <row r="3211" spans="1:2" ht="15" hidden="1" x14ac:dyDescent="0.25">
      <c r="A3211" s="426" t="s">
        <v>2557</v>
      </c>
      <c r="B3211" s="426" t="s">
        <v>2557</v>
      </c>
    </row>
    <row r="3212" spans="1:2" ht="15" hidden="1" x14ac:dyDescent="0.25">
      <c r="A3212" s="426" t="s">
        <v>2558</v>
      </c>
      <c r="B3212" s="426" t="s">
        <v>2558</v>
      </c>
    </row>
    <row r="3213" spans="1:2" ht="15" hidden="1" x14ac:dyDescent="0.25">
      <c r="A3213" s="426" t="s">
        <v>2559</v>
      </c>
      <c r="B3213" s="426" t="s">
        <v>2559</v>
      </c>
    </row>
    <row r="3214" spans="1:2" ht="15" hidden="1" x14ac:dyDescent="0.25">
      <c r="A3214" s="426" t="s">
        <v>2560</v>
      </c>
      <c r="B3214" s="426" t="s">
        <v>2560</v>
      </c>
    </row>
    <row r="3215" spans="1:2" ht="15" hidden="1" x14ac:dyDescent="0.25">
      <c r="A3215" s="426" t="s">
        <v>2561</v>
      </c>
      <c r="B3215" s="426" t="s">
        <v>2561</v>
      </c>
    </row>
    <row r="3216" spans="1:2" ht="15" hidden="1" x14ac:dyDescent="0.25">
      <c r="A3216" s="426" t="s">
        <v>2562</v>
      </c>
      <c r="B3216" s="426" t="s">
        <v>2562</v>
      </c>
    </row>
    <row r="3217" spans="1:2" ht="15" hidden="1" x14ac:dyDescent="0.25">
      <c r="A3217" s="426" t="s">
        <v>2563</v>
      </c>
      <c r="B3217" s="426" t="s">
        <v>2563</v>
      </c>
    </row>
    <row r="3218" spans="1:2" ht="15" hidden="1" x14ac:dyDescent="0.25">
      <c r="A3218" s="426" t="s">
        <v>2564</v>
      </c>
      <c r="B3218" s="426" t="s">
        <v>2564</v>
      </c>
    </row>
    <row r="3219" spans="1:2" ht="15" hidden="1" x14ac:dyDescent="0.25">
      <c r="A3219" s="426" t="s">
        <v>2565</v>
      </c>
      <c r="B3219" s="426" t="s">
        <v>2565</v>
      </c>
    </row>
    <row r="3220" spans="1:2" ht="15" hidden="1" x14ac:dyDescent="0.25">
      <c r="A3220" s="426" t="s">
        <v>2566</v>
      </c>
      <c r="B3220" s="426" t="s">
        <v>2566</v>
      </c>
    </row>
    <row r="3221" spans="1:2" ht="15" hidden="1" x14ac:dyDescent="0.25">
      <c r="A3221" s="426" t="s">
        <v>2566</v>
      </c>
      <c r="B3221" s="426" t="s">
        <v>2566</v>
      </c>
    </row>
    <row r="3222" spans="1:2" ht="15" hidden="1" x14ac:dyDescent="0.25">
      <c r="A3222" s="426" t="s">
        <v>2567</v>
      </c>
      <c r="B3222" s="426" t="s">
        <v>2567</v>
      </c>
    </row>
    <row r="3223" spans="1:2" ht="15" hidden="1" x14ac:dyDescent="0.25">
      <c r="A3223" s="426" t="s">
        <v>2568</v>
      </c>
      <c r="B3223" s="426" t="s">
        <v>2568</v>
      </c>
    </row>
    <row r="3224" spans="1:2" ht="15" hidden="1" x14ac:dyDescent="0.25">
      <c r="A3224" s="426" t="s">
        <v>2569</v>
      </c>
      <c r="B3224" s="426" t="s">
        <v>2569</v>
      </c>
    </row>
    <row r="3225" spans="1:2" ht="15" hidden="1" x14ac:dyDescent="0.25">
      <c r="A3225" s="426" t="s">
        <v>2570</v>
      </c>
      <c r="B3225" s="426" t="s">
        <v>2570</v>
      </c>
    </row>
    <row r="3226" spans="1:2" ht="15" hidden="1" x14ac:dyDescent="0.25">
      <c r="A3226" s="426" t="s">
        <v>2571</v>
      </c>
      <c r="B3226" s="426" t="s">
        <v>2571</v>
      </c>
    </row>
    <row r="3227" spans="1:2" ht="15" hidden="1" x14ac:dyDescent="0.25">
      <c r="A3227" s="426" t="s">
        <v>2572</v>
      </c>
      <c r="B3227" s="426" t="s">
        <v>2435</v>
      </c>
    </row>
    <row r="3228" spans="1:2" ht="15" hidden="1" x14ac:dyDescent="0.25">
      <c r="A3228" s="426" t="s">
        <v>2573</v>
      </c>
      <c r="B3228" s="426" t="s">
        <v>2574</v>
      </c>
    </row>
    <row r="3229" spans="1:2" ht="15" hidden="1" x14ac:dyDescent="0.25">
      <c r="A3229" s="426" t="s">
        <v>2575</v>
      </c>
      <c r="B3229" s="426" t="s">
        <v>2576</v>
      </c>
    </row>
    <row r="3230" spans="1:2" ht="15" hidden="1" x14ac:dyDescent="0.25">
      <c r="A3230" s="426" t="s">
        <v>2577</v>
      </c>
      <c r="B3230" s="426" t="s">
        <v>2578</v>
      </c>
    </row>
    <row r="3231" spans="1:2" ht="15" hidden="1" x14ac:dyDescent="0.25">
      <c r="A3231" s="426" t="s">
        <v>2579</v>
      </c>
      <c r="B3231" s="426" t="s">
        <v>2580</v>
      </c>
    </row>
    <row r="3232" spans="1:2" ht="15" hidden="1" x14ac:dyDescent="0.25">
      <c r="A3232" s="426" t="s">
        <v>2581</v>
      </c>
      <c r="B3232" s="426" t="s">
        <v>2582</v>
      </c>
    </row>
    <row r="3233" spans="1:2" ht="15" hidden="1" x14ac:dyDescent="0.25">
      <c r="A3233" s="426" t="s">
        <v>2583</v>
      </c>
      <c r="B3233" s="426" t="s">
        <v>2584</v>
      </c>
    </row>
    <row r="3234" spans="1:2" ht="15" hidden="1" x14ac:dyDescent="0.25">
      <c r="A3234" s="426" t="s">
        <v>1766</v>
      </c>
      <c r="B3234" s="426" t="s">
        <v>1767</v>
      </c>
    </row>
    <row r="3235" spans="1:2" ht="15" hidden="1" x14ac:dyDescent="0.25">
      <c r="A3235" s="426" t="s">
        <v>2585</v>
      </c>
      <c r="B3235" s="426" t="s">
        <v>2586</v>
      </c>
    </row>
    <row r="3236" spans="1:2" ht="15" hidden="1" x14ac:dyDescent="0.25">
      <c r="A3236" s="426" t="s">
        <v>204</v>
      </c>
      <c r="B3236" s="426" t="s">
        <v>352</v>
      </c>
    </row>
    <row r="3237" spans="1:2" ht="15" hidden="1" x14ac:dyDescent="0.25">
      <c r="A3237" s="426" t="s">
        <v>204</v>
      </c>
      <c r="B3237" s="426" t="s">
        <v>352</v>
      </c>
    </row>
    <row r="3238" spans="1:2" ht="15" hidden="1" x14ac:dyDescent="0.25">
      <c r="A3238" s="426" t="s">
        <v>204</v>
      </c>
      <c r="B3238" s="426" t="s">
        <v>352</v>
      </c>
    </row>
    <row r="3239" spans="1:2" ht="15" hidden="1" x14ac:dyDescent="0.25">
      <c r="A3239" s="426" t="s">
        <v>204</v>
      </c>
      <c r="B3239" s="426" t="s">
        <v>352</v>
      </c>
    </row>
    <row r="3240" spans="1:2" ht="15" hidden="1" x14ac:dyDescent="0.25">
      <c r="A3240" s="426" t="s">
        <v>2587</v>
      </c>
      <c r="B3240" s="426" t="s">
        <v>2588</v>
      </c>
    </row>
    <row r="3241" spans="1:2" ht="15" hidden="1" x14ac:dyDescent="0.25">
      <c r="A3241" s="426" t="s">
        <v>2589</v>
      </c>
      <c r="B3241" s="426" t="s">
        <v>2590</v>
      </c>
    </row>
    <row r="3242" spans="1:2" ht="15" hidden="1" x14ac:dyDescent="0.25">
      <c r="A3242" s="426" t="s">
        <v>2589</v>
      </c>
      <c r="B3242" s="426" t="s">
        <v>2590</v>
      </c>
    </row>
    <row r="3243" spans="1:2" ht="15" hidden="1" x14ac:dyDescent="0.25">
      <c r="A3243" s="426" t="s">
        <v>2591</v>
      </c>
      <c r="B3243" s="426" t="s">
        <v>2592</v>
      </c>
    </row>
    <row r="3244" spans="1:2" ht="15" hidden="1" x14ac:dyDescent="0.25">
      <c r="A3244" s="426" t="s">
        <v>2591</v>
      </c>
      <c r="B3244" s="426" t="s">
        <v>2592</v>
      </c>
    </row>
    <row r="3245" spans="1:2" ht="15" hidden="1" x14ac:dyDescent="0.25">
      <c r="A3245" s="426" t="s">
        <v>2593</v>
      </c>
      <c r="B3245" s="426" t="s">
        <v>2594</v>
      </c>
    </row>
    <row r="3246" spans="1:2" ht="15" hidden="1" x14ac:dyDescent="0.25">
      <c r="A3246" s="426" t="s">
        <v>2595</v>
      </c>
      <c r="B3246" s="426" t="s">
        <v>2596</v>
      </c>
    </row>
    <row r="3247" spans="1:2" ht="15" hidden="1" x14ac:dyDescent="0.25">
      <c r="A3247" s="426" t="s">
        <v>2595</v>
      </c>
      <c r="B3247" s="426" t="s">
        <v>2596</v>
      </c>
    </row>
    <row r="3248" spans="1:2" ht="15" hidden="1" x14ac:dyDescent="0.25">
      <c r="A3248" s="427" t="s">
        <v>2597</v>
      </c>
      <c r="B3248" s="427" t="s">
        <v>2598</v>
      </c>
    </row>
    <row r="3249" spans="1:2" ht="15" hidden="1" x14ac:dyDescent="0.25">
      <c r="A3249" s="426" t="s">
        <v>2599</v>
      </c>
      <c r="B3249" s="426" t="s">
        <v>2600</v>
      </c>
    </row>
    <row r="3250" spans="1:2" ht="15" hidden="1" x14ac:dyDescent="0.25">
      <c r="A3250" s="426" t="s">
        <v>2601</v>
      </c>
      <c r="B3250" s="426" t="s">
        <v>2602</v>
      </c>
    </row>
    <row r="3251" spans="1:2" ht="15" hidden="1" x14ac:dyDescent="0.25">
      <c r="A3251" s="426" t="s">
        <v>2601</v>
      </c>
      <c r="B3251" s="426" t="s">
        <v>2602</v>
      </c>
    </row>
    <row r="3252" spans="1:2" ht="15" hidden="1" x14ac:dyDescent="0.25">
      <c r="A3252" s="426" t="s">
        <v>214</v>
      </c>
      <c r="B3252" s="426" t="s">
        <v>359</v>
      </c>
    </row>
    <row r="3253" spans="1:2" ht="15" hidden="1" x14ac:dyDescent="0.25">
      <c r="A3253" s="426" t="s">
        <v>2603</v>
      </c>
      <c r="B3253" s="426" t="s">
        <v>2604</v>
      </c>
    </row>
    <row r="3254" spans="1:2" ht="15" hidden="1" x14ac:dyDescent="0.25">
      <c r="A3254" s="426" t="s">
        <v>2605</v>
      </c>
      <c r="B3254" s="426" t="s">
        <v>2606</v>
      </c>
    </row>
    <row r="3255" spans="1:2" ht="15" hidden="1" x14ac:dyDescent="0.25">
      <c r="A3255" s="426" t="s">
        <v>2605</v>
      </c>
      <c r="B3255" s="426" t="s">
        <v>2606</v>
      </c>
    </row>
    <row r="3256" spans="1:2" ht="15" hidden="1" x14ac:dyDescent="0.25">
      <c r="A3256" s="426" t="s">
        <v>2607</v>
      </c>
      <c r="B3256" s="426" t="s">
        <v>2608</v>
      </c>
    </row>
    <row r="3257" spans="1:2" ht="15" hidden="1" x14ac:dyDescent="0.25">
      <c r="A3257" s="426" t="s">
        <v>2607</v>
      </c>
      <c r="B3257" s="426" t="s">
        <v>2608</v>
      </c>
    </row>
    <row r="3258" spans="1:2" ht="15" hidden="1" x14ac:dyDescent="0.25">
      <c r="A3258" s="426" t="s">
        <v>2607</v>
      </c>
      <c r="B3258" s="426" t="s">
        <v>2608</v>
      </c>
    </row>
    <row r="3259" spans="1:2" ht="15" hidden="1" x14ac:dyDescent="0.25">
      <c r="A3259" s="426" t="s">
        <v>2609</v>
      </c>
      <c r="B3259" s="426" t="s">
        <v>2610</v>
      </c>
    </row>
    <row r="3260" spans="1:2" ht="15" hidden="1" x14ac:dyDescent="0.25">
      <c r="A3260" s="426" t="s">
        <v>2611</v>
      </c>
      <c r="B3260" s="426" t="s">
        <v>2612</v>
      </c>
    </row>
    <row r="3261" spans="1:2" ht="15" hidden="1" x14ac:dyDescent="0.25">
      <c r="A3261" s="426" t="s">
        <v>2613</v>
      </c>
      <c r="B3261" s="426" t="s">
        <v>2614</v>
      </c>
    </row>
    <row r="3262" spans="1:2" ht="15" hidden="1" x14ac:dyDescent="0.25">
      <c r="A3262" s="426" t="s">
        <v>2615</v>
      </c>
      <c r="B3262" s="426" t="s">
        <v>2616</v>
      </c>
    </row>
    <row r="3263" spans="1:2" ht="15" hidden="1" x14ac:dyDescent="0.25">
      <c r="A3263" s="426" t="s">
        <v>2617</v>
      </c>
      <c r="B3263" s="426" t="s">
        <v>2618</v>
      </c>
    </row>
    <row r="3264" spans="1:2" ht="15" hidden="1" x14ac:dyDescent="0.25">
      <c r="A3264" s="426" t="s">
        <v>2619</v>
      </c>
      <c r="B3264" s="426" t="s">
        <v>2620</v>
      </c>
    </row>
    <row r="3265" spans="1:2" ht="15" hidden="1" x14ac:dyDescent="0.25">
      <c r="A3265" s="426" t="s">
        <v>2621</v>
      </c>
      <c r="B3265" s="426" t="s">
        <v>2622</v>
      </c>
    </row>
    <row r="3266" spans="1:2" ht="15" hidden="1" x14ac:dyDescent="0.25">
      <c r="A3266" s="426" t="s">
        <v>2621</v>
      </c>
      <c r="B3266" s="426" t="s">
        <v>2622</v>
      </c>
    </row>
    <row r="3267" spans="1:2" ht="15" hidden="1" x14ac:dyDescent="0.25">
      <c r="A3267" s="426" t="s">
        <v>2623</v>
      </c>
      <c r="B3267" s="426" t="s">
        <v>2624</v>
      </c>
    </row>
    <row r="3268" spans="1:2" ht="15" hidden="1" x14ac:dyDescent="0.25">
      <c r="A3268" s="426" t="s">
        <v>2625</v>
      </c>
      <c r="B3268" s="426" t="s">
        <v>2422</v>
      </c>
    </row>
    <row r="3269" spans="1:2" ht="15" hidden="1" x14ac:dyDescent="0.25">
      <c r="A3269" s="426" t="s">
        <v>2626</v>
      </c>
      <c r="B3269" s="426" t="s">
        <v>2627</v>
      </c>
    </row>
    <row r="3270" spans="1:2" ht="15" hidden="1" x14ac:dyDescent="0.25">
      <c r="A3270" s="426" t="s">
        <v>1114</v>
      </c>
      <c r="B3270" s="426" t="s">
        <v>1115</v>
      </c>
    </row>
    <row r="3271" spans="1:2" ht="15" hidden="1" x14ac:dyDescent="0.25">
      <c r="A3271" s="426" t="s">
        <v>1114</v>
      </c>
      <c r="B3271" s="426" t="s">
        <v>1115</v>
      </c>
    </row>
    <row r="3272" spans="1:2" ht="15" hidden="1" x14ac:dyDescent="0.25">
      <c r="A3272" s="426" t="s">
        <v>223</v>
      </c>
      <c r="B3272" s="426" t="s">
        <v>367</v>
      </c>
    </row>
    <row r="3273" spans="1:2" ht="15" hidden="1" x14ac:dyDescent="0.25">
      <c r="A3273" s="426" t="s">
        <v>2628</v>
      </c>
      <c r="B3273" s="426" t="s">
        <v>2629</v>
      </c>
    </row>
    <row r="3274" spans="1:2" ht="15" hidden="1" x14ac:dyDescent="0.25">
      <c r="A3274" s="426" t="s">
        <v>2630</v>
      </c>
      <c r="B3274" s="426" t="s">
        <v>2631</v>
      </c>
    </row>
    <row r="3275" spans="1:2" ht="15" hidden="1" x14ac:dyDescent="0.25">
      <c r="A3275" s="426" t="s">
        <v>2630</v>
      </c>
      <c r="B3275" s="426" t="s">
        <v>2631</v>
      </c>
    </row>
    <row r="3276" spans="1:2" ht="15" hidden="1" x14ac:dyDescent="0.25">
      <c r="A3276" s="428" t="s">
        <v>2632</v>
      </c>
      <c r="B3276" s="428" t="s">
        <v>2633</v>
      </c>
    </row>
    <row r="3277" spans="1:2" ht="15" hidden="1" x14ac:dyDescent="0.25">
      <c r="A3277" s="426" t="s">
        <v>2634</v>
      </c>
      <c r="B3277" s="426" t="s">
        <v>2635</v>
      </c>
    </row>
    <row r="3278" spans="1:2" ht="15" hidden="1" x14ac:dyDescent="0.25">
      <c r="A3278" s="426" t="s">
        <v>2636</v>
      </c>
      <c r="B3278" s="426" t="s">
        <v>2439</v>
      </c>
    </row>
    <row r="3279" spans="1:2" ht="15" hidden="1" x14ac:dyDescent="0.25">
      <c r="A3279" s="426" t="s">
        <v>2637</v>
      </c>
      <c r="B3279" s="426" t="s">
        <v>2638</v>
      </c>
    </row>
    <row r="3280" spans="1:2" ht="15" hidden="1" x14ac:dyDescent="0.25">
      <c r="A3280" s="426" t="s">
        <v>2637</v>
      </c>
      <c r="B3280" s="426" t="s">
        <v>2638</v>
      </c>
    </row>
    <row r="3281" spans="1:2" ht="15" hidden="1" x14ac:dyDescent="0.25">
      <c r="A3281" s="426" t="s">
        <v>2637</v>
      </c>
      <c r="B3281" s="426" t="s">
        <v>2638</v>
      </c>
    </row>
    <row r="3282" spans="1:2" ht="15" hidden="1" x14ac:dyDescent="0.25">
      <c r="A3282" s="426" t="s">
        <v>2639</v>
      </c>
      <c r="B3282" s="426" t="s">
        <v>2640</v>
      </c>
    </row>
    <row r="3283" spans="1:2" ht="15" hidden="1" x14ac:dyDescent="0.25">
      <c r="A3283" s="426" t="s">
        <v>2641</v>
      </c>
      <c r="B3283" s="426" t="s">
        <v>2642</v>
      </c>
    </row>
    <row r="3284" spans="1:2" ht="15" hidden="1" x14ac:dyDescent="0.25">
      <c r="A3284" s="426" t="s">
        <v>2641</v>
      </c>
      <c r="B3284" s="426" t="s">
        <v>2642</v>
      </c>
    </row>
    <row r="3285" spans="1:2" ht="15" hidden="1" x14ac:dyDescent="0.25">
      <c r="A3285" s="426" t="s">
        <v>2643</v>
      </c>
      <c r="B3285" s="426" t="s">
        <v>2644</v>
      </c>
    </row>
    <row r="3286" spans="1:2" ht="15" hidden="1" x14ac:dyDescent="0.25">
      <c r="A3286" s="426" t="s">
        <v>2643</v>
      </c>
      <c r="B3286" s="426" t="s">
        <v>2644</v>
      </c>
    </row>
    <row r="3287" spans="1:2" ht="15" hidden="1" x14ac:dyDescent="0.25">
      <c r="A3287" s="426" t="s">
        <v>2645</v>
      </c>
      <c r="B3287" s="426" t="s">
        <v>2646</v>
      </c>
    </row>
    <row r="3288" spans="1:2" ht="15" hidden="1" x14ac:dyDescent="0.25">
      <c r="A3288" s="426" t="s">
        <v>2645</v>
      </c>
      <c r="B3288" s="426" t="s">
        <v>2646</v>
      </c>
    </row>
    <row r="3289" spans="1:2" ht="15" hidden="1" x14ac:dyDescent="0.25">
      <c r="A3289" s="426" t="s">
        <v>2645</v>
      </c>
      <c r="B3289" s="426" t="s">
        <v>2646</v>
      </c>
    </row>
    <row r="3290" spans="1:2" ht="15" hidden="1" x14ac:dyDescent="0.25">
      <c r="A3290" s="426" t="s">
        <v>2647</v>
      </c>
      <c r="B3290" s="426" t="s">
        <v>2648</v>
      </c>
    </row>
    <row r="3291" spans="1:2" ht="15" hidden="1" x14ac:dyDescent="0.25">
      <c r="A3291" s="426" t="s">
        <v>2649</v>
      </c>
      <c r="B3291" s="426" t="s">
        <v>2650</v>
      </c>
    </row>
    <row r="3292" spans="1:2" ht="15" hidden="1" x14ac:dyDescent="0.25">
      <c r="A3292" s="426" t="s">
        <v>2649</v>
      </c>
      <c r="B3292" s="426" t="s">
        <v>2650</v>
      </c>
    </row>
    <row r="3293" spans="1:2" ht="15" hidden="1" x14ac:dyDescent="0.25">
      <c r="A3293" s="426" t="s">
        <v>2649</v>
      </c>
      <c r="B3293" s="426" t="s">
        <v>2650</v>
      </c>
    </row>
    <row r="3294" spans="1:2" ht="15" hidden="1" x14ac:dyDescent="0.25">
      <c r="A3294" s="426" t="s">
        <v>2649</v>
      </c>
      <c r="B3294" s="426" t="s">
        <v>2650</v>
      </c>
    </row>
    <row r="3295" spans="1:2" ht="15" hidden="1" x14ac:dyDescent="0.25">
      <c r="A3295" s="426" t="s">
        <v>2651</v>
      </c>
      <c r="B3295" s="426" t="s">
        <v>2652</v>
      </c>
    </row>
    <row r="3296" spans="1:2" ht="15" hidden="1" x14ac:dyDescent="0.25">
      <c r="A3296" s="426" t="s">
        <v>2651</v>
      </c>
      <c r="B3296" s="426" t="s">
        <v>2652</v>
      </c>
    </row>
    <row r="3297" spans="1:2" ht="15" hidden="1" x14ac:dyDescent="0.25">
      <c r="A3297" s="426" t="s">
        <v>2653</v>
      </c>
      <c r="B3297" s="426" t="s">
        <v>2654</v>
      </c>
    </row>
    <row r="3298" spans="1:2" ht="15" hidden="1" x14ac:dyDescent="0.25">
      <c r="A3298" s="426" t="s">
        <v>2653</v>
      </c>
      <c r="B3298" s="426" t="s">
        <v>2654</v>
      </c>
    </row>
    <row r="3299" spans="1:2" ht="15" hidden="1" x14ac:dyDescent="0.25">
      <c r="A3299" s="426" t="s">
        <v>226</v>
      </c>
      <c r="B3299" s="426" t="s">
        <v>373</v>
      </c>
    </row>
    <row r="3300" spans="1:2" ht="15" hidden="1" x14ac:dyDescent="0.25">
      <c r="A3300" s="426" t="s">
        <v>226</v>
      </c>
      <c r="B3300" s="426" t="s">
        <v>373</v>
      </c>
    </row>
    <row r="3301" spans="1:2" ht="15" hidden="1" x14ac:dyDescent="0.25">
      <c r="A3301" s="426" t="s">
        <v>226</v>
      </c>
      <c r="B3301" s="426" t="s">
        <v>373</v>
      </c>
    </row>
    <row r="3302" spans="1:2" ht="15" hidden="1" x14ac:dyDescent="0.25">
      <c r="A3302" s="426" t="s">
        <v>226</v>
      </c>
      <c r="B3302" s="426" t="s">
        <v>373</v>
      </c>
    </row>
    <row r="3303" spans="1:2" ht="15" hidden="1" x14ac:dyDescent="0.25">
      <c r="A3303" s="426" t="s">
        <v>226</v>
      </c>
      <c r="B3303" s="426" t="s">
        <v>373</v>
      </c>
    </row>
    <row r="3304" spans="1:2" ht="15" hidden="1" x14ac:dyDescent="0.25">
      <c r="A3304" s="426" t="s">
        <v>2655</v>
      </c>
      <c r="B3304" s="426" t="s">
        <v>2656</v>
      </c>
    </row>
    <row r="3305" spans="1:2" ht="15" hidden="1" x14ac:dyDescent="0.25">
      <c r="A3305" s="426" t="s">
        <v>2655</v>
      </c>
      <c r="B3305" s="426" t="s">
        <v>2656</v>
      </c>
    </row>
    <row r="3306" spans="1:2" ht="15" hidden="1" x14ac:dyDescent="0.25">
      <c r="A3306" s="426" t="s">
        <v>227</v>
      </c>
      <c r="B3306" s="426" t="s">
        <v>374</v>
      </c>
    </row>
    <row r="3307" spans="1:2" ht="15" hidden="1" x14ac:dyDescent="0.25">
      <c r="A3307" s="426" t="s">
        <v>227</v>
      </c>
      <c r="B3307" s="426" t="s">
        <v>374</v>
      </c>
    </row>
    <row r="3308" spans="1:2" ht="15" hidden="1" x14ac:dyDescent="0.25">
      <c r="A3308" s="426" t="s">
        <v>227</v>
      </c>
      <c r="B3308" s="426" t="s">
        <v>374</v>
      </c>
    </row>
    <row r="3309" spans="1:2" ht="15" hidden="1" x14ac:dyDescent="0.25">
      <c r="A3309" s="426" t="s">
        <v>2657</v>
      </c>
      <c r="B3309" s="426" t="s">
        <v>2658</v>
      </c>
    </row>
    <row r="3310" spans="1:2" ht="15" hidden="1" x14ac:dyDescent="0.25">
      <c r="A3310" s="426" t="s">
        <v>2659</v>
      </c>
      <c r="B3310" s="426" t="s">
        <v>2660</v>
      </c>
    </row>
    <row r="3311" spans="1:2" ht="15" hidden="1" x14ac:dyDescent="0.25">
      <c r="A3311" s="426" t="s">
        <v>727</v>
      </c>
      <c r="B3311" s="426" t="s">
        <v>728</v>
      </c>
    </row>
    <row r="3312" spans="1:2" ht="15" hidden="1" x14ac:dyDescent="0.25">
      <c r="A3312" s="426" t="s">
        <v>2661</v>
      </c>
      <c r="B3312" s="426" t="s">
        <v>2662</v>
      </c>
    </row>
    <row r="3313" spans="1:2" ht="15" hidden="1" x14ac:dyDescent="0.25">
      <c r="A3313" s="426" t="s">
        <v>2663</v>
      </c>
      <c r="B3313" s="426" t="s">
        <v>2664</v>
      </c>
    </row>
    <row r="3314" spans="1:2" ht="15" hidden="1" x14ac:dyDescent="0.25">
      <c r="A3314" s="426" t="s">
        <v>2665</v>
      </c>
      <c r="B3314" s="426" t="s">
        <v>2666</v>
      </c>
    </row>
    <row r="3315" spans="1:2" ht="15" hidden="1" x14ac:dyDescent="0.25">
      <c r="A3315" s="426" t="s">
        <v>2667</v>
      </c>
      <c r="B3315" s="426" t="s">
        <v>2668</v>
      </c>
    </row>
    <row r="3316" spans="1:2" ht="15" hidden="1" x14ac:dyDescent="0.25">
      <c r="A3316" s="426" t="s">
        <v>2669</v>
      </c>
      <c r="B3316" s="426" t="s">
        <v>2670</v>
      </c>
    </row>
    <row r="3317" spans="1:2" ht="15" hidden="1" x14ac:dyDescent="0.25">
      <c r="A3317" s="426" t="s">
        <v>2669</v>
      </c>
      <c r="B3317" s="426" t="s">
        <v>2670</v>
      </c>
    </row>
    <row r="3318" spans="1:2" ht="15" hidden="1" x14ac:dyDescent="0.25">
      <c r="A3318" s="426" t="s">
        <v>2671</v>
      </c>
      <c r="B3318" s="426" t="s">
        <v>2672</v>
      </c>
    </row>
    <row r="3319" spans="1:2" ht="15" hidden="1" x14ac:dyDescent="0.25">
      <c r="A3319" s="426" t="s">
        <v>2673</v>
      </c>
      <c r="B3319" s="426" t="s">
        <v>2674</v>
      </c>
    </row>
    <row r="3320" spans="1:2" ht="15" hidden="1" x14ac:dyDescent="0.25">
      <c r="A3320" s="426" t="s">
        <v>2673</v>
      </c>
      <c r="B3320" s="426" t="s">
        <v>2674</v>
      </c>
    </row>
    <row r="3321" spans="1:2" ht="15" hidden="1" x14ac:dyDescent="0.25">
      <c r="A3321" s="426" t="s">
        <v>2675</v>
      </c>
      <c r="B3321" s="426" t="s">
        <v>2676</v>
      </c>
    </row>
    <row r="3322" spans="1:2" ht="15" hidden="1" x14ac:dyDescent="0.25">
      <c r="A3322" s="426" t="s">
        <v>2677</v>
      </c>
      <c r="B3322" s="426" t="s">
        <v>2678</v>
      </c>
    </row>
    <row r="3323" spans="1:2" ht="15" hidden="1" x14ac:dyDescent="0.25">
      <c r="A3323" s="426" t="s">
        <v>2679</v>
      </c>
      <c r="B3323" s="426" t="s">
        <v>2680</v>
      </c>
    </row>
    <row r="3324" spans="1:2" ht="15" hidden="1" x14ac:dyDescent="0.25">
      <c r="A3324" s="426" t="s">
        <v>2681</v>
      </c>
      <c r="B3324" s="426" t="s">
        <v>2682</v>
      </c>
    </row>
    <row r="3325" spans="1:2" ht="15" hidden="1" x14ac:dyDescent="0.25">
      <c r="A3325" s="426" t="s">
        <v>1422</v>
      </c>
      <c r="B3325" s="426" t="s">
        <v>1423</v>
      </c>
    </row>
    <row r="3326" spans="1:2" ht="15" hidden="1" x14ac:dyDescent="0.25">
      <c r="A3326" s="426" t="s">
        <v>1422</v>
      </c>
      <c r="B3326" s="426" t="s">
        <v>1423</v>
      </c>
    </row>
    <row r="3327" spans="1:2" ht="15" hidden="1" x14ac:dyDescent="0.25">
      <c r="A3327" s="426" t="s">
        <v>2683</v>
      </c>
      <c r="B3327" s="426" t="s">
        <v>2684</v>
      </c>
    </row>
    <row r="3328" spans="1:2" ht="15" hidden="1" x14ac:dyDescent="0.25">
      <c r="A3328" s="426" t="s">
        <v>2683</v>
      </c>
      <c r="B3328" s="426" t="s">
        <v>2684</v>
      </c>
    </row>
    <row r="3329" spans="1:2" ht="15" hidden="1" x14ac:dyDescent="0.25">
      <c r="A3329" s="426" t="s">
        <v>2683</v>
      </c>
      <c r="B3329" s="426" t="s">
        <v>2684</v>
      </c>
    </row>
    <row r="3330" spans="1:2" ht="15" hidden="1" x14ac:dyDescent="0.25">
      <c r="A3330" s="427" t="s">
        <v>2685</v>
      </c>
      <c r="B3330" s="427" t="s">
        <v>2686</v>
      </c>
    </row>
    <row r="3331" spans="1:2" ht="15" hidden="1" x14ac:dyDescent="0.25">
      <c r="A3331" s="426" t="s">
        <v>2003</v>
      </c>
      <c r="B3331" s="426" t="s">
        <v>2004</v>
      </c>
    </row>
    <row r="3332" spans="1:2" ht="15" hidden="1" x14ac:dyDescent="0.25">
      <c r="A3332" s="426" t="s">
        <v>1695</v>
      </c>
      <c r="B3332" s="426" t="s">
        <v>1696</v>
      </c>
    </row>
    <row r="3333" spans="1:2" ht="15" hidden="1" x14ac:dyDescent="0.25">
      <c r="A3333" s="426" t="s">
        <v>2687</v>
      </c>
      <c r="B3333" s="426" t="s">
        <v>2688</v>
      </c>
    </row>
    <row r="3334" spans="1:2" ht="15" hidden="1" x14ac:dyDescent="0.25">
      <c r="A3334" s="426" t="s">
        <v>2687</v>
      </c>
      <c r="B3334" s="426" t="s">
        <v>2688</v>
      </c>
    </row>
    <row r="3335" spans="1:2" ht="15" hidden="1" x14ac:dyDescent="0.25">
      <c r="A3335" s="426" t="s">
        <v>2687</v>
      </c>
      <c r="B3335" s="426" t="s">
        <v>2688</v>
      </c>
    </row>
    <row r="3336" spans="1:2" ht="15" hidden="1" x14ac:dyDescent="0.25">
      <c r="A3336" s="426" t="s">
        <v>2687</v>
      </c>
      <c r="B3336" s="426" t="s">
        <v>2688</v>
      </c>
    </row>
    <row r="3337" spans="1:2" ht="15" hidden="1" x14ac:dyDescent="0.25">
      <c r="A3337" s="426" t="s">
        <v>234</v>
      </c>
      <c r="B3337" s="426" t="s">
        <v>384</v>
      </c>
    </row>
    <row r="3338" spans="1:2" ht="15" hidden="1" x14ac:dyDescent="0.25">
      <c r="A3338" s="426" t="s">
        <v>2689</v>
      </c>
      <c r="B3338" s="426" t="s">
        <v>2514</v>
      </c>
    </row>
    <row r="3339" spans="1:2" ht="15" hidden="1" x14ac:dyDescent="0.25">
      <c r="A3339" s="426" t="s">
        <v>2690</v>
      </c>
      <c r="B3339" s="426" t="s">
        <v>2517</v>
      </c>
    </row>
    <row r="3340" spans="1:2" ht="15" hidden="1" x14ac:dyDescent="0.25">
      <c r="A3340" s="426" t="s">
        <v>2691</v>
      </c>
      <c r="B3340" s="426" t="s">
        <v>2692</v>
      </c>
    </row>
    <row r="3341" spans="1:2" ht="15" hidden="1" x14ac:dyDescent="0.25">
      <c r="A3341" s="426" t="s">
        <v>2693</v>
      </c>
      <c r="B3341" s="426" t="s">
        <v>2694</v>
      </c>
    </row>
    <row r="3342" spans="1:2" ht="15" hidden="1" x14ac:dyDescent="0.25">
      <c r="A3342" s="426" t="s">
        <v>2695</v>
      </c>
      <c r="B3342" s="426" t="s">
        <v>2696</v>
      </c>
    </row>
    <row r="3343" spans="1:2" ht="15" hidden="1" x14ac:dyDescent="0.25">
      <c r="A3343" s="426" t="s">
        <v>2697</v>
      </c>
      <c r="B3343" s="426" t="s">
        <v>2698</v>
      </c>
    </row>
    <row r="3344" spans="1:2" ht="15" hidden="1" x14ac:dyDescent="0.25">
      <c r="A3344" s="426" t="s">
        <v>2699</v>
      </c>
      <c r="B3344" s="426" t="s">
        <v>2700</v>
      </c>
    </row>
    <row r="3345" spans="1:2" ht="15" hidden="1" x14ac:dyDescent="0.25">
      <c r="A3345" s="426" t="s">
        <v>2699</v>
      </c>
      <c r="B3345" s="426" t="s">
        <v>2700</v>
      </c>
    </row>
    <row r="3346" spans="1:2" ht="15" hidden="1" x14ac:dyDescent="0.25">
      <c r="A3346" s="426" t="s">
        <v>2701</v>
      </c>
      <c r="B3346" s="426" t="s">
        <v>2702</v>
      </c>
    </row>
    <row r="3347" spans="1:2" ht="15" hidden="1" x14ac:dyDescent="0.25">
      <c r="A3347" s="426" t="s">
        <v>2701</v>
      </c>
      <c r="B3347" s="426" t="s">
        <v>2702</v>
      </c>
    </row>
    <row r="3348" spans="1:2" ht="15" hidden="1" x14ac:dyDescent="0.25">
      <c r="A3348" s="426" t="s">
        <v>2703</v>
      </c>
      <c r="B3348" s="426" t="s">
        <v>2704</v>
      </c>
    </row>
    <row r="3349" spans="1:2" ht="15" hidden="1" x14ac:dyDescent="0.25">
      <c r="A3349" s="426" t="s">
        <v>2705</v>
      </c>
      <c r="B3349" s="426" t="s">
        <v>2706</v>
      </c>
    </row>
    <row r="3350" spans="1:2" ht="15" hidden="1" x14ac:dyDescent="0.25">
      <c r="A3350" s="426" t="s">
        <v>2707</v>
      </c>
      <c r="B3350" s="426" t="s">
        <v>2708</v>
      </c>
    </row>
    <row r="3351" spans="1:2" ht="15" hidden="1" x14ac:dyDescent="0.25">
      <c r="A3351" s="426" t="s">
        <v>2709</v>
      </c>
      <c r="B3351" s="426" t="s">
        <v>2526</v>
      </c>
    </row>
    <row r="3352" spans="1:2" ht="15" hidden="1" x14ac:dyDescent="0.25">
      <c r="A3352" s="426" t="s">
        <v>2710</v>
      </c>
      <c r="B3352" s="426" t="s">
        <v>2530</v>
      </c>
    </row>
    <row r="3353" spans="1:2" ht="15" hidden="1" x14ac:dyDescent="0.25">
      <c r="A3353" s="426" t="s">
        <v>2711</v>
      </c>
      <c r="B3353" s="426" t="s">
        <v>2712</v>
      </c>
    </row>
    <row r="3354" spans="1:2" ht="15" hidden="1" x14ac:dyDescent="0.25">
      <c r="A3354" s="426" t="s">
        <v>2713</v>
      </c>
      <c r="B3354" s="426" t="s">
        <v>2714</v>
      </c>
    </row>
    <row r="3355" spans="1:2" ht="15" hidden="1" x14ac:dyDescent="0.25">
      <c r="A3355" s="426" t="s">
        <v>2715</v>
      </c>
      <c r="B3355" s="426" t="s">
        <v>2716</v>
      </c>
    </row>
    <row r="3356" spans="1:2" ht="15" hidden="1" x14ac:dyDescent="0.25">
      <c r="A3356" s="426" t="s">
        <v>2717</v>
      </c>
      <c r="B3356" s="426" t="s">
        <v>2718</v>
      </c>
    </row>
    <row r="3357" spans="1:2" ht="15" hidden="1" x14ac:dyDescent="0.25">
      <c r="A3357" s="426" t="s">
        <v>2719</v>
      </c>
      <c r="B3357" s="426" t="s">
        <v>2720</v>
      </c>
    </row>
    <row r="3358" spans="1:2" ht="15" hidden="1" x14ac:dyDescent="0.25">
      <c r="A3358" s="426" t="s">
        <v>2721</v>
      </c>
      <c r="B3358" s="426" t="s">
        <v>2722</v>
      </c>
    </row>
    <row r="3359" spans="1:2" ht="15" hidden="1" x14ac:dyDescent="0.25">
      <c r="A3359" s="426" t="s">
        <v>2723</v>
      </c>
      <c r="B3359" s="426" t="s">
        <v>2724</v>
      </c>
    </row>
    <row r="3360" spans="1:2" ht="15" hidden="1" x14ac:dyDescent="0.25">
      <c r="A3360" s="426" t="s">
        <v>2725</v>
      </c>
      <c r="B3360" s="426" t="s">
        <v>2726</v>
      </c>
    </row>
    <row r="3361" spans="1:2" ht="15" hidden="1" x14ac:dyDescent="0.25">
      <c r="A3361" s="426" t="s">
        <v>1437</v>
      </c>
      <c r="B3361" s="426" t="s">
        <v>1438</v>
      </c>
    </row>
    <row r="3362" spans="1:2" ht="15" hidden="1" x14ac:dyDescent="0.25">
      <c r="A3362" s="426" t="s">
        <v>1437</v>
      </c>
      <c r="B3362" s="426" t="s">
        <v>1438</v>
      </c>
    </row>
    <row r="3363" spans="1:2" ht="15" hidden="1" x14ac:dyDescent="0.25">
      <c r="A3363" s="426" t="s">
        <v>2727</v>
      </c>
      <c r="B3363" s="426" t="s">
        <v>2728</v>
      </c>
    </row>
    <row r="3364" spans="1:2" ht="15" hidden="1" x14ac:dyDescent="0.25">
      <c r="A3364" s="428" t="s">
        <v>2729</v>
      </c>
      <c r="B3364" s="428" t="s">
        <v>2730</v>
      </c>
    </row>
    <row r="3365" spans="1:2" ht="15" hidden="1" x14ac:dyDescent="0.25">
      <c r="A3365" s="426" t="s">
        <v>2731</v>
      </c>
      <c r="B3365" s="426" t="s">
        <v>2732</v>
      </c>
    </row>
    <row r="3366" spans="1:2" ht="15" hidden="1" x14ac:dyDescent="0.25">
      <c r="A3366" s="426" t="s">
        <v>2731</v>
      </c>
      <c r="B3366" s="426" t="s">
        <v>2732</v>
      </c>
    </row>
    <row r="3367" spans="1:2" ht="15" hidden="1" x14ac:dyDescent="0.25">
      <c r="A3367" s="426" t="s">
        <v>2733</v>
      </c>
      <c r="B3367" s="426" t="s">
        <v>2734</v>
      </c>
    </row>
    <row r="3368" spans="1:2" ht="15" hidden="1" x14ac:dyDescent="0.25">
      <c r="A3368" s="426" t="s">
        <v>2733</v>
      </c>
      <c r="B3368" s="426" t="s">
        <v>2734</v>
      </c>
    </row>
    <row r="3369" spans="1:2" ht="15" hidden="1" x14ac:dyDescent="0.25">
      <c r="A3369" s="426" t="s">
        <v>2735</v>
      </c>
      <c r="B3369" s="426" t="s">
        <v>2736</v>
      </c>
    </row>
    <row r="3370" spans="1:2" ht="15" hidden="1" x14ac:dyDescent="0.25">
      <c r="A3370" s="426" t="s">
        <v>2737</v>
      </c>
      <c r="B3370" s="426" t="s">
        <v>2738</v>
      </c>
    </row>
    <row r="3371" spans="1:2" ht="15" hidden="1" x14ac:dyDescent="0.25">
      <c r="A3371" s="426" t="s">
        <v>2739</v>
      </c>
      <c r="B3371" s="426" t="s">
        <v>2740</v>
      </c>
    </row>
    <row r="3372" spans="1:2" ht="15" hidden="1" x14ac:dyDescent="0.25">
      <c r="A3372" s="426" t="s">
        <v>2741</v>
      </c>
      <c r="B3372" s="426" t="s">
        <v>2742</v>
      </c>
    </row>
    <row r="3373" spans="1:2" ht="15" hidden="1" x14ac:dyDescent="0.25">
      <c r="A3373" s="426" t="s">
        <v>2743</v>
      </c>
      <c r="B3373" s="426" t="s">
        <v>2744</v>
      </c>
    </row>
    <row r="3374" spans="1:2" ht="15" hidden="1" x14ac:dyDescent="0.25">
      <c r="A3374" s="426" t="s">
        <v>2745</v>
      </c>
      <c r="B3374" s="426" t="s">
        <v>2746</v>
      </c>
    </row>
    <row r="3375" spans="1:2" ht="15" hidden="1" x14ac:dyDescent="0.25">
      <c r="A3375" s="426" t="s">
        <v>2747</v>
      </c>
      <c r="B3375" s="426" t="s">
        <v>2748</v>
      </c>
    </row>
    <row r="3376" spans="1:2" ht="15" hidden="1" x14ac:dyDescent="0.25">
      <c r="A3376" s="426" t="s">
        <v>2749</v>
      </c>
      <c r="B3376" s="426" t="s">
        <v>2750</v>
      </c>
    </row>
    <row r="3377" spans="1:2" ht="15" hidden="1" x14ac:dyDescent="0.25">
      <c r="A3377" s="426" t="s">
        <v>2751</v>
      </c>
      <c r="B3377" s="426" t="s">
        <v>2752</v>
      </c>
    </row>
    <row r="3378" spans="1:2" ht="15" hidden="1" x14ac:dyDescent="0.25">
      <c r="A3378" s="426" t="s">
        <v>2753</v>
      </c>
      <c r="B3378" s="426" t="s">
        <v>2754</v>
      </c>
    </row>
    <row r="3379" spans="1:2" ht="15" hidden="1" x14ac:dyDescent="0.25">
      <c r="A3379" s="426" t="s">
        <v>2755</v>
      </c>
      <c r="B3379" s="426" t="s">
        <v>2756</v>
      </c>
    </row>
    <row r="3380" spans="1:2" ht="15" hidden="1" x14ac:dyDescent="0.25">
      <c r="A3380" s="426" t="s">
        <v>2757</v>
      </c>
      <c r="B3380" s="426" t="s">
        <v>2758</v>
      </c>
    </row>
    <row r="3381" spans="1:2" ht="15" hidden="1" x14ac:dyDescent="0.25">
      <c r="A3381" s="426" t="s">
        <v>2759</v>
      </c>
      <c r="B3381" s="426" t="s">
        <v>2760</v>
      </c>
    </row>
    <row r="3382" spans="1:2" ht="15" hidden="1" x14ac:dyDescent="0.25">
      <c r="A3382" s="426" t="s">
        <v>2761</v>
      </c>
      <c r="B3382" s="426" t="s">
        <v>2762</v>
      </c>
    </row>
    <row r="3383" spans="1:2" ht="15" hidden="1" x14ac:dyDescent="0.25">
      <c r="A3383" s="426" t="s">
        <v>2353</v>
      </c>
      <c r="B3383" s="426" t="s">
        <v>2354</v>
      </c>
    </row>
    <row r="3384" spans="1:2" ht="15" hidden="1" x14ac:dyDescent="0.25">
      <c r="A3384" s="426" t="s">
        <v>2353</v>
      </c>
      <c r="B3384" s="426" t="s">
        <v>2354</v>
      </c>
    </row>
    <row r="3385" spans="1:2" ht="15" hidden="1" x14ac:dyDescent="0.25">
      <c r="A3385" s="426" t="s">
        <v>2763</v>
      </c>
      <c r="B3385" s="426" t="s">
        <v>2764</v>
      </c>
    </row>
    <row r="3386" spans="1:2" ht="15" hidden="1" x14ac:dyDescent="0.25">
      <c r="A3386" s="426" t="s">
        <v>1449</v>
      </c>
      <c r="B3386" s="426" t="s">
        <v>1450</v>
      </c>
    </row>
    <row r="3387" spans="1:2" ht="15" hidden="1" x14ac:dyDescent="0.25">
      <c r="A3387" s="426" t="s">
        <v>1835</v>
      </c>
      <c r="B3387" s="426" t="s">
        <v>1836</v>
      </c>
    </row>
    <row r="3388" spans="1:2" ht="15" hidden="1" x14ac:dyDescent="0.25">
      <c r="A3388" s="426" t="s">
        <v>1835</v>
      </c>
      <c r="B3388" s="426" t="s">
        <v>1836</v>
      </c>
    </row>
    <row r="3389" spans="1:2" ht="15" hidden="1" x14ac:dyDescent="0.25">
      <c r="A3389" s="426" t="s">
        <v>2765</v>
      </c>
      <c r="B3389" s="426" t="s">
        <v>2766</v>
      </c>
    </row>
    <row r="3390" spans="1:2" ht="15" hidden="1" x14ac:dyDescent="0.25">
      <c r="A3390" s="426" t="s">
        <v>2767</v>
      </c>
      <c r="B3390" s="426" t="s">
        <v>2768</v>
      </c>
    </row>
    <row r="3391" spans="1:2" ht="15" hidden="1" x14ac:dyDescent="0.25">
      <c r="A3391" s="426" t="s">
        <v>208</v>
      </c>
      <c r="B3391" s="426" t="s">
        <v>309</v>
      </c>
    </row>
    <row r="3392" spans="1:2" ht="15" hidden="1" x14ac:dyDescent="0.25">
      <c r="A3392" s="426" t="s">
        <v>208</v>
      </c>
      <c r="B3392" s="426" t="s">
        <v>309</v>
      </c>
    </row>
    <row r="3393" spans="1:2" ht="15" hidden="1" x14ac:dyDescent="0.25">
      <c r="A3393" s="426" t="s">
        <v>208</v>
      </c>
      <c r="B3393" s="426" t="s">
        <v>309</v>
      </c>
    </row>
    <row r="3394" spans="1:2" ht="15" hidden="1" x14ac:dyDescent="0.25">
      <c r="A3394" s="426" t="s">
        <v>208</v>
      </c>
      <c r="B3394" s="426" t="s">
        <v>309</v>
      </c>
    </row>
    <row r="3395" spans="1:2" ht="15" hidden="1" x14ac:dyDescent="0.25">
      <c r="A3395" s="426" t="s">
        <v>178</v>
      </c>
      <c r="B3395" s="426" t="s">
        <v>310</v>
      </c>
    </row>
    <row r="3396" spans="1:2" ht="15" hidden="1" x14ac:dyDescent="0.25">
      <c r="A3396" s="426" t="s">
        <v>178</v>
      </c>
      <c r="B3396" s="426" t="s">
        <v>310</v>
      </c>
    </row>
    <row r="3397" spans="1:2" ht="15" hidden="1" x14ac:dyDescent="0.25">
      <c r="A3397" s="426" t="s">
        <v>178</v>
      </c>
      <c r="B3397" s="426" t="s">
        <v>310</v>
      </c>
    </row>
    <row r="3398" spans="1:2" ht="15" hidden="1" x14ac:dyDescent="0.25">
      <c r="A3398" s="426" t="s">
        <v>178</v>
      </c>
      <c r="B3398" s="426" t="s">
        <v>310</v>
      </c>
    </row>
    <row r="3399" spans="1:2" ht="15" hidden="1" x14ac:dyDescent="0.25">
      <c r="A3399" s="426" t="s">
        <v>178</v>
      </c>
      <c r="B3399" s="426" t="s">
        <v>310</v>
      </c>
    </row>
    <row r="3400" spans="1:2" ht="15" hidden="1" x14ac:dyDescent="0.25">
      <c r="A3400" s="426" t="s">
        <v>178</v>
      </c>
      <c r="B3400" s="426" t="s">
        <v>310</v>
      </c>
    </row>
    <row r="3401" spans="1:2" ht="15" hidden="1" x14ac:dyDescent="0.25">
      <c r="A3401" s="426" t="s">
        <v>1617</v>
      </c>
      <c r="B3401" s="426" t="s">
        <v>1618</v>
      </c>
    </row>
    <row r="3402" spans="1:2" ht="15" hidden="1" x14ac:dyDescent="0.25">
      <c r="A3402" s="426" t="s">
        <v>180</v>
      </c>
      <c r="B3402" s="426" t="s">
        <v>312</v>
      </c>
    </row>
    <row r="3403" spans="1:2" ht="15" hidden="1" x14ac:dyDescent="0.25">
      <c r="A3403" s="426" t="s">
        <v>180</v>
      </c>
      <c r="B3403" s="426" t="s">
        <v>312</v>
      </c>
    </row>
    <row r="3404" spans="1:2" ht="15" hidden="1" x14ac:dyDescent="0.25">
      <c r="A3404" s="426" t="s">
        <v>180</v>
      </c>
      <c r="B3404" s="426" t="s">
        <v>312</v>
      </c>
    </row>
    <row r="3405" spans="1:2" ht="15" hidden="1" x14ac:dyDescent="0.25">
      <c r="A3405" s="426" t="s">
        <v>395</v>
      </c>
      <c r="B3405" s="426" t="s">
        <v>396</v>
      </c>
    </row>
    <row r="3406" spans="1:2" ht="15" hidden="1" x14ac:dyDescent="0.25">
      <c r="A3406" s="426" t="s">
        <v>395</v>
      </c>
      <c r="B3406" s="426" t="s">
        <v>396</v>
      </c>
    </row>
    <row r="3407" spans="1:2" ht="15" hidden="1" x14ac:dyDescent="0.25">
      <c r="A3407" s="426" t="s">
        <v>395</v>
      </c>
      <c r="B3407" s="426" t="s">
        <v>396</v>
      </c>
    </row>
    <row r="3408" spans="1:2" ht="15" hidden="1" x14ac:dyDescent="0.25">
      <c r="A3408" s="426" t="s">
        <v>181</v>
      </c>
      <c r="B3408" s="426" t="s">
        <v>313</v>
      </c>
    </row>
    <row r="3409" spans="1:2" ht="15" hidden="1" x14ac:dyDescent="0.25">
      <c r="A3409" s="426" t="s">
        <v>181</v>
      </c>
      <c r="B3409" s="426" t="s">
        <v>313</v>
      </c>
    </row>
    <row r="3410" spans="1:2" ht="15" hidden="1" x14ac:dyDescent="0.25">
      <c r="A3410" s="426" t="s">
        <v>181</v>
      </c>
      <c r="B3410" s="426" t="s">
        <v>313</v>
      </c>
    </row>
    <row r="3411" spans="1:2" ht="15" hidden="1" x14ac:dyDescent="0.25">
      <c r="A3411" s="426" t="s">
        <v>181</v>
      </c>
      <c r="B3411" s="426" t="s">
        <v>313</v>
      </c>
    </row>
    <row r="3412" spans="1:2" ht="15" hidden="1" x14ac:dyDescent="0.25">
      <c r="A3412" s="426" t="s">
        <v>181</v>
      </c>
      <c r="B3412" s="426" t="s">
        <v>313</v>
      </c>
    </row>
    <row r="3413" spans="1:2" ht="15" hidden="1" x14ac:dyDescent="0.25">
      <c r="A3413" s="426" t="s">
        <v>181</v>
      </c>
      <c r="B3413" s="426" t="s">
        <v>313</v>
      </c>
    </row>
    <row r="3414" spans="1:2" ht="15" hidden="1" x14ac:dyDescent="0.25">
      <c r="A3414" s="426" t="s">
        <v>181</v>
      </c>
      <c r="B3414" s="426" t="s">
        <v>313</v>
      </c>
    </row>
    <row r="3415" spans="1:2" ht="15" hidden="1" x14ac:dyDescent="0.25">
      <c r="A3415" s="426" t="s">
        <v>181</v>
      </c>
      <c r="B3415" s="426" t="s">
        <v>313</v>
      </c>
    </row>
    <row r="3416" spans="1:2" ht="15" hidden="1" x14ac:dyDescent="0.25">
      <c r="A3416" s="426" t="s">
        <v>181</v>
      </c>
      <c r="B3416" s="426" t="s">
        <v>313</v>
      </c>
    </row>
    <row r="3417" spans="1:2" ht="15" hidden="1" x14ac:dyDescent="0.25">
      <c r="A3417" s="426" t="s">
        <v>181</v>
      </c>
      <c r="B3417" s="426" t="s">
        <v>313</v>
      </c>
    </row>
    <row r="3418" spans="1:2" ht="15" hidden="1" x14ac:dyDescent="0.25">
      <c r="A3418" s="426" t="s">
        <v>181</v>
      </c>
      <c r="B3418" s="426" t="s">
        <v>313</v>
      </c>
    </row>
    <row r="3419" spans="1:2" ht="15" hidden="1" x14ac:dyDescent="0.25">
      <c r="A3419" s="426" t="s">
        <v>181</v>
      </c>
      <c r="B3419" s="426" t="s">
        <v>313</v>
      </c>
    </row>
    <row r="3420" spans="1:2" ht="15" hidden="1" x14ac:dyDescent="0.25">
      <c r="A3420" s="426" t="s">
        <v>181</v>
      </c>
      <c r="B3420" s="426" t="s">
        <v>313</v>
      </c>
    </row>
    <row r="3421" spans="1:2" ht="15" hidden="1" x14ac:dyDescent="0.25">
      <c r="A3421" s="426" t="s">
        <v>181</v>
      </c>
      <c r="B3421" s="426" t="s">
        <v>313</v>
      </c>
    </row>
    <row r="3422" spans="1:2" ht="15" hidden="1" x14ac:dyDescent="0.25">
      <c r="A3422" s="426" t="s">
        <v>181</v>
      </c>
      <c r="B3422" s="426" t="s">
        <v>313</v>
      </c>
    </row>
    <row r="3423" spans="1:2" ht="15" hidden="1" x14ac:dyDescent="0.25">
      <c r="A3423" s="426" t="s">
        <v>181</v>
      </c>
      <c r="B3423" s="426" t="s">
        <v>313</v>
      </c>
    </row>
    <row r="3424" spans="1:2" ht="15" hidden="1" x14ac:dyDescent="0.25">
      <c r="A3424" s="426" t="s">
        <v>181</v>
      </c>
      <c r="B3424" s="426" t="s">
        <v>313</v>
      </c>
    </row>
    <row r="3425" spans="1:2" ht="15" hidden="1" x14ac:dyDescent="0.25">
      <c r="A3425" s="426" t="s">
        <v>181</v>
      </c>
      <c r="B3425" s="426" t="s">
        <v>313</v>
      </c>
    </row>
    <row r="3426" spans="1:2" ht="15" hidden="1" x14ac:dyDescent="0.25">
      <c r="A3426" s="426" t="s">
        <v>181</v>
      </c>
      <c r="B3426" s="426" t="s">
        <v>313</v>
      </c>
    </row>
    <row r="3427" spans="1:2" ht="15" hidden="1" x14ac:dyDescent="0.25">
      <c r="A3427" s="426" t="s">
        <v>182</v>
      </c>
      <c r="B3427" s="426" t="s">
        <v>315</v>
      </c>
    </row>
    <row r="3428" spans="1:2" ht="15" hidden="1" x14ac:dyDescent="0.25">
      <c r="A3428" s="426" t="s">
        <v>182</v>
      </c>
      <c r="B3428" s="426" t="s">
        <v>315</v>
      </c>
    </row>
    <row r="3429" spans="1:2" ht="15" hidden="1" x14ac:dyDescent="0.25">
      <c r="A3429" s="426" t="s">
        <v>182</v>
      </c>
      <c r="B3429" s="426" t="s">
        <v>315</v>
      </c>
    </row>
    <row r="3430" spans="1:2" ht="15" hidden="1" x14ac:dyDescent="0.25">
      <c r="A3430" s="426" t="s">
        <v>182</v>
      </c>
      <c r="B3430" s="426" t="s">
        <v>315</v>
      </c>
    </row>
    <row r="3431" spans="1:2" ht="15" hidden="1" x14ac:dyDescent="0.25">
      <c r="A3431" s="426" t="s">
        <v>182</v>
      </c>
      <c r="B3431" s="426" t="s">
        <v>315</v>
      </c>
    </row>
    <row r="3432" spans="1:2" ht="15" hidden="1" x14ac:dyDescent="0.25">
      <c r="A3432" s="426" t="s">
        <v>182</v>
      </c>
      <c r="B3432" s="426" t="s">
        <v>315</v>
      </c>
    </row>
    <row r="3433" spans="1:2" ht="15" hidden="1" x14ac:dyDescent="0.25">
      <c r="A3433" s="426" t="s">
        <v>182</v>
      </c>
      <c r="B3433" s="426" t="s">
        <v>315</v>
      </c>
    </row>
    <row r="3434" spans="1:2" ht="15" hidden="1" x14ac:dyDescent="0.25">
      <c r="A3434" s="426" t="s">
        <v>182</v>
      </c>
      <c r="B3434" s="426" t="s">
        <v>315</v>
      </c>
    </row>
    <row r="3435" spans="1:2" ht="15" hidden="1" x14ac:dyDescent="0.25">
      <c r="A3435" s="426" t="s">
        <v>182</v>
      </c>
      <c r="B3435" s="426" t="s">
        <v>315</v>
      </c>
    </row>
    <row r="3436" spans="1:2" ht="15" hidden="1" x14ac:dyDescent="0.25">
      <c r="A3436" s="426" t="s">
        <v>182</v>
      </c>
      <c r="B3436" s="426" t="s">
        <v>315</v>
      </c>
    </row>
    <row r="3437" spans="1:2" ht="15" hidden="1" x14ac:dyDescent="0.25">
      <c r="A3437" s="426" t="s">
        <v>182</v>
      </c>
      <c r="B3437" s="426" t="s">
        <v>315</v>
      </c>
    </row>
    <row r="3438" spans="1:2" ht="15" hidden="1" x14ac:dyDescent="0.25">
      <c r="A3438" s="426" t="s">
        <v>182</v>
      </c>
      <c r="B3438" s="426" t="s">
        <v>315</v>
      </c>
    </row>
    <row r="3439" spans="1:2" ht="15" hidden="1" x14ac:dyDescent="0.25">
      <c r="A3439" s="426" t="s">
        <v>182</v>
      </c>
      <c r="B3439" s="426" t="s">
        <v>315</v>
      </c>
    </row>
    <row r="3440" spans="1:2" ht="15" hidden="1" x14ac:dyDescent="0.25">
      <c r="A3440" s="426" t="s">
        <v>182</v>
      </c>
      <c r="B3440" s="426" t="s">
        <v>315</v>
      </c>
    </row>
    <row r="3441" spans="1:2" ht="15" hidden="1" x14ac:dyDescent="0.25">
      <c r="A3441" s="426" t="s">
        <v>182</v>
      </c>
      <c r="B3441" s="426" t="s">
        <v>315</v>
      </c>
    </row>
    <row r="3442" spans="1:2" ht="15" hidden="1" x14ac:dyDescent="0.25">
      <c r="A3442" s="426" t="s">
        <v>182</v>
      </c>
      <c r="B3442" s="426" t="s">
        <v>315</v>
      </c>
    </row>
    <row r="3443" spans="1:2" ht="15" hidden="1" x14ac:dyDescent="0.25">
      <c r="A3443" s="426" t="s">
        <v>182</v>
      </c>
      <c r="B3443" s="426" t="s">
        <v>315</v>
      </c>
    </row>
    <row r="3444" spans="1:2" ht="15" hidden="1" x14ac:dyDescent="0.25">
      <c r="A3444" s="426" t="s">
        <v>182</v>
      </c>
      <c r="B3444" s="426" t="s">
        <v>315</v>
      </c>
    </row>
    <row r="3445" spans="1:2" ht="15" hidden="1" x14ac:dyDescent="0.25">
      <c r="A3445" s="426" t="s">
        <v>182</v>
      </c>
      <c r="B3445" s="426" t="s">
        <v>315</v>
      </c>
    </row>
    <row r="3446" spans="1:2" ht="15" hidden="1" x14ac:dyDescent="0.25">
      <c r="A3446" s="426" t="s">
        <v>182</v>
      </c>
      <c r="B3446" s="426" t="s">
        <v>315</v>
      </c>
    </row>
    <row r="3447" spans="1:2" ht="15" hidden="1" x14ac:dyDescent="0.25">
      <c r="A3447" s="426" t="s">
        <v>182</v>
      </c>
      <c r="B3447" s="426" t="s">
        <v>315</v>
      </c>
    </row>
    <row r="3448" spans="1:2" ht="15" hidden="1" x14ac:dyDescent="0.25">
      <c r="A3448" s="426" t="s">
        <v>182</v>
      </c>
      <c r="B3448" s="426" t="s">
        <v>315</v>
      </c>
    </row>
    <row r="3449" spans="1:2" ht="15" hidden="1" x14ac:dyDescent="0.25">
      <c r="A3449" s="426" t="s">
        <v>182</v>
      </c>
      <c r="B3449" s="426" t="s">
        <v>315</v>
      </c>
    </row>
    <row r="3450" spans="1:2" ht="15" hidden="1" x14ac:dyDescent="0.25">
      <c r="A3450" s="426" t="s">
        <v>182</v>
      </c>
      <c r="B3450" s="426" t="s">
        <v>315</v>
      </c>
    </row>
    <row r="3451" spans="1:2" ht="15" hidden="1" x14ac:dyDescent="0.25">
      <c r="A3451" s="426" t="s">
        <v>183</v>
      </c>
      <c r="B3451" s="426" t="s">
        <v>317</v>
      </c>
    </row>
    <row r="3452" spans="1:2" ht="15" hidden="1" x14ac:dyDescent="0.25">
      <c r="A3452" s="426" t="s">
        <v>183</v>
      </c>
      <c r="B3452" s="426" t="s">
        <v>317</v>
      </c>
    </row>
    <row r="3453" spans="1:2" ht="15" hidden="1" x14ac:dyDescent="0.25">
      <c r="A3453" s="426" t="s">
        <v>183</v>
      </c>
      <c r="B3453" s="426" t="s">
        <v>317</v>
      </c>
    </row>
    <row r="3454" spans="1:2" ht="15" hidden="1" x14ac:dyDescent="0.25">
      <c r="A3454" s="426" t="s">
        <v>183</v>
      </c>
      <c r="B3454" s="426" t="s">
        <v>317</v>
      </c>
    </row>
    <row r="3455" spans="1:2" ht="15" hidden="1" x14ac:dyDescent="0.25">
      <c r="A3455" s="426" t="s">
        <v>183</v>
      </c>
      <c r="B3455" s="426" t="s">
        <v>317</v>
      </c>
    </row>
    <row r="3456" spans="1:2" ht="15" hidden="1" x14ac:dyDescent="0.25">
      <c r="A3456" s="426" t="s">
        <v>183</v>
      </c>
      <c r="B3456" s="426" t="s">
        <v>317</v>
      </c>
    </row>
    <row r="3457" spans="1:2" ht="15" hidden="1" x14ac:dyDescent="0.25">
      <c r="A3457" s="426" t="s">
        <v>183</v>
      </c>
      <c r="B3457" s="426" t="s">
        <v>317</v>
      </c>
    </row>
    <row r="3458" spans="1:2" ht="15" hidden="1" x14ac:dyDescent="0.25">
      <c r="A3458" s="426" t="s">
        <v>183</v>
      </c>
      <c r="B3458" s="426" t="s">
        <v>317</v>
      </c>
    </row>
    <row r="3459" spans="1:2" ht="15" hidden="1" x14ac:dyDescent="0.25">
      <c r="A3459" s="426" t="s">
        <v>183</v>
      </c>
      <c r="B3459" s="426" t="s">
        <v>317</v>
      </c>
    </row>
    <row r="3460" spans="1:2" ht="15" hidden="1" x14ac:dyDescent="0.25">
      <c r="A3460" s="426" t="s">
        <v>183</v>
      </c>
      <c r="B3460" s="426" t="s">
        <v>317</v>
      </c>
    </row>
    <row r="3461" spans="1:2" ht="15" hidden="1" x14ac:dyDescent="0.25">
      <c r="A3461" s="426" t="s">
        <v>401</v>
      </c>
      <c r="B3461" s="426" t="s">
        <v>402</v>
      </c>
    </row>
    <row r="3462" spans="1:2" ht="15" hidden="1" x14ac:dyDescent="0.25">
      <c r="A3462" s="426" t="s">
        <v>401</v>
      </c>
      <c r="B3462" s="426" t="s">
        <v>402</v>
      </c>
    </row>
    <row r="3463" spans="1:2" ht="15" hidden="1" x14ac:dyDescent="0.25">
      <c r="A3463" s="426" t="s">
        <v>401</v>
      </c>
      <c r="B3463" s="426" t="s">
        <v>402</v>
      </c>
    </row>
    <row r="3464" spans="1:2" ht="15" hidden="1" x14ac:dyDescent="0.25">
      <c r="A3464" s="426" t="s">
        <v>856</v>
      </c>
      <c r="B3464" s="426" t="s">
        <v>857</v>
      </c>
    </row>
    <row r="3465" spans="1:2" ht="15" hidden="1" x14ac:dyDescent="0.25">
      <c r="A3465" s="426" t="s">
        <v>2769</v>
      </c>
      <c r="B3465" s="426" t="s">
        <v>2769</v>
      </c>
    </row>
    <row r="3466" spans="1:2" ht="15" hidden="1" x14ac:dyDescent="0.25">
      <c r="A3466" s="426" t="s">
        <v>2770</v>
      </c>
      <c r="B3466" s="426" t="s">
        <v>2770</v>
      </c>
    </row>
    <row r="3467" spans="1:2" ht="15" hidden="1" x14ac:dyDescent="0.25">
      <c r="A3467" s="426" t="s">
        <v>2771</v>
      </c>
      <c r="B3467" s="426" t="s">
        <v>2771</v>
      </c>
    </row>
    <row r="3468" spans="1:2" ht="15" hidden="1" x14ac:dyDescent="0.25">
      <c r="A3468" s="426" t="s">
        <v>2772</v>
      </c>
      <c r="B3468" s="426" t="s">
        <v>2772</v>
      </c>
    </row>
    <row r="3469" spans="1:2" ht="15" hidden="1" x14ac:dyDescent="0.25">
      <c r="A3469" s="426" t="s">
        <v>2773</v>
      </c>
      <c r="B3469" s="426" t="s">
        <v>2773</v>
      </c>
    </row>
    <row r="3470" spans="1:2" ht="15" hidden="1" x14ac:dyDescent="0.25">
      <c r="A3470" s="426" t="s">
        <v>2774</v>
      </c>
      <c r="B3470" s="426" t="s">
        <v>2774</v>
      </c>
    </row>
    <row r="3471" spans="1:2" ht="15" hidden="1" x14ac:dyDescent="0.25">
      <c r="A3471" s="426" t="s">
        <v>2775</v>
      </c>
      <c r="B3471" s="426" t="s">
        <v>2775</v>
      </c>
    </row>
    <row r="3472" spans="1:2" ht="15" hidden="1" x14ac:dyDescent="0.25">
      <c r="A3472" s="426" t="s">
        <v>2776</v>
      </c>
      <c r="B3472" s="426" t="s">
        <v>2776</v>
      </c>
    </row>
    <row r="3473" spans="1:2" ht="15" hidden="1" x14ac:dyDescent="0.25">
      <c r="A3473" s="426" t="s">
        <v>2777</v>
      </c>
      <c r="B3473" s="426" t="s">
        <v>2777</v>
      </c>
    </row>
    <row r="3474" spans="1:2" ht="15" hidden="1" x14ac:dyDescent="0.25">
      <c r="A3474" s="426" t="s">
        <v>2778</v>
      </c>
      <c r="B3474" s="426" t="s">
        <v>2778</v>
      </c>
    </row>
    <row r="3475" spans="1:2" ht="15" hidden="1" x14ac:dyDescent="0.25">
      <c r="A3475" s="426" t="s">
        <v>2779</v>
      </c>
      <c r="B3475" s="426" t="s">
        <v>2779</v>
      </c>
    </row>
    <row r="3476" spans="1:2" ht="15" hidden="1" x14ac:dyDescent="0.25">
      <c r="A3476" s="426" t="s">
        <v>2780</v>
      </c>
      <c r="B3476" s="426" t="s">
        <v>2780</v>
      </c>
    </row>
    <row r="3477" spans="1:2" ht="15" hidden="1" x14ac:dyDescent="0.25">
      <c r="A3477" s="426" t="s">
        <v>2781</v>
      </c>
      <c r="B3477" s="426" t="s">
        <v>2781</v>
      </c>
    </row>
    <row r="3478" spans="1:2" ht="15" hidden="1" x14ac:dyDescent="0.25">
      <c r="A3478" s="426" t="s">
        <v>2782</v>
      </c>
      <c r="B3478" s="426" t="s">
        <v>2782</v>
      </c>
    </row>
    <row r="3479" spans="1:2" ht="15" hidden="1" x14ac:dyDescent="0.25">
      <c r="A3479" s="426" t="s">
        <v>2783</v>
      </c>
      <c r="B3479" s="426" t="s">
        <v>2783</v>
      </c>
    </row>
    <row r="3480" spans="1:2" ht="15" hidden="1" x14ac:dyDescent="0.25">
      <c r="A3480" s="426" t="s">
        <v>2784</v>
      </c>
      <c r="B3480" s="426" t="s">
        <v>2784</v>
      </c>
    </row>
    <row r="3481" spans="1:2" ht="15" hidden="1" x14ac:dyDescent="0.25">
      <c r="A3481" s="426" t="s">
        <v>2785</v>
      </c>
      <c r="B3481" s="426" t="s">
        <v>2785</v>
      </c>
    </row>
    <row r="3482" spans="1:2" ht="15" hidden="1" x14ac:dyDescent="0.25">
      <c r="A3482" s="426" t="s">
        <v>2786</v>
      </c>
      <c r="B3482" s="426" t="s">
        <v>2786</v>
      </c>
    </row>
    <row r="3483" spans="1:2" ht="15" hidden="1" x14ac:dyDescent="0.25">
      <c r="A3483" s="426" t="s">
        <v>2787</v>
      </c>
      <c r="B3483" s="426" t="s">
        <v>2787</v>
      </c>
    </row>
    <row r="3484" spans="1:2" ht="15" hidden="1" x14ac:dyDescent="0.25">
      <c r="A3484" s="426" t="s">
        <v>2788</v>
      </c>
      <c r="B3484" s="426" t="s">
        <v>2788</v>
      </c>
    </row>
    <row r="3485" spans="1:2" ht="15" hidden="1" x14ac:dyDescent="0.25">
      <c r="A3485" s="426" t="s">
        <v>2789</v>
      </c>
      <c r="B3485" s="426" t="s">
        <v>2789</v>
      </c>
    </row>
    <row r="3486" spans="1:2" ht="15" hidden="1" x14ac:dyDescent="0.25">
      <c r="A3486" s="426" t="s">
        <v>2790</v>
      </c>
      <c r="B3486" s="426" t="s">
        <v>2790</v>
      </c>
    </row>
    <row r="3487" spans="1:2" ht="15" hidden="1" x14ac:dyDescent="0.25">
      <c r="A3487" s="426" t="s">
        <v>2791</v>
      </c>
      <c r="B3487" s="426" t="s">
        <v>2791</v>
      </c>
    </row>
    <row r="3488" spans="1:2" ht="15" hidden="1" x14ac:dyDescent="0.25">
      <c r="A3488" s="426" t="s">
        <v>2792</v>
      </c>
      <c r="B3488" s="426" t="s">
        <v>2792</v>
      </c>
    </row>
    <row r="3489" spans="1:2" ht="15" hidden="1" x14ac:dyDescent="0.25">
      <c r="A3489" s="426" t="s">
        <v>2793</v>
      </c>
      <c r="B3489" s="426" t="s">
        <v>2793</v>
      </c>
    </row>
    <row r="3490" spans="1:2" ht="15" hidden="1" x14ac:dyDescent="0.25">
      <c r="A3490" s="426" t="s">
        <v>2794</v>
      </c>
      <c r="B3490" s="426" t="s">
        <v>2794</v>
      </c>
    </row>
    <row r="3491" spans="1:2" ht="15" hidden="1" x14ac:dyDescent="0.25">
      <c r="A3491" s="426" t="s">
        <v>2795</v>
      </c>
      <c r="B3491" s="426" t="s">
        <v>2795</v>
      </c>
    </row>
    <row r="3492" spans="1:2" ht="15" hidden="1" x14ac:dyDescent="0.25">
      <c r="A3492" s="426" t="s">
        <v>2796</v>
      </c>
      <c r="B3492" s="426" t="s">
        <v>2796</v>
      </c>
    </row>
    <row r="3493" spans="1:2" ht="15" hidden="1" x14ac:dyDescent="0.25">
      <c r="A3493" s="426" t="s">
        <v>2797</v>
      </c>
      <c r="B3493" s="426" t="s">
        <v>2797</v>
      </c>
    </row>
    <row r="3494" spans="1:2" ht="15" hidden="1" x14ac:dyDescent="0.25">
      <c r="A3494" s="426" t="s">
        <v>2798</v>
      </c>
      <c r="B3494" s="426" t="s">
        <v>2798</v>
      </c>
    </row>
    <row r="3495" spans="1:2" ht="15" hidden="1" x14ac:dyDescent="0.25">
      <c r="A3495" s="426" t="s">
        <v>2799</v>
      </c>
      <c r="B3495" s="426" t="s">
        <v>2799</v>
      </c>
    </row>
    <row r="3496" spans="1:2" ht="15" hidden="1" x14ac:dyDescent="0.25">
      <c r="A3496" s="426" t="s">
        <v>2799</v>
      </c>
      <c r="B3496" s="426" t="s">
        <v>2799</v>
      </c>
    </row>
    <row r="3497" spans="1:2" ht="15" hidden="1" x14ac:dyDescent="0.25">
      <c r="A3497" s="426" t="s">
        <v>2800</v>
      </c>
      <c r="B3497" s="426" t="s">
        <v>2800</v>
      </c>
    </row>
    <row r="3498" spans="1:2" ht="15" hidden="1" x14ac:dyDescent="0.25">
      <c r="A3498" s="426" t="s">
        <v>2801</v>
      </c>
      <c r="B3498" s="426" t="s">
        <v>2801</v>
      </c>
    </row>
    <row r="3499" spans="1:2" ht="15" hidden="1" x14ac:dyDescent="0.25">
      <c r="A3499" s="426" t="s">
        <v>2802</v>
      </c>
      <c r="B3499" s="426" t="s">
        <v>2802</v>
      </c>
    </row>
    <row r="3500" spans="1:2" ht="15" hidden="1" x14ac:dyDescent="0.25">
      <c r="A3500" s="426" t="s">
        <v>2803</v>
      </c>
      <c r="B3500" s="426" t="s">
        <v>2803</v>
      </c>
    </row>
    <row r="3501" spans="1:2" ht="15" hidden="1" x14ac:dyDescent="0.25">
      <c r="A3501" s="426" t="s">
        <v>2804</v>
      </c>
      <c r="B3501" s="426" t="s">
        <v>2804</v>
      </c>
    </row>
    <row r="3502" spans="1:2" ht="15" hidden="1" x14ac:dyDescent="0.25">
      <c r="A3502" s="426" t="s">
        <v>2805</v>
      </c>
      <c r="B3502" s="426" t="s">
        <v>2805</v>
      </c>
    </row>
    <row r="3503" spans="1:2" ht="15" hidden="1" x14ac:dyDescent="0.25">
      <c r="A3503" s="426" t="s">
        <v>2806</v>
      </c>
      <c r="B3503" s="426" t="s">
        <v>2806</v>
      </c>
    </row>
    <row r="3504" spans="1:2" ht="15" hidden="1" x14ac:dyDescent="0.25">
      <c r="A3504" s="426" t="s">
        <v>2807</v>
      </c>
      <c r="B3504" s="426" t="s">
        <v>2807</v>
      </c>
    </row>
    <row r="3505" spans="1:2" ht="15" hidden="1" x14ac:dyDescent="0.25">
      <c r="A3505" s="426" t="s">
        <v>2808</v>
      </c>
      <c r="B3505" s="426" t="s">
        <v>2808</v>
      </c>
    </row>
    <row r="3506" spans="1:2" ht="15" hidden="1" x14ac:dyDescent="0.25">
      <c r="A3506" s="426" t="s">
        <v>2809</v>
      </c>
      <c r="B3506" s="426" t="s">
        <v>2809</v>
      </c>
    </row>
    <row r="3507" spans="1:2" ht="15" hidden="1" x14ac:dyDescent="0.25">
      <c r="A3507" s="426" t="s">
        <v>2810</v>
      </c>
      <c r="B3507" s="426" t="s">
        <v>2810</v>
      </c>
    </row>
    <row r="3508" spans="1:2" ht="15" hidden="1" x14ac:dyDescent="0.25">
      <c r="A3508" s="426" t="s">
        <v>2811</v>
      </c>
      <c r="B3508" s="426" t="s">
        <v>2811</v>
      </c>
    </row>
    <row r="3509" spans="1:2" ht="15" hidden="1" x14ac:dyDescent="0.25">
      <c r="A3509" s="426" t="s">
        <v>2812</v>
      </c>
      <c r="B3509" s="426" t="s">
        <v>2812</v>
      </c>
    </row>
    <row r="3510" spans="1:2" ht="15" hidden="1" x14ac:dyDescent="0.25">
      <c r="A3510" s="426" t="s">
        <v>2813</v>
      </c>
      <c r="B3510" s="426" t="s">
        <v>2813</v>
      </c>
    </row>
    <row r="3511" spans="1:2" ht="15" hidden="1" x14ac:dyDescent="0.25">
      <c r="A3511" s="426" t="s">
        <v>2814</v>
      </c>
      <c r="B3511" s="426" t="s">
        <v>2814</v>
      </c>
    </row>
    <row r="3512" spans="1:2" ht="15" hidden="1" x14ac:dyDescent="0.25">
      <c r="A3512" s="426" t="s">
        <v>2815</v>
      </c>
      <c r="B3512" s="426" t="s">
        <v>2815</v>
      </c>
    </row>
    <row r="3513" spans="1:2" ht="15" hidden="1" x14ac:dyDescent="0.25">
      <c r="A3513" s="426" t="s">
        <v>2816</v>
      </c>
      <c r="B3513" s="426" t="s">
        <v>2816</v>
      </c>
    </row>
    <row r="3514" spans="1:2" ht="15" hidden="1" x14ac:dyDescent="0.25">
      <c r="A3514" s="426" t="s">
        <v>2817</v>
      </c>
      <c r="B3514" s="426" t="s">
        <v>2817</v>
      </c>
    </row>
    <row r="3515" spans="1:2" ht="15" hidden="1" x14ac:dyDescent="0.25">
      <c r="A3515" s="426" t="s">
        <v>2818</v>
      </c>
      <c r="B3515" s="426" t="s">
        <v>2818</v>
      </c>
    </row>
    <row r="3516" spans="1:2" ht="15" hidden="1" x14ac:dyDescent="0.25">
      <c r="A3516" s="426" t="s">
        <v>2818</v>
      </c>
      <c r="B3516" s="426" t="s">
        <v>2818</v>
      </c>
    </row>
    <row r="3517" spans="1:2" ht="15" hidden="1" x14ac:dyDescent="0.25">
      <c r="A3517" s="426" t="s">
        <v>2819</v>
      </c>
      <c r="B3517" s="426" t="s">
        <v>2819</v>
      </c>
    </row>
    <row r="3518" spans="1:2" ht="15" hidden="1" x14ac:dyDescent="0.25">
      <c r="A3518" s="426" t="s">
        <v>2820</v>
      </c>
      <c r="B3518" s="426" t="s">
        <v>2820</v>
      </c>
    </row>
    <row r="3519" spans="1:2" ht="15" hidden="1" x14ac:dyDescent="0.25">
      <c r="A3519" s="426" t="s">
        <v>2821</v>
      </c>
      <c r="B3519" s="426" t="s">
        <v>2821</v>
      </c>
    </row>
    <row r="3520" spans="1:2" ht="15" hidden="1" x14ac:dyDescent="0.25">
      <c r="A3520" s="426" t="s">
        <v>2822</v>
      </c>
      <c r="B3520" s="426" t="s">
        <v>2822</v>
      </c>
    </row>
    <row r="3521" spans="1:2" ht="15" hidden="1" x14ac:dyDescent="0.25">
      <c r="A3521" s="426" t="s">
        <v>2823</v>
      </c>
      <c r="B3521" s="426" t="s">
        <v>2823</v>
      </c>
    </row>
    <row r="3522" spans="1:2" ht="15" hidden="1" x14ac:dyDescent="0.25">
      <c r="A3522" s="426" t="s">
        <v>2824</v>
      </c>
      <c r="B3522" s="426" t="s">
        <v>2824</v>
      </c>
    </row>
    <row r="3523" spans="1:2" ht="15" hidden="1" x14ac:dyDescent="0.25">
      <c r="A3523" s="426" t="s">
        <v>2825</v>
      </c>
      <c r="B3523" s="426" t="s">
        <v>2825</v>
      </c>
    </row>
    <row r="3524" spans="1:2" ht="15" hidden="1" x14ac:dyDescent="0.25">
      <c r="A3524" s="426" t="s">
        <v>2826</v>
      </c>
      <c r="B3524" s="426" t="s">
        <v>2826</v>
      </c>
    </row>
    <row r="3525" spans="1:2" ht="15" hidden="1" x14ac:dyDescent="0.25">
      <c r="A3525" s="426" t="s">
        <v>2827</v>
      </c>
      <c r="B3525" s="426" t="s">
        <v>2827</v>
      </c>
    </row>
    <row r="3526" spans="1:2" ht="15" hidden="1" x14ac:dyDescent="0.25">
      <c r="A3526" s="426" t="s">
        <v>2828</v>
      </c>
      <c r="B3526" s="426" t="s">
        <v>2828</v>
      </c>
    </row>
    <row r="3527" spans="1:2" ht="15" hidden="1" x14ac:dyDescent="0.25">
      <c r="A3527" s="426" t="s">
        <v>2829</v>
      </c>
      <c r="B3527" s="426" t="s">
        <v>2829</v>
      </c>
    </row>
    <row r="3528" spans="1:2" ht="15" hidden="1" x14ac:dyDescent="0.25">
      <c r="A3528" s="426" t="s">
        <v>2830</v>
      </c>
      <c r="B3528" s="426" t="s">
        <v>2830</v>
      </c>
    </row>
    <row r="3529" spans="1:2" ht="15" hidden="1" x14ac:dyDescent="0.25">
      <c r="A3529" s="426" t="s">
        <v>2831</v>
      </c>
      <c r="B3529" s="426" t="s">
        <v>2831</v>
      </c>
    </row>
    <row r="3530" spans="1:2" ht="15" hidden="1" x14ac:dyDescent="0.25">
      <c r="A3530" s="426" t="s">
        <v>2832</v>
      </c>
      <c r="B3530" s="426" t="s">
        <v>2832</v>
      </c>
    </row>
    <row r="3531" spans="1:2" ht="15" hidden="1" x14ac:dyDescent="0.25">
      <c r="A3531" s="426" t="s">
        <v>2833</v>
      </c>
      <c r="B3531" s="426" t="s">
        <v>2833</v>
      </c>
    </row>
    <row r="3532" spans="1:2" ht="15" hidden="1" x14ac:dyDescent="0.25">
      <c r="A3532" s="426" t="s">
        <v>2834</v>
      </c>
      <c r="B3532" s="426" t="s">
        <v>2834</v>
      </c>
    </row>
    <row r="3533" spans="1:2" ht="15" hidden="1" x14ac:dyDescent="0.25">
      <c r="A3533" s="426" t="s">
        <v>2835</v>
      </c>
      <c r="B3533" s="426" t="s">
        <v>2835</v>
      </c>
    </row>
    <row r="3534" spans="1:2" ht="15" hidden="1" x14ac:dyDescent="0.25">
      <c r="A3534" s="426" t="s">
        <v>2836</v>
      </c>
      <c r="B3534" s="426" t="s">
        <v>2836</v>
      </c>
    </row>
    <row r="3535" spans="1:2" ht="15" hidden="1" x14ac:dyDescent="0.25">
      <c r="A3535" s="426" t="s">
        <v>2837</v>
      </c>
      <c r="B3535" s="426" t="s">
        <v>2837</v>
      </c>
    </row>
    <row r="3536" spans="1:2" ht="15" hidden="1" x14ac:dyDescent="0.25">
      <c r="A3536" s="426" t="s">
        <v>2838</v>
      </c>
      <c r="B3536" s="426" t="s">
        <v>2838</v>
      </c>
    </row>
    <row r="3537" spans="1:2" ht="15" hidden="1" x14ac:dyDescent="0.25">
      <c r="A3537" s="426" t="s">
        <v>2839</v>
      </c>
      <c r="B3537" s="426" t="s">
        <v>2839</v>
      </c>
    </row>
    <row r="3538" spans="1:2" ht="15" hidden="1" x14ac:dyDescent="0.25">
      <c r="A3538" s="426" t="s">
        <v>2840</v>
      </c>
      <c r="B3538" s="426" t="s">
        <v>2840</v>
      </c>
    </row>
    <row r="3539" spans="1:2" ht="15" hidden="1" x14ac:dyDescent="0.25">
      <c r="A3539" s="426" t="s">
        <v>2841</v>
      </c>
      <c r="B3539" s="426" t="s">
        <v>2841</v>
      </c>
    </row>
    <row r="3540" spans="1:2" ht="15" hidden="1" x14ac:dyDescent="0.25">
      <c r="A3540" s="426" t="s">
        <v>2842</v>
      </c>
      <c r="B3540" s="426" t="s">
        <v>2842</v>
      </c>
    </row>
    <row r="3541" spans="1:2" ht="15" hidden="1" x14ac:dyDescent="0.25">
      <c r="A3541" s="426" t="s">
        <v>2843</v>
      </c>
      <c r="B3541" s="426" t="s">
        <v>2843</v>
      </c>
    </row>
    <row r="3542" spans="1:2" ht="15" hidden="1" x14ac:dyDescent="0.25">
      <c r="A3542" s="426" t="s">
        <v>2844</v>
      </c>
      <c r="B3542" s="426" t="s">
        <v>2844</v>
      </c>
    </row>
    <row r="3543" spans="1:2" ht="15" hidden="1" x14ac:dyDescent="0.25">
      <c r="A3543" s="426" t="s">
        <v>2845</v>
      </c>
      <c r="B3543" s="426" t="s">
        <v>2845</v>
      </c>
    </row>
    <row r="3544" spans="1:2" ht="15" hidden="1" x14ac:dyDescent="0.25">
      <c r="A3544" s="426" t="s">
        <v>2846</v>
      </c>
      <c r="B3544" s="426" t="s">
        <v>2846</v>
      </c>
    </row>
    <row r="3545" spans="1:2" ht="15" hidden="1" x14ac:dyDescent="0.25">
      <c r="A3545" s="426" t="s">
        <v>2847</v>
      </c>
      <c r="B3545" s="426" t="s">
        <v>2847</v>
      </c>
    </row>
    <row r="3546" spans="1:2" ht="15" hidden="1" x14ac:dyDescent="0.25">
      <c r="A3546" s="426" t="s">
        <v>2848</v>
      </c>
      <c r="B3546" s="426" t="s">
        <v>2848</v>
      </c>
    </row>
    <row r="3547" spans="1:2" ht="15" hidden="1" x14ac:dyDescent="0.25">
      <c r="A3547" s="426" t="s">
        <v>2849</v>
      </c>
      <c r="B3547" s="426" t="s">
        <v>2849</v>
      </c>
    </row>
    <row r="3548" spans="1:2" ht="15" hidden="1" x14ac:dyDescent="0.25">
      <c r="A3548" s="426" t="s">
        <v>2850</v>
      </c>
      <c r="B3548" s="426" t="s">
        <v>2850</v>
      </c>
    </row>
    <row r="3549" spans="1:2" ht="15" hidden="1" x14ac:dyDescent="0.25">
      <c r="A3549" s="426" t="s">
        <v>2851</v>
      </c>
      <c r="B3549" s="426" t="s">
        <v>2852</v>
      </c>
    </row>
    <row r="3550" spans="1:2" ht="15" hidden="1" x14ac:dyDescent="0.25">
      <c r="A3550" s="426" t="s">
        <v>2853</v>
      </c>
      <c r="B3550" s="426" t="s">
        <v>2854</v>
      </c>
    </row>
    <row r="3551" spans="1:2" ht="15" hidden="1" x14ac:dyDescent="0.25">
      <c r="A3551" s="426" t="s">
        <v>2853</v>
      </c>
      <c r="B3551" s="426" t="s">
        <v>2854</v>
      </c>
    </row>
    <row r="3552" spans="1:2" ht="15" hidden="1" x14ac:dyDescent="0.25">
      <c r="A3552" s="426" t="s">
        <v>2855</v>
      </c>
      <c r="B3552" s="426" t="s">
        <v>2856</v>
      </c>
    </row>
    <row r="3553" spans="1:2" ht="15" hidden="1" x14ac:dyDescent="0.25">
      <c r="A3553" s="426" t="s">
        <v>2855</v>
      </c>
      <c r="B3553" s="426" t="s">
        <v>2856</v>
      </c>
    </row>
    <row r="3554" spans="1:2" ht="15" hidden="1" x14ac:dyDescent="0.25">
      <c r="A3554" s="426" t="s">
        <v>2857</v>
      </c>
      <c r="B3554" s="426" t="s">
        <v>2858</v>
      </c>
    </row>
    <row r="3555" spans="1:2" ht="15" hidden="1" x14ac:dyDescent="0.25">
      <c r="A3555" s="426" t="s">
        <v>2857</v>
      </c>
      <c r="B3555" s="426" t="s">
        <v>2858</v>
      </c>
    </row>
    <row r="3556" spans="1:2" ht="15" hidden="1" x14ac:dyDescent="0.25">
      <c r="A3556" s="426" t="s">
        <v>2859</v>
      </c>
      <c r="B3556" s="426" t="s">
        <v>2860</v>
      </c>
    </row>
    <row r="3557" spans="1:2" ht="15" hidden="1" x14ac:dyDescent="0.25">
      <c r="A3557" s="426" t="s">
        <v>2861</v>
      </c>
      <c r="B3557" s="426" t="s">
        <v>2862</v>
      </c>
    </row>
    <row r="3558" spans="1:2" ht="15" hidden="1" x14ac:dyDescent="0.25">
      <c r="A3558" s="426" t="s">
        <v>2863</v>
      </c>
      <c r="B3558" s="426" t="s">
        <v>2864</v>
      </c>
    </row>
    <row r="3559" spans="1:2" ht="15" hidden="1" x14ac:dyDescent="0.25">
      <c r="A3559" s="426" t="s">
        <v>623</v>
      </c>
      <c r="B3559" s="426" t="s">
        <v>624</v>
      </c>
    </row>
    <row r="3560" spans="1:2" ht="15" hidden="1" x14ac:dyDescent="0.25">
      <c r="A3560" s="426" t="s">
        <v>2865</v>
      </c>
      <c r="B3560" s="426" t="s">
        <v>2866</v>
      </c>
    </row>
    <row r="3561" spans="1:2" ht="15" hidden="1" x14ac:dyDescent="0.25">
      <c r="A3561" s="426" t="s">
        <v>2865</v>
      </c>
      <c r="B3561" s="426" t="s">
        <v>2866</v>
      </c>
    </row>
    <row r="3562" spans="1:2" ht="15" hidden="1" x14ac:dyDescent="0.25">
      <c r="A3562" s="426" t="s">
        <v>2867</v>
      </c>
      <c r="B3562" s="426" t="s">
        <v>2868</v>
      </c>
    </row>
    <row r="3563" spans="1:2" ht="15" hidden="1" x14ac:dyDescent="0.25">
      <c r="A3563" s="426" t="s">
        <v>2867</v>
      </c>
      <c r="B3563" s="426" t="s">
        <v>2868</v>
      </c>
    </row>
    <row r="3564" spans="1:2" ht="15" hidden="1" x14ac:dyDescent="0.25">
      <c r="A3564" s="426" t="s">
        <v>2867</v>
      </c>
      <c r="B3564" s="426" t="s">
        <v>2868</v>
      </c>
    </row>
    <row r="3565" spans="1:2" ht="15" hidden="1" x14ac:dyDescent="0.25">
      <c r="A3565" s="426" t="s">
        <v>207</v>
      </c>
      <c r="B3565" s="426" t="s">
        <v>355</v>
      </c>
    </row>
    <row r="3566" spans="1:2" ht="15" hidden="1" x14ac:dyDescent="0.25">
      <c r="A3566" s="426" t="s">
        <v>1659</v>
      </c>
      <c r="B3566" s="426" t="s">
        <v>1660</v>
      </c>
    </row>
    <row r="3567" spans="1:2" ht="15" hidden="1" x14ac:dyDescent="0.25">
      <c r="A3567" s="426" t="s">
        <v>2869</v>
      </c>
      <c r="B3567" s="426" t="s">
        <v>2870</v>
      </c>
    </row>
    <row r="3568" spans="1:2" ht="15" hidden="1" x14ac:dyDescent="0.25">
      <c r="A3568" s="426" t="s">
        <v>2871</v>
      </c>
      <c r="B3568" s="426" t="s">
        <v>2872</v>
      </c>
    </row>
    <row r="3569" spans="1:2" ht="15" hidden="1" x14ac:dyDescent="0.25">
      <c r="A3569" s="426" t="s">
        <v>2873</v>
      </c>
      <c r="B3569" s="426" t="s">
        <v>2874</v>
      </c>
    </row>
    <row r="3570" spans="1:2" ht="15" hidden="1" x14ac:dyDescent="0.25">
      <c r="A3570" s="426" t="s">
        <v>2875</v>
      </c>
      <c r="B3570" s="426" t="s">
        <v>2876</v>
      </c>
    </row>
    <row r="3571" spans="1:2" ht="15" hidden="1" x14ac:dyDescent="0.25">
      <c r="A3571" s="426" t="s">
        <v>2877</v>
      </c>
      <c r="B3571" s="426" t="s">
        <v>2878</v>
      </c>
    </row>
    <row r="3572" spans="1:2" ht="15" hidden="1" x14ac:dyDescent="0.25">
      <c r="A3572" s="426" t="s">
        <v>2877</v>
      </c>
      <c r="B3572" s="426" t="s">
        <v>2878</v>
      </c>
    </row>
    <row r="3573" spans="1:2" ht="15" hidden="1" x14ac:dyDescent="0.25">
      <c r="A3573" s="426" t="s">
        <v>2877</v>
      </c>
      <c r="B3573" s="426" t="s">
        <v>2878</v>
      </c>
    </row>
    <row r="3574" spans="1:2" ht="15" hidden="1" x14ac:dyDescent="0.25">
      <c r="A3574" s="426" t="s">
        <v>2879</v>
      </c>
      <c r="B3574" s="426" t="s">
        <v>2880</v>
      </c>
    </row>
    <row r="3575" spans="1:2" ht="15" hidden="1" x14ac:dyDescent="0.25">
      <c r="A3575" s="426" t="s">
        <v>2881</v>
      </c>
      <c r="B3575" s="426" t="s">
        <v>2882</v>
      </c>
    </row>
    <row r="3576" spans="1:2" ht="15" hidden="1" x14ac:dyDescent="0.25">
      <c r="A3576" s="426" t="s">
        <v>2881</v>
      </c>
      <c r="B3576" s="426" t="s">
        <v>2882</v>
      </c>
    </row>
    <row r="3577" spans="1:2" ht="15" hidden="1" x14ac:dyDescent="0.25">
      <c r="A3577" s="426" t="s">
        <v>2881</v>
      </c>
      <c r="B3577" s="426" t="s">
        <v>2882</v>
      </c>
    </row>
    <row r="3578" spans="1:2" ht="15" hidden="1" x14ac:dyDescent="0.25">
      <c r="A3578" s="426" t="s">
        <v>2883</v>
      </c>
      <c r="B3578" s="426" t="s">
        <v>2884</v>
      </c>
    </row>
    <row r="3579" spans="1:2" ht="15" hidden="1" x14ac:dyDescent="0.25">
      <c r="A3579" s="426" t="s">
        <v>2883</v>
      </c>
      <c r="B3579" s="426" t="s">
        <v>2884</v>
      </c>
    </row>
    <row r="3580" spans="1:2" ht="15" hidden="1" x14ac:dyDescent="0.25">
      <c r="A3580" s="426" t="s">
        <v>2883</v>
      </c>
      <c r="B3580" s="426" t="s">
        <v>2884</v>
      </c>
    </row>
    <row r="3581" spans="1:2" ht="15" hidden="1" x14ac:dyDescent="0.25">
      <c r="A3581" s="426" t="s">
        <v>2885</v>
      </c>
      <c r="B3581" s="426" t="s">
        <v>2886</v>
      </c>
    </row>
    <row r="3582" spans="1:2" ht="15" hidden="1" x14ac:dyDescent="0.25">
      <c r="A3582" s="426" t="s">
        <v>222</v>
      </c>
      <c r="B3582" s="426" t="s">
        <v>366</v>
      </c>
    </row>
    <row r="3583" spans="1:2" ht="15" hidden="1" x14ac:dyDescent="0.25">
      <c r="A3583" s="426" t="s">
        <v>2887</v>
      </c>
      <c r="B3583" s="426" t="s">
        <v>2888</v>
      </c>
    </row>
    <row r="3584" spans="1:2" ht="15" hidden="1" x14ac:dyDescent="0.25">
      <c r="A3584" s="426" t="s">
        <v>2887</v>
      </c>
      <c r="B3584" s="426" t="s">
        <v>2888</v>
      </c>
    </row>
    <row r="3585" spans="1:2" ht="15" hidden="1" x14ac:dyDescent="0.25">
      <c r="A3585" s="426" t="s">
        <v>2889</v>
      </c>
      <c r="B3585" s="426" t="s">
        <v>2890</v>
      </c>
    </row>
    <row r="3586" spans="1:2" ht="15" hidden="1" x14ac:dyDescent="0.25">
      <c r="A3586" s="426" t="s">
        <v>2891</v>
      </c>
      <c r="B3586" s="426" t="s">
        <v>2892</v>
      </c>
    </row>
    <row r="3587" spans="1:2" ht="15" hidden="1" x14ac:dyDescent="0.25">
      <c r="A3587" s="426" t="s">
        <v>2891</v>
      </c>
      <c r="B3587" s="426" t="s">
        <v>2892</v>
      </c>
    </row>
    <row r="3588" spans="1:2" ht="15" hidden="1" x14ac:dyDescent="0.25">
      <c r="A3588" s="426" t="s">
        <v>2891</v>
      </c>
      <c r="B3588" s="426" t="s">
        <v>2892</v>
      </c>
    </row>
    <row r="3589" spans="1:2" ht="15" hidden="1" x14ac:dyDescent="0.25">
      <c r="A3589" s="426" t="s">
        <v>2893</v>
      </c>
      <c r="B3589" s="426" t="s">
        <v>2894</v>
      </c>
    </row>
    <row r="3590" spans="1:2" ht="15" hidden="1" x14ac:dyDescent="0.25">
      <c r="A3590" s="426" t="s">
        <v>2895</v>
      </c>
      <c r="B3590" s="426" t="s">
        <v>2896</v>
      </c>
    </row>
    <row r="3591" spans="1:2" ht="15" hidden="1" x14ac:dyDescent="0.25">
      <c r="A3591" s="426" t="s">
        <v>2895</v>
      </c>
      <c r="B3591" s="426" t="s">
        <v>2896</v>
      </c>
    </row>
    <row r="3592" spans="1:2" ht="15" hidden="1" x14ac:dyDescent="0.25">
      <c r="A3592" s="426" t="s">
        <v>2895</v>
      </c>
      <c r="B3592" s="426" t="s">
        <v>2896</v>
      </c>
    </row>
    <row r="3593" spans="1:2" ht="15" hidden="1" x14ac:dyDescent="0.25">
      <c r="A3593" s="426" t="s">
        <v>2897</v>
      </c>
      <c r="B3593" s="426" t="s">
        <v>2898</v>
      </c>
    </row>
    <row r="3594" spans="1:2" ht="15" hidden="1" x14ac:dyDescent="0.25">
      <c r="A3594" s="426" t="s">
        <v>2899</v>
      </c>
      <c r="B3594" s="426" t="s">
        <v>2900</v>
      </c>
    </row>
    <row r="3595" spans="1:2" ht="15" hidden="1" x14ac:dyDescent="0.25">
      <c r="A3595" s="426" t="s">
        <v>1681</v>
      </c>
      <c r="B3595" s="426" t="s">
        <v>2901</v>
      </c>
    </row>
    <row r="3596" spans="1:2" ht="15" hidden="1" x14ac:dyDescent="0.25">
      <c r="A3596" s="426" t="s">
        <v>2902</v>
      </c>
      <c r="B3596" s="426" t="s">
        <v>2903</v>
      </c>
    </row>
    <row r="3597" spans="1:2" ht="15" hidden="1" x14ac:dyDescent="0.25">
      <c r="A3597" s="426" t="s">
        <v>2904</v>
      </c>
      <c r="B3597" s="426" t="s">
        <v>2905</v>
      </c>
    </row>
    <row r="3598" spans="1:2" ht="15" hidden="1" x14ac:dyDescent="0.25">
      <c r="A3598" s="426" t="s">
        <v>1685</v>
      </c>
      <c r="B3598" s="426" t="s">
        <v>1686</v>
      </c>
    </row>
    <row r="3599" spans="1:2" ht="15" hidden="1" x14ac:dyDescent="0.25">
      <c r="A3599" s="426" t="s">
        <v>2906</v>
      </c>
      <c r="B3599" s="426" t="s">
        <v>2907</v>
      </c>
    </row>
    <row r="3600" spans="1:2" ht="15" hidden="1" x14ac:dyDescent="0.25">
      <c r="A3600" s="426" t="s">
        <v>2908</v>
      </c>
      <c r="B3600" s="426" t="s">
        <v>2909</v>
      </c>
    </row>
    <row r="3601" spans="1:2" ht="15" hidden="1" x14ac:dyDescent="0.25">
      <c r="A3601" s="426" t="s">
        <v>2910</v>
      </c>
      <c r="B3601" s="426" t="s">
        <v>2911</v>
      </c>
    </row>
    <row r="3602" spans="1:2" ht="15" hidden="1" x14ac:dyDescent="0.25">
      <c r="A3602" s="426" t="s">
        <v>1695</v>
      </c>
      <c r="B3602" s="426" t="s">
        <v>1696</v>
      </c>
    </row>
    <row r="3603" spans="1:2" ht="15" hidden="1" x14ac:dyDescent="0.25">
      <c r="A3603" s="426" t="s">
        <v>2912</v>
      </c>
      <c r="B3603" s="426" t="s">
        <v>2913</v>
      </c>
    </row>
    <row r="3604" spans="1:2" ht="15" hidden="1" x14ac:dyDescent="0.25">
      <c r="A3604" s="426" t="s">
        <v>2912</v>
      </c>
      <c r="B3604" s="426" t="s">
        <v>2913</v>
      </c>
    </row>
    <row r="3605" spans="1:2" ht="15" hidden="1" x14ac:dyDescent="0.25">
      <c r="A3605" s="426" t="s">
        <v>2914</v>
      </c>
      <c r="B3605" s="426" t="s">
        <v>2915</v>
      </c>
    </row>
    <row r="3606" spans="1:2" ht="15" hidden="1" x14ac:dyDescent="0.25">
      <c r="A3606" s="426" t="s">
        <v>2916</v>
      </c>
      <c r="B3606" s="426" t="s">
        <v>2917</v>
      </c>
    </row>
    <row r="3607" spans="1:2" ht="15" hidden="1" x14ac:dyDescent="0.25">
      <c r="A3607" s="426" t="s">
        <v>2916</v>
      </c>
      <c r="B3607" s="426" t="s">
        <v>2917</v>
      </c>
    </row>
    <row r="3608" spans="1:2" ht="15" hidden="1" x14ac:dyDescent="0.25">
      <c r="A3608" s="426" t="s">
        <v>2916</v>
      </c>
      <c r="B3608" s="426" t="s">
        <v>2917</v>
      </c>
    </row>
    <row r="3609" spans="1:2" ht="15" hidden="1" x14ac:dyDescent="0.25">
      <c r="A3609" s="426" t="s">
        <v>2916</v>
      </c>
      <c r="B3609" s="426" t="s">
        <v>2917</v>
      </c>
    </row>
    <row r="3610" spans="1:2" ht="15" hidden="1" x14ac:dyDescent="0.25">
      <c r="A3610" s="426" t="s">
        <v>2916</v>
      </c>
      <c r="B3610" s="426" t="s">
        <v>2917</v>
      </c>
    </row>
    <row r="3611" spans="1:2" ht="15" hidden="1" x14ac:dyDescent="0.25">
      <c r="A3611" s="426" t="s">
        <v>2916</v>
      </c>
      <c r="B3611" s="426" t="s">
        <v>2917</v>
      </c>
    </row>
    <row r="3612" spans="1:2" ht="15" hidden="1" x14ac:dyDescent="0.25">
      <c r="A3612" s="426" t="s">
        <v>2916</v>
      </c>
      <c r="B3612" s="426" t="s">
        <v>2917</v>
      </c>
    </row>
    <row r="3613" spans="1:2" ht="15" hidden="1" x14ac:dyDescent="0.25">
      <c r="A3613" s="426" t="s">
        <v>2918</v>
      </c>
      <c r="B3613" s="426" t="s">
        <v>2919</v>
      </c>
    </row>
    <row r="3614" spans="1:2" ht="15" hidden="1" x14ac:dyDescent="0.25">
      <c r="A3614" s="426" t="s">
        <v>2920</v>
      </c>
      <c r="B3614" s="426" t="s">
        <v>2921</v>
      </c>
    </row>
    <row r="3615" spans="1:2" ht="15" hidden="1" x14ac:dyDescent="0.25">
      <c r="A3615" s="426" t="s">
        <v>2922</v>
      </c>
      <c r="B3615" s="426" t="s">
        <v>2923</v>
      </c>
    </row>
    <row r="3616" spans="1:2" ht="15" hidden="1" x14ac:dyDescent="0.25">
      <c r="A3616" s="426" t="s">
        <v>2922</v>
      </c>
      <c r="B3616" s="426" t="s">
        <v>2923</v>
      </c>
    </row>
    <row r="3617" spans="1:2" ht="15" hidden="1" x14ac:dyDescent="0.25">
      <c r="A3617" s="426" t="s">
        <v>2924</v>
      </c>
      <c r="B3617" s="426" t="s">
        <v>2925</v>
      </c>
    </row>
    <row r="3618" spans="1:2" ht="15" hidden="1" x14ac:dyDescent="0.25">
      <c r="A3618" s="426" t="s">
        <v>2924</v>
      </c>
      <c r="B3618" s="426" t="s">
        <v>2925</v>
      </c>
    </row>
    <row r="3619" spans="1:2" ht="15" hidden="1" x14ac:dyDescent="0.25">
      <c r="A3619" s="426" t="s">
        <v>192</v>
      </c>
      <c r="B3619" s="426" t="s">
        <v>388</v>
      </c>
    </row>
    <row r="3620" spans="1:2" ht="15" hidden="1" x14ac:dyDescent="0.25">
      <c r="A3620" s="426" t="s">
        <v>2926</v>
      </c>
      <c r="B3620" s="426" t="s">
        <v>2927</v>
      </c>
    </row>
    <row r="3621" spans="1:2" ht="15" hidden="1" x14ac:dyDescent="0.25">
      <c r="A3621" s="426" t="s">
        <v>2928</v>
      </c>
      <c r="B3621" s="426" t="s">
        <v>2929</v>
      </c>
    </row>
    <row r="3622" spans="1:2" ht="15" hidden="1" x14ac:dyDescent="0.25">
      <c r="A3622" s="426" t="s">
        <v>2930</v>
      </c>
      <c r="B3622" s="426" t="s">
        <v>2931</v>
      </c>
    </row>
    <row r="3623" spans="1:2" ht="15" hidden="1" x14ac:dyDescent="0.25">
      <c r="A3623" s="426" t="s">
        <v>2932</v>
      </c>
      <c r="B3623" s="426" t="s">
        <v>2933</v>
      </c>
    </row>
    <row r="3624" spans="1:2" ht="15" hidden="1" x14ac:dyDescent="0.25">
      <c r="A3624" s="426" t="s">
        <v>2934</v>
      </c>
      <c r="B3624" s="426" t="s">
        <v>2935</v>
      </c>
    </row>
    <row r="3625" spans="1:2" ht="15" hidden="1" x14ac:dyDescent="0.25">
      <c r="A3625" s="426" t="s">
        <v>2934</v>
      </c>
      <c r="B3625" s="426" t="s">
        <v>2935</v>
      </c>
    </row>
    <row r="3626" spans="1:2" ht="15" hidden="1" x14ac:dyDescent="0.25">
      <c r="A3626" s="426" t="s">
        <v>2936</v>
      </c>
      <c r="B3626" s="426" t="s">
        <v>2937</v>
      </c>
    </row>
    <row r="3627" spans="1:2" ht="15" hidden="1" x14ac:dyDescent="0.25">
      <c r="A3627" s="426" t="s">
        <v>2938</v>
      </c>
      <c r="B3627" s="426" t="s">
        <v>2939</v>
      </c>
    </row>
    <row r="3628" spans="1:2" ht="15" hidden="1" x14ac:dyDescent="0.25">
      <c r="A3628" s="426" t="s">
        <v>2940</v>
      </c>
      <c r="B3628" s="426" t="s">
        <v>2941</v>
      </c>
    </row>
    <row r="3629" spans="1:2" ht="15" hidden="1" x14ac:dyDescent="0.25">
      <c r="A3629" s="426" t="s">
        <v>1219</v>
      </c>
      <c r="B3629" s="426" t="s">
        <v>1220</v>
      </c>
    </row>
    <row r="3630" spans="1:2" ht="15" hidden="1" x14ac:dyDescent="0.25">
      <c r="A3630" s="426" t="s">
        <v>2942</v>
      </c>
      <c r="B3630" s="426" t="s">
        <v>2943</v>
      </c>
    </row>
    <row r="3631" spans="1:2" ht="15" hidden="1" x14ac:dyDescent="0.25">
      <c r="A3631" s="426" t="s">
        <v>2944</v>
      </c>
      <c r="B3631" s="426" t="s">
        <v>2945</v>
      </c>
    </row>
    <row r="3632" spans="1:2" ht="15" hidden="1" x14ac:dyDescent="0.25">
      <c r="A3632" s="426" t="s">
        <v>2944</v>
      </c>
      <c r="B3632" s="426" t="s">
        <v>2945</v>
      </c>
    </row>
    <row r="3633" spans="1:2" ht="15" hidden="1" x14ac:dyDescent="0.25">
      <c r="A3633" s="426" t="s">
        <v>2944</v>
      </c>
      <c r="B3633" s="426" t="s">
        <v>2945</v>
      </c>
    </row>
    <row r="3634" spans="1:2" ht="15" hidden="1" x14ac:dyDescent="0.25">
      <c r="A3634" s="426" t="s">
        <v>2946</v>
      </c>
      <c r="B3634" s="426" t="s">
        <v>2947</v>
      </c>
    </row>
    <row r="3635" spans="1:2" ht="15" hidden="1" x14ac:dyDescent="0.25">
      <c r="A3635" s="426" t="s">
        <v>2948</v>
      </c>
      <c r="B3635" s="426" t="s">
        <v>2949</v>
      </c>
    </row>
    <row r="3636" spans="1:2" ht="15" hidden="1" x14ac:dyDescent="0.25">
      <c r="A3636" s="426" t="s">
        <v>2948</v>
      </c>
      <c r="B3636" s="426" t="s">
        <v>2949</v>
      </c>
    </row>
    <row r="3637" spans="1:2" ht="15" hidden="1" x14ac:dyDescent="0.25">
      <c r="A3637" s="426" t="s">
        <v>2950</v>
      </c>
      <c r="B3637" s="426" t="s">
        <v>2951</v>
      </c>
    </row>
    <row r="3638" spans="1:2" ht="15" hidden="1" x14ac:dyDescent="0.25">
      <c r="A3638" s="426" t="s">
        <v>2950</v>
      </c>
      <c r="B3638" s="426" t="s">
        <v>2951</v>
      </c>
    </row>
    <row r="3639" spans="1:2" ht="15" hidden="1" x14ac:dyDescent="0.25">
      <c r="A3639" s="426" t="s">
        <v>2952</v>
      </c>
      <c r="B3639" s="426" t="s">
        <v>2953</v>
      </c>
    </row>
    <row r="3640" spans="1:2" ht="15" hidden="1" x14ac:dyDescent="0.25">
      <c r="A3640" s="426" t="s">
        <v>2954</v>
      </c>
      <c r="B3640" s="426" t="s">
        <v>2955</v>
      </c>
    </row>
    <row r="3641" spans="1:2" ht="15" hidden="1" x14ac:dyDescent="0.25">
      <c r="A3641" s="426" t="s">
        <v>2956</v>
      </c>
      <c r="B3641" s="426" t="s">
        <v>2957</v>
      </c>
    </row>
    <row r="3642" spans="1:2" ht="15" hidden="1" x14ac:dyDescent="0.25">
      <c r="A3642" s="426" t="s">
        <v>2958</v>
      </c>
      <c r="B3642" s="426" t="s">
        <v>2959</v>
      </c>
    </row>
    <row r="3643" spans="1:2" ht="15" hidden="1" x14ac:dyDescent="0.25">
      <c r="A3643" s="426" t="s">
        <v>2958</v>
      </c>
      <c r="B3643" s="426" t="s">
        <v>2959</v>
      </c>
    </row>
    <row r="3644" spans="1:2" ht="15" hidden="1" x14ac:dyDescent="0.25">
      <c r="A3644" s="426" t="s">
        <v>2960</v>
      </c>
      <c r="B3644" s="426" t="s">
        <v>2961</v>
      </c>
    </row>
    <row r="3645" spans="1:2" ht="15" hidden="1" x14ac:dyDescent="0.25">
      <c r="A3645" s="426" t="s">
        <v>2962</v>
      </c>
      <c r="B3645" s="426" t="s">
        <v>2963</v>
      </c>
    </row>
    <row r="3646" spans="1:2" ht="15" hidden="1" x14ac:dyDescent="0.25">
      <c r="A3646" s="426" t="s">
        <v>208</v>
      </c>
      <c r="B3646" s="426" t="s">
        <v>309</v>
      </c>
    </row>
    <row r="3647" spans="1:2" ht="15" hidden="1" x14ac:dyDescent="0.25">
      <c r="A3647" s="426" t="s">
        <v>208</v>
      </c>
      <c r="B3647" s="426" t="s">
        <v>309</v>
      </c>
    </row>
    <row r="3648" spans="1:2" ht="15" hidden="1" x14ac:dyDescent="0.25">
      <c r="A3648" s="426" t="s">
        <v>208</v>
      </c>
      <c r="B3648" s="426" t="s">
        <v>309</v>
      </c>
    </row>
    <row r="3649" spans="1:2" ht="15" hidden="1" x14ac:dyDescent="0.25">
      <c r="A3649" s="426" t="s">
        <v>208</v>
      </c>
      <c r="B3649" s="426" t="s">
        <v>309</v>
      </c>
    </row>
    <row r="3650" spans="1:2" ht="15" hidden="1" x14ac:dyDescent="0.25">
      <c r="A3650" s="426" t="s">
        <v>208</v>
      </c>
      <c r="B3650" s="426" t="s">
        <v>309</v>
      </c>
    </row>
    <row r="3651" spans="1:2" ht="15" hidden="1" x14ac:dyDescent="0.25">
      <c r="A3651" s="426" t="s">
        <v>208</v>
      </c>
      <c r="B3651" s="426" t="s">
        <v>309</v>
      </c>
    </row>
    <row r="3652" spans="1:2" ht="15" hidden="1" x14ac:dyDescent="0.25">
      <c r="A3652" s="426" t="s">
        <v>2035</v>
      </c>
      <c r="B3652" s="426" t="s">
        <v>2036</v>
      </c>
    </row>
    <row r="3653" spans="1:2" ht="15" hidden="1" x14ac:dyDescent="0.25">
      <c r="A3653" s="426" t="s">
        <v>395</v>
      </c>
      <c r="B3653" s="426" t="s">
        <v>396</v>
      </c>
    </row>
    <row r="3654" spans="1:2" ht="15" hidden="1" x14ac:dyDescent="0.25">
      <c r="A3654" s="426" t="s">
        <v>395</v>
      </c>
      <c r="B3654" s="426" t="s">
        <v>396</v>
      </c>
    </row>
    <row r="3655" spans="1:2" ht="15" hidden="1" x14ac:dyDescent="0.25">
      <c r="A3655" s="426" t="s">
        <v>395</v>
      </c>
      <c r="B3655" s="426" t="s">
        <v>396</v>
      </c>
    </row>
    <row r="3656" spans="1:2" ht="15" hidden="1" x14ac:dyDescent="0.25">
      <c r="A3656" s="426" t="s">
        <v>182</v>
      </c>
      <c r="B3656" s="426" t="s">
        <v>315</v>
      </c>
    </row>
    <row r="3657" spans="1:2" ht="15" hidden="1" x14ac:dyDescent="0.25">
      <c r="A3657" s="426" t="s">
        <v>182</v>
      </c>
      <c r="B3657" s="426" t="s">
        <v>315</v>
      </c>
    </row>
    <row r="3658" spans="1:2" ht="15" hidden="1" x14ac:dyDescent="0.25">
      <c r="A3658" s="426" t="s">
        <v>182</v>
      </c>
      <c r="B3658" s="426" t="s">
        <v>315</v>
      </c>
    </row>
    <row r="3659" spans="1:2" ht="15" hidden="1" x14ac:dyDescent="0.25">
      <c r="A3659" s="426" t="s">
        <v>182</v>
      </c>
      <c r="B3659" s="426" t="s">
        <v>315</v>
      </c>
    </row>
    <row r="3660" spans="1:2" ht="15" hidden="1" x14ac:dyDescent="0.25">
      <c r="A3660" s="426" t="s">
        <v>182</v>
      </c>
      <c r="B3660" s="426" t="s">
        <v>315</v>
      </c>
    </row>
    <row r="3661" spans="1:2" ht="15" hidden="1" x14ac:dyDescent="0.25">
      <c r="A3661" s="426" t="s">
        <v>182</v>
      </c>
      <c r="B3661" s="426" t="s">
        <v>315</v>
      </c>
    </row>
    <row r="3662" spans="1:2" ht="15" hidden="1" x14ac:dyDescent="0.25">
      <c r="A3662" s="426" t="s">
        <v>182</v>
      </c>
      <c r="B3662" s="426" t="s">
        <v>315</v>
      </c>
    </row>
    <row r="3663" spans="1:2" ht="15" hidden="1" x14ac:dyDescent="0.25">
      <c r="A3663" s="426" t="s">
        <v>182</v>
      </c>
      <c r="B3663" s="426" t="s">
        <v>315</v>
      </c>
    </row>
    <row r="3664" spans="1:2" ht="15" hidden="1" x14ac:dyDescent="0.25">
      <c r="A3664" s="426" t="s">
        <v>182</v>
      </c>
      <c r="B3664" s="426" t="s">
        <v>315</v>
      </c>
    </row>
    <row r="3665" spans="1:2" ht="15" hidden="1" x14ac:dyDescent="0.25">
      <c r="A3665" s="426" t="s">
        <v>182</v>
      </c>
      <c r="B3665" s="426" t="s">
        <v>315</v>
      </c>
    </row>
    <row r="3666" spans="1:2" ht="15" hidden="1" x14ac:dyDescent="0.25">
      <c r="A3666" s="426" t="s">
        <v>182</v>
      </c>
      <c r="B3666" s="426" t="s">
        <v>315</v>
      </c>
    </row>
    <row r="3667" spans="1:2" ht="15" hidden="1" x14ac:dyDescent="0.25">
      <c r="A3667" s="426" t="s">
        <v>182</v>
      </c>
      <c r="B3667" s="426" t="s">
        <v>315</v>
      </c>
    </row>
    <row r="3668" spans="1:2" ht="15" hidden="1" x14ac:dyDescent="0.25">
      <c r="A3668" s="426" t="s">
        <v>182</v>
      </c>
      <c r="B3668" s="426" t="s">
        <v>315</v>
      </c>
    </row>
    <row r="3669" spans="1:2" ht="15" hidden="1" x14ac:dyDescent="0.25">
      <c r="A3669" s="426" t="s">
        <v>182</v>
      </c>
      <c r="B3669" s="426" t="s">
        <v>315</v>
      </c>
    </row>
    <row r="3670" spans="1:2" ht="15" hidden="1" x14ac:dyDescent="0.25">
      <c r="A3670" s="426" t="s">
        <v>182</v>
      </c>
      <c r="B3670" s="426" t="s">
        <v>315</v>
      </c>
    </row>
    <row r="3671" spans="1:2" ht="15" hidden="1" x14ac:dyDescent="0.25">
      <c r="A3671" s="426" t="s">
        <v>182</v>
      </c>
      <c r="B3671" s="426" t="s">
        <v>315</v>
      </c>
    </row>
    <row r="3672" spans="1:2" ht="15" hidden="1" x14ac:dyDescent="0.25">
      <c r="A3672" s="426" t="s">
        <v>182</v>
      </c>
      <c r="B3672" s="426" t="s">
        <v>315</v>
      </c>
    </row>
    <row r="3673" spans="1:2" ht="15" hidden="1" x14ac:dyDescent="0.25">
      <c r="A3673" s="426" t="s">
        <v>182</v>
      </c>
      <c r="B3673" s="426" t="s">
        <v>315</v>
      </c>
    </row>
    <row r="3674" spans="1:2" ht="15" hidden="1" x14ac:dyDescent="0.25">
      <c r="A3674" s="426" t="s">
        <v>182</v>
      </c>
      <c r="B3674" s="426" t="s">
        <v>315</v>
      </c>
    </row>
    <row r="3675" spans="1:2" ht="15" hidden="1" x14ac:dyDescent="0.25">
      <c r="A3675" s="426" t="s">
        <v>182</v>
      </c>
      <c r="B3675" s="426" t="s">
        <v>315</v>
      </c>
    </row>
    <row r="3676" spans="1:2" ht="15" hidden="1" x14ac:dyDescent="0.25">
      <c r="A3676" s="426" t="s">
        <v>182</v>
      </c>
      <c r="B3676" s="426" t="s">
        <v>315</v>
      </c>
    </row>
    <row r="3677" spans="1:2" ht="15" hidden="1" x14ac:dyDescent="0.25">
      <c r="A3677" s="426" t="s">
        <v>182</v>
      </c>
      <c r="B3677" s="426" t="s">
        <v>315</v>
      </c>
    </row>
    <row r="3678" spans="1:2" ht="15" hidden="1" x14ac:dyDescent="0.25">
      <c r="A3678" s="426" t="s">
        <v>182</v>
      </c>
      <c r="B3678" s="426" t="s">
        <v>315</v>
      </c>
    </row>
    <row r="3679" spans="1:2" ht="15" hidden="1" x14ac:dyDescent="0.25">
      <c r="A3679" s="426" t="s">
        <v>182</v>
      </c>
      <c r="B3679" s="426" t="s">
        <v>315</v>
      </c>
    </row>
    <row r="3680" spans="1:2" ht="15" hidden="1" x14ac:dyDescent="0.25">
      <c r="A3680" s="426" t="s">
        <v>182</v>
      </c>
      <c r="B3680" s="426" t="s">
        <v>315</v>
      </c>
    </row>
    <row r="3681" spans="1:2" ht="15" hidden="1" x14ac:dyDescent="0.25">
      <c r="A3681" s="426" t="s">
        <v>182</v>
      </c>
      <c r="B3681" s="426" t="s">
        <v>315</v>
      </c>
    </row>
    <row r="3682" spans="1:2" ht="15" hidden="1" x14ac:dyDescent="0.25">
      <c r="A3682" s="426" t="s">
        <v>182</v>
      </c>
      <c r="B3682" s="426" t="s">
        <v>315</v>
      </c>
    </row>
    <row r="3683" spans="1:2" ht="15" hidden="1" x14ac:dyDescent="0.25">
      <c r="A3683" s="426" t="s">
        <v>182</v>
      </c>
      <c r="B3683" s="426" t="s">
        <v>315</v>
      </c>
    </row>
    <row r="3684" spans="1:2" ht="15" hidden="1" x14ac:dyDescent="0.25">
      <c r="A3684" s="426" t="s">
        <v>182</v>
      </c>
      <c r="B3684" s="426" t="s">
        <v>315</v>
      </c>
    </row>
    <row r="3685" spans="1:2" ht="15" hidden="1" x14ac:dyDescent="0.25">
      <c r="A3685" s="426" t="s">
        <v>182</v>
      </c>
      <c r="B3685" s="426" t="s">
        <v>315</v>
      </c>
    </row>
    <row r="3686" spans="1:2" ht="15" hidden="1" x14ac:dyDescent="0.25">
      <c r="A3686" s="426" t="s">
        <v>182</v>
      </c>
      <c r="B3686" s="426" t="s">
        <v>315</v>
      </c>
    </row>
    <row r="3687" spans="1:2" ht="15" hidden="1" x14ac:dyDescent="0.25">
      <c r="A3687" s="426" t="s">
        <v>182</v>
      </c>
      <c r="B3687" s="426" t="s">
        <v>315</v>
      </c>
    </row>
    <row r="3688" spans="1:2" ht="15" hidden="1" x14ac:dyDescent="0.25">
      <c r="A3688" s="426" t="s">
        <v>210</v>
      </c>
      <c r="B3688" s="426" t="s">
        <v>316</v>
      </c>
    </row>
    <row r="3689" spans="1:2" ht="15" hidden="1" x14ac:dyDescent="0.25">
      <c r="A3689" s="426" t="s">
        <v>210</v>
      </c>
      <c r="B3689" s="426" t="s">
        <v>316</v>
      </c>
    </row>
    <row r="3690" spans="1:2" ht="15" hidden="1" x14ac:dyDescent="0.25">
      <c r="A3690" s="426" t="s">
        <v>210</v>
      </c>
      <c r="B3690" s="426" t="s">
        <v>316</v>
      </c>
    </row>
    <row r="3691" spans="1:2" ht="15" hidden="1" x14ac:dyDescent="0.25">
      <c r="A3691" s="426" t="s">
        <v>210</v>
      </c>
      <c r="B3691" s="426" t="s">
        <v>316</v>
      </c>
    </row>
    <row r="3692" spans="1:2" ht="15" hidden="1" x14ac:dyDescent="0.25">
      <c r="A3692" s="426" t="s">
        <v>210</v>
      </c>
      <c r="B3692" s="426" t="s">
        <v>316</v>
      </c>
    </row>
    <row r="3693" spans="1:2" ht="15" hidden="1" x14ac:dyDescent="0.25">
      <c r="A3693" s="426" t="s">
        <v>210</v>
      </c>
      <c r="B3693" s="426" t="s">
        <v>316</v>
      </c>
    </row>
    <row r="3694" spans="1:2" ht="15" hidden="1" x14ac:dyDescent="0.25">
      <c r="A3694" s="426" t="s">
        <v>210</v>
      </c>
      <c r="B3694" s="426" t="s">
        <v>316</v>
      </c>
    </row>
    <row r="3695" spans="1:2" ht="15" hidden="1" x14ac:dyDescent="0.25">
      <c r="A3695" s="426" t="s">
        <v>210</v>
      </c>
      <c r="B3695" s="426" t="s">
        <v>316</v>
      </c>
    </row>
    <row r="3696" spans="1:2" ht="15" hidden="1" x14ac:dyDescent="0.25">
      <c r="A3696" s="426" t="s">
        <v>210</v>
      </c>
      <c r="B3696" s="426" t="s">
        <v>316</v>
      </c>
    </row>
    <row r="3697" spans="1:2" ht="15" hidden="1" x14ac:dyDescent="0.25">
      <c r="A3697" s="426" t="s">
        <v>210</v>
      </c>
      <c r="B3697" s="426" t="s">
        <v>316</v>
      </c>
    </row>
    <row r="3698" spans="1:2" ht="15" hidden="1" x14ac:dyDescent="0.25">
      <c r="A3698" s="426" t="s">
        <v>210</v>
      </c>
      <c r="B3698" s="426" t="s">
        <v>316</v>
      </c>
    </row>
    <row r="3699" spans="1:2" ht="15" hidden="1" x14ac:dyDescent="0.25">
      <c r="A3699" s="426" t="s">
        <v>210</v>
      </c>
      <c r="B3699" s="426" t="s">
        <v>316</v>
      </c>
    </row>
    <row r="3700" spans="1:2" ht="15" hidden="1" x14ac:dyDescent="0.25">
      <c r="A3700" s="426" t="s">
        <v>210</v>
      </c>
      <c r="B3700" s="426" t="s">
        <v>316</v>
      </c>
    </row>
    <row r="3701" spans="1:2" ht="15" hidden="1" x14ac:dyDescent="0.25">
      <c r="A3701" s="426" t="s">
        <v>210</v>
      </c>
      <c r="B3701" s="426" t="s">
        <v>316</v>
      </c>
    </row>
    <row r="3702" spans="1:2" ht="15" hidden="1" x14ac:dyDescent="0.25">
      <c r="A3702" s="426" t="s">
        <v>210</v>
      </c>
      <c r="B3702" s="426" t="s">
        <v>316</v>
      </c>
    </row>
    <row r="3703" spans="1:2" ht="15" hidden="1" x14ac:dyDescent="0.25">
      <c r="A3703" s="426" t="s">
        <v>210</v>
      </c>
      <c r="B3703" s="426" t="s">
        <v>316</v>
      </c>
    </row>
    <row r="3704" spans="1:2" ht="15" hidden="1" x14ac:dyDescent="0.25">
      <c r="A3704" s="426" t="s">
        <v>210</v>
      </c>
      <c r="B3704" s="426" t="s">
        <v>316</v>
      </c>
    </row>
    <row r="3705" spans="1:2" ht="15" hidden="1" x14ac:dyDescent="0.25">
      <c r="A3705" s="426" t="s">
        <v>210</v>
      </c>
      <c r="B3705" s="426" t="s">
        <v>316</v>
      </c>
    </row>
    <row r="3706" spans="1:2" ht="15" hidden="1" x14ac:dyDescent="0.25">
      <c r="A3706" s="426" t="s">
        <v>210</v>
      </c>
      <c r="B3706" s="426" t="s">
        <v>316</v>
      </c>
    </row>
    <row r="3707" spans="1:2" ht="15" hidden="1" x14ac:dyDescent="0.25">
      <c r="A3707" s="426" t="s">
        <v>210</v>
      </c>
      <c r="B3707" s="426" t="s">
        <v>316</v>
      </c>
    </row>
    <row r="3708" spans="1:2" ht="15" hidden="1" x14ac:dyDescent="0.25">
      <c r="A3708" s="426" t="s">
        <v>210</v>
      </c>
      <c r="B3708" s="426" t="s">
        <v>316</v>
      </c>
    </row>
    <row r="3709" spans="1:2" ht="15" hidden="1" x14ac:dyDescent="0.25">
      <c r="A3709" s="426" t="s">
        <v>210</v>
      </c>
      <c r="B3709" s="426" t="s">
        <v>316</v>
      </c>
    </row>
    <row r="3710" spans="1:2" ht="15" hidden="1" x14ac:dyDescent="0.25">
      <c r="A3710" s="426" t="s">
        <v>210</v>
      </c>
      <c r="B3710" s="426" t="s">
        <v>316</v>
      </c>
    </row>
    <row r="3711" spans="1:2" ht="15" hidden="1" x14ac:dyDescent="0.25">
      <c r="A3711" s="426" t="s">
        <v>183</v>
      </c>
      <c r="B3711" s="426" t="s">
        <v>317</v>
      </c>
    </row>
    <row r="3712" spans="1:2" ht="15" hidden="1" x14ac:dyDescent="0.25">
      <c r="A3712" s="427" t="s">
        <v>183</v>
      </c>
      <c r="B3712" s="426" t="s">
        <v>317</v>
      </c>
    </row>
    <row r="3713" spans="1:2" ht="15" hidden="1" x14ac:dyDescent="0.25">
      <c r="A3713" s="426" t="s">
        <v>184</v>
      </c>
      <c r="B3713" s="426" t="s">
        <v>318</v>
      </c>
    </row>
    <row r="3714" spans="1:2" ht="15" hidden="1" x14ac:dyDescent="0.25">
      <c r="A3714" s="426" t="s">
        <v>184</v>
      </c>
      <c r="B3714" s="426" t="s">
        <v>318</v>
      </c>
    </row>
    <row r="3715" spans="1:2" ht="15" hidden="1" x14ac:dyDescent="0.25">
      <c r="A3715" s="426" t="s">
        <v>184</v>
      </c>
      <c r="B3715" s="426" t="s">
        <v>318</v>
      </c>
    </row>
    <row r="3716" spans="1:2" ht="15" hidden="1" x14ac:dyDescent="0.25">
      <c r="A3716" s="426" t="s">
        <v>184</v>
      </c>
      <c r="B3716" s="426" t="s">
        <v>318</v>
      </c>
    </row>
    <row r="3717" spans="1:2" ht="15" hidden="1" x14ac:dyDescent="0.25">
      <c r="A3717" s="426" t="s">
        <v>184</v>
      </c>
      <c r="B3717" s="426" t="s">
        <v>318</v>
      </c>
    </row>
    <row r="3718" spans="1:2" ht="15" hidden="1" x14ac:dyDescent="0.25">
      <c r="A3718" s="426" t="s">
        <v>185</v>
      </c>
      <c r="B3718" s="426" t="s">
        <v>319</v>
      </c>
    </row>
    <row r="3719" spans="1:2" ht="15" hidden="1" x14ac:dyDescent="0.25">
      <c r="A3719" s="426" t="s">
        <v>185</v>
      </c>
      <c r="B3719" s="426" t="s">
        <v>319</v>
      </c>
    </row>
    <row r="3720" spans="1:2" ht="15" hidden="1" x14ac:dyDescent="0.25">
      <c r="A3720" s="426" t="s">
        <v>185</v>
      </c>
      <c r="B3720" s="426" t="s">
        <v>319</v>
      </c>
    </row>
    <row r="3721" spans="1:2" ht="15" hidden="1" x14ac:dyDescent="0.25">
      <c r="A3721" s="426" t="s">
        <v>185</v>
      </c>
      <c r="B3721" s="426" t="s">
        <v>319</v>
      </c>
    </row>
    <row r="3722" spans="1:2" ht="15" hidden="1" x14ac:dyDescent="0.25">
      <c r="A3722" s="426" t="s">
        <v>185</v>
      </c>
      <c r="B3722" s="426" t="s">
        <v>319</v>
      </c>
    </row>
    <row r="3723" spans="1:2" ht="15" hidden="1" x14ac:dyDescent="0.25">
      <c r="A3723" s="426" t="s">
        <v>185</v>
      </c>
      <c r="B3723" s="426" t="s">
        <v>319</v>
      </c>
    </row>
    <row r="3724" spans="1:2" ht="15" hidden="1" x14ac:dyDescent="0.25">
      <c r="A3724" s="426" t="s">
        <v>185</v>
      </c>
      <c r="B3724" s="426" t="s">
        <v>319</v>
      </c>
    </row>
    <row r="3725" spans="1:2" ht="15" hidden="1" x14ac:dyDescent="0.25">
      <c r="A3725" s="426" t="s">
        <v>187</v>
      </c>
      <c r="B3725" s="426" t="s">
        <v>322</v>
      </c>
    </row>
    <row r="3726" spans="1:2" ht="15" hidden="1" x14ac:dyDescent="0.25">
      <c r="A3726" s="426" t="s">
        <v>187</v>
      </c>
      <c r="B3726" s="426" t="s">
        <v>322</v>
      </c>
    </row>
    <row r="3727" spans="1:2" ht="15" hidden="1" x14ac:dyDescent="0.25">
      <c r="A3727" s="426" t="s">
        <v>187</v>
      </c>
      <c r="B3727" s="426" t="s">
        <v>322</v>
      </c>
    </row>
    <row r="3728" spans="1:2" ht="15" hidden="1" x14ac:dyDescent="0.25">
      <c r="A3728" s="426" t="s">
        <v>187</v>
      </c>
      <c r="B3728" s="426" t="s">
        <v>322</v>
      </c>
    </row>
    <row r="3729" spans="1:2" ht="15" hidden="1" x14ac:dyDescent="0.25">
      <c r="A3729" s="426" t="s">
        <v>187</v>
      </c>
      <c r="B3729" s="426" t="s">
        <v>322</v>
      </c>
    </row>
    <row r="3730" spans="1:2" ht="15" hidden="1" x14ac:dyDescent="0.25">
      <c r="A3730" s="426" t="s">
        <v>1459</v>
      </c>
      <c r="B3730" s="426" t="s">
        <v>1460</v>
      </c>
    </row>
    <row r="3731" spans="1:2" ht="15" hidden="1" x14ac:dyDescent="0.25">
      <c r="A3731" s="426" t="s">
        <v>188</v>
      </c>
      <c r="B3731" s="426" t="s">
        <v>323</v>
      </c>
    </row>
    <row r="3732" spans="1:2" ht="15" hidden="1" x14ac:dyDescent="0.25">
      <c r="A3732" s="426" t="s">
        <v>1269</v>
      </c>
      <c r="B3732" s="426" t="s">
        <v>1270</v>
      </c>
    </row>
    <row r="3733" spans="1:2" ht="15" hidden="1" x14ac:dyDescent="0.25">
      <c r="A3733" s="426" t="s">
        <v>1269</v>
      </c>
      <c r="B3733" s="426" t="s">
        <v>1270</v>
      </c>
    </row>
    <row r="3734" spans="1:2" ht="15" hidden="1" x14ac:dyDescent="0.25">
      <c r="A3734" s="426" t="s">
        <v>1269</v>
      </c>
      <c r="B3734" s="426" t="s">
        <v>1270</v>
      </c>
    </row>
    <row r="3735" spans="1:2" ht="15" hidden="1" x14ac:dyDescent="0.25">
      <c r="A3735" s="426" t="s">
        <v>1269</v>
      </c>
      <c r="B3735" s="426" t="s">
        <v>1270</v>
      </c>
    </row>
    <row r="3736" spans="1:2" ht="15" hidden="1" x14ac:dyDescent="0.25">
      <c r="A3736" s="426" t="s">
        <v>1269</v>
      </c>
      <c r="B3736" s="426" t="s">
        <v>1270</v>
      </c>
    </row>
    <row r="3737" spans="1:2" ht="15" hidden="1" x14ac:dyDescent="0.25">
      <c r="A3737" s="426" t="s">
        <v>1269</v>
      </c>
      <c r="B3737" s="426" t="s">
        <v>1270</v>
      </c>
    </row>
    <row r="3738" spans="1:2" ht="15" hidden="1" x14ac:dyDescent="0.25">
      <c r="A3738" s="426" t="s">
        <v>1269</v>
      </c>
      <c r="B3738" s="426" t="s">
        <v>1270</v>
      </c>
    </row>
    <row r="3739" spans="1:2" ht="15" hidden="1" x14ac:dyDescent="0.25">
      <c r="A3739" s="426" t="s">
        <v>1269</v>
      </c>
      <c r="B3739" s="426" t="s">
        <v>1270</v>
      </c>
    </row>
    <row r="3740" spans="1:2" ht="15" hidden="1" x14ac:dyDescent="0.25">
      <c r="A3740" s="426" t="s">
        <v>1269</v>
      </c>
      <c r="B3740" s="426" t="s">
        <v>1270</v>
      </c>
    </row>
    <row r="3741" spans="1:2" ht="15" hidden="1" x14ac:dyDescent="0.25">
      <c r="A3741" s="426" t="s">
        <v>2964</v>
      </c>
      <c r="B3741" s="426" t="s">
        <v>2964</v>
      </c>
    </row>
    <row r="3742" spans="1:2" ht="15" hidden="1" x14ac:dyDescent="0.25">
      <c r="A3742" s="426" t="s">
        <v>2965</v>
      </c>
      <c r="B3742" s="426" t="s">
        <v>2965</v>
      </c>
    </row>
    <row r="3743" spans="1:2" ht="15" hidden="1" x14ac:dyDescent="0.25">
      <c r="A3743" s="426" t="s">
        <v>2966</v>
      </c>
      <c r="B3743" s="426" t="s">
        <v>2966</v>
      </c>
    </row>
    <row r="3744" spans="1:2" ht="15" hidden="1" x14ac:dyDescent="0.25">
      <c r="A3744" s="426" t="s">
        <v>2967</v>
      </c>
      <c r="B3744" s="426" t="s">
        <v>2967</v>
      </c>
    </row>
    <row r="3745" spans="1:2" ht="15" hidden="1" x14ac:dyDescent="0.25">
      <c r="A3745" s="426" t="s">
        <v>2968</v>
      </c>
      <c r="B3745" s="426" t="s">
        <v>2968</v>
      </c>
    </row>
    <row r="3746" spans="1:2" ht="15" hidden="1" x14ac:dyDescent="0.25">
      <c r="A3746" s="426" t="s">
        <v>2969</v>
      </c>
      <c r="B3746" s="426" t="s">
        <v>2969</v>
      </c>
    </row>
    <row r="3747" spans="1:2" ht="15" hidden="1" x14ac:dyDescent="0.25">
      <c r="A3747" s="426" t="s">
        <v>2970</v>
      </c>
      <c r="B3747" s="426" t="s">
        <v>2970</v>
      </c>
    </row>
    <row r="3748" spans="1:2" ht="15" hidden="1" x14ac:dyDescent="0.25">
      <c r="A3748" s="426" t="s">
        <v>2971</v>
      </c>
      <c r="B3748" s="426" t="s">
        <v>2971</v>
      </c>
    </row>
    <row r="3749" spans="1:2" ht="15" hidden="1" x14ac:dyDescent="0.25">
      <c r="A3749" s="426" t="s">
        <v>2972</v>
      </c>
      <c r="B3749" s="426" t="s">
        <v>2972</v>
      </c>
    </row>
    <row r="3750" spans="1:2" ht="15" hidden="1" x14ac:dyDescent="0.25">
      <c r="A3750" s="426" t="s">
        <v>2973</v>
      </c>
      <c r="B3750" s="426" t="s">
        <v>2973</v>
      </c>
    </row>
    <row r="3751" spans="1:2" ht="15" hidden="1" x14ac:dyDescent="0.25">
      <c r="A3751" s="426" t="s">
        <v>2974</v>
      </c>
      <c r="B3751" s="426" t="s">
        <v>2974</v>
      </c>
    </row>
    <row r="3752" spans="1:2" ht="15" hidden="1" x14ac:dyDescent="0.25">
      <c r="A3752" s="426" t="s">
        <v>2975</v>
      </c>
      <c r="B3752" s="426" t="s">
        <v>2975</v>
      </c>
    </row>
    <row r="3753" spans="1:2" ht="15" hidden="1" x14ac:dyDescent="0.25">
      <c r="A3753" s="426" t="s">
        <v>2976</v>
      </c>
      <c r="B3753" s="426" t="s">
        <v>2976</v>
      </c>
    </row>
    <row r="3754" spans="1:2" ht="15" hidden="1" x14ac:dyDescent="0.25">
      <c r="A3754" s="426" t="s">
        <v>2977</v>
      </c>
      <c r="B3754" s="426" t="s">
        <v>2977</v>
      </c>
    </row>
    <row r="3755" spans="1:2" ht="15" hidden="1" x14ac:dyDescent="0.25">
      <c r="A3755" s="426" t="s">
        <v>2977</v>
      </c>
      <c r="B3755" s="426" t="s">
        <v>2977</v>
      </c>
    </row>
    <row r="3756" spans="1:2" ht="15" hidden="1" x14ac:dyDescent="0.25">
      <c r="A3756" s="426" t="s">
        <v>2978</v>
      </c>
      <c r="B3756" s="426" t="s">
        <v>2978</v>
      </c>
    </row>
    <row r="3757" spans="1:2" ht="15" hidden="1" x14ac:dyDescent="0.25">
      <c r="A3757" s="426" t="s">
        <v>2979</v>
      </c>
      <c r="B3757" s="426" t="s">
        <v>2979</v>
      </c>
    </row>
    <row r="3758" spans="1:2" ht="15" hidden="1" x14ac:dyDescent="0.25">
      <c r="A3758" s="426" t="s">
        <v>2979</v>
      </c>
      <c r="B3758" s="426" t="s">
        <v>2979</v>
      </c>
    </row>
    <row r="3759" spans="1:2" ht="15" hidden="1" x14ac:dyDescent="0.25">
      <c r="A3759" s="426" t="s">
        <v>2980</v>
      </c>
      <c r="B3759" s="426" t="s">
        <v>2980</v>
      </c>
    </row>
    <row r="3760" spans="1:2" ht="15" hidden="1" x14ac:dyDescent="0.25">
      <c r="A3760" s="426" t="s">
        <v>2981</v>
      </c>
      <c r="B3760" s="426" t="s">
        <v>2981</v>
      </c>
    </row>
    <row r="3761" spans="1:2" ht="15" hidden="1" x14ac:dyDescent="0.25">
      <c r="A3761" s="426" t="s">
        <v>2982</v>
      </c>
      <c r="B3761" s="426" t="s">
        <v>2982</v>
      </c>
    </row>
    <row r="3762" spans="1:2" ht="15" hidden="1" x14ac:dyDescent="0.25">
      <c r="A3762" s="426" t="s">
        <v>2983</v>
      </c>
      <c r="B3762" s="426" t="s">
        <v>2983</v>
      </c>
    </row>
    <row r="3763" spans="1:2" ht="15" hidden="1" x14ac:dyDescent="0.25">
      <c r="A3763" s="426" t="s">
        <v>2984</v>
      </c>
      <c r="B3763" s="426" t="s">
        <v>2984</v>
      </c>
    </row>
    <row r="3764" spans="1:2" ht="15" hidden="1" x14ac:dyDescent="0.25">
      <c r="A3764" s="426" t="s">
        <v>2882</v>
      </c>
      <c r="B3764" s="426" t="s">
        <v>2882</v>
      </c>
    </row>
    <row r="3765" spans="1:2" ht="15" hidden="1" x14ac:dyDescent="0.25">
      <c r="A3765" s="426" t="s">
        <v>2985</v>
      </c>
      <c r="B3765" s="426" t="s">
        <v>2985</v>
      </c>
    </row>
    <row r="3766" spans="1:2" ht="15" hidden="1" x14ac:dyDescent="0.25">
      <c r="A3766" s="426" t="s">
        <v>2986</v>
      </c>
      <c r="B3766" s="426" t="s">
        <v>2986</v>
      </c>
    </row>
    <row r="3767" spans="1:2" ht="15" hidden="1" x14ac:dyDescent="0.25">
      <c r="A3767" s="426" t="s">
        <v>2986</v>
      </c>
      <c r="B3767" s="426" t="s">
        <v>2986</v>
      </c>
    </row>
    <row r="3768" spans="1:2" ht="15" hidden="1" x14ac:dyDescent="0.25">
      <c r="A3768" s="426" t="s">
        <v>2987</v>
      </c>
      <c r="B3768" s="426" t="s">
        <v>2987</v>
      </c>
    </row>
    <row r="3769" spans="1:2" ht="15" hidden="1" x14ac:dyDescent="0.25">
      <c r="A3769" s="426" t="s">
        <v>2988</v>
      </c>
      <c r="B3769" s="426" t="s">
        <v>2988</v>
      </c>
    </row>
    <row r="3770" spans="1:2" ht="15" hidden="1" x14ac:dyDescent="0.25">
      <c r="A3770" s="426" t="s">
        <v>2988</v>
      </c>
      <c r="B3770" s="426" t="s">
        <v>2988</v>
      </c>
    </row>
    <row r="3771" spans="1:2" ht="15" hidden="1" x14ac:dyDescent="0.25">
      <c r="A3771" s="426" t="s">
        <v>2989</v>
      </c>
      <c r="B3771" s="426" t="s">
        <v>2989</v>
      </c>
    </row>
    <row r="3772" spans="1:2" ht="15" hidden="1" x14ac:dyDescent="0.25">
      <c r="A3772" s="426" t="s">
        <v>2989</v>
      </c>
      <c r="B3772" s="426" t="s">
        <v>2989</v>
      </c>
    </row>
    <row r="3773" spans="1:2" ht="15" hidden="1" x14ac:dyDescent="0.25">
      <c r="A3773" s="426" t="s">
        <v>2990</v>
      </c>
      <c r="B3773" s="426" t="s">
        <v>2990</v>
      </c>
    </row>
    <row r="3774" spans="1:2" ht="15" hidden="1" x14ac:dyDescent="0.25">
      <c r="A3774" s="426" t="s">
        <v>2991</v>
      </c>
      <c r="B3774" s="426" t="s">
        <v>2991</v>
      </c>
    </row>
    <row r="3775" spans="1:2" ht="15" hidden="1" x14ac:dyDescent="0.25">
      <c r="A3775" s="426" t="s">
        <v>2992</v>
      </c>
      <c r="B3775" s="426" t="s">
        <v>2992</v>
      </c>
    </row>
    <row r="3776" spans="1:2" ht="15" hidden="1" x14ac:dyDescent="0.25">
      <c r="A3776" s="426" t="s">
        <v>2993</v>
      </c>
      <c r="B3776" s="426" t="s">
        <v>2993</v>
      </c>
    </row>
    <row r="3777" spans="1:2" ht="15" hidden="1" x14ac:dyDescent="0.25">
      <c r="A3777" s="426" t="s">
        <v>2994</v>
      </c>
      <c r="B3777" s="426" t="s">
        <v>2994</v>
      </c>
    </row>
    <row r="3778" spans="1:2" ht="15" hidden="1" x14ac:dyDescent="0.25">
      <c r="A3778" s="426" t="s">
        <v>2994</v>
      </c>
      <c r="B3778" s="426" t="s">
        <v>2994</v>
      </c>
    </row>
    <row r="3779" spans="1:2" ht="15" hidden="1" x14ac:dyDescent="0.25">
      <c r="A3779" s="426" t="s">
        <v>2995</v>
      </c>
      <c r="B3779" s="426" t="s">
        <v>2995</v>
      </c>
    </row>
    <row r="3780" spans="1:2" ht="15" hidden="1" x14ac:dyDescent="0.25">
      <c r="A3780" s="426" t="s">
        <v>2996</v>
      </c>
      <c r="B3780" s="426" t="s">
        <v>2996</v>
      </c>
    </row>
    <row r="3781" spans="1:2" ht="15" hidden="1" x14ac:dyDescent="0.25">
      <c r="A3781" s="426" t="s">
        <v>2997</v>
      </c>
      <c r="B3781" s="426" t="s">
        <v>2997</v>
      </c>
    </row>
    <row r="3782" spans="1:2" ht="15" hidden="1" x14ac:dyDescent="0.25">
      <c r="A3782" s="426" t="s">
        <v>2998</v>
      </c>
      <c r="B3782" s="426" t="s">
        <v>2998</v>
      </c>
    </row>
    <row r="3783" spans="1:2" ht="15" hidden="1" x14ac:dyDescent="0.25">
      <c r="A3783" s="426" t="s">
        <v>2999</v>
      </c>
      <c r="B3783" s="426" t="s">
        <v>2999</v>
      </c>
    </row>
    <row r="3784" spans="1:2" ht="15" hidden="1" x14ac:dyDescent="0.25">
      <c r="A3784" s="426" t="s">
        <v>3000</v>
      </c>
      <c r="B3784" s="426" t="s">
        <v>3000</v>
      </c>
    </row>
    <row r="3785" spans="1:2" ht="15" hidden="1" x14ac:dyDescent="0.25">
      <c r="A3785" s="426" t="s">
        <v>3001</v>
      </c>
      <c r="B3785" s="426" t="s">
        <v>3001</v>
      </c>
    </row>
    <row r="3786" spans="1:2" ht="15" hidden="1" x14ac:dyDescent="0.25">
      <c r="A3786" s="426" t="s">
        <v>3002</v>
      </c>
      <c r="B3786" s="426" t="s">
        <v>3002</v>
      </c>
    </row>
    <row r="3787" spans="1:2" ht="15" hidden="1" x14ac:dyDescent="0.25">
      <c r="A3787" s="426" t="s">
        <v>3003</v>
      </c>
      <c r="B3787" s="426" t="s">
        <v>3003</v>
      </c>
    </row>
    <row r="3788" spans="1:2" ht="15" hidden="1" x14ac:dyDescent="0.25">
      <c r="A3788" s="426" t="s">
        <v>3004</v>
      </c>
      <c r="B3788" s="426" t="s">
        <v>3004</v>
      </c>
    </row>
    <row r="3789" spans="1:2" ht="15" hidden="1" x14ac:dyDescent="0.25">
      <c r="A3789" s="426" t="s">
        <v>3005</v>
      </c>
      <c r="B3789" s="426" t="s">
        <v>3005</v>
      </c>
    </row>
    <row r="3790" spans="1:2" ht="15" hidden="1" x14ac:dyDescent="0.25">
      <c r="A3790" s="426" t="s">
        <v>3006</v>
      </c>
      <c r="B3790" s="426" t="s">
        <v>3006</v>
      </c>
    </row>
    <row r="3791" spans="1:2" ht="15" hidden="1" x14ac:dyDescent="0.25">
      <c r="A3791" s="426" t="s">
        <v>3007</v>
      </c>
      <c r="B3791" s="426" t="s">
        <v>3007</v>
      </c>
    </row>
    <row r="3792" spans="1:2" ht="15" hidden="1" x14ac:dyDescent="0.25">
      <c r="A3792" s="426" t="s">
        <v>3007</v>
      </c>
      <c r="B3792" s="426" t="s">
        <v>3007</v>
      </c>
    </row>
    <row r="3793" spans="1:2" ht="15" hidden="1" x14ac:dyDescent="0.25">
      <c r="A3793" s="426" t="s">
        <v>3008</v>
      </c>
      <c r="B3793" s="426" t="s">
        <v>3008</v>
      </c>
    </row>
    <row r="3794" spans="1:2" ht="15" hidden="1" x14ac:dyDescent="0.25">
      <c r="A3794" s="426" t="s">
        <v>3009</v>
      </c>
      <c r="B3794" s="426" t="s">
        <v>3009</v>
      </c>
    </row>
    <row r="3795" spans="1:2" ht="15" hidden="1" x14ac:dyDescent="0.25">
      <c r="A3795" s="426" t="s">
        <v>3010</v>
      </c>
      <c r="B3795" s="426" t="s">
        <v>3010</v>
      </c>
    </row>
    <row r="3796" spans="1:2" ht="15" hidden="1" x14ac:dyDescent="0.25">
      <c r="A3796" s="426" t="s">
        <v>3011</v>
      </c>
      <c r="B3796" s="426" t="s">
        <v>3011</v>
      </c>
    </row>
    <row r="3797" spans="1:2" ht="15" hidden="1" x14ac:dyDescent="0.25">
      <c r="A3797" s="426" t="s">
        <v>3012</v>
      </c>
      <c r="B3797" s="426" t="s">
        <v>3012</v>
      </c>
    </row>
    <row r="3798" spans="1:2" ht="15" hidden="1" x14ac:dyDescent="0.25">
      <c r="A3798" s="426" t="s">
        <v>3013</v>
      </c>
      <c r="B3798" s="426" t="s">
        <v>3013</v>
      </c>
    </row>
    <row r="3799" spans="1:2" ht="15" hidden="1" x14ac:dyDescent="0.25">
      <c r="A3799" s="426" t="s">
        <v>3014</v>
      </c>
      <c r="B3799" s="426" t="s">
        <v>3014</v>
      </c>
    </row>
    <row r="3800" spans="1:2" ht="15" hidden="1" x14ac:dyDescent="0.25">
      <c r="A3800" s="426" t="s">
        <v>3014</v>
      </c>
      <c r="B3800" s="426" t="s">
        <v>3014</v>
      </c>
    </row>
    <row r="3801" spans="1:2" ht="15" hidden="1" x14ac:dyDescent="0.25">
      <c r="A3801" s="426" t="s">
        <v>3015</v>
      </c>
      <c r="B3801" s="426" t="s">
        <v>3015</v>
      </c>
    </row>
    <row r="3802" spans="1:2" ht="15" hidden="1" x14ac:dyDescent="0.25">
      <c r="A3802" s="426" t="s">
        <v>3016</v>
      </c>
      <c r="B3802" s="426" t="s">
        <v>3016</v>
      </c>
    </row>
    <row r="3803" spans="1:2" ht="15" hidden="1" x14ac:dyDescent="0.25">
      <c r="A3803" s="426" t="s">
        <v>3017</v>
      </c>
      <c r="B3803" s="426" t="s">
        <v>3017</v>
      </c>
    </row>
    <row r="3804" spans="1:2" ht="15" hidden="1" x14ac:dyDescent="0.25">
      <c r="A3804" s="426" t="s">
        <v>3017</v>
      </c>
      <c r="B3804" s="426" t="s">
        <v>3017</v>
      </c>
    </row>
    <row r="3805" spans="1:2" ht="15" hidden="1" x14ac:dyDescent="0.25">
      <c r="A3805" s="426" t="s">
        <v>3018</v>
      </c>
      <c r="B3805" s="426" t="s">
        <v>3018</v>
      </c>
    </row>
    <row r="3806" spans="1:2" ht="15" hidden="1" x14ac:dyDescent="0.25">
      <c r="A3806" s="426" t="s">
        <v>3019</v>
      </c>
      <c r="B3806" s="426" t="s">
        <v>3019</v>
      </c>
    </row>
    <row r="3807" spans="1:2" ht="15" hidden="1" x14ac:dyDescent="0.25">
      <c r="A3807" s="426" t="s">
        <v>3019</v>
      </c>
      <c r="B3807" s="426" t="s">
        <v>3019</v>
      </c>
    </row>
    <row r="3808" spans="1:2" ht="15" hidden="1" x14ac:dyDescent="0.25">
      <c r="A3808" s="426" t="s">
        <v>3020</v>
      </c>
      <c r="B3808" s="426" t="s">
        <v>3020</v>
      </c>
    </row>
    <row r="3809" spans="1:2" ht="15" hidden="1" x14ac:dyDescent="0.25">
      <c r="A3809" s="426" t="s">
        <v>3021</v>
      </c>
      <c r="B3809" s="426" t="s">
        <v>3021</v>
      </c>
    </row>
    <row r="3810" spans="1:2" ht="15" hidden="1" x14ac:dyDescent="0.25">
      <c r="A3810" s="426" t="s">
        <v>3022</v>
      </c>
      <c r="B3810" s="426" t="s">
        <v>3022</v>
      </c>
    </row>
    <row r="3811" spans="1:2" ht="15" hidden="1" x14ac:dyDescent="0.25">
      <c r="A3811" s="426" t="s">
        <v>3023</v>
      </c>
      <c r="B3811" s="426" t="s">
        <v>3023</v>
      </c>
    </row>
    <row r="3812" spans="1:2" ht="15" hidden="1" x14ac:dyDescent="0.25">
      <c r="A3812" s="426" t="s">
        <v>3024</v>
      </c>
      <c r="B3812" s="426" t="s">
        <v>3024</v>
      </c>
    </row>
    <row r="3813" spans="1:2" ht="15" hidden="1" x14ac:dyDescent="0.25">
      <c r="A3813" s="426" t="s">
        <v>3025</v>
      </c>
      <c r="B3813" s="426" t="s">
        <v>3025</v>
      </c>
    </row>
    <row r="3814" spans="1:2" ht="15" hidden="1" x14ac:dyDescent="0.25">
      <c r="A3814" s="426" t="s">
        <v>3026</v>
      </c>
      <c r="B3814" s="426" t="s">
        <v>3027</v>
      </c>
    </row>
    <row r="3815" spans="1:2" ht="15" hidden="1" x14ac:dyDescent="0.25">
      <c r="A3815" s="426" t="s">
        <v>3028</v>
      </c>
      <c r="B3815" s="426" t="s">
        <v>3029</v>
      </c>
    </row>
    <row r="3816" spans="1:2" ht="15" hidden="1" x14ac:dyDescent="0.25">
      <c r="A3816" s="426" t="s">
        <v>3030</v>
      </c>
      <c r="B3816" s="426" t="s">
        <v>3031</v>
      </c>
    </row>
    <row r="3817" spans="1:2" ht="15" hidden="1" x14ac:dyDescent="0.25">
      <c r="A3817" s="426" t="s">
        <v>3032</v>
      </c>
      <c r="B3817" s="426" t="s">
        <v>3033</v>
      </c>
    </row>
    <row r="3818" spans="1:2" ht="15" hidden="1" x14ac:dyDescent="0.25">
      <c r="A3818" s="426" t="s">
        <v>3032</v>
      </c>
      <c r="B3818" s="426" t="s">
        <v>3033</v>
      </c>
    </row>
    <row r="3819" spans="1:2" ht="15" hidden="1" x14ac:dyDescent="0.25">
      <c r="A3819" s="426" t="s">
        <v>1768</v>
      </c>
      <c r="B3819" s="426" t="s">
        <v>3034</v>
      </c>
    </row>
    <row r="3820" spans="1:2" ht="15" hidden="1" x14ac:dyDescent="0.25">
      <c r="A3820" s="426" t="s">
        <v>1768</v>
      </c>
      <c r="B3820" s="426" t="s">
        <v>1769</v>
      </c>
    </row>
    <row r="3821" spans="1:2" ht="15" hidden="1" x14ac:dyDescent="0.25">
      <c r="A3821" s="426" t="s">
        <v>1768</v>
      </c>
      <c r="B3821" s="426" t="s">
        <v>1769</v>
      </c>
    </row>
    <row r="3822" spans="1:2" ht="15" hidden="1" x14ac:dyDescent="0.25">
      <c r="A3822" s="426" t="s">
        <v>3035</v>
      </c>
      <c r="B3822" s="426" t="s">
        <v>3036</v>
      </c>
    </row>
    <row r="3823" spans="1:2" ht="15" hidden="1" x14ac:dyDescent="0.25">
      <c r="A3823" s="426" t="s">
        <v>3037</v>
      </c>
      <c r="B3823" s="426" t="s">
        <v>3038</v>
      </c>
    </row>
    <row r="3824" spans="1:2" ht="15" hidden="1" x14ac:dyDescent="0.25">
      <c r="A3824" s="426" t="s">
        <v>3039</v>
      </c>
      <c r="B3824" s="426" t="s">
        <v>3040</v>
      </c>
    </row>
    <row r="3825" spans="1:2" ht="15" hidden="1" x14ac:dyDescent="0.25">
      <c r="A3825" s="426" t="s">
        <v>3039</v>
      </c>
      <c r="B3825" s="426" t="s">
        <v>3040</v>
      </c>
    </row>
    <row r="3826" spans="1:2" ht="15" hidden="1" x14ac:dyDescent="0.25">
      <c r="A3826" s="426" t="s">
        <v>3039</v>
      </c>
      <c r="B3826" s="426" t="s">
        <v>3040</v>
      </c>
    </row>
    <row r="3827" spans="1:2" ht="15" hidden="1" x14ac:dyDescent="0.25">
      <c r="A3827" s="426" t="s">
        <v>3041</v>
      </c>
      <c r="B3827" s="426" t="s">
        <v>3042</v>
      </c>
    </row>
    <row r="3828" spans="1:2" ht="15" hidden="1" x14ac:dyDescent="0.25">
      <c r="A3828" s="426" t="s">
        <v>2279</v>
      </c>
      <c r="B3828" s="426" t="s">
        <v>3043</v>
      </c>
    </row>
    <row r="3829" spans="1:2" ht="15" hidden="1" x14ac:dyDescent="0.25">
      <c r="A3829" s="426" t="s">
        <v>2279</v>
      </c>
      <c r="B3829" s="426" t="s">
        <v>3043</v>
      </c>
    </row>
    <row r="3830" spans="1:2" ht="15" hidden="1" x14ac:dyDescent="0.25">
      <c r="A3830" s="426" t="s">
        <v>3044</v>
      </c>
      <c r="B3830" s="426" t="s">
        <v>3045</v>
      </c>
    </row>
    <row r="3831" spans="1:2" ht="15" hidden="1" x14ac:dyDescent="0.25">
      <c r="A3831" s="426" t="s">
        <v>1537</v>
      </c>
      <c r="B3831" s="426" t="s">
        <v>1538</v>
      </c>
    </row>
    <row r="3832" spans="1:2" ht="15" hidden="1" x14ac:dyDescent="0.25">
      <c r="A3832" s="426" t="s">
        <v>1537</v>
      </c>
      <c r="B3832" s="426" t="s">
        <v>1538</v>
      </c>
    </row>
    <row r="3833" spans="1:2" ht="15" hidden="1" x14ac:dyDescent="0.25">
      <c r="A3833" s="426" t="s">
        <v>3046</v>
      </c>
      <c r="B3833" s="426" t="s">
        <v>3047</v>
      </c>
    </row>
    <row r="3834" spans="1:2" ht="15" hidden="1" x14ac:dyDescent="0.25">
      <c r="A3834" s="426" t="s">
        <v>3046</v>
      </c>
      <c r="B3834" s="426" t="s">
        <v>3047</v>
      </c>
    </row>
    <row r="3835" spans="1:2" ht="15" hidden="1" x14ac:dyDescent="0.25">
      <c r="A3835" s="426" t="s">
        <v>3048</v>
      </c>
      <c r="B3835" s="426" t="s">
        <v>3049</v>
      </c>
    </row>
    <row r="3836" spans="1:2" ht="15" hidden="1" x14ac:dyDescent="0.25">
      <c r="A3836" s="426" t="s">
        <v>1667</v>
      </c>
      <c r="B3836" s="426" t="s">
        <v>1668</v>
      </c>
    </row>
    <row r="3837" spans="1:2" ht="15" hidden="1" x14ac:dyDescent="0.25">
      <c r="A3837" s="426" t="s">
        <v>1667</v>
      </c>
      <c r="B3837" s="426" t="s">
        <v>1668</v>
      </c>
    </row>
    <row r="3838" spans="1:2" ht="15" hidden="1" x14ac:dyDescent="0.25">
      <c r="A3838" s="426" t="s">
        <v>3050</v>
      </c>
      <c r="B3838" s="426" t="s">
        <v>3051</v>
      </c>
    </row>
    <row r="3839" spans="1:2" ht="15" hidden="1" x14ac:dyDescent="0.25">
      <c r="A3839" s="426" t="s">
        <v>3050</v>
      </c>
      <c r="B3839" s="426" t="s">
        <v>3051</v>
      </c>
    </row>
    <row r="3840" spans="1:2" ht="15" hidden="1" x14ac:dyDescent="0.25">
      <c r="A3840" s="426" t="s">
        <v>3052</v>
      </c>
      <c r="B3840" s="426" t="s">
        <v>3053</v>
      </c>
    </row>
    <row r="3841" spans="1:2" ht="15" hidden="1" x14ac:dyDescent="0.25">
      <c r="A3841" s="426" t="s">
        <v>3054</v>
      </c>
      <c r="B3841" s="426" t="s">
        <v>3055</v>
      </c>
    </row>
    <row r="3842" spans="1:2" ht="15" hidden="1" x14ac:dyDescent="0.25">
      <c r="A3842" s="426" t="s">
        <v>3056</v>
      </c>
      <c r="B3842" s="426" t="s">
        <v>3057</v>
      </c>
    </row>
    <row r="3843" spans="1:2" ht="15" hidden="1" x14ac:dyDescent="0.25">
      <c r="A3843" s="426" t="s">
        <v>2310</v>
      </c>
      <c r="B3843" s="426" t="s">
        <v>2311</v>
      </c>
    </row>
    <row r="3844" spans="1:2" ht="15" hidden="1" x14ac:dyDescent="0.25">
      <c r="A3844" s="426" t="s">
        <v>2310</v>
      </c>
      <c r="B3844" s="426" t="s">
        <v>2311</v>
      </c>
    </row>
    <row r="3845" spans="1:2" ht="15" hidden="1" x14ac:dyDescent="0.25">
      <c r="A3845" s="426" t="s">
        <v>3058</v>
      </c>
      <c r="B3845" s="426" t="s">
        <v>3059</v>
      </c>
    </row>
    <row r="3846" spans="1:2" ht="15" hidden="1" x14ac:dyDescent="0.25">
      <c r="A3846" s="426" t="s">
        <v>3060</v>
      </c>
      <c r="B3846" s="426" t="s">
        <v>3061</v>
      </c>
    </row>
    <row r="3847" spans="1:2" ht="15" hidden="1" x14ac:dyDescent="0.25">
      <c r="A3847" s="426" t="s">
        <v>1790</v>
      </c>
      <c r="B3847" s="426" t="s">
        <v>1791</v>
      </c>
    </row>
    <row r="3848" spans="1:2" ht="15" hidden="1" x14ac:dyDescent="0.25">
      <c r="A3848" s="426" t="s">
        <v>1790</v>
      </c>
      <c r="B3848" s="426" t="s">
        <v>1791</v>
      </c>
    </row>
    <row r="3849" spans="1:2" ht="15" hidden="1" x14ac:dyDescent="0.25">
      <c r="A3849" s="426" t="s">
        <v>1792</v>
      </c>
      <c r="B3849" s="426" t="s">
        <v>1793</v>
      </c>
    </row>
    <row r="3850" spans="1:2" ht="15" hidden="1" x14ac:dyDescent="0.25">
      <c r="A3850" s="426" t="s">
        <v>1794</v>
      </c>
      <c r="B3850" s="426" t="s">
        <v>1795</v>
      </c>
    </row>
    <row r="3851" spans="1:2" ht="15" hidden="1" x14ac:dyDescent="0.25">
      <c r="A3851" s="426" t="s">
        <v>3062</v>
      </c>
      <c r="B3851" s="426" t="s">
        <v>3063</v>
      </c>
    </row>
    <row r="3852" spans="1:2" ht="15" hidden="1" x14ac:dyDescent="0.25">
      <c r="A3852" s="426" t="s">
        <v>1796</v>
      </c>
      <c r="B3852" s="426" t="s">
        <v>1797</v>
      </c>
    </row>
    <row r="3853" spans="1:2" ht="15" hidden="1" x14ac:dyDescent="0.25">
      <c r="A3853" s="426" t="s">
        <v>3064</v>
      </c>
      <c r="B3853" s="426" t="s">
        <v>3065</v>
      </c>
    </row>
    <row r="3854" spans="1:2" ht="15" hidden="1" x14ac:dyDescent="0.25">
      <c r="A3854" s="426" t="s">
        <v>3066</v>
      </c>
      <c r="B3854" s="426" t="s">
        <v>3067</v>
      </c>
    </row>
    <row r="3855" spans="1:2" ht="15" hidden="1" x14ac:dyDescent="0.25">
      <c r="A3855" s="426" t="s">
        <v>3068</v>
      </c>
      <c r="B3855" s="426" t="s">
        <v>3069</v>
      </c>
    </row>
    <row r="3856" spans="1:2" ht="15" hidden="1" x14ac:dyDescent="0.25">
      <c r="A3856" s="426" t="s">
        <v>1811</v>
      </c>
      <c r="B3856" s="426" t="s">
        <v>1812</v>
      </c>
    </row>
    <row r="3857" spans="1:2" ht="15" hidden="1" x14ac:dyDescent="0.25">
      <c r="A3857" s="426" t="s">
        <v>3070</v>
      </c>
      <c r="B3857" s="426" t="s">
        <v>3071</v>
      </c>
    </row>
    <row r="3858" spans="1:2" ht="15" hidden="1" x14ac:dyDescent="0.25">
      <c r="A3858" s="426" t="s">
        <v>2344</v>
      </c>
      <c r="B3858" s="426" t="s">
        <v>2345</v>
      </c>
    </row>
    <row r="3859" spans="1:2" ht="15" hidden="1" x14ac:dyDescent="0.25">
      <c r="A3859" s="426" t="s">
        <v>1813</v>
      </c>
      <c r="B3859" s="426" t="s">
        <v>1814</v>
      </c>
    </row>
    <row r="3860" spans="1:2" ht="15" hidden="1" x14ac:dyDescent="0.25">
      <c r="A3860" s="426" t="s">
        <v>3072</v>
      </c>
      <c r="B3860" s="426" t="s">
        <v>3073</v>
      </c>
    </row>
    <row r="3861" spans="1:2" ht="15" hidden="1" x14ac:dyDescent="0.25">
      <c r="A3861" s="426" t="s">
        <v>3072</v>
      </c>
      <c r="B3861" s="426" t="s">
        <v>3073</v>
      </c>
    </row>
    <row r="3862" spans="1:2" ht="15" hidden="1" x14ac:dyDescent="0.25">
      <c r="A3862" s="426" t="s">
        <v>2351</v>
      </c>
      <c r="B3862" s="426" t="s">
        <v>2352</v>
      </c>
    </row>
    <row r="3863" spans="1:2" ht="15" hidden="1" x14ac:dyDescent="0.25">
      <c r="A3863" s="426" t="s">
        <v>2351</v>
      </c>
      <c r="B3863" s="426" t="s">
        <v>2352</v>
      </c>
    </row>
    <row r="3864" spans="1:2" ht="15" hidden="1" x14ac:dyDescent="0.25">
      <c r="A3864" s="426" t="s">
        <v>3074</v>
      </c>
      <c r="B3864" s="426" t="s">
        <v>3075</v>
      </c>
    </row>
    <row r="3865" spans="1:2" ht="15" hidden="1" x14ac:dyDescent="0.25">
      <c r="A3865" s="426" t="s">
        <v>3074</v>
      </c>
      <c r="B3865" s="426" t="s">
        <v>3075</v>
      </c>
    </row>
    <row r="3866" spans="1:2" ht="15" hidden="1" x14ac:dyDescent="0.25">
      <c r="A3866" s="426" t="s">
        <v>3074</v>
      </c>
      <c r="B3866" s="426" t="s">
        <v>3075</v>
      </c>
    </row>
    <row r="3867" spans="1:2" ht="15" hidden="1" x14ac:dyDescent="0.25">
      <c r="A3867" s="426" t="s">
        <v>3076</v>
      </c>
      <c r="B3867" s="426" t="s">
        <v>3077</v>
      </c>
    </row>
  </sheetData>
  <autoFilter ref="A1:B3867" xr:uid="{00000000-0009-0000-0000-000001000000}">
    <filterColumn colId="0">
      <filters>
        <filter val="IVANEIDE SIQUEIRA DE ASSIS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19">
    <tabColor indexed="40"/>
  </sheetPr>
  <dimension ref="A1:BW174"/>
  <sheetViews>
    <sheetView showGridLines="0" topLeftCell="R1" zoomScale="80" zoomScaleNormal="80" workbookViewId="0">
      <selection activeCell="L166" sqref="L166:BU170"/>
    </sheetView>
  </sheetViews>
  <sheetFormatPr defaultColWidth="9.140625" defaultRowHeight="21.95" customHeight="1" x14ac:dyDescent="0.2"/>
  <cols>
    <col min="1" max="1" width="13" style="4" customWidth="1"/>
    <col min="2" max="2" width="22.140625" style="4" customWidth="1"/>
    <col min="3" max="3" width="5" style="5" customWidth="1"/>
    <col min="4" max="4" width="14.5703125" style="6" customWidth="1"/>
    <col min="5" max="5" width="9" style="6" customWidth="1"/>
    <col min="6" max="6" width="16.5703125" style="6" bestFit="1" customWidth="1"/>
    <col min="7" max="7" width="16.5703125" style="5" bestFit="1" customWidth="1"/>
    <col min="8" max="8" width="29.140625" style="4" customWidth="1"/>
    <col min="9" max="9" width="43.85546875" style="77" customWidth="1"/>
    <col min="10" max="10" width="13" style="4" bestFit="1" customWidth="1"/>
    <col min="11" max="11" width="8.5703125" style="4" customWidth="1"/>
    <col min="12" max="73" width="10.85546875" style="81" customWidth="1"/>
    <col min="74" max="74" width="10.7109375" style="4" bestFit="1" customWidth="1"/>
    <col min="75" max="75" width="11" style="4" bestFit="1" customWidth="1"/>
    <col min="76" max="16384" width="9.140625" style="4"/>
  </cols>
  <sheetData>
    <row r="1" spans="1:75" ht="21.95" customHeight="1" thickBot="1" x14ac:dyDescent="0.25">
      <c r="A1" s="634" t="str">
        <f>'APONTAMENTO CREDENCIAMENTO'!A1</f>
        <v>Freguesia / Brasilândia</v>
      </c>
      <c r="B1" s="634"/>
      <c r="C1" s="634"/>
      <c r="D1" s="634"/>
      <c r="E1" s="634"/>
      <c r="F1" s="634"/>
      <c r="G1" s="639" t="str">
        <f>'BASE C'!E4</f>
        <v>ABRIL</v>
      </c>
      <c r="H1" s="639"/>
      <c r="I1" s="630" t="s">
        <v>37</v>
      </c>
      <c r="J1" s="630"/>
      <c r="K1" s="7"/>
    </row>
    <row r="2" spans="1:75" s="76" customFormat="1" ht="21.95" customHeight="1" thickBot="1" x14ac:dyDescent="0.25">
      <c r="A2" s="634"/>
      <c r="B2" s="634"/>
      <c r="C2" s="634"/>
      <c r="D2" s="634"/>
      <c r="E2" s="634"/>
      <c r="F2" s="634"/>
      <c r="G2" s="640" t="s">
        <v>155</v>
      </c>
      <c r="H2" s="641"/>
      <c r="I2" s="630"/>
      <c r="J2" s="630"/>
      <c r="K2" s="7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  <c r="BM2" s="84"/>
      <c r="BN2" s="84"/>
      <c r="BO2" s="84"/>
      <c r="BP2" s="84"/>
      <c r="BQ2" s="84"/>
      <c r="BR2" s="84"/>
      <c r="BS2" s="84"/>
      <c r="BT2" s="84"/>
      <c r="BU2" s="84"/>
    </row>
    <row r="3" spans="1:75" s="8" customFormat="1" ht="21.95" customHeight="1" x14ac:dyDescent="0.2">
      <c r="B3" s="8">
        <f>A3+1</f>
        <v>1</v>
      </c>
      <c r="C3" s="8">
        <v>3</v>
      </c>
      <c r="D3" s="8">
        <v>3</v>
      </c>
      <c r="F3" s="8">
        <f>D3+1</f>
        <v>4</v>
      </c>
      <c r="G3" s="8">
        <v>5</v>
      </c>
      <c r="H3" s="76">
        <f>G3+1</f>
        <v>6</v>
      </c>
      <c r="I3" s="78">
        <f t="shared" ref="I3:K3" si="0">H3+1</f>
        <v>7</v>
      </c>
      <c r="J3" s="8">
        <f t="shared" si="0"/>
        <v>8</v>
      </c>
      <c r="K3" s="8">
        <f t="shared" si="0"/>
        <v>9</v>
      </c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2"/>
      <c r="BF3" s="82"/>
      <c r="BG3" s="82"/>
      <c r="BH3" s="82"/>
      <c r="BI3" s="82"/>
      <c r="BJ3" s="82"/>
      <c r="BK3" s="82"/>
      <c r="BL3" s="82"/>
      <c r="BM3" s="82"/>
      <c r="BN3" s="82"/>
      <c r="BO3" s="82"/>
      <c r="BP3" s="82"/>
      <c r="BQ3" s="82"/>
      <c r="BR3" s="82"/>
      <c r="BS3" s="82"/>
      <c r="BT3" s="82"/>
      <c r="BU3" s="82"/>
    </row>
    <row r="4" spans="1:75" s="61" customFormat="1" ht="51.75" customHeight="1" x14ac:dyDescent="0.2">
      <c r="A4" s="190" t="s">
        <v>11</v>
      </c>
      <c r="B4" s="190" t="s">
        <v>17</v>
      </c>
      <c r="C4" s="190" t="s">
        <v>0</v>
      </c>
      <c r="D4" s="190" t="s">
        <v>14</v>
      </c>
      <c r="E4" s="190" t="s">
        <v>40</v>
      </c>
      <c r="F4" s="642" t="s">
        <v>16</v>
      </c>
      <c r="G4" s="642"/>
      <c r="H4" s="191" t="s">
        <v>12</v>
      </c>
      <c r="I4" s="192" t="s">
        <v>41</v>
      </c>
      <c r="J4" s="193" t="s">
        <v>42</v>
      </c>
      <c r="K4" s="122" t="s">
        <v>43</v>
      </c>
      <c r="L4" s="637">
        <f>F5</f>
        <v>46113</v>
      </c>
      <c r="M4" s="638"/>
      <c r="N4" s="635">
        <f>L4+1</f>
        <v>46114</v>
      </c>
      <c r="O4" s="635"/>
      <c r="P4" s="635">
        <f>N4+1</f>
        <v>46115</v>
      </c>
      <c r="Q4" s="635"/>
      <c r="R4" s="635">
        <f>P4+1</f>
        <v>46116</v>
      </c>
      <c r="S4" s="635"/>
      <c r="T4" s="635">
        <f>R4+1</f>
        <v>46117</v>
      </c>
      <c r="U4" s="635"/>
      <c r="V4" s="635">
        <f>T4+1</f>
        <v>46118</v>
      </c>
      <c r="W4" s="635"/>
      <c r="X4" s="636">
        <f>V4+1</f>
        <v>46119</v>
      </c>
      <c r="Y4" s="636"/>
      <c r="Z4" s="636">
        <f>X4+1</f>
        <v>46120</v>
      </c>
      <c r="AA4" s="636"/>
      <c r="AB4" s="635">
        <f>Z4+1</f>
        <v>46121</v>
      </c>
      <c r="AC4" s="635"/>
      <c r="AD4" s="635">
        <f>AB4+1</f>
        <v>46122</v>
      </c>
      <c r="AE4" s="635"/>
      <c r="AF4" s="635">
        <f>AD4+1</f>
        <v>46123</v>
      </c>
      <c r="AG4" s="635"/>
      <c r="AH4" s="635">
        <f>AF4+1</f>
        <v>46124</v>
      </c>
      <c r="AI4" s="635"/>
      <c r="AJ4" s="635">
        <f>AH4+1</f>
        <v>46125</v>
      </c>
      <c r="AK4" s="635"/>
      <c r="AL4" s="636">
        <f>AJ4+1</f>
        <v>46126</v>
      </c>
      <c r="AM4" s="636"/>
      <c r="AN4" s="636">
        <f>AL4+1</f>
        <v>46127</v>
      </c>
      <c r="AO4" s="636"/>
      <c r="AP4" s="635">
        <f>AN4+1</f>
        <v>46128</v>
      </c>
      <c r="AQ4" s="635"/>
      <c r="AR4" s="635">
        <f>AP4+1</f>
        <v>46129</v>
      </c>
      <c r="AS4" s="635"/>
      <c r="AT4" s="635">
        <f>AR4+1</f>
        <v>46130</v>
      </c>
      <c r="AU4" s="635"/>
      <c r="AV4" s="635">
        <f>AT4+1</f>
        <v>46131</v>
      </c>
      <c r="AW4" s="635"/>
      <c r="AX4" s="635">
        <f>AV4+1</f>
        <v>46132</v>
      </c>
      <c r="AY4" s="635"/>
      <c r="AZ4" s="636">
        <f>AX4+1</f>
        <v>46133</v>
      </c>
      <c r="BA4" s="636"/>
      <c r="BB4" s="636">
        <f>AZ4+1</f>
        <v>46134</v>
      </c>
      <c r="BC4" s="636"/>
      <c r="BD4" s="635">
        <f>BB4+1</f>
        <v>46135</v>
      </c>
      <c r="BE4" s="635"/>
      <c r="BF4" s="635">
        <f>BD4+1</f>
        <v>46136</v>
      </c>
      <c r="BG4" s="635"/>
      <c r="BH4" s="635">
        <f>BF4+1</f>
        <v>46137</v>
      </c>
      <c r="BI4" s="635"/>
      <c r="BJ4" s="635">
        <f>BH4+1</f>
        <v>46138</v>
      </c>
      <c r="BK4" s="635"/>
      <c r="BL4" s="635">
        <f>BJ4+1</f>
        <v>46139</v>
      </c>
      <c r="BM4" s="635"/>
      <c r="BN4" s="636">
        <f>BL4+1</f>
        <v>46140</v>
      </c>
      <c r="BO4" s="636"/>
      <c r="BP4" s="636">
        <f t="shared" ref="BP4" si="1">BN4+1</f>
        <v>46141</v>
      </c>
      <c r="BQ4" s="636"/>
      <c r="BR4" s="635">
        <f t="shared" ref="BR4" si="2">BP4+1</f>
        <v>46142</v>
      </c>
      <c r="BS4" s="635"/>
      <c r="BT4" s="635"/>
      <c r="BU4" s="635"/>
      <c r="BV4" s="196" t="s">
        <v>135</v>
      </c>
      <c r="BW4" s="179" t="s">
        <v>136</v>
      </c>
    </row>
    <row r="5" spans="1:75" s="9" customFormat="1" ht="21.95" customHeight="1" thickBot="1" x14ac:dyDescent="0.25">
      <c r="A5" s="124"/>
      <c r="B5" s="125"/>
      <c r="C5" s="125"/>
      <c r="D5" s="125"/>
      <c r="E5" s="125"/>
      <c r="F5" s="285">
        <f>'VALORES TABELA'!$B$11</f>
        <v>46113</v>
      </c>
      <c r="G5" s="286">
        <f>'VALORES TABELA'!$C$11</f>
        <v>46142</v>
      </c>
      <c r="H5" s="126"/>
      <c r="I5" s="127"/>
      <c r="J5" s="128"/>
      <c r="K5" s="128"/>
      <c r="L5" s="194" t="s">
        <v>137</v>
      </c>
      <c r="M5" s="195" t="s">
        <v>138</v>
      </c>
      <c r="N5" s="194" t="s">
        <v>137</v>
      </c>
      <c r="O5" s="195" t="s">
        <v>138</v>
      </c>
      <c r="P5" s="194" t="s">
        <v>137</v>
      </c>
      <c r="Q5" s="195" t="s">
        <v>138</v>
      </c>
      <c r="R5" s="194" t="s">
        <v>137</v>
      </c>
      <c r="S5" s="195" t="s">
        <v>138</v>
      </c>
      <c r="T5" s="194" t="s">
        <v>137</v>
      </c>
      <c r="U5" s="195" t="s">
        <v>138</v>
      </c>
      <c r="V5" s="194" t="s">
        <v>137</v>
      </c>
      <c r="W5" s="195" t="s">
        <v>138</v>
      </c>
      <c r="X5" s="194" t="s">
        <v>137</v>
      </c>
      <c r="Y5" s="195" t="s">
        <v>138</v>
      </c>
      <c r="Z5" s="194" t="s">
        <v>137</v>
      </c>
      <c r="AA5" s="195" t="s">
        <v>138</v>
      </c>
      <c r="AB5" s="194" t="s">
        <v>137</v>
      </c>
      <c r="AC5" s="195" t="s">
        <v>138</v>
      </c>
      <c r="AD5" s="194" t="s">
        <v>137</v>
      </c>
      <c r="AE5" s="195" t="s">
        <v>138</v>
      </c>
      <c r="AF5" s="194" t="s">
        <v>137</v>
      </c>
      <c r="AG5" s="195" t="s">
        <v>138</v>
      </c>
      <c r="AH5" s="194" t="s">
        <v>137</v>
      </c>
      <c r="AI5" s="195" t="s">
        <v>138</v>
      </c>
      <c r="AJ5" s="194" t="s">
        <v>137</v>
      </c>
      <c r="AK5" s="195" t="s">
        <v>138</v>
      </c>
      <c r="AL5" s="194" t="s">
        <v>137</v>
      </c>
      <c r="AM5" s="195" t="s">
        <v>138</v>
      </c>
      <c r="AN5" s="194" t="s">
        <v>137</v>
      </c>
      <c r="AO5" s="195" t="s">
        <v>138</v>
      </c>
      <c r="AP5" s="194" t="s">
        <v>137</v>
      </c>
      <c r="AQ5" s="195" t="s">
        <v>138</v>
      </c>
      <c r="AR5" s="194" t="s">
        <v>137</v>
      </c>
      <c r="AS5" s="195" t="s">
        <v>138</v>
      </c>
      <c r="AT5" s="194" t="s">
        <v>137</v>
      </c>
      <c r="AU5" s="195" t="s">
        <v>138</v>
      </c>
      <c r="AV5" s="194" t="s">
        <v>137</v>
      </c>
      <c r="AW5" s="195" t="s">
        <v>138</v>
      </c>
      <c r="AX5" s="194" t="s">
        <v>137</v>
      </c>
      <c r="AY5" s="195" t="s">
        <v>138</v>
      </c>
      <c r="AZ5" s="194" t="s">
        <v>137</v>
      </c>
      <c r="BA5" s="195" t="s">
        <v>138</v>
      </c>
      <c r="BB5" s="194" t="s">
        <v>137</v>
      </c>
      <c r="BC5" s="195" t="s">
        <v>138</v>
      </c>
      <c r="BD5" s="194" t="s">
        <v>137</v>
      </c>
      <c r="BE5" s="195" t="s">
        <v>138</v>
      </c>
      <c r="BF5" s="194"/>
      <c r="BG5" s="195" t="s">
        <v>138</v>
      </c>
      <c r="BH5" s="194" t="s">
        <v>137</v>
      </c>
      <c r="BI5" s="195"/>
      <c r="BJ5" s="194" t="s">
        <v>137</v>
      </c>
      <c r="BK5" s="195" t="s">
        <v>138</v>
      </c>
      <c r="BL5" s="194" t="s">
        <v>137</v>
      </c>
      <c r="BM5" s="195" t="s">
        <v>138</v>
      </c>
      <c r="BN5" s="194" t="s">
        <v>137</v>
      </c>
      <c r="BO5" s="195" t="s">
        <v>138</v>
      </c>
      <c r="BP5" s="194" t="s">
        <v>137</v>
      </c>
      <c r="BQ5" s="195" t="s">
        <v>138</v>
      </c>
      <c r="BR5" s="194" t="s">
        <v>137</v>
      </c>
      <c r="BS5" s="195" t="s">
        <v>138</v>
      </c>
      <c r="BT5" s="194" t="s">
        <v>137</v>
      </c>
      <c r="BU5" s="195" t="s">
        <v>138</v>
      </c>
      <c r="BV5" s="180"/>
      <c r="BW5" s="180"/>
    </row>
    <row r="6" spans="1:75" s="62" customFormat="1" ht="21.95" customHeight="1" x14ac:dyDescent="0.25">
      <c r="A6" s="344" t="s">
        <v>3178</v>
      </c>
      <c r="B6" s="434" t="s">
        <v>3179</v>
      </c>
      <c r="C6" s="435">
        <v>1</v>
      </c>
      <c r="D6" s="436" t="s">
        <v>3180</v>
      </c>
      <c r="E6" s="345" t="s">
        <v>3181</v>
      </c>
      <c r="F6" s="437" t="s">
        <v>3165</v>
      </c>
      <c r="G6" s="437" t="s">
        <v>3166</v>
      </c>
      <c r="H6" s="438" t="s">
        <v>1272</v>
      </c>
      <c r="I6" s="303" t="s">
        <v>1272</v>
      </c>
      <c r="J6" s="273" t="s">
        <v>3167</v>
      </c>
      <c r="K6" s="274" t="s">
        <v>3168</v>
      </c>
      <c r="L6" s="321"/>
      <c r="M6" s="322"/>
      <c r="N6" s="321"/>
      <c r="O6" s="322"/>
      <c r="P6" s="321"/>
      <c r="Q6" s="322"/>
      <c r="R6" s="321"/>
      <c r="S6" s="322"/>
      <c r="T6" s="321"/>
      <c r="U6" s="322"/>
      <c r="V6" s="321"/>
      <c r="W6" s="322"/>
      <c r="X6" s="321"/>
      <c r="Y6" s="322"/>
      <c r="Z6" s="321"/>
      <c r="AA6" s="322"/>
      <c r="AB6" s="321"/>
      <c r="AC6" s="322"/>
      <c r="AD6" s="321"/>
      <c r="AE6" s="322"/>
      <c r="AF6" s="321"/>
      <c r="AG6" s="322"/>
      <c r="AH6" s="321"/>
      <c r="AI6" s="322"/>
      <c r="AJ6" s="321"/>
      <c r="AK6" s="322"/>
      <c r="AL6" s="321"/>
      <c r="AM6" s="322"/>
      <c r="AN6" s="321"/>
      <c r="AO6" s="322"/>
      <c r="AP6" s="321"/>
      <c r="AQ6" s="322"/>
      <c r="AR6" s="321"/>
      <c r="AS6" s="322"/>
      <c r="AT6" s="321"/>
      <c r="AU6" s="322"/>
      <c r="AV6" s="321"/>
      <c r="AW6" s="322"/>
      <c r="AX6" s="321"/>
      <c r="AY6" s="322"/>
      <c r="AZ6" s="321"/>
      <c r="BA6" s="322"/>
      <c r="BB6" s="321"/>
      <c r="BC6" s="322"/>
      <c r="BD6" s="321"/>
      <c r="BE6" s="322"/>
      <c r="BF6" s="321"/>
      <c r="BG6" s="322"/>
      <c r="BH6" s="321"/>
      <c r="BI6" s="322"/>
      <c r="BJ6" s="321"/>
      <c r="BK6" s="322"/>
      <c r="BL6" s="321"/>
      <c r="BM6" s="322"/>
      <c r="BN6" s="321"/>
      <c r="BO6" s="322"/>
      <c r="BP6" s="321"/>
      <c r="BQ6" s="322"/>
      <c r="BR6" s="321"/>
      <c r="BS6" s="322"/>
      <c r="BT6" s="321"/>
      <c r="BU6" s="322"/>
      <c r="BV6" s="264">
        <f>L6+N6+P6+R6+T6+V6+X6+Z6+AB6+AD6+AF6+AH6+AJ6+AL6+AN6+AP6+AR6+AT6+AV6+AX6+AZ6+BB6+BD6+BF6+BH6+BJ6+BL6+BN6+BP6+BR6+BT6</f>
        <v>0</v>
      </c>
      <c r="BW6" s="264">
        <f>M6+O6+Q6+S6+U6+W6+Y6+AA6+AC6+AE6+AG6+AI6+AK6+AM6+AO6+AQ6+AS6+AU6+AW6+AY6+BA6+BC6+BE6+BG6+BI6+BK6+BM6+BO6+BQ6+BS6+BU6</f>
        <v>0</v>
      </c>
    </row>
    <row r="7" spans="1:75" s="62" customFormat="1" ht="21.95" customHeight="1" x14ac:dyDescent="0.2">
      <c r="A7" s="304" t="s">
        <v>3178</v>
      </c>
      <c r="B7" s="305" t="s">
        <v>3179</v>
      </c>
      <c r="C7" s="272" t="s">
        <v>3175</v>
      </c>
      <c r="D7" s="306" t="s">
        <v>3180</v>
      </c>
      <c r="E7" s="307" t="s">
        <v>3181</v>
      </c>
      <c r="F7" s="308" t="s">
        <v>3165</v>
      </c>
      <c r="G7" s="308" t="s">
        <v>3166</v>
      </c>
      <c r="H7" s="309" t="s">
        <v>1272</v>
      </c>
      <c r="I7" s="310" t="s">
        <v>1272</v>
      </c>
      <c r="J7" s="273" t="s">
        <v>3167</v>
      </c>
      <c r="K7" s="273" t="s">
        <v>3169</v>
      </c>
      <c r="L7" s="319"/>
      <c r="M7" s="320"/>
      <c r="N7" s="319"/>
      <c r="O7" s="320"/>
      <c r="P7" s="319"/>
      <c r="Q7" s="320"/>
      <c r="R7" s="319"/>
      <c r="S7" s="320"/>
      <c r="T7" s="319"/>
      <c r="U7" s="320"/>
      <c r="V7" s="319"/>
      <c r="W7" s="320"/>
      <c r="X7" s="319"/>
      <c r="Y7" s="320"/>
      <c r="Z7" s="319"/>
      <c r="AA7" s="320"/>
      <c r="AB7" s="319"/>
      <c r="AC7" s="320"/>
      <c r="AD7" s="319"/>
      <c r="AE7" s="320"/>
      <c r="AF7" s="319"/>
      <c r="AG7" s="320"/>
      <c r="AH7" s="319"/>
      <c r="AI7" s="320"/>
      <c r="AJ7" s="319"/>
      <c r="AK7" s="320"/>
      <c r="AL7" s="319"/>
      <c r="AM7" s="320"/>
      <c r="AN7" s="319"/>
      <c r="AO7" s="320"/>
      <c r="AP7" s="319"/>
      <c r="AQ7" s="320"/>
      <c r="AR7" s="319"/>
      <c r="AS7" s="320"/>
      <c r="AT7" s="319"/>
      <c r="AU7" s="320"/>
      <c r="AV7" s="319"/>
      <c r="AW7" s="320"/>
      <c r="AX7" s="319"/>
      <c r="AY7" s="320"/>
      <c r="AZ7" s="319"/>
      <c r="BA7" s="320"/>
      <c r="BB7" s="319"/>
      <c r="BC7" s="320"/>
      <c r="BD7" s="319"/>
      <c r="BE7" s="320"/>
      <c r="BF7" s="319"/>
      <c r="BG7" s="320"/>
      <c r="BH7" s="319"/>
      <c r="BI7" s="320"/>
      <c r="BJ7" s="319"/>
      <c r="BK7" s="320"/>
      <c r="BL7" s="319"/>
      <c r="BM7" s="320"/>
      <c r="BN7" s="319"/>
      <c r="BO7" s="320"/>
      <c r="BP7" s="319"/>
      <c r="BQ7" s="320"/>
      <c r="BR7" s="319"/>
      <c r="BS7" s="320"/>
      <c r="BT7" s="319"/>
      <c r="BU7" s="320"/>
      <c r="BV7" s="264">
        <f t="shared" ref="BV7:BV10" si="3">L7+N7+P7+R7+T7+V7+X7+Z7+AB7+AD7+AF7+AH7+AJ7+AL7+AN7+AP7+AR7+AT7+AV7+AX7+AZ7+BB7+BD7+BF7+BH7+BJ7+BL7+BN7+BP7+BR7+BT7</f>
        <v>0</v>
      </c>
      <c r="BW7" s="264">
        <f t="shared" ref="BW7:BW10" si="4">M7+O7+Q7+S7+U7+W7+Y7+AA7+AC7+AE7+AG7+AI7+AK7+AM7+AO7+AQ7+AS7+AU7+AW7+AY7+BA7+BC7+BE7+BG7+BI7+BK7+BM7+BO7+BQ7+BS7+BU7</f>
        <v>0</v>
      </c>
    </row>
    <row r="8" spans="1:75" s="62" customFormat="1" ht="21.95" customHeight="1" x14ac:dyDescent="0.2">
      <c r="A8" s="304" t="s">
        <v>3178</v>
      </c>
      <c r="B8" s="305" t="s">
        <v>3179</v>
      </c>
      <c r="C8" s="311" t="s">
        <v>3175</v>
      </c>
      <c r="D8" s="306" t="s">
        <v>3180</v>
      </c>
      <c r="E8" s="307" t="s">
        <v>3181</v>
      </c>
      <c r="F8" s="308" t="s">
        <v>3165</v>
      </c>
      <c r="G8" s="308" t="s">
        <v>3166</v>
      </c>
      <c r="H8" s="309" t="s">
        <v>1272</v>
      </c>
      <c r="I8" s="310" t="s">
        <v>1272</v>
      </c>
      <c r="J8" s="273" t="s">
        <v>3167</v>
      </c>
      <c r="K8" s="275" t="s">
        <v>3170</v>
      </c>
      <c r="L8" s="319"/>
      <c r="M8" s="320"/>
      <c r="N8" s="319"/>
      <c r="O8" s="320"/>
      <c r="P8" s="319"/>
      <c r="Q8" s="320"/>
      <c r="R8" s="319"/>
      <c r="S8" s="320"/>
      <c r="T8" s="319"/>
      <c r="U8" s="320"/>
      <c r="V8" s="319"/>
      <c r="W8" s="320"/>
      <c r="X8" s="319"/>
      <c r="Y8" s="320"/>
      <c r="Z8" s="319"/>
      <c r="AA8" s="320"/>
      <c r="AB8" s="319"/>
      <c r="AC8" s="320"/>
      <c r="AD8" s="319"/>
      <c r="AE8" s="320"/>
      <c r="AF8" s="319"/>
      <c r="AG8" s="320"/>
      <c r="AH8" s="319"/>
      <c r="AI8" s="320"/>
      <c r="AJ8" s="319"/>
      <c r="AK8" s="320"/>
      <c r="AL8" s="319"/>
      <c r="AM8" s="320"/>
      <c r="AN8" s="319"/>
      <c r="AO8" s="320"/>
      <c r="AP8" s="319"/>
      <c r="AQ8" s="320"/>
      <c r="AR8" s="319"/>
      <c r="AS8" s="320"/>
      <c r="AT8" s="319"/>
      <c r="AU8" s="320"/>
      <c r="AV8" s="319"/>
      <c r="AW8" s="320"/>
      <c r="AX8" s="319"/>
      <c r="AY8" s="320"/>
      <c r="AZ8" s="319"/>
      <c r="BA8" s="320"/>
      <c r="BB8" s="319"/>
      <c r="BC8" s="320"/>
      <c r="BD8" s="319"/>
      <c r="BE8" s="320"/>
      <c r="BF8" s="319"/>
      <c r="BG8" s="320"/>
      <c r="BH8" s="319"/>
      <c r="BI8" s="320"/>
      <c r="BJ8" s="319"/>
      <c r="BK8" s="320"/>
      <c r="BL8" s="319"/>
      <c r="BM8" s="320"/>
      <c r="BN8" s="319"/>
      <c r="BO8" s="320"/>
      <c r="BP8" s="319"/>
      <c r="BQ8" s="320"/>
      <c r="BR8" s="319"/>
      <c r="BS8" s="320"/>
      <c r="BT8" s="319"/>
      <c r="BU8" s="320"/>
      <c r="BV8" s="264">
        <f t="shared" si="3"/>
        <v>0</v>
      </c>
      <c r="BW8" s="264">
        <f t="shared" si="4"/>
        <v>0</v>
      </c>
    </row>
    <row r="9" spans="1:75" s="62" customFormat="1" ht="21.95" customHeight="1" x14ac:dyDescent="0.2">
      <c r="A9" s="304" t="s">
        <v>3178</v>
      </c>
      <c r="B9" s="305" t="s">
        <v>3179</v>
      </c>
      <c r="C9" s="311" t="s">
        <v>3175</v>
      </c>
      <c r="D9" s="306" t="s">
        <v>3180</v>
      </c>
      <c r="E9" s="307" t="s">
        <v>3181</v>
      </c>
      <c r="F9" s="308" t="s">
        <v>3165</v>
      </c>
      <c r="G9" s="308" t="s">
        <v>3166</v>
      </c>
      <c r="H9" s="309" t="s">
        <v>1272</v>
      </c>
      <c r="I9" s="310" t="s">
        <v>1272</v>
      </c>
      <c r="J9" s="273" t="s">
        <v>3167</v>
      </c>
      <c r="K9" s="276" t="s">
        <v>3171</v>
      </c>
      <c r="L9" s="319"/>
      <c r="M9" s="320"/>
      <c r="N9" s="319"/>
      <c r="O9" s="320"/>
      <c r="P9" s="319"/>
      <c r="Q9" s="320"/>
      <c r="R9" s="319"/>
      <c r="S9" s="320"/>
      <c r="T9" s="319"/>
      <c r="U9" s="320"/>
      <c r="V9" s="319"/>
      <c r="W9" s="320"/>
      <c r="X9" s="319"/>
      <c r="Y9" s="320"/>
      <c r="Z9" s="319"/>
      <c r="AA9" s="320"/>
      <c r="AB9" s="319"/>
      <c r="AC9" s="320"/>
      <c r="AD9" s="319"/>
      <c r="AE9" s="320"/>
      <c r="AF9" s="319"/>
      <c r="AG9" s="320"/>
      <c r="AH9" s="319"/>
      <c r="AI9" s="320"/>
      <c r="AJ9" s="319"/>
      <c r="AK9" s="320"/>
      <c r="AL9" s="319"/>
      <c r="AM9" s="320"/>
      <c r="AN9" s="319"/>
      <c r="AO9" s="320"/>
      <c r="AP9" s="319"/>
      <c r="AQ9" s="320"/>
      <c r="AR9" s="319"/>
      <c r="AS9" s="320"/>
      <c r="AT9" s="319"/>
      <c r="AU9" s="320"/>
      <c r="AV9" s="319"/>
      <c r="AW9" s="320"/>
      <c r="AX9" s="319"/>
      <c r="AY9" s="320"/>
      <c r="AZ9" s="319"/>
      <c r="BA9" s="320"/>
      <c r="BB9" s="319"/>
      <c r="BC9" s="320"/>
      <c r="BD9" s="319"/>
      <c r="BE9" s="320"/>
      <c r="BF9" s="319"/>
      <c r="BG9" s="320"/>
      <c r="BH9" s="319"/>
      <c r="BI9" s="320"/>
      <c r="BJ9" s="319"/>
      <c r="BK9" s="320"/>
      <c r="BL9" s="319"/>
      <c r="BM9" s="320"/>
      <c r="BN9" s="319"/>
      <c r="BO9" s="320"/>
      <c r="BP9" s="319"/>
      <c r="BQ9" s="320"/>
      <c r="BR9" s="319"/>
      <c r="BS9" s="320"/>
      <c r="BT9" s="319"/>
      <c r="BU9" s="320"/>
      <c r="BV9" s="264">
        <f t="shared" si="3"/>
        <v>0</v>
      </c>
      <c r="BW9" s="264">
        <f t="shared" si="4"/>
        <v>0</v>
      </c>
    </row>
    <row r="10" spans="1:75" s="62" customFormat="1" ht="21.95" customHeight="1" thickBot="1" x14ac:dyDescent="0.25">
      <c r="A10" s="568" t="s">
        <v>3178</v>
      </c>
      <c r="B10" s="312" t="s">
        <v>3179</v>
      </c>
      <c r="C10" s="313" t="s">
        <v>3175</v>
      </c>
      <c r="D10" s="314" t="s">
        <v>3180</v>
      </c>
      <c r="E10" s="330" t="s">
        <v>3181</v>
      </c>
      <c r="F10" s="315" t="s">
        <v>3165</v>
      </c>
      <c r="G10" s="315" t="s">
        <v>3166</v>
      </c>
      <c r="H10" s="316" t="s">
        <v>1272</v>
      </c>
      <c r="I10" s="569" t="s">
        <v>1272</v>
      </c>
      <c r="J10" s="273" t="s">
        <v>3167</v>
      </c>
      <c r="K10" s="277" t="s">
        <v>53</v>
      </c>
      <c r="L10" s="321"/>
      <c r="M10" s="322"/>
      <c r="N10" s="321"/>
      <c r="O10" s="322"/>
      <c r="P10" s="321"/>
      <c r="Q10" s="322"/>
      <c r="R10" s="321"/>
      <c r="S10" s="322"/>
      <c r="T10" s="321"/>
      <c r="U10" s="322"/>
      <c r="V10" s="321"/>
      <c r="W10" s="322"/>
      <c r="X10" s="321"/>
      <c r="Y10" s="322"/>
      <c r="Z10" s="321"/>
      <c r="AA10" s="322"/>
      <c r="AB10" s="321"/>
      <c r="AC10" s="322"/>
      <c r="AD10" s="321"/>
      <c r="AE10" s="322"/>
      <c r="AF10" s="321"/>
      <c r="AG10" s="322"/>
      <c r="AH10" s="321"/>
      <c r="AI10" s="322"/>
      <c r="AJ10" s="321"/>
      <c r="AK10" s="322"/>
      <c r="AL10" s="321"/>
      <c r="AM10" s="322"/>
      <c r="AN10" s="321"/>
      <c r="AO10" s="322"/>
      <c r="AP10" s="321"/>
      <c r="AQ10" s="322"/>
      <c r="AR10" s="321"/>
      <c r="AS10" s="322"/>
      <c r="AT10" s="321"/>
      <c r="AU10" s="322"/>
      <c r="AV10" s="321"/>
      <c r="AW10" s="322"/>
      <c r="AX10" s="321"/>
      <c r="AY10" s="322"/>
      <c r="AZ10" s="321"/>
      <c r="BA10" s="322"/>
      <c r="BB10" s="321"/>
      <c r="BC10" s="322"/>
      <c r="BD10" s="321"/>
      <c r="BE10" s="322"/>
      <c r="BF10" s="321"/>
      <c r="BG10" s="322"/>
      <c r="BH10" s="321"/>
      <c r="BI10" s="322"/>
      <c r="BJ10" s="321"/>
      <c r="BK10" s="322"/>
      <c r="BL10" s="321"/>
      <c r="BM10" s="322"/>
      <c r="BN10" s="321"/>
      <c r="BO10" s="322"/>
      <c r="BP10" s="321"/>
      <c r="BQ10" s="322"/>
      <c r="BR10" s="321"/>
      <c r="BS10" s="322"/>
      <c r="BT10" s="321"/>
      <c r="BU10" s="322"/>
      <c r="BV10" s="264">
        <f t="shared" si="3"/>
        <v>0</v>
      </c>
      <c r="BW10" s="264">
        <f t="shared" si="4"/>
        <v>0</v>
      </c>
    </row>
    <row r="11" spans="1:75" s="62" customFormat="1" ht="21.95" customHeight="1" x14ac:dyDescent="0.25">
      <c r="A11" s="344" t="s">
        <v>3182</v>
      </c>
      <c r="B11" s="434" t="s">
        <v>3183</v>
      </c>
      <c r="C11" s="435">
        <v>4</v>
      </c>
      <c r="D11" s="436" t="s">
        <v>3184</v>
      </c>
      <c r="E11" s="345" t="s">
        <v>3185</v>
      </c>
      <c r="F11" s="437" t="s">
        <v>3165</v>
      </c>
      <c r="G11" s="437" t="s">
        <v>3166</v>
      </c>
      <c r="H11" s="438" t="s">
        <v>1275</v>
      </c>
      <c r="I11" s="303" t="s">
        <v>1275</v>
      </c>
      <c r="J11" s="273" t="s">
        <v>3167</v>
      </c>
      <c r="K11" s="274" t="s">
        <v>3168</v>
      </c>
      <c r="L11" s="321"/>
      <c r="M11" s="322"/>
      <c r="N11" s="321"/>
      <c r="O11" s="322"/>
      <c r="P11" s="321"/>
      <c r="Q11" s="322"/>
      <c r="R11" s="321"/>
      <c r="S11" s="322"/>
      <c r="T11" s="321"/>
      <c r="U11" s="322"/>
      <c r="V11" s="321"/>
      <c r="W11" s="322"/>
      <c r="X11" s="321"/>
      <c r="Y11" s="322"/>
      <c r="Z11" s="321"/>
      <c r="AA11" s="322"/>
      <c r="AB11" s="321"/>
      <c r="AC11" s="322"/>
      <c r="AD11" s="321"/>
      <c r="AE11" s="322"/>
      <c r="AF11" s="321"/>
      <c r="AG11" s="322"/>
      <c r="AH11" s="321"/>
      <c r="AI11" s="322"/>
      <c r="AJ11" s="321"/>
      <c r="AK11" s="322"/>
      <c r="AL11" s="321"/>
      <c r="AM11" s="322"/>
      <c r="AN11" s="321"/>
      <c r="AO11" s="322"/>
      <c r="AP11" s="321"/>
      <c r="AQ11" s="322"/>
      <c r="AR11" s="321"/>
      <c r="AS11" s="322"/>
      <c r="AT11" s="321"/>
      <c r="AU11" s="322"/>
      <c r="AV11" s="321"/>
      <c r="AW11" s="322"/>
      <c r="AX11" s="321"/>
      <c r="AY11" s="322"/>
      <c r="AZ11" s="321"/>
      <c r="BA11" s="322"/>
      <c r="BB11" s="321"/>
      <c r="BC11" s="322"/>
      <c r="BD11" s="321"/>
      <c r="BE11" s="322"/>
      <c r="BF11" s="321"/>
      <c r="BG11" s="322"/>
      <c r="BH11" s="321"/>
      <c r="BI11" s="322"/>
      <c r="BJ11" s="321"/>
      <c r="BK11" s="322"/>
      <c r="BL11" s="321"/>
      <c r="BM11" s="322"/>
      <c r="BN11" s="321"/>
      <c r="BO11" s="322"/>
      <c r="BP11" s="321"/>
      <c r="BQ11" s="322"/>
      <c r="BR11" s="321"/>
      <c r="BS11" s="322"/>
      <c r="BT11" s="321"/>
      <c r="BU11" s="322"/>
      <c r="BV11" s="264">
        <f>L11+N11+P11+R11+T11+V11+X11+Z11+AB11+AD11+AF11+AH11+AJ11+AL11+AN11+AP11+AR11+AT11+AV11+AX11+AZ11+BB11+BD11+BF11+BH11+BJ11+BL11+BN11+BP11+BR11+BT11</f>
        <v>0</v>
      </c>
      <c r="BW11" s="264">
        <f>M11+O11+Q11+S11+U11+W11+Y11+AA11+AC11+AE11+AG11+AI11+AK11+AM11+AO11+AQ11+AS11+AU11+AW11+AY11+BA11+BC11+BE11+BG11+BI11+BK11+BM11+BO11+BQ11+BS11+BU11</f>
        <v>0</v>
      </c>
    </row>
    <row r="12" spans="1:75" s="62" customFormat="1" ht="21.95" customHeight="1" x14ac:dyDescent="0.2">
      <c r="A12" s="304" t="s">
        <v>3182</v>
      </c>
      <c r="B12" s="305" t="s">
        <v>3183</v>
      </c>
      <c r="C12" s="272" t="s">
        <v>3176</v>
      </c>
      <c r="D12" s="306" t="s">
        <v>3184</v>
      </c>
      <c r="E12" s="307" t="s">
        <v>3185</v>
      </c>
      <c r="F12" s="308" t="s">
        <v>3165</v>
      </c>
      <c r="G12" s="308" t="s">
        <v>3166</v>
      </c>
      <c r="H12" s="309" t="s">
        <v>1275</v>
      </c>
      <c r="I12" s="310" t="s">
        <v>1275</v>
      </c>
      <c r="J12" s="273" t="s">
        <v>3167</v>
      </c>
      <c r="K12" s="273" t="s">
        <v>3169</v>
      </c>
      <c r="L12" s="319"/>
      <c r="M12" s="320"/>
      <c r="N12" s="319"/>
      <c r="O12" s="320"/>
      <c r="P12" s="319"/>
      <c r="Q12" s="320"/>
      <c r="R12" s="319"/>
      <c r="S12" s="320"/>
      <c r="T12" s="319"/>
      <c r="U12" s="320"/>
      <c r="V12" s="319"/>
      <c r="W12" s="320"/>
      <c r="X12" s="319"/>
      <c r="Y12" s="320"/>
      <c r="Z12" s="319"/>
      <c r="AA12" s="320"/>
      <c r="AB12" s="319"/>
      <c r="AC12" s="320"/>
      <c r="AD12" s="319"/>
      <c r="AE12" s="320"/>
      <c r="AF12" s="319"/>
      <c r="AG12" s="320"/>
      <c r="AH12" s="319"/>
      <c r="AI12" s="320"/>
      <c r="AJ12" s="319"/>
      <c r="AK12" s="320"/>
      <c r="AL12" s="319"/>
      <c r="AM12" s="320"/>
      <c r="AN12" s="319"/>
      <c r="AO12" s="320"/>
      <c r="AP12" s="319"/>
      <c r="AQ12" s="320"/>
      <c r="AR12" s="319"/>
      <c r="AS12" s="320"/>
      <c r="AT12" s="319"/>
      <c r="AU12" s="320"/>
      <c r="AV12" s="319"/>
      <c r="AW12" s="320"/>
      <c r="AX12" s="319"/>
      <c r="AY12" s="320"/>
      <c r="AZ12" s="319"/>
      <c r="BA12" s="320"/>
      <c r="BB12" s="319"/>
      <c r="BC12" s="320"/>
      <c r="BD12" s="319"/>
      <c r="BE12" s="320"/>
      <c r="BF12" s="319"/>
      <c r="BG12" s="320"/>
      <c r="BH12" s="319"/>
      <c r="BI12" s="320"/>
      <c r="BJ12" s="319"/>
      <c r="BK12" s="320"/>
      <c r="BL12" s="319"/>
      <c r="BM12" s="320"/>
      <c r="BN12" s="319"/>
      <c r="BO12" s="320"/>
      <c r="BP12" s="319"/>
      <c r="BQ12" s="320"/>
      <c r="BR12" s="319"/>
      <c r="BS12" s="320"/>
      <c r="BT12" s="319"/>
      <c r="BU12" s="320"/>
      <c r="BV12" s="264">
        <f t="shared" ref="BV12:BV15" si="5">L12+N12+P12+R12+T12+V12+X12+Z12+AB12+AD12+AF12+AH12+AJ12+AL12+AN12+AP12+AR12+AT12+AV12+AX12+AZ12+BB12+BD12+BF12+BH12+BJ12+BL12+BN12+BP12+BR12+BT12</f>
        <v>0</v>
      </c>
      <c r="BW12" s="264">
        <f t="shared" ref="BW12:BW15" si="6">M12+O12+Q12+S12+U12+W12+Y12+AA12+AC12+AE12+AG12+AI12+AK12+AM12+AO12+AQ12+AS12+AU12+AW12+AY12+BA12+BC12+BE12+BG12+BI12+BK12+BM12+BO12+BQ12+BS12+BU12</f>
        <v>0</v>
      </c>
    </row>
    <row r="13" spans="1:75" s="62" customFormat="1" ht="21.95" customHeight="1" x14ac:dyDescent="0.2">
      <c r="A13" s="304" t="s">
        <v>3182</v>
      </c>
      <c r="B13" s="305" t="s">
        <v>3183</v>
      </c>
      <c r="C13" s="311" t="s">
        <v>3176</v>
      </c>
      <c r="D13" s="306" t="s">
        <v>3184</v>
      </c>
      <c r="E13" s="307" t="s">
        <v>3185</v>
      </c>
      <c r="F13" s="308" t="s">
        <v>3165</v>
      </c>
      <c r="G13" s="308" t="s">
        <v>3166</v>
      </c>
      <c r="H13" s="309" t="s">
        <v>1275</v>
      </c>
      <c r="I13" s="310" t="s">
        <v>1275</v>
      </c>
      <c r="J13" s="273" t="s">
        <v>3167</v>
      </c>
      <c r="K13" s="275" t="s">
        <v>3170</v>
      </c>
      <c r="L13" s="319"/>
      <c r="M13" s="320"/>
      <c r="N13" s="319">
        <v>3</v>
      </c>
      <c r="O13" s="320"/>
      <c r="P13" s="319"/>
      <c r="Q13" s="320"/>
      <c r="R13" s="319"/>
      <c r="S13" s="320"/>
      <c r="T13" s="319"/>
      <c r="U13" s="320"/>
      <c r="V13" s="319"/>
      <c r="W13" s="320"/>
      <c r="X13" s="319">
        <v>3</v>
      </c>
      <c r="Y13" s="320"/>
      <c r="Z13" s="319"/>
      <c r="AA13" s="320"/>
      <c r="AB13" s="319">
        <v>3</v>
      </c>
      <c r="AC13" s="320"/>
      <c r="AD13" s="319"/>
      <c r="AE13" s="320"/>
      <c r="AF13" s="319"/>
      <c r="AG13" s="320"/>
      <c r="AH13" s="319"/>
      <c r="AI13" s="320"/>
      <c r="AJ13" s="319"/>
      <c r="AK13" s="320"/>
      <c r="AL13" s="319">
        <v>3</v>
      </c>
      <c r="AM13" s="320"/>
      <c r="AN13" s="319"/>
      <c r="AO13" s="320"/>
      <c r="AP13" s="319">
        <v>3</v>
      </c>
      <c r="AQ13" s="320"/>
      <c r="AR13" s="319"/>
      <c r="AS13" s="320"/>
      <c r="AT13" s="319"/>
      <c r="AU13" s="320"/>
      <c r="AV13" s="319"/>
      <c r="AW13" s="320"/>
      <c r="AX13" s="319"/>
      <c r="AY13" s="320"/>
      <c r="AZ13" s="319"/>
      <c r="BA13" s="320"/>
      <c r="BB13" s="319"/>
      <c r="BC13" s="320"/>
      <c r="BD13" s="319">
        <v>3</v>
      </c>
      <c r="BE13" s="320"/>
      <c r="BF13" s="319"/>
      <c r="BG13" s="320"/>
      <c r="BH13" s="319"/>
      <c r="BI13" s="320"/>
      <c r="BJ13" s="319"/>
      <c r="BK13" s="320"/>
      <c r="BL13" s="319"/>
      <c r="BM13" s="320"/>
      <c r="BN13" s="319">
        <v>3</v>
      </c>
      <c r="BO13" s="320"/>
      <c r="BP13" s="319"/>
      <c r="BQ13" s="320"/>
      <c r="BR13" s="319">
        <v>3</v>
      </c>
      <c r="BS13" s="320"/>
      <c r="BT13" s="319"/>
      <c r="BU13" s="320"/>
      <c r="BV13" s="264">
        <f t="shared" si="5"/>
        <v>24</v>
      </c>
      <c r="BW13" s="264">
        <f t="shared" si="6"/>
        <v>0</v>
      </c>
    </row>
    <row r="14" spans="1:75" s="62" customFormat="1" ht="21.95" customHeight="1" x14ac:dyDescent="0.2">
      <c r="A14" s="304" t="s">
        <v>3182</v>
      </c>
      <c r="B14" s="305" t="s">
        <v>3183</v>
      </c>
      <c r="C14" s="311" t="s">
        <v>3176</v>
      </c>
      <c r="D14" s="306" t="s">
        <v>3184</v>
      </c>
      <c r="E14" s="307" t="s">
        <v>3185</v>
      </c>
      <c r="F14" s="308" t="s">
        <v>3165</v>
      </c>
      <c r="G14" s="308" t="s">
        <v>3166</v>
      </c>
      <c r="H14" s="309" t="s">
        <v>1275</v>
      </c>
      <c r="I14" s="310" t="s">
        <v>1275</v>
      </c>
      <c r="J14" s="273" t="s">
        <v>3167</v>
      </c>
      <c r="K14" s="276" t="s">
        <v>3171</v>
      </c>
      <c r="L14" s="319"/>
      <c r="M14" s="320"/>
      <c r="N14" s="319"/>
      <c r="O14" s="320"/>
      <c r="P14" s="319"/>
      <c r="Q14" s="320"/>
      <c r="R14" s="319"/>
      <c r="S14" s="320"/>
      <c r="T14" s="319"/>
      <c r="U14" s="320"/>
      <c r="V14" s="319"/>
      <c r="W14" s="320"/>
      <c r="X14" s="319"/>
      <c r="Y14" s="320"/>
      <c r="Z14" s="319"/>
      <c r="AA14" s="320"/>
      <c r="AB14" s="319"/>
      <c r="AC14" s="320"/>
      <c r="AD14" s="319"/>
      <c r="AE14" s="320"/>
      <c r="AF14" s="319"/>
      <c r="AG14" s="320"/>
      <c r="AH14" s="319"/>
      <c r="AI14" s="320"/>
      <c r="AJ14" s="319"/>
      <c r="AK14" s="320"/>
      <c r="AL14" s="319"/>
      <c r="AM14" s="320"/>
      <c r="AN14" s="319"/>
      <c r="AO14" s="320"/>
      <c r="AP14" s="319"/>
      <c r="AQ14" s="320"/>
      <c r="AR14" s="319"/>
      <c r="AS14" s="320"/>
      <c r="AT14" s="319"/>
      <c r="AU14" s="320"/>
      <c r="AV14" s="319"/>
      <c r="AW14" s="320"/>
      <c r="AX14" s="319"/>
      <c r="AY14" s="320"/>
      <c r="AZ14" s="319"/>
      <c r="BA14" s="320"/>
      <c r="BB14" s="319"/>
      <c r="BC14" s="320"/>
      <c r="BD14" s="319"/>
      <c r="BE14" s="320"/>
      <c r="BF14" s="319"/>
      <c r="BG14" s="320"/>
      <c r="BH14" s="319"/>
      <c r="BI14" s="320"/>
      <c r="BJ14" s="319"/>
      <c r="BK14" s="320"/>
      <c r="BL14" s="319"/>
      <c r="BM14" s="320"/>
      <c r="BN14" s="319"/>
      <c r="BO14" s="320"/>
      <c r="BP14" s="319"/>
      <c r="BQ14" s="320"/>
      <c r="BR14" s="319"/>
      <c r="BS14" s="320"/>
      <c r="BT14" s="319"/>
      <c r="BU14" s="320"/>
      <c r="BV14" s="264">
        <f t="shared" si="5"/>
        <v>0</v>
      </c>
      <c r="BW14" s="264">
        <f t="shared" si="6"/>
        <v>0</v>
      </c>
    </row>
    <row r="15" spans="1:75" s="62" customFormat="1" ht="21.95" customHeight="1" thickBot="1" x14ac:dyDescent="0.25">
      <c r="A15" s="568" t="s">
        <v>3182</v>
      </c>
      <c r="B15" s="312" t="s">
        <v>3183</v>
      </c>
      <c r="C15" s="313" t="s">
        <v>3176</v>
      </c>
      <c r="D15" s="314" t="s">
        <v>3184</v>
      </c>
      <c r="E15" s="330" t="s">
        <v>3185</v>
      </c>
      <c r="F15" s="315" t="s">
        <v>3165</v>
      </c>
      <c r="G15" s="315" t="s">
        <v>3166</v>
      </c>
      <c r="H15" s="316" t="s">
        <v>1275</v>
      </c>
      <c r="I15" s="569" t="s">
        <v>1275</v>
      </c>
      <c r="J15" s="273" t="s">
        <v>3167</v>
      </c>
      <c r="K15" s="277" t="s">
        <v>53</v>
      </c>
      <c r="L15" s="321"/>
      <c r="M15" s="322"/>
      <c r="N15" s="321"/>
      <c r="O15" s="322"/>
      <c r="P15" s="321"/>
      <c r="Q15" s="322"/>
      <c r="R15" s="321"/>
      <c r="S15" s="322"/>
      <c r="T15" s="321"/>
      <c r="U15" s="322"/>
      <c r="V15" s="321"/>
      <c r="W15" s="322"/>
      <c r="X15" s="321"/>
      <c r="Y15" s="322"/>
      <c r="Z15" s="321"/>
      <c r="AA15" s="322"/>
      <c r="AB15" s="321"/>
      <c r="AC15" s="322"/>
      <c r="AD15" s="321"/>
      <c r="AE15" s="322"/>
      <c r="AF15" s="321"/>
      <c r="AG15" s="322"/>
      <c r="AH15" s="321"/>
      <c r="AI15" s="322"/>
      <c r="AJ15" s="321"/>
      <c r="AK15" s="322"/>
      <c r="AL15" s="321"/>
      <c r="AM15" s="322"/>
      <c r="AN15" s="321"/>
      <c r="AO15" s="322"/>
      <c r="AP15" s="321"/>
      <c r="AQ15" s="322"/>
      <c r="AR15" s="321"/>
      <c r="AS15" s="322"/>
      <c r="AT15" s="321"/>
      <c r="AU15" s="322"/>
      <c r="AV15" s="321"/>
      <c r="AW15" s="322"/>
      <c r="AX15" s="321"/>
      <c r="AY15" s="322"/>
      <c r="AZ15" s="321"/>
      <c r="BA15" s="322"/>
      <c r="BB15" s="321"/>
      <c r="BC15" s="322"/>
      <c r="BD15" s="321"/>
      <c r="BE15" s="322"/>
      <c r="BF15" s="321"/>
      <c r="BG15" s="322"/>
      <c r="BH15" s="321"/>
      <c r="BI15" s="322"/>
      <c r="BJ15" s="321"/>
      <c r="BK15" s="322"/>
      <c r="BL15" s="321"/>
      <c r="BM15" s="322"/>
      <c r="BN15" s="321"/>
      <c r="BO15" s="322"/>
      <c r="BP15" s="321"/>
      <c r="BQ15" s="322"/>
      <c r="BR15" s="321"/>
      <c r="BS15" s="322"/>
      <c r="BT15" s="321"/>
      <c r="BU15" s="322"/>
      <c r="BV15" s="264">
        <f t="shared" si="5"/>
        <v>0</v>
      </c>
      <c r="BW15" s="264">
        <f t="shared" si="6"/>
        <v>0</v>
      </c>
    </row>
    <row r="16" spans="1:75" s="62" customFormat="1" ht="21.95" customHeight="1" x14ac:dyDescent="0.25">
      <c r="A16" s="344" t="s">
        <v>3186</v>
      </c>
      <c r="B16" s="434" t="s">
        <v>3187</v>
      </c>
      <c r="C16" s="435">
        <v>1</v>
      </c>
      <c r="D16" s="436" t="s">
        <v>3188</v>
      </c>
      <c r="E16" s="345" t="s">
        <v>3189</v>
      </c>
      <c r="F16" s="437" t="s">
        <v>3165</v>
      </c>
      <c r="G16" s="437" t="s">
        <v>3166</v>
      </c>
      <c r="H16" s="438" t="s">
        <v>1276</v>
      </c>
      <c r="I16" s="303" t="s">
        <v>1276</v>
      </c>
      <c r="J16" s="273" t="s">
        <v>3167</v>
      </c>
      <c r="K16" s="274" t="s">
        <v>3168</v>
      </c>
      <c r="L16" s="321"/>
      <c r="M16" s="322"/>
      <c r="N16" s="321"/>
      <c r="O16" s="322"/>
      <c r="P16" s="321"/>
      <c r="Q16" s="322"/>
      <c r="R16" s="321"/>
      <c r="S16" s="322"/>
      <c r="T16" s="321"/>
      <c r="U16" s="322"/>
      <c r="V16" s="321"/>
      <c r="W16" s="322"/>
      <c r="X16" s="321"/>
      <c r="Y16" s="322"/>
      <c r="Z16" s="321"/>
      <c r="AA16" s="322"/>
      <c r="AB16" s="321"/>
      <c r="AC16" s="322"/>
      <c r="AD16" s="321"/>
      <c r="AE16" s="322"/>
      <c r="AF16" s="321"/>
      <c r="AG16" s="322"/>
      <c r="AH16" s="321"/>
      <c r="AI16" s="322"/>
      <c r="AJ16" s="321"/>
      <c r="AK16" s="322"/>
      <c r="AL16" s="321"/>
      <c r="AM16" s="322"/>
      <c r="AN16" s="321"/>
      <c r="AO16" s="322"/>
      <c r="AP16" s="321"/>
      <c r="AQ16" s="322"/>
      <c r="AR16" s="321"/>
      <c r="AS16" s="322"/>
      <c r="AT16" s="321"/>
      <c r="AU16" s="322"/>
      <c r="AV16" s="321"/>
      <c r="AW16" s="322"/>
      <c r="AX16" s="321"/>
      <c r="AY16" s="322"/>
      <c r="AZ16" s="321"/>
      <c r="BA16" s="322"/>
      <c r="BB16" s="321"/>
      <c r="BC16" s="322"/>
      <c r="BD16" s="321"/>
      <c r="BE16" s="322"/>
      <c r="BF16" s="321"/>
      <c r="BG16" s="322"/>
      <c r="BH16" s="321"/>
      <c r="BI16" s="322"/>
      <c r="BJ16" s="321"/>
      <c r="BK16" s="322"/>
      <c r="BL16" s="321"/>
      <c r="BM16" s="322"/>
      <c r="BN16" s="321"/>
      <c r="BO16" s="322"/>
      <c r="BP16" s="321"/>
      <c r="BQ16" s="322"/>
      <c r="BR16" s="321"/>
      <c r="BS16" s="322"/>
      <c r="BT16" s="321"/>
      <c r="BU16" s="322"/>
      <c r="BV16" s="264">
        <f>L16+N16+P16+R16+T16+V16+X16+Z16+AB16+AD16+AF16+AH16+AJ16+AL16+AN16+AP16+AR16+AT16+AV16+AX16+AZ16+BB16+BD16+BF16+BH16+BJ16+BL16+BN16+BP16+BR16+BT16</f>
        <v>0</v>
      </c>
      <c r="BW16" s="264">
        <f>M16+O16+Q16+S16+U16+W16+Y16+AA16+AC16+AE16+AG16+AI16+AK16+AM16+AO16+AQ16+AS16+AU16+AW16+AY16+BA16+BC16+BE16+BG16+BI16+BK16+BM16+BO16+BQ16+BS16+BU16</f>
        <v>0</v>
      </c>
    </row>
    <row r="17" spans="1:75" s="62" customFormat="1" ht="21.95" customHeight="1" x14ac:dyDescent="0.2">
      <c r="A17" s="304" t="s">
        <v>3186</v>
      </c>
      <c r="B17" s="305" t="s">
        <v>3187</v>
      </c>
      <c r="C17" s="272" t="s">
        <v>3175</v>
      </c>
      <c r="D17" s="306" t="s">
        <v>3188</v>
      </c>
      <c r="E17" s="307" t="s">
        <v>3189</v>
      </c>
      <c r="F17" s="308" t="s">
        <v>3165</v>
      </c>
      <c r="G17" s="308" t="s">
        <v>3166</v>
      </c>
      <c r="H17" s="309" t="s">
        <v>1276</v>
      </c>
      <c r="I17" s="310" t="s">
        <v>1276</v>
      </c>
      <c r="J17" s="273" t="s">
        <v>3167</v>
      </c>
      <c r="K17" s="273" t="s">
        <v>3169</v>
      </c>
      <c r="L17" s="319"/>
      <c r="M17" s="320"/>
      <c r="N17" s="319"/>
      <c r="O17" s="320"/>
      <c r="P17" s="319"/>
      <c r="Q17" s="320"/>
      <c r="R17" s="319"/>
      <c r="S17" s="320"/>
      <c r="T17" s="319"/>
      <c r="U17" s="320"/>
      <c r="V17" s="319"/>
      <c r="W17" s="320"/>
      <c r="X17" s="319"/>
      <c r="Y17" s="320"/>
      <c r="Z17" s="319"/>
      <c r="AA17" s="320"/>
      <c r="AB17" s="319"/>
      <c r="AC17" s="320"/>
      <c r="AD17" s="319">
        <v>3</v>
      </c>
      <c r="AE17" s="320"/>
      <c r="AF17" s="319"/>
      <c r="AG17" s="320"/>
      <c r="AH17" s="319"/>
      <c r="AI17" s="320"/>
      <c r="AJ17" s="319"/>
      <c r="AK17" s="320"/>
      <c r="AL17" s="319"/>
      <c r="AM17" s="320"/>
      <c r="AN17" s="319"/>
      <c r="AO17" s="320"/>
      <c r="AP17" s="319"/>
      <c r="AQ17" s="320"/>
      <c r="AR17" s="319">
        <v>3</v>
      </c>
      <c r="AS17" s="320"/>
      <c r="AT17" s="319"/>
      <c r="AU17" s="320"/>
      <c r="AV17" s="319"/>
      <c r="AW17" s="320"/>
      <c r="AX17" s="319"/>
      <c r="AY17" s="320"/>
      <c r="AZ17" s="319"/>
      <c r="BA17" s="320"/>
      <c r="BB17" s="319"/>
      <c r="BC17" s="320"/>
      <c r="BD17" s="319"/>
      <c r="BE17" s="320"/>
      <c r="BF17" s="319">
        <v>3</v>
      </c>
      <c r="BG17" s="320"/>
      <c r="BH17" s="319"/>
      <c r="BI17" s="320"/>
      <c r="BJ17" s="319"/>
      <c r="BK17" s="320"/>
      <c r="BL17" s="319"/>
      <c r="BM17" s="320"/>
      <c r="BN17" s="319"/>
      <c r="BO17" s="320"/>
      <c r="BP17" s="319"/>
      <c r="BQ17" s="320"/>
      <c r="BR17" s="319"/>
      <c r="BS17" s="320"/>
      <c r="BT17" s="319"/>
      <c r="BU17" s="320"/>
      <c r="BV17" s="264">
        <f t="shared" ref="BV17:BV20" si="7">L17+N17+P17+R17+T17+V17+X17+Z17+AB17+AD17+AF17+AH17+AJ17+AL17+AN17+AP17+AR17+AT17+AV17+AX17+AZ17+BB17+BD17+BF17+BH17+BJ17+BL17+BN17+BP17+BR17+BT17</f>
        <v>9</v>
      </c>
      <c r="BW17" s="264">
        <f t="shared" ref="BW17:BW20" si="8">M17+O17+Q17+S17+U17+W17+Y17+AA17+AC17+AE17+AG17+AI17+AK17+AM17+AO17+AQ17+AS17+AU17+AW17+AY17+BA17+BC17+BE17+BG17+BI17+BK17+BM17+BO17+BQ17+BS17+BU17</f>
        <v>0</v>
      </c>
    </row>
    <row r="18" spans="1:75" s="62" customFormat="1" ht="21.95" customHeight="1" x14ac:dyDescent="0.2">
      <c r="A18" s="304" t="s">
        <v>3186</v>
      </c>
      <c r="B18" s="305" t="s">
        <v>3187</v>
      </c>
      <c r="C18" s="311" t="s">
        <v>3175</v>
      </c>
      <c r="D18" s="306" t="s">
        <v>3188</v>
      </c>
      <c r="E18" s="307" t="s">
        <v>3189</v>
      </c>
      <c r="F18" s="308" t="s">
        <v>3165</v>
      </c>
      <c r="G18" s="308" t="s">
        <v>3166</v>
      </c>
      <c r="H18" s="309" t="s">
        <v>1276</v>
      </c>
      <c r="I18" s="310" t="s">
        <v>1276</v>
      </c>
      <c r="J18" s="273" t="s">
        <v>3167</v>
      </c>
      <c r="K18" s="275" t="s">
        <v>3170</v>
      </c>
      <c r="L18" s="319"/>
      <c r="M18" s="320"/>
      <c r="N18" s="319"/>
      <c r="O18" s="320"/>
      <c r="P18" s="319"/>
      <c r="Q18" s="320"/>
      <c r="R18" s="319"/>
      <c r="S18" s="320"/>
      <c r="T18" s="319"/>
      <c r="U18" s="320"/>
      <c r="V18" s="319"/>
      <c r="W18" s="320"/>
      <c r="X18" s="319"/>
      <c r="Y18" s="320"/>
      <c r="Z18" s="319"/>
      <c r="AA18" s="320"/>
      <c r="AB18" s="319"/>
      <c r="AC18" s="320"/>
      <c r="AD18" s="319"/>
      <c r="AE18" s="320"/>
      <c r="AF18" s="319"/>
      <c r="AG18" s="320"/>
      <c r="AH18" s="319"/>
      <c r="AI18" s="320"/>
      <c r="AJ18" s="319"/>
      <c r="AK18" s="320"/>
      <c r="AL18" s="319"/>
      <c r="AM18" s="320"/>
      <c r="AN18" s="319"/>
      <c r="AO18" s="320"/>
      <c r="AP18" s="319"/>
      <c r="AQ18" s="320"/>
      <c r="AR18" s="319"/>
      <c r="AS18" s="320"/>
      <c r="AT18" s="319"/>
      <c r="AU18" s="320"/>
      <c r="AV18" s="319"/>
      <c r="AW18" s="320"/>
      <c r="AX18" s="319"/>
      <c r="AY18" s="320"/>
      <c r="AZ18" s="319"/>
      <c r="BA18" s="320"/>
      <c r="BB18" s="319"/>
      <c r="BC18" s="320"/>
      <c r="BD18" s="319"/>
      <c r="BE18" s="320"/>
      <c r="BF18" s="319"/>
      <c r="BG18" s="320"/>
      <c r="BH18" s="319"/>
      <c r="BI18" s="320"/>
      <c r="BJ18" s="319"/>
      <c r="BK18" s="320"/>
      <c r="BL18" s="319"/>
      <c r="BM18" s="320"/>
      <c r="BN18" s="319"/>
      <c r="BO18" s="320"/>
      <c r="BP18" s="319"/>
      <c r="BQ18" s="320"/>
      <c r="BR18" s="319"/>
      <c r="BS18" s="320"/>
      <c r="BT18" s="319"/>
      <c r="BU18" s="320"/>
      <c r="BV18" s="264">
        <f t="shared" si="7"/>
        <v>0</v>
      </c>
      <c r="BW18" s="264">
        <f t="shared" si="8"/>
        <v>0</v>
      </c>
    </row>
    <row r="19" spans="1:75" s="62" customFormat="1" ht="21.95" customHeight="1" x14ac:dyDescent="0.2">
      <c r="A19" s="304" t="s">
        <v>3186</v>
      </c>
      <c r="B19" s="305" t="s">
        <v>3187</v>
      </c>
      <c r="C19" s="311" t="s">
        <v>3175</v>
      </c>
      <c r="D19" s="306" t="s">
        <v>3188</v>
      </c>
      <c r="E19" s="307" t="s">
        <v>3189</v>
      </c>
      <c r="F19" s="308" t="s">
        <v>3165</v>
      </c>
      <c r="G19" s="308" t="s">
        <v>3166</v>
      </c>
      <c r="H19" s="309" t="s">
        <v>1276</v>
      </c>
      <c r="I19" s="310" t="s">
        <v>1276</v>
      </c>
      <c r="J19" s="273" t="s">
        <v>3167</v>
      </c>
      <c r="K19" s="276" t="s">
        <v>3171</v>
      </c>
      <c r="L19" s="319"/>
      <c r="M19" s="320"/>
      <c r="N19" s="319"/>
      <c r="O19" s="320"/>
      <c r="P19" s="319"/>
      <c r="Q19" s="320"/>
      <c r="R19" s="319"/>
      <c r="S19" s="320"/>
      <c r="T19" s="319"/>
      <c r="U19" s="320"/>
      <c r="V19" s="319"/>
      <c r="W19" s="320"/>
      <c r="X19" s="319"/>
      <c r="Y19" s="320"/>
      <c r="Z19" s="319"/>
      <c r="AA19" s="320"/>
      <c r="AB19" s="319"/>
      <c r="AC19" s="320"/>
      <c r="AD19" s="319"/>
      <c r="AE19" s="320"/>
      <c r="AF19" s="319"/>
      <c r="AG19" s="320"/>
      <c r="AH19" s="319"/>
      <c r="AI19" s="320"/>
      <c r="AJ19" s="319"/>
      <c r="AK19" s="320"/>
      <c r="AL19" s="319"/>
      <c r="AM19" s="320"/>
      <c r="AN19" s="319"/>
      <c r="AO19" s="320"/>
      <c r="AP19" s="319"/>
      <c r="AQ19" s="320"/>
      <c r="AR19" s="319"/>
      <c r="AS19" s="320"/>
      <c r="AT19" s="319"/>
      <c r="AU19" s="320"/>
      <c r="AV19" s="319"/>
      <c r="AW19" s="320"/>
      <c r="AX19" s="319"/>
      <c r="AY19" s="320"/>
      <c r="AZ19" s="319"/>
      <c r="BA19" s="320"/>
      <c r="BB19" s="319"/>
      <c r="BC19" s="320"/>
      <c r="BD19" s="319"/>
      <c r="BE19" s="320"/>
      <c r="BF19" s="319"/>
      <c r="BG19" s="320"/>
      <c r="BH19" s="319"/>
      <c r="BI19" s="320"/>
      <c r="BJ19" s="319"/>
      <c r="BK19" s="320"/>
      <c r="BL19" s="319"/>
      <c r="BM19" s="320"/>
      <c r="BN19" s="319"/>
      <c r="BO19" s="320"/>
      <c r="BP19" s="319"/>
      <c r="BQ19" s="320"/>
      <c r="BR19" s="319"/>
      <c r="BS19" s="320"/>
      <c r="BT19" s="319"/>
      <c r="BU19" s="320"/>
      <c r="BV19" s="264">
        <f t="shared" si="7"/>
        <v>0</v>
      </c>
      <c r="BW19" s="264">
        <f t="shared" si="8"/>
        <v>0</v>
      </c>
    </row>
    <row r="20" spans="1:75" s="62" customFormat="1" ht="21.95" customHeight="1" thickBot="1" x14ac:dyDescent="0.25">
      <c r="A20" s="568" t="s">
        <v>3186</v>
      </c>
      <c r="B20" s="312" t="s">
        <v>3187</v>
      </c>
      <c r="C20" s="313" t="s">
        <v>3175</v>
      </c>
      <c r="D20" s="314" t="s">
        <v>3188</v>
      </c>
      <c r="E20" s="330" t="s">
        <v>3189</v>
      </c>
      <c r="F20" s="315" t="s">
        <v>3165</v>
      </c>
      <c r="G20" s="315" t="s">
        <v>3166</v>
      </c>
      <c r="H20" s="316" t="s">
        <v>1276</v>
      </c>
      <c r="I20" s="569" t="s">
        <v>1276</v>
      </c>
      <c r="J20" s="273" t="s">
        <v>3167</v>
      </c>
      <c r="K20" s="277" t="s">
        <v>53</v>
      </c>
      <c r="L20" s="321"/>
      <c r="M20" s="322"/>
      <c r="N20" s="321"/>
      <c r="O20" s="322"/>
      <c r="P20" s="321"/>
      <c r="Q20" s="322"/>
      <c r="R20" s="321"/>
      <c r="S20" s="322"/>
      <c r="T20" s="321"/>
      <c r="U20" s="322"/>
      <c r="V20" s="321"/>
      <c r="W20" s="322"/>
      <c r="X20" s="321"/>
      <c r="Y20" s="322"/>
      <c r="Z20" s="321"/>
      <c r="AA20" s="322"/>
      <c r="AB20" s="321"/>
      <c r="AC20" s="322"/>
      <c r="AD20" s="321"/>
      <c r="AE20" s="322"/>
      <c r="AF20" s="321"/>
      <c r="AG20" s="322"/>
      <c r="AH20" s="321"/>
      <c r="AI20" s="322"/>
      <c r="AJ20" s="321"/>
      <c r="AK20" s="322"/>
      <c r="AL20" s="321"/>
      <c r="AM20" s="322"/>
      <c r="AN20" s="321"/>
      <c r="AO20" s="322"/>
      <c r="AP20" s="321"/>
      <c r="AQ20" s="322"/>
      <c r="AR20" s="321"/>
      <c r="AS20" s="322"/>
      <c r="AT20" s="321"/>
      <c r="AU20" s="322"/>
      <c r="AV20" s="321"/>
      <c r="AW20" s="322"/>
      <c r="AX20" s="321"/>
      <c r="AY20" s="322"/>
      <c r="AZ20" s="321"/>
      <c r="BA20" s="322"/>
      <c r="BB20" s="321"/>
      <c r="BC20" s="322"/>
      <c r="BD20" s="321"/>
      <c r="BE20" s="322"/>
      <c r="BF20" s="321"/>
      <c r="BG20" s="322"/>
      <c r="BH20" s="321"/>
      <c r="BI20" s="322"/>
      <c r="BJ20" s="321"/>
      <c r="BK20" s="322"/>
      <c r="BL20" s="321"/>
      <c r="BM20" s="322"/>
      <c r="BN20" s="321"/>
      <c r="BO20" s="322"/>
      <c r="BP20" s="321"/>
      <c r="BQ20" s="322"/>
      <c r="BR20" s="321"/>
      <c r="BS20" s="322"/>
      <c r="BT20" s="321"/>
      <c r="BU20" s="322"/>
      <c r="BV20" s="264">
        <f t="shared" si="7"/>
        <v>0</v>
      </c>
      <c r="BW20" s="264">
        <f t="shared" si="8"/>
        <v>0</v>
      </c>
    </row>
    <row r="21" spans="1:75" s="62" customFormat="1" ht="21.95" customHeight="1" x14ac:dyDescent="0.25">
      <c r="A21" s="344" t="s">
        <v>3190</v>
      </c>
      <c r="B21" s="434" t="s">
        <v>3191</v>
      </c>
      <c r="C21" s="435">
        <v>4</v>
      </c>
      <c r="D21" s="436" t="s">
        <v>3192</v>
      </c>
      <c r="E21" s="345" t="s">
        <v>3193</v>
      </c>
      <c r="F21" s="437" t="s">
        <v>3165</v>
      </c>
      <c r="G21" s="437" t="s">
        <v>3166</v>
      </c>
      <c r="H21" s="438" t="s">
        <v>1277</v>
      </c>
      <c r="I21" s="303" t="s">
        <v>1277</v>
      </c>
      <c r="J21" s="273" t="s">
        <v>3167</v>
      </c>
      <c r="K21" s="274" t="s">
        <v>3168</v>
      </c>
      <c r="L21" s="321"/>
      <c r="M21" s="322"/>
      <c r="N21" s="321"/>
      <c r="O21" s="322"/>
      <c r="P21" s="321"/>
      <c r="Q21" s="322"/>
      <c r="R21" s="321"/>
      <c r="S21" s="322"/>
      <c r="T21" s="321"/>
      <c r="U21" s="322"/>
      <c r="V21" s="321"/>
      <c r="W21" s="322"/>
      <c r="X21" s="321"/>
      <c r="Y21" s="322"/>
      <c r="Z21" s="321"/>
      <c r="AA21" s="322"/>
      <c r="AB21" s="321"/>
      <c r="AC21" s="322"/>
      <c r="AD21" s="321"/>
      <c r="AE21" s="322"/>
      <c r="AF21" s="321"/>
      <c r="AG21" s="322"/>
      <c r="AH21" s="321"/>
      <c r="AI21" s="322"/>
      <c r="AJ21" s="321"/>
      <c r="AK21" s="322"/>
      <c r="AL21" s="321"/>
      <c r="AM21" s="322"/>
      <c r="AN21" s="321"/>
      <c r="AO21" s="322"/>
      <c r="AP21" s="321"/>
      <c r="AQ21" s="322"/>
      <c r="AR21" s="321"/>
      <c r="AS21" s="322"/>
      <c r="AT21" s="321"/>
      <c r="AU21" s="322"/>
      <c r="AV21" s="321"/>
      <c r="AW21" s="322"/>
      <c r="AX21" s="321"/>
      <c r="AY21" s="322"/>
      <c r="AZ21" s="321"/>
      <c r="BA21" s="322"/>
      <c r="BB21" s="321"/>
      <c r="BC21" s="322"/>
      <c r="BD21" s="321"/>
      <c r="BE21" s="322"/>
      <c r="BF21" s="321"/>
      <c r="BG21" s="322"/>
      <c r="BH21" s="321"/>
      <c r="BI21" s="322"/>
      <c r="BJ21" s="321"/>
      <c r="BK21" s="322"/>
      <c r="BL21" s="321"/>
      <c r="BM21" s="322"/>
      <c r="BN21" s="321"/>
      <c r="BO21" s="322"/>
      <c r="BP21" s="321"/>
      <c r="BQ21" s="322"/>
      <c r="BR21" s="321"/>
      <c r="BS21" s="322"/>
      <c r="BT21" s="321"/>
      <c r="BU21" s="322"/>
      <c r="BV21" s="264">
        <f>L21+N21+P21+R21+T21+V21+X21+Z21+AB21+AD21+AF21+AH21+AJ21+AL21+AN21+AP21+AR21+AT21+AV21+AX21+AZ21+BB21+BD21+BF21+BH21+BJ21+BL21+BN21+BP21+BR21+BT21</f>
        <v>0</v>
      </c>
      <c r="BW21" s="264">
        <f>M21+O21+Q21+S21+U21+W21+Y21+AA21+AC21+AE21+AG21+AI21+AK21+AM21+AO21+AQ21+AS21+AU21+AW21+AY21+BA21+BC21+BE21+BG21+BI21+BK21+BM21+BO21+BQ21+BS21+BU21</f>
        <v>0</v>
      </c>
    </row>
    <row r="22" spans="1:75" s="62" customFormat="1" ht="21.95" customHeight="1" x14ac:dyDescent="0.2">
      <c r="A22" s="304" t="s">
        <v>3190</v>
      </c>
      <c r="B22" s="305" t="s">
        <v>3191</v>
      </c>
      <c r="C22" s="272" t="s">
        <v>3176</v>
      </c>
      <c r="D22" s="306" t="s">
        <v>3192</v>
      </c>
      <c r="E22" s="307" t="s">
        <v>3193</v>
      </c>
      <c r="F22" s="308" t="s">
        <v>3165</v>
      </c>
      <c r="G22" s="308" t="s">
        <v>3166</v>
      </c>
      <c r="H22" s="309" t="s">
        <v>1277</v>
      </c>
      <c r="I22" s="310" t="s">
        <v>1277</v>
      </c>
      <c r="J22" s="273" t="s">
        <v>3167</v>
      </c>
      <c r="K22" s="273" t="s">
        <v>3169</v>
      </c>
      <c r="L22" s="319"/>
      <c r="M22" s="320"/>
      <c r="N22" s="319"/>
      <c r="O22" s="320"/>
      <c r="P22" s="319"/>
      <c r="Q22" s="320"/>
      <c r="R22" s="319"/>
      <c r="S22" s="320"/>
      <c r="T22" s="319"/>
      <c r="U22" s="320"/>
      <c r="V22" s="319"/>
      <c r="W22" s="320"/>
      <c r="X22" s="319"/>
      <c r="Y22" s="320"/>
      <c r="Z22" s="319"/>
      <c r="AA22" s="320"/>
      <c r="AB22" s="319"/>
      <c r="AC22" s="320"/>
      <c r="AD22" s="319"/>
      <c r="AE22" s="320"/>
      <c r="AF22" s="319"/>
      <c r="AG22" s="320"/>
      <c r="AH22" s="319"/>
      <c r="AI22" s="320"/>
      <c r="AJ22" s="319"/>
      <c r="AK22" s="320"/>
      <c r="AL22" s="319"/>
      <c r="AM22" s="320"/>
      <c r="AN22" s="319"/>
      <c r="AO22" s="320"/>
      <c r="AP22" s="319"/>
      <c r="AQ22" s="320"/>
      <c r="AR22" s="319"/>
      <c r="AS22" s="320"/>
      <c r="AT22" s="319"/>
      <c r="AU22" s="320"/>
      <c r="AV22" s="319"/>
      <c r="AW22" s="320"/>
      <c r="AX22" s="319"/>
      <c r="AY22" s="320"/>
      <c r="AZ22" s="319"/>
      <c r="BA22" s="320"/>
      <c r="BB22" s="319"/>
      <c r="BC22" s="320"/>
      <c r="BD22" s="319"/>
      <c r="BE22" s="320"/>
      <c r="BF22" s="319"/>
      <c r="BG22" s="320"/>
      <c r="BH22" s="319"/>
      <c r="BI22" s="320"/>
      <c r="BJ22" s="319"/>
      <c r="BK22" s="320"/>
      <c r="BL22" s="319"/>
      <c r="BM22" s="320"/>
      <c r="BN22" s="319"/>
      <c r="BO22" s="320"/>
      <c r="BP22" s="319"/>
      <c r="BQ22" s="320"/>
      <c r="BR22" s="319"/>
      <c r="BS22" s="320"/>
      <c r="BT22" s="319"/>
      <c r="BU22" s="320"/>
      <c r="BV22" s="264">
        <f t="shared" ref="BV22:BV25" si="9">L22+N22+P22+R22+T22+V22+X22+Z22+AB22+AD22+AF22+AH22+AJ22+AL22+AN22+AP22+AR22+AT22+AV22+AX22+AZ22+BB22+BD22+BF22+BH22+BJ22+BL22+BN22+BP22+BR22+BT22</f>
        <v>0</v>
      </c>
      <c r="BW22" s="264">
        <f t="shared" ref="BW22:BW25" si="10">M22+O22+Q22+S22+U22+W22+Y22+AA22+AC22+AE22+AG22+AI22+AK22+AM22+AO22+AQ22+AS22+AU22+AW22+AY22+BA22+BC22+BE22+BG22+BI22+BK22+BM22+BO22+BQ22+BS22+BU22</f>
        <v>0</v>
      </c>
    </row>
    <row r="23" spans="1:75" s="62" customFormat="1" ht="21.95" customHeight="1" x14ac:dyDescent="0.2">
      <c r="A23" s="304" t="s">
        <v>3190</v>
      </c>
      <c r="B23" s="305" t="s">
        <v>3191</v>
      </c>
      <c r="C23" s="311" t="s">
        <v>3176</v>
      </c>
      <c r="D23" s="306" t="s">
        <v>3192</v>
      </c>
      <c r="E23" s="307" t="s">
        <v>3193</v>
      </c>
      <c r="F23" s="308" t="s">
        <v>3165</v>
      </c>
      <c r="G23" s="308" t="s">
        <v>3166</v>
      </c>
      <c r="H23" s="309" t="s">
        <v>1277</v>
      </c>
      <c r="I23" s="310" t="s">
        <v>1277</v>
      </c>
      <c r="J23" s="273" t="s">
        <v>3167</v>
      </c>
      <c r="K23" s="275" t="s">
        <v>3170</v>
      </c>
      <c r="L23" s="319"/>
      <c r="M23" s="320"/>
      <c r="N23" s="319"/>
      <c r="O23" s="320"/>
      <c r="P23" s="319"/>
      <c r="Q23" s="320"/>
      <c r="R23" s="319"/>
      <c r="S23" s="320"/>
      <c r="T23" s="319"/>
      <c r="U23" s="320"/>
      <c r="V23" s="319"/>
      <c r="W23" s="320"/>
      <c r="X23" s="319"/>
      <c r="Y23" s="320"/>
      <c r="Z23" s="319"/>
      <c r="AA23" s="320"/>
      <c r="AB23" s="319"/>
      <c r="AC23" s="320"/>
      <c r="AD23" s="319"/>
      <c r="AE23" s="320"/>
      <c r="AF23" s="319"/>
      <c r="AG23" s="320"/>
      <c r="AH23" s="319"/>
      <c r="AI23" s="320"/>
      <c r="AJ23" s="319"/>
      <c r="AK23" s="320"/>
      <c r="AL23" s="319"/>
      <c r="AM23" s="320"/>
      <c r="AN23" s="319"/>
      <c r="AO23" s="320"/>
      <c r="AP23" s="319"/>
      <c r="AQ23" s="320"/>
      <c r="AR23" s="319"/>
      <c r="AS23" s="320"/>
      <c r="AT23" s="319"/>
      <c r="AU23" s="320"/>
      <c r="AV23" s="319"/>
      <c r="AW23" s="320"/>
      <c r="AX23" s="319"/>
      <c r="AY23" s="320"/>
      <c r="AZ23" s="319"/>
      <c r="BA23" s="320"/>
      <c r="BB23" s="319"/>
      <c r="BC23" s="320"/>
      <c r="BD23" s="319"/>
      <c r="BE23" s="320"/>
      <c r="BF23" s="319"/>
      <c r="BG23" s="320"/>
      <c r="BH23" s="319"/>
      <c r="BI23" s="320"/>
      <c r="BJ23" s="319"/>
      <c r="BK23" s="320"/>
      <c r="BL23" s="319"/>
      <c r="BM23" s="320"/>
      <c r="BN23" s="319"/>
      <c r="BO23" s="320"/>
      <c r="BP23" s="319"/>
      <c r="BQ23" s="320"/>
      <c r="BR23" s="319"/>
      <c r="BS23" s="320"/>
      <c r="BT23" s="319"/>
      <c r="BU23" s="320"/>
      <c r="BV23" s="264">
        <f t="shared" si="9"/>
        <v>0</v>
      </c>
      <c r="BW23" s="264">
        <f t="shared" si="10"/>
        <v>0</v>
      </c>
    </row>
    <row r="24" spans="1:75" s="62" customFormat="1" ht="21.95" customHeight="1" x14ac:dyDescent="0.2">
      <c r="A24" s="304" t="s">
        <v>3190</v>
      </c>
      <c r="B24" s="305" t="s">
        <v>3191</v>
      </c>
      <c r="C24" s="311" t="s">
        <v>3176</v>
      </c>
      <c r="D24" s="306" t="s">
        <v>3192</v>
      </c>
      <c r="E24" s="307" t="s">
        <v>3193</v>
      </c>
      <c r="F24" s="308" t="s">
        <v>3165</v>
      </c>
      <c r="G24" s="308" t="s">
        <v>3166</v>
      </c>
      <c r="H24" s="309" t="s">
        <v>1277</v>
      </c>
      <c r="I24" s="310" t="s">
        <v>1277</v>
      </c>
      <c r="J24" s="273" t="s">
        <v>3167</v>
      </c>
      <c r="K24" s="276" t="s">
        <v>3171</v>
      </c>
      <c r="L24" s="319"/>
      <c r="M24" s="320"/>
      <c r="N24" s="319"/>
      <c r="O24" s="320"/>
      <c r="P24" s="319"/>
      <c r="Q24" s="320"/>
      <c r="R24" s="319"/>
      <c r="S24" s="320"/>
      <c r="T24" s="319"/>
      <c r="U24" s="320"/>
      <c r="V24" s="319"/>
      <c r="W24" s="320"/>
      <c r="X24" s="319"/>
      <c r="Y24" s="320"/>
      <c r="Z24" s="319"/>
      <c r="AA24" s="320"/>
      <c r="AB24" s="319"/>
      <c r="AC24" s="320"/>
      <c r="AD24" s="319"/>
      <c r="AE24" s="320"/>
      <c r="AF24" s="319"/>
      <c r="AG24" s="320"/>
      <c r="AH24" s="319"/>
      <c r="AI24" s="320"/>
      <c r="AJ24" s="319"/>
      <c r="AK24" s="320"/>
      <c r="AL24" s="319"/>
      <c r="AM24" s="320"/>
      <c r="AN24" s="319"/>
      <c r="AO24" s="320"/>
      <c r="AP24" s="319"/>
      <c r="AQ24" s="320"/>
      <c r="AR24" s="319"/>
      <c r="AS24" s="320"/>
      <c r="AT24" s="319"/>
      <c r="AU24" s="320"/>
      <c r="AV24" s="319"/>
      <c r="AW24" s="320"/>
      <c r="AX24" s="319"/>
      <c r="AY24" s="320"/>
      <c r="AZ24" s="319"/>
      <c r="BA24" s="320"/>
      <c r="BB24" s="319"/>
      <c r="BC24" s="320"/>
      <c r="BD24" s="319"/>
      <c r="BE24" s="320"/>
      <c r="BF24" s="319"/>
      <c r="BG24" s="320"/>
      <c r="BH24" s="319"/>
      <c r="BI24" s="320"/>
      <c r="BJ24" s="319"/>
      <c r="BK24" s="320"/>
      <c r="BL24" s="319"/>
      <c r="BM24" s="320"/>
      <c r="BN24" s="319"/>
      <c r="BO24" s="320"/>
      <c r="BP24" s="319"/>
      <c r="BQ24" s="320"/>
      <c r="BR24" s="319"/>
      <c r="BS24" s="320"/>
      <c r="BT24" s="319"/>
      <c r="BU24" s="320"/>
      <c r="BV24" s="264">
        <f t="shared" si="9"/>
        <v>0</v>
      </c>
      <c r="BW24" s="264">
        <f t="shared" si="10"/>
        <v>0</v>
      </c>
    </row>
    <row r="25" spans="1:75" s="62" customFormat="1" ht="21.95" customHeight="1" thickBot="1" x14ac:dyDescent="0.25">
      <c r="A25" s="568" t="s">
        <v>3190</v>
      </c>
      <c r="B25" s="312" t="s">
        <v>3191</v>
      </c>
      <c r="C25" s="313" t="s">
        <v>3176</v>
      </c>
      <c r="D25" s="314" t="s">
        <v>3192</v>
      </c>
      <c r="E25" s="330" t="s">
        <v>3193</v>
      </c>
      <c r="F25" s="315" t="s">
        <v>3165</v>
      </c>
      <c r="G25" s="315" t="s">
        <v>3166</v>
      </c>
      <c r="H25" s="316" t="s">
        <v>1277</v>
      </c>
      <c r="I25" s="569" t="s">
        <v>1277</v>
      </c>
      <c r="J25" s="273" t="s">
        <v>3167</v>
      </c>
      <c r="K25" s="277" t="s">
        <v>53</v>
      </c>
      <c r="L25" s="321"/>
      <c r="M25" s="322"/>
      <c r="N25" s="321"/>
      <c r="O25" s="322"/>
      <c r="P25" s="321"/>
      <c r="Q25" s="322"/>
      <c r="R25" s="321"/>
      <c r="S25" s="322"/>
      <c r="T25" s="321"/>
      <c r="U25" s="322"/>
      <c r="V25" s="321"/>
      <c r="W25" s="322"/>
      <c r="X25" s="321"/>
      <c r="Y25" s="322"/>
      <c r="Z25" s="321"/>
      <c r="AA25" s="322"/>
      <c r="AB25" s="321"/>
      <c r="AC25" s="322"/>
      <c r="AD25" s="321"/>
      <c r="AE25" s="322"/>
      <c r="AF25" s="321"/>
      <c r="AG25" s="322"/>
      <c r="AH25" s="321"/>
      <c r="AI25" s="322"/>
      <c r="AJ25" s="321"/>
      <c r="AK25" s="322"/>
      <c r="AL25" s="321"/>
      <c r="AM25" s="322"/>
      <c r="AN25" s="321"/>
      <c r="AO25" s="322"/>
      <c r="AP25" s="321"/>
      <c r="AQ25" s="322"/>
      <c r="AR25" s="321"/>
      <c r="AS25" s="322"/>
      <c r="AT25" s="321"/>
      <c r="AU25" s="322"/>
      <c r="AV25" s="321"/>
      <c r="AW25" s="322"/>
      <c r="AX25" s="321"/>
      <c r="AY25" s="322"/>
      <c r="AZ25" s="321"/>
      <c r="BA25" s="322"/>
      <c r="BB25" s="321"/>
      <c r="BC25" s="322"/>
      <c r="BD25" s="321"/>
      <c r="BE25" s="322"/>
      <c r="BF25" s="321"/>
      <c r="BG25" s="322"/>
      <c r="BH25" s="321"/>
      <c r="BI25" s="322"/>
      <c r="BJ25" s="321"/>
      <c r="BK25" s="322"/>
      <c r="BL25" s="321"/>
      <c r="BM25" s="322"/>
      <c r="BN25" s="321"/>
      <c r="BO25" s="322"/>
      <c r="BP25" s="321"/>
      <c r="BQ25" s="322"/>
      <c r="BR25" s="321"/>
      <c r="BS25" s="322"/>
      <c r="BT25" s="321"/>
      <c r="BU25" s="322"/>
      <c r="BV25" s="264">
        <f t="shared" si="9"/>
        <v>0</v>
      </c>
      <c r="BW25" s="264">
        <f t="shared" si="10"/>
        <v>0</v>
      </c>
    </row>
    <row r="26" spans="1:75" s="62" customFormat="1" ht="21.95" customHeight="1" x14ac:dyDescent="0.25">
      <c r="A26" s="344" t="s">
        <v>3194</v>
      </c>
      <c r="B26" s="434" t="s">
        <v>3195</v>
      </c>
      <c r="C26" s="435">
        <v>1</v>
      </c>
      <c r="D26" s="436" t="s">
        <v>3196</v>
      </c>
      <c r="E26" s="345" t="s">
        <v>3197</v>
      </c>
      <c r="F26" s="437" t="s">
        <v>3165</v>
      </c>
      <c r="G26" s="437" t="s">
        <v>3166</v>
      </c>
      <c r="H26" s="438" t="s">
        <v>1278</v>
      </c>
      <c r="I26" s="303" t="s">
        <v>1278</v>
      </c>
      <c r="J26" s="273" t="s">
        <v>3167</v>
      </c>
      <c r="K26" s="274" t="s">
        <v>3168</v>
      </c>
      <c r="L26" s="321"/>
      <c r="M26" s="322"/>
      <c r="N26" s="321"/>
      <c r="O26" s="322"/>
      <c r="P26" s="321"/>
      <c r="Q26" s="322"/>
      <c r="R26" s="321"/>
      <c r="S26" s="322"/>
      <c r="T26" s="321"/>
      <c r="U26" s="322"/>
      <c r="V26" s="321"/>
      <c r="W26" s="322"/>
      <c r="X26" s="321"/>
      <c r="Y26" s="322"/>
      <c r="Z26" s="321"/>
      <c r="AA26" s="322"/>
      <c r="AB26" s="321"/>
      <c r="AC26" s="322"/>
      <c r="AD26" s="321"/>
      <c r="AE26" s="322"/>
      <c r="AF26" s="321"/>
      <c r="AG26" s="322"/>
      <c r="AH26" s="321"/>
      <c r="AI26" s="322"/>
      <c r="AJ26" s="321"/>
      <c r="AK26" s="322"/>
      <c r="AL26" s="321"/>
      <c r="AM26" s="322"/>
      <c r="AN26" s="321"/>
      <c r="AO26" s="322"/>
      <c r="AP26" s="321"/>
      <c r="AQ26" s="322"/>
      <c r="AR26" s="321"/>
      <c r="AS26" s="322"/>
      <c r="AT26" s="321"/>
      <c r="AU26" s="322"/>
      <c r="AV26" s="321"/>
      <c r="AW26" s="322"/>
      <c r="AX26" s="321"/>
      <c r="AY26" s="322"/>
      <c r="AZ26" s="321"/>
      <c r="BA26" s="322"/>
      <c r="BB26" s="321"/>
      <c r="BC26" s="322"/>
      <c r="BD26" s="321"/>
      <c r="BE26" s="322"/>
      <c r="BF26" s="321"/>
      <c r="BG26" s="322"/>
      <c r="BH26" s="321"/>
      <c r="BI26" s="322"/>
      <c r="BJ26" s="321"/>
      <c r="BK26" s="322"/>
      <c r="BL26" s="321"/>
      <c r="BM26" s="322"/>
      <c r="BN26" s="321"/>
      <c r="BO26" s="322"/>
      <c r="BP26" s="321"/>
      <c r="BQ26" s="322"/>
      <c r="BR26" s="321"/>
      <c r="BS26" s="322"/>
      <c r="BT26" s="321"/>
      <c r="BU26" s="322"/>
      <c r="BV26" s="264">
        <f>L26+N26+P26+R26+T26+V26+X26+Z26+AB26+AD26+AF26+AH26+AJ26+AL26+AN26+AP26+AR26+AT26+AV26+AX26+AZ26+BB26+BD26+BF26+BH26+BJ26+BL26+BN26+BP26+BR26+BT26</f>
        <v>0</v>
      </c>
      <c r="BW26" s="264">
        <f>M26+O26+Q26+S26+U26+W26+Y26+AA26+AC26+AE26+AG26+AI26+AK26+AM26+AO26+AQ26+AS26+AU26+AW26+AY26+BA26+BC26+BE26+BG26+BI26+BK26+BM26+BO26+BQ26+BS26+BU26</f>
        <v>0</v>
      </c>
    </row>
    <row r="27" spans="1:75" s="62" customFormat="1" ht="21.95" customHeight="1" x14ac:dyDescent="0.2">
      <c r="A27" s="304" t="s">
        <v>3194</v>
      </c>
      <c r="B27" s="305" t="s">
        <v>3195</v>
      </c>
      <c r="C27" s="272" t="s">
        <v>3175</v>
      </c>
      <c r="D27" s="306" t="s">
        <v>3196</v>
      </c>
      <c r="E27" s="307" t="s">
        <v>3197</v>
      </c>
      <c r="F27" s="308" t="s">
        <v>3165</v>
      </c>
      <c r="G27" s="308" t="s">
        <v>3166</v>
      </c>
      <c r="H27" s="309" t="s">
        <v>1278</v>
      </c>
      <c r="I27" s="310" t="s">
        <v>1278</v>
      </c>
      <c r="J27" s="273" t="s">
        <v>3167</v>
      </c>
      <c r="K27" s="273" t="s">
        <v>3169</v>
      </c>
      <c r="L27" s="319"/>
      <c r="M27" s="320"/>
      <c r="N27" s="319"/>
      <c r="O27" s="320"/>
      <c r="P27" s="319"/>
      <c r="Q27" s="320"/>
      <c r="R27" s="319"/>
      <c r="S27" s="320"/>
      <c r="T27" s="319"/>
      <c r="U27" s="320"/>
      <c r="V27" s="319"/>
      <c r="W27" s="320"/>
      <c r="X27" s="319">
        <v>5</v>
      </c>
      <c r="Y27" s="320"/>
      <c r="Z27" s="319">
        <v>1</v>
      </c>
      <c r="AA27" s="320"/>
      <c r="AB27" s="319">
        <v>2</v>
      </c>
      <c r="AC27" s="320"/>
      <c r="AD27" s="319">
        <v>2</v>
      </c>
      <c r="AE27" s="320"/>
      <c r="AF27" s="319"/>
      <c r="AG27" s="320"/>
      <c r="AH27" s="319"/>
      <c r="AI27" s="320"/>
      <c r="AJ27" s="319">
        <v>3</v>
      </c>
      <c r="AK27" s="320"/>
      <c r="AL27" s="319">
        <v>5</v>
      </c>
      <c r="AM27" s="320"/>
      <c r="AN27" s="319">
        <v>3</v>
      </c>
      <c r="AO27" s="320"/>
      <c r="AP27" s="319">
        <v>3</v>
      </c>
      <c r="AQ27" s="320"/>
      <c r="AR27" s="319">
        <v>3</v>
      </c>
      <c r="AS27" s="320"/>
      <c r="AT27" s="319"/>
      <c r="AU27" s="320"/>
      <c r="AV27" s="319"/>
      <c r="AW27" s="320"/>
      <c r="AX27" s="319"/>
      <c r="AY27" s="320"/>
      <c r="AZ27" s="319">
        <v>4</v>
      </c>
      <c r="BA27" s="320"/>
      <c r="BB27" s="319">
        <v>3</v>
      </c>
      <c r="BC27" s="320"/>
      <c r="BD27" s="319">
        <v>4</v>
      </c>
      <c r="BE27" s="320"/>
      <c r="BF27" s="319">
        <v>3</v>
      </c>
      <c r="BG27" s="320"/>
      <c r="BH27" s="319"/>
      <c r="BI27" s="320"/>
      <c r="BJ27" s="319"/>
      <c r="BK27" s="320"/>
      <c r="BL27" s="319">
        <v>4</v>
      </c>
      <c r="BM27" s="320"/>
      <c r="BN27" s="319">
        <v>5</v>
      </c>
      <c r="BO27" s="320"/>
      <c r="BP27" s="319">
        <v>4</v>
      </c>
      <c r="BQ27" s="320"/>
      <c r="BR27" s="319">
        <v>4</v>
      </c>
      <c r="BS27" s="320"/>
      <c r="BT27" s="319"/>
      <c r="BU27" s="320"/>
      <c r="BV27" s="264">
        <f t="shared" ref="BV27:BV30" si="11">L27+N27+P27+R27+T27+V27+X27+Z27+AB27+AD27+AF27+AH27+AJ27+AL27+AN27+AP27+AR27+AT27+AV27+AX27+AZ27+BB27+BD27+BF27+BH27+BJ27+BL27+BN27+BP27+BR27+BT27</f>
        <v>58</v>
      </c>
      <c r="BW27" s="264">
        <f t="shared" ref="BW27:BW30" si="12">M27+O27+Q27+S27+U27+W27+Y27+AA27+AC27+AE27+AG27+AI27+AK27+AM27+AO27+AQ27+AS27+AU27+AW27+AY27+BA27+BC27+BE27+BG27+BI27+BK27+BM27+BO27+BQ27+BS27+BU27</f>
        <v>0</v>
      </c>
    </row>
    <row r="28" spans="1:75" s="62" customFormat="1" ht="21.95" customHeight="1" x14ac:dyDescent="0.2">
      <c r="A28" s="304" t="s">
        <v>3194</v>
      </c>
      <c r="B28" s="305" t="s">
        <v>3195</v>
      </c>
      <c r="C28" s="311" t="s">
        <v>3175</v>
      </c>
      <c r="D28" s="306" t="s">
        <v>3196</v>
      </c>
      <c r="E28" s="307" t="s">
        <v>3197</v>
      </c>
      <c r="F28" s="308" t="s">
        <v>3165</v>
      </c>
      <c r="G28" s="308" t="s">
        <v>3166</v>
      </c>
      <c r="H28" s="309" t="s">
        <v>1278</v>
      </c>
      <c r="I28" s="310" t="s">
        <v>1278</v>
      </c>
      <c r="J28" s="273" t="s">
        <v>3167</v>
      </c>
      <c r="K28" s="275" t="s">
        <v>3170</v>
      </c>
      <c r="L28" s="319"/>
      <c r="M28" s="320"/>
      <c r="N28" s="319"/>
      <c r="O28" s="320"/>
      <c r="P28" s="319"/>
      <c r="Q28" s="320"/>
      <c r="R28" s="319"/>
      <c r="S28" s="320"/>
      <c r="T28" s="319"/>
      <c r="U28" s="320"/>
      <c r="V28" s="319"/>
      <c r="W28" s="320"/>
      <c r="X28" s="319"/>
      <c r="Y28" s="320"/>
      <c r="Z28" s="319"/>
      <c r="AA28" s="320"/>
      <c r="AB28" s="319"/>
      <c r="AC28" s="320"/>
      <c r="AD28" s="319"/>
      <c r="AE28" s="320"/>
      <c r="AF28" s="319"/>
      <c r="AG28" s="320"/>
      <c r="AH28" s="319"/>
      <c r="AI28" s="320"/>
      <c r="AJ28" s="319"/>
      <c r="AK28" s="320"/>
      <c r="AL28" s="319"/>
      <c r="AM28" s="320"/>
      <c r="AN28" s="319"/>
      <c r="AO28" s="320"/>
      <c r="AP28" s="319"/>
      <c r="AQ28" s="320"/>
      <c r="AR28" s="319"/>
      <c r="AS28" s="320"/>
      <c r="AT28" s="319"/>
      <c r="AU28" s="320"/>
      <c r="AV28" s="319"/>
      <c r="AW28" s="320"/>
      <c r="AX28" s="319"/>
      <c r="AY28" s="320"/>
      <c r="AZ28" s="319"/>
      <c r="BA28" s="320"/>
      <c r="BB28" s="319"/>
      <c r="BC28" s="320"/>
      <c r="BD28" s="319"/>
      <c r="BE28" s="320"/>
      <c r="BF28" s="319"/>
      <c r="BG28" s="320"/>
      <c r="BH28" s="319"/>
      <c r="BI28" s="320"/>
      <c r="BJ28" s="319"/>
      <c r="BK28" s="320"/>
      <c r="BL28" s="319"/>
      <c r="BM28" s="320"/>
      <c r="BN28" s="319"/>
      <c r="BO28" s="320"/>
      <c r="BP28" s="319"/>
      <c r="BQ28" s="320"/>
      <c r="BR28" s="319"/>
      <c r="BS28" s="320"/>
      <c r="BT28" s="319"/>
      <c r="BU28" s="320"/>
      <c r="BV28" s="264">
        <f t="shared" si="11"/>
        <v>0</v>
      </c>
      <c r="BW28" s="264">
        <f t="shared" si="12"/>
        <v>0</v>
      </c>
    </row>
    <row r="29" spans="1:75" s="62" customFormat="1" ht="21.95" customHeight="1" x14ac:dyDescent="0.2">
      <c r="A29" s="304" t="s">
        <v>3194</v>
      </c>
      <c r="B29" s="305" t="s">
        <v>3195</v>
      </c>
      <c r="C29" s="311" t="s">
        <v>3175</v>
      </c>
      <c r="D29" s="306" t="s">
        <v>3196</v>
      </c>
      <c r="E29" s="307" t="s">
        <v>3197</v>
      </c>
      <c r="F29" s="308" t="s">
        <v>3165</v>
      </c>
      <c r="G29" s="308" t="s">
        <v>3166</v>
      </c>
      <c r="H29" s="309" t="s">
        <v>1278</v>
      </c>
      <c r="I29" s="310" t="s">
        <v>1278</v>
      </c>
      <c r="J29" s="273" t="s">
        <v>3167</v>
      </c>
      <c r="K29" s="276" t="s">
        <v>3171</v>
      </c>
      <c r="L29" s="319"/>
      <c r="M29" s="320"/>
      <c r="N29" s="319"/>
      <c r="O29" s="320"/>
      <c r="P29" s="319"/>
      <c r="Q29" s="320"/>
      <c r="R29" s="319"/>
      <c r="S29" s="320"/>
      <c r="T29" s="319"/>
      <c r="U29" s="320"/>
      <c r="V29" s="319"/>
      <c r="W29" s="320"/>
      <c r="X29" s="319"/>
      <c r="Y29" s="320"/>
      <c r="Z29" s="319"/>
      <c r="AA29" s="320"/>
      <c r="AB29" s="319"/>
      <c r="AC29" s="320"/>
      <c r="AD29" s="319"/>
      <c r="AE29" s="320"/>
      <c r="AF29" s="319"/>
      <c r="AG29" s="320"/>
      <c r="AH29" s="319"/>
      <c r="AI29" s="320"/>
      <c r="AJ29" s="319"/>
      <c r="AK29" s="320"/>
      <c r="AL29" s="319"/>
      <c r="AM29" s="320"/>
      <c r="AN29" s="319"/>
      <c r="AO29" s="320"/>
      <c r="AP29" s="319"/>
      <c r="AQ29" s="320"/>
      <c r="AR29" s="319"/>
      <c r="AS29" s="320"/>
      <c r="AT29" s="319"/>
      <c r="AU29" s="320"/>
      <c r="AV29" s="319"/>
      <c r="AW29" s="320"/>
      <c r="AX29" s="319"/>
      <c r="AY29" s="320"/>
      <c r="AZ29" s="319"/>
      <c r="BA29" s="320"/>
      <c r="BB29" s="319"/>
      <c r="BC29" s="320"/>
      <c r="BD29" s="319"/>
      <c r="BE29" s="320"/>
      <c r="BF29" s="319"/>
      <c r="BG29" s="320"/>
      <c r="BH29" s="319"/>
      <c r="BI29" s="320"/>
      <c r="BJ29" s="319"/>
      <c r="BK29" s="320"/>
      <c r="BL29" s="319"/>
      <c r="BM29" s="320"/>
      <c r="BN29" s="319"/>
      <c r="BO29" s="320"/>
      <c r="BP29" s="319"/>
      <c r="BQ29" s="320"/>
      <c r="BR29" s="319"/>
      <c r="BS29" s="320"/>
      <c r="BT29" s="319"/>
      <c r="BU29" s="320"/>
      <c r="BV29" s="264">
        <f t="shared" si="11"/>
        <v>0</v>
      </c>
      <c r="BW29" s="264">
        <f t="shared" si="12"/>
        <v>0</v>
      </c>
    </row>
    <row r="30" spans="1:75" s="62" customFormat="1" ht="21.95" customHeight="1" thickBot="1" x14ac:dyDescent="0.25">
      <c r="A30" s="568" t="s">
        <v>3194</v>
      </c>
      <c r="B30" s="312" t="s">
        <v>3195</v>
      </c>
      <c r="C30" s="313" t="s">
        <v>3175</v>
      </c>
      <c r="D30" s="314" t="s">
        <v>3196</v>
      </c>
      <c r="E30" s="330" t="s">
        <v>3197</v>
      </c>
      <c r="F30" s="315" t="s">
        <v>3165</v>
      </c>
      <c r="G30" s="315" t="s">
        <v>3166</v>
      </c>
      <c r="H30" s="316" t="s">
        <v>1278</v>
      </c>
      <c r="I30" s="569" t="s">
        <v>1278</v>
      </c>
      <c r="J30" s="273" t="s">
        <v>3167</v>
      </c>
      <c r="K30" s="277" t="s">
        <v>53</v>
      </c>
      <c r="L30" s="321"/>
      <c r="M30" s="322"/>
      <c r="N30" s="321"/>
      <c r="O30" s="322"/>
      <c r="P30" s="321"/>
      <c r="Q30" s="322"/>
      <c r="R30" s="321"/>
      <c r="S30" s="322"/>
      <c r="T30" s="321"/>
      <c r="U30" s="322"/>
      <c r="V30" s="321"/>
      <c r="W30" s="322"/>
      <c r="X30" s="321"/>
      <c r="Y30" s="322"/>
      <c r="Z30" s="321"/>
      <c r="AA30" s="322"/>
      <c r="AB30" s="321"/>
      <c r="AC30" s="322"/>
      <c r="AD30" s="321"/>
      <c r="AE30" s="322"/>
      <c r="AF30" s="321"/>
      <c r="AG30" s="322"/>
      <c r="AH30" s="321"/>
      <c r="AI30" s="322"/>
      <c r="AJ30" s="321"/>
      <c r="AK30" s="322"/>
      <c r="AL30" s="321"/>
      <c r="AM30" s="322"/>
      <c r="AN30" s="321"/>
      <c r="AO30" s="322"/>
      <c r="AP30" s="321"/>
      <c r="AQ30" s="322"/>
      <c r="AR30" s="321"/>
      <c r="AS30" s="322"/>
      <c r="AT30" s="321"/>
      <c r="AU30" s="322"/>
      <c r="AV30" s="321"/>
      <c r="AW30" s="322"/>
      <c r="AX30" s="321"/>
      <c r="AY30" s="322"/>
      <c r="AZ30" s="321"/>
      <c r="BA30" s="322"/>
      <c r="BB30" s="321"/>
      <c r="BC30" s="322"/>
      <c r="BD30" s="321"/>
      <c r="BE30" s="322"/>
      <c r="BF30" s="321"/>
      <c r="BG30" s="322"/>
      <c r="BH30" s="321"/>
      <c r="BI30" s="322"/>
      <c r="BJ30" s="321"/>
      <c r="BK30" s="322"/>
      <c r="BL30" s="321"/>
      <c r="BM30" s="322"/>
      <c r="BN30" s="321"/>
      <c r="BO30" s="322"/>
      <c r="BP30" s="321"/>
      <c r="BQ30" s="322"/>
      <c r="BR30" s="321"/>
      <c r="BS30" s="322"/>
      <c r="BT30" s="321"/>
      <c r="BU30" s="322"/>
      <c r="BV30" s="264">
        <f t="shared" si="11"/>
        <v>0</v>
      </c>
      <c r="BW30" s="264">
        <f t="shared" si="12"/>
        <v>0</v>
      </c>
    </row>
    <row r="31" spans="1:75" s="62" customFormat="1" ht="21.95" customHeight="1" x14ac:dyDescent="0.25">
      <c r="A31" s="344" t="s">
        <v>3198</v>
      </c>
      <c r="B31" s="434" t="s">
        <v>3199</v>
      </c>
      <c r="C31" s="435">
        <v>2</v>
      </c>
      <c r="D31" s="436" t="s">
        <v>3200</v>
      </c>
      <c r="E31" s="345" t="s">
        <v>3201</v>
      </c>
      <c r="F31" s="437" t="s">
        <v>3165</v>
      </c>
      <c r="G31" s="437" t="s">
        <v>3166</v>
      </c>
      <c r="H31" s="438" t="s">
        <v>1282</v>
      </c>
      <c r="I31" s="303" t="s">
        <v>1282</v>
      </c>
      <c r="J31" s="273" t="s">
        <v>3173</v>
      </c>
      <c r="K31" s="274" t="s">
        <v>3168</v>
      </c>
      <c r="L31" s="321"/>
      <c r="M31" s="322"/>
      <c r="N31" s="321"/>
      <c r="O31" s="322"/>
      <c r="P31" s="321"/>
      <c r="Q31" s="322"/>
      <c r="R31" s="321"/>
      <c r="S31" s="322"/>
      <c r="T31" s="321"/>
      <c r="U31" s="322"/>
      <c r="V31" s="321"/>
      <c r="W31" s="322"/>
      <c r="X31" s="321"/>
      <c r="Y31" s="322"/>
      <c r="Z31" s="321"/>
      <c r="AA31" s="322"/>
      <c r="AB31" s="321"/>
      <c r="AC31" s="322"/>
      <c r="AD31" s="321"/>
      <c r="AE31" s="322"/>
      <c r="AF31" s="321"/>
      <c r="AG31" s="322"/>
      <c r="AH31" s="321"/>
      <c r="AI31" s="322"/>
      <c r="AJ31" s="321"/>
      <c r="AK31" s="322"/>
      <c r="AL31" s="321"/>
      <c r="AM31" s="322"/>
      <c r="AN31" s="321"/>
      <c r="AO31" s="322"/>
      <c r="AP31" s="321"/>
      <c r="AQ31" s="322"/>
      <c r="AR31" s="321"/>
      <c r="AS31" s="322"/>
      <c r="AT31" s="321"/>
      <c r="AU31" s="322"/>
      <c r="AV31" s="321"/>
      <c r="AW31" s="322"/>
      <c r="AX31" s="321"/>
      <c r="AY31" s="322"/>
      <c r="AZ31" s="321"/>
      <c r="BA31" s="322"/>
      <c r="BB31" s="321"/>
      <c r="BC31" s="322"/>
      <c r="BD31" s="321"/>
      <c r="BE31" s="322"/>
      <c r="BF31" s="321"/>
      <c r="BG31" s="322"/>
      <c r="BH31" s="321"/>
      <c r="BI31" s="322"/>
      <c r="BJ31" s="321"/>
      <c r="BK31" s="322"/>
      <c r="BL31" s="321"/>
      <c r="BM31" s="322"/>
      <c r="BN31" s="321"/>
      <c r="BO31" s="322"/>
      <c r="BP31" s="321"/>
      <c r="BQ31" s="322"/>
      <c r="BR31" s="321"/>
      <c r="BS31" s="322"/>
      <c r="BT31" s="321"/>
      <c r="BU31" s="322"/>
      <c r="BV31" s="264">
        <f>L31+N31+P31+R31+T31+V31+X31+Z31+AB31+AD31+AF31+AH31+AJ31+AL31+AN31+AP31+AR31+AT31+AV31+AX31+AZ31+BB31+BD31+BF31+BH31+BJ31+BL31+BN31+BP31+BR31+BT31</f>
        <v>0</v>
      </c>
      <c r="BW31" s="264">
        <f>M31+O31+Q31+S31+U31+W31+Y31+AA31+AC31+AE31+AG31+AI31+AK31+AM31+AO31+AQ31+AS31+AU31+AW31+AY31+BA31+BC31+BE31+BG31+BI31+BK31+BM31+BO31+BQ31+BS31+BU31</f>
        <v>0</v>
      </c>
    </row>
    <row r="32" spans="1:75" s="62" customFormat="1" ht="21.95" customHeight="1" x14ac:dyDescent="0.2">
      <c r="A32" s="304" t="s">
        <v>3198</v>
      </c>
      <c r="B32" s="305" t="s">
        <v>3199</v>
      </c>
      <c r="C32" s="272" t="s">
        <v>3175</v>
      </c>
      <c r="D32" s="306" t="s">
        <v>3200</v>
      </c>
      <c r="E32" s="307" t="s">
        <v>3201</v>
      </c>
      <c r="F32" s="308" t="s">
        <v>3165</v>
      </c>
      <c r="G32" s="308" t="s">
        <v>3166</v>
      </c>
      <c r="H32" s="309" t="s">
        <v>1282</v>
      </c>
      <c r="I32" s="310" t="s">
        <v>1282</v>
      </c>
      <c r="J32" s="273" t="s">
        <v>3173</v>
      </c>
      <c r="K32" s="273" t="s">
        <v>3169</v>
      </c>
      <c r="L32" s="319"/>
      <c r="M32" s="320"/>
      <c r="N32" s="319"/>
      <c r="O32" s="320"/>
      <c r="P32" s="319"/>
      <c r="Q32" s="320"/>
      <c r="R32" s="319"/>
      <c r="S32" s="320"/>
      <c r="T32" s="319"/>
      <c r="U32" s="320"/>
      <c r="V32" s="319"/>
      <c r="W32" s="320"/>
      <c r="X32" s="319"/>
      <c r="Y32" s="320"/>
      <c r="Z32" s="319"/>
      <c r="AA32" s="320"/>
      <c r="AB32" s="319"/>
      <c r="AC32" s="320"/>
      <c r="AD32" s="319"/>
      <c r="AE32" s="320"/>
      <c r="AF32" s="319"/>
      <c r="AG32" s="320"/>
      <c r="AH32" s="319"/>
      <c r="AI32" s="320"/>
      <c r="AJ32" s="319"/>
      <c r="AK32" s="320"/>
      <c r="AL32" s="319"/>
      <c r="AM32" s="320"/>
      <c r="AN32" s="319"/>
      <c r="AO32" s="320"/>
      <c r="AP32" s="319"/>
      <c r="AQ32" s="320"/>
      <c r="AR32" s="319"/>
      <c r="AS32" s="320"/>
      <c r="AT32" s="319"/>
      <c r="AU32" s="320"/>
      <c r="AV32" s="319"/>
      <c r="AW32" s="320"/>
      <c r="AX32" s="319"/>
      <c r="AY32" s="320"/>
      <c r="AZ32" s="319"/>
      <c r="BA32" s="320"/>
      <c r="BB32" s="319"/>
      <c r="BC32" s="320"/>
      <c r="BD32" s="319"/>
      <c r="BE32" s="320"/>
      <c r="BF32" s="319"/>
      <c r="BG32" s="320"/>
      <c r="BH32" s="319"/>
      <c r="BI32" s="320"/>
      <c r="BJ32" s="319"/>
      <c r="BK32" s="320"/>
      <c r="BL32" s="319"/>
      <c r="BM32" s="320"/>
      <c r="BN32" s="319"/>
      <c r="BO32" s="320"/>
      <c r="BP32" s="319"/>
      <c r="BQ32" s="320"/>
      <c r="BR32" s="319"/>
      <c r="BS32" s="320"/>
      <c r="BT32" s="319"/>
      <c r="BU32" s="320"/>
      <c r="BV32" s="264">
        <f t="shared" ref="BV32:BV35" si="13">L32+N32+P32+R32+T32+V32+X32+Z32+AB32+AD32+AF32+AH32+AJ32+AL32+AN32+AP32+AR32+AT32+AV32+AX32+AZ32+BB32+BD32+BF32+BH32+BJ32+BL32+BN32+BP32+BR32+BT32</f>
        <v>0</v>
      </c>
      <c r="BW32" s="264">
        <f t="shared" ref="BW32:BW35" si="14">M32+O32+Q32+S32+U32+W32+Y32+AA32+AC32+AE32+AG32+AI32+AK32+AM32+AO32+AQ32+AS32+AU32+AW32+AY32+BA32+BC32+BE32+BG32+BI32+BK32+BM32+BO32+BQ32+BS32+BU32</f>
        <v>0</v>
      </c>
    </row>
    <row r="33" spans="1:75" s="62" customFormat="1" ht="21.95" customHeight="1" x14ac:dyDescent="0.2">
      <c r="A33" s="304" t="s">
        <v>3198</v>
      </c>
      <c r="B33" s="305" t="s">
        <v>3199</v>
      </c>
      <c r="C33" s="311" t="s">
        <v>3175</v>
      </c>
      <c r="D33" s="306" t="s">
        <v>3200</v>
      </c>
      <c r="E33" s="307" t="s">
        <v>3201</v>
      </c>
      <c r="F33" s="308" t="s">
        <v>3165</v>
      </c>
      <c r="G33" s="308" t="s">
        <v>3166</v>
      </c>
      <c r="H33" s="309" t="s">
        <v>1282</v>
      </c>
      <c r="I33" s="310" t="s">
        <v>1282</v>
      </c>
      <c r="J33" s="273" t="s">
        <v>3173</v>
      </c>
      <c r="K33" s="275" t="s">
        <v>3170</v>
      </c>
      <c r="L33" s="319"/>
      <c r="M33" s="320"/>
      <c r="N33" s="319"/>
      <c r="O33" s="320"/>
      <c r="P33" s="319"/>
      <c r="Q33" s="320"/>
      <c r="R33" s="319"/>
      <c r="S33" s="320"/>
      <c r="T33" s="319"/>
      <c r="U33" s="320"/>
      <c r="V33" s="319"/>
      <c r="W33" s="320"/>
      <c r="X33" s="319"/>
      <c r="Y33" s="320"/>
      <c r="Z33" s="319"/>
      <c r="AA33" s="320"/>
      <c r="AB33" s="319"/>
      <c r="AC33" s="320"/>
      <c r="AD33" s="319"/>
      <c r="AE33" s="320"/>
      <c r="AF33" s="319"/>
      <c r="AG33" s="320"/>
      <c r="AH33" s="319"/>
      <c r="AI33" s="320"/>
      <c r="AJ33" s="319"/>
      <c r="AK33" s="320"/>
      <c r="AL33" s="319"/>
      <c r="AM33" s="320"/>
      <c r="AN33" s="319"/>
      <c r="AO33" s="320"/>
      <c r="AP33" s="319"/>
      <c r="AQ33" s="320"/>
      <c r="AR33" s="319"/>
      <c r="AS33" s="320"/>
      <c r="AT33" s="319"/>
      <c r="AU33" s="320"/>
      <c r="AV33" s="319"/>
      <c r="AW33" s="320"/>
      <c r="AX33" s="319"/>
      <c r="AY33" s="320"/>
      <c r="AZ33" s="319"/>
      <c r="BA33" s="320"/>
      <c r="BB33" s="319"/>
      <c r="BC33" s="320"/>
      <c r="BD33" s="319"/>
      <c r="BE33" s="320"/>
      <c r="BF33" s="319"/>
      <c r="BG33" s="320"/>
      <c r="BH33" s="319"/>
      <c r="BI33" s="320"/>
      <c r="BJ33" s="319"/>
      <c r="BK33" s="320"/>
      <c r="BL33" s="319"/>
      <c r="BM33" s="320"/>
      <c r="BN33" s="319"/>
      <c r="BO33" s="320"/>
      <c r="BP33" s="319"/>
      <c r="BQ33" s="320"/>
      <c r="BR33" s="319"/>
      <c r="BS33" s="320"/>
      <c r="BT33" s="319"/>
      <c r="BU33" s="320"/>
      <c r="BV33" s="264">
        <f t="shared" si="13"/>
        <v>0</v>
      </c>
      <c r="BW33" s="264">
        <f t="shared" si="14"/>
        <v>0</v>
      </c>
    </row>
    <row r="34" spans="1:75" s="62" customFormat="1" ht="21.95" customHeight="1" x14ac:dyDescent="0.2">
      <c r="A34" s="304" t="s">
        <v>3198</v>
      </c>
      <c r="B34" s="305" t="s">
        <v>3199</v>
      </c>
      <c r="C34" s="311" t="s">
        <v>3175</v>
      </c>
      <c r="D34" s="306" t="s">
        <v>3200</v>
      </c>
      <c r="E34" s="307" t="s">
        <v>3201</v>
      </c>
      <c r="F34" s="308" t="s">
        <v>3165</v>
      </c>
      <c r="G34" s="308" t="s">
        <v>3166</v>
      </c>
      <c r="H34" s="309" t="s">
        <v>1282</v>
      </c>
      <c r="I34" s="310" t="s">
        <v>1282</v>
      </c>
      <c r="J34" s="273" t="s">
        <v>3173</v>
      </c>
      <c r="K34" s="276" t="s">
        <v>3171</v>
      </c>
      <c r="L34" s="319"/>
      <c r="M34" s="320"/>
      <c r="N34" s="319"/>
      <c r="O34" s="320"/>
      <c r="P34" s="319"/>
      <c r="Q34" s="320"/>
      <c r="R34" s="319"/>
      <c r="S34" s="320"/>
      <c r="T34" s="319"/>
      <c r="U34" s="320"/>
      <c r="V34" s="319"/>
      <c r="W34" s="320"/>
      <c r="X34" s="319"/>
      <c r="Y34" s="320"/>
      <c r="Z34" s="319"/>
      <c r="AA34" s="320"/>
      <c r="AB34" s="319"/>
      <c r="AC34" s="320"/>
      <c r="AD34" s="319"/>
      <c r="AE34" s="320"/>
      <c r="AF34" s="319"/>
      <c r="AG34" s="320"/>
      <c r="AH34" s="319"/>
      <c r="AI34" s="320"/>
      <c r="AJ34" s="319"/>
      <c r="AK34" s="320"/>
      <c r="AL34" s="319"/>
      <c r="AM34" s="320"/>
      <c r="AN34" s="319"/>
      <c r="AO34" s="320"/>
      <c r="AP34" s="319"/>
      <c r="AQ34" s="320"/>
      <c r="AR34" s="319"/>
      <c r="AS34" s="320"/>
      <c r="AT34" s="319"/>
      <c r="AU34" s="320"/>
      <c r="AV34" s="319"/>
      <c r="AW34" s="320"/>
      <c r="AX34" s="319"/>
      <c r="AY34" s="320"/>
      <c r="AZ34" s="319"/>
      <c r="BA34" s="320"/>
      <c r="BB34" s="319"/>
      <c r="BC34" s="320"/>
      <c r="BD34" s="319"/>
      <c r="BE34" s="320"/>
      <c r="BF34" s="319"/>
      <c r="BG34" s="320"/>
      <c r="BH34" s="319"/>
      <c r="BI34" s="320"/>
      <c r="BJ34" s="319"/>
      <c r="BK34" s="320"/>
      <c r="BL34" s="319"/>
      <c r="BM34" s="320"/>
      <c r="BN34" s="319"/>
      <c r="BO34" s="320"/>
      <c r="BP34" s="319"/>
      <c r="BQ34" s="320"/>
      <c r="BR34" s="319"/>
      <c r="BS34" s="320"/>
      <c r="BT34" s="319"/>
      <c r="BU34" s="320"/>
      <c r="BV34" s="264">
        <f t="shared" si="13"/>
        <v>0</v>
      </c>
      <c r="BW34" s="264">
        <f t="shared" si="14"/>
        <v>0</v>
      </c>
    </row>
    <row r="35" spans="1:75" s="62" customFormat="1" ht="21.95" customHeight="1" thickBot="1" x14ac:dyDescent="0.25">
      <c r="A35" s="568" t="s">
        <v>3198</v>
      </c>
      <c r="B35" s="312" t="s">
        <v>3199</v>
      </c>
      <c r="C35" s="313" t="s">
        <v>3175</v>
      </c>
      <c r="D35" s="314" t="s">
        <v>3200</v>
      </c>
      <c r="E35" s="330" t="s">
        <v>3201</v>
      </c>
      <c r="F35" s="315" t="s">
        <v>3165</v>
      </c>
      <c r="G35" s="315" t="s">
        <v>3166</v>
      </c>
      <c r="H35" s="316" t="s">
        <v>1282</v>
      </c>
      <c r="I35" s="569" t="s">
        <v>1282</v>
      </c>
      <c r="J35" s="273" t="s">
        <v>3173</v>
      </c>
      <c r="K35" s="277" t="s">
        <v>53</v>
      </c>
      <c r="L35" s="321"/>
      <c r="M35" s="322"/>
      <c r="N35" s="321"/>
      <c r="O35" s="322"/>
      <c r="P35" s="321"/>
      <c r="Q35" s="322"/>
      <c r="R35" s="321"/>
      <c r="S35" s="322"/>
      <c r="T35" s="321"/>
      <c r="U35" s="322"/>
      <c r="V35" s="321"/>
      <c r="W35" s="322"/>
      <c r="X35" s="321"/>
      <c r="Y35" s="322"/>
      <c r="Z35" s="321"/>
      <c r="AA35" s="322"/>
      <c r="AB35" s="321"/>
      <c r="AC35" s="322"/>
      <c r="AD35" s="321"/>
      <c r="AE35" s="322"/>
      <c r="AF35" s="321"/>
      <c r="AG35" s="322"/>
      <c r="AH35" s="321"/>
      <c r="AI35" s="322"/>
      <c r="AJ35" s="321"/>
      <c r="AK35" s="322"/>
      <c r="AL35" s="321"/>
      <c r="AM35" s="322"/>
      <c r="AN35" s="321"/>
      <c r="AO35" s="322"/>
      <c r="AP35" s="321"/>
      <c r="AQ35" s="322"/>
      <c r="AR35" s="321"/>
      <c r="AS35" s="322"/>
      <c r="AT35" s="321"/>
      <c r="AU35" s="322"/>
      <c r="AV35" s="321"/>
      <c r="AW35" s="322"/>
      <c r="AX35" s="321"/>
      <c r="AY35" s="322"/>
      <c r="AZ35" s="321"/>
      <c r="BA35" s="322"/>
      <c r="BB35" s="321"/>
      <c r="BC35" s="322"/>
      <c r="BD35" s="321"/>
      <c r="BE35" s="322"/>
      <c r="BF35" s="321"/>
      <c r="BG35" s="322"/>
      <c r="BH35" s="321"/>
      <c r="BI35" s="322"/>
      <c r="BJ35" s="321"/>
      <c r="BK35" s="322"/>
      <c r="BL35" s="321"/>
      <c r="BM35" s="322"/>
      <c r="BN35" s="321"/>
      <c r="BO35" s="322"/>
      <c r="BP35" s="321"/>
      <c r="BQ35" s="322"/>
      <c r="BR35" s="321"/>
      <c r="BS35" s="322"/>
      <c r="BT35" s="321"/>
      <c r="BU35" s="322"/>
      <c r="BV35" s="264">
        <f t="shared" si="13"/>
        <v>0</v>
      </c>
      <c r="BW35" s="264">
        <f t="shared" si="14"/>
        <v>0</v>
      </c>
    </row>
    <row r="36" spans="1:75" s="62" customFormat="1" ht="21.95" customHeight="1" x14ac:dyDescent="0.25">
      <c r="A36" s="344" t="s">
        <v>3202</v>
      </c>
      <c r="B36" s="434" t="s">
        <v>3203</v>
      </c>
      <c r="C36" s="435">
        <v>1</v>
      </c>
      <c r="D36" s="436" t="s">
        <v>3204</v>
      </c>
      <c r="E36" s="345" t="s">
        <v>3205</v>
      </c>
      <c r="F36" s="437" t="s">
        <v>3165</v>
      </c>
      <c r="G36" s="437" t="s">
        <v>3166</v>
      </c>
      <c r="H36" s="438" t="s">
        <v>1289</v>
      </c>
      <c r="I36" s="303" t="s">
        <v>1289</v>
      </c>
      <c r="J36" s="273" t="s">
        <v>3167</v>
      </c>
      <c r="K36" s="274" t="s">
        <v>3168</v>
      </c>
      <c r="L36" s="321"/>
      <c r="M36" s="322"/>
      <c r="N36" s="321"/>
      <c r="O36" s="322"/>
      <c r="P36" s="321"/>
      <c r="Q36" s="322"/>
      <c r="R36" s="321"/>
      <c r="S36" s="322"/>
      <c r="T36" s="321"/>
      <c r="U36" s="322"/>
      <c r="V36" s="321"/>
      <c r="W36" s="322"/>
      <c r="X36" s="321"/>
      <c r="Y36" s="322"/>
      <c r="Z36" s="321"/>
      <c r="AA36" s="322"/>
      <c r="AB36" s="321"/>
      <c r="AC36" s="322"/>
      <c r="AD36" s="321"/>
      <c r="AE36" s="322"/>
      <c r="AF36" s="321"/>
      <c r="AG36" s="322"/>
      <c r="AH36" s="321"/>
      <c r="AI36" s="322"/>
      <c r="AJ36" s="321"/>
      <c r="AK36" s="322"/>
      <c r="AL36" s="321"/>
      <c r="AM36" s="322"/>
      <c r="AN36" s="321"/>
      <c r="AO36" s="322"/>
      <c r="AP36" s="321"/>
      <c r="AQ36" s="322"/>
      <c r="AR36" s="321"/>
      <c r="AS36" s="322"/>
      <c r="AT36" s="321"/>
      <c r="AU36" s="322"/>
      <c r="AV36" s="321"/>
      <c r="AW36" s="322"/>
      <c r="AX36" s="321"/>
      <c r="AY36" s="322"/>
      <c r="AZ36" s="321"/>
      <c r="BA36" s="322"/>
      <c r="BB36" s="321"/>
      <c r="BC36" s="322"/>
      <c r="BD36" s="321"/>
      <c r="BE36" s="322"/>
      <c r="BF36" s="321"/>
      <c r="BG36" s="322"/>
      <c r="BH36" s="321"/>
      <c r="BI36" s="322"/>
      <c r="BJ36" s="321"/>
      <c r="BK36" s="322"/>
      <c r="BL36" s="321"/>
      <c r="BM36" s="322"/>
      <c r="BN36" s="321"/>
      <c r="BO36" s="322"/>
      <c r="BP36" s="321"/>
      <c r="BQ36" s="322"/>
      <c r="BR36" s="321"/>
      <c r="BS36" s="322"/>
      <c r="BT36" s="321"/>
      <c r="BU36" s="322"/>
      <c r="BV36" s="264">
        <f>L36+N36+P36+R36+T36+V36+X36+Z36+AB36+AD36+AF36+AH36+AJ36+AL36+AN36+AP36+AR36+AT36+AV36+AX36+AZ36+BB36+BD36+BF36+BH36+BJ36+BL36+BN36+BP36+BR36+BT36</f>
        <v>0</v>
      </c>
      <c r="BW36" s="264">
        <f>M36+O36+Q36+S36+U36+W36+Y36+AA36+AC36+AE36+AG36+AI36+AK36+AM36+AO36+AQ36+AS36+AU36+AW36+AY36+BA36+BC36+BE36+BG36+BI36+BK36+BM36+BO36+BQ36+BS36+BU36</f>
        <v>0</v>
      </c>
    </row>
    <row r="37" spans="1:75" s="62" customFormat="1" ht="21.95" customHeight="1" x14ac:dyDescent="0.2">
      <c r="A37" s="304" t="s">
        <v>3202</v>
      </c>
      <c r="B37" s="305" t="s">
        <v>3203</v>
      </c>
      <c r="C37" s="272" t="s">
        <v>3175</v>
      </c>
      <c r="D37" s="306" t="s">
        <v>3204</v>
      </c>
      <c r="E37" s="307" t="s">
        <v>3205</v>
      </c>
      <c r="F37" s="308" t="s">
        <v>3165</v>
      </c>
      <c r="G37" s="308" t="s">
        <v>3166</v>
      </c>
      <c r="H37" s="309" t="s">
        <v>1289</v>
      </c>
      <c r="I37" s="310" t="s">
        <v>1289</v>
      </c>
      <c r="J37" s="273" t="s">
        <v>3167</v>
      </c>
      <c r="K37" s="273" t="s">
        <v>3169</v>
      </c>
      <c r="L37" s="319"/>
      <c r="M37" s="320"/>
      <c r="N37" s="319"/>
      <c r="O37" s="320"/>
      <c r="P37" s="319"/>
      <c r="Q37" s="320"/>
      <c r="R37" s="319"/>
      <c r="S37" s="320"/>
      <c r="T37" s="319"/>
      <c r="U37" s="320"/>
      <c r="V37" s="319"/>
      <c r="W37" s="320"/>
      <c r="X37" s="319"/>
      <c r="Y37" s="320"/>
      <c r="Z37" s="319"/>
      <c r="AA37" s="320"/>
      <c r="AB37" s="319"/>
      <c r="AC37" s="320"/>
      <c r="AD37" s="319"/>
      <c r="AE37" s="320"/>
      <c r="AF37" s="319"/>
      <c r="AG37" s="320"/>
      <c r="AH37" s="319"/>
      <c r="AI37" s="320"/>
      <c r="AJ37" s="319"/>
      <c r="AK37" s="320"/>
      <c r="AL37" s="319"/>
      <c r="AM37" s="320"/>
      <c r="AN37" s="319"/>
      <c r="AO37" s="320"/>
      <c r="AP37" s="319"/>
      <c r="AQ37" s="320"/>
      <c r="AR37" s="319"/>
      <c r="AS37" s="320"/>
      <c r="AT37" s="319"/>
      <c r="AU37" s="320"/>
      <c r="AV37" s="319"/>
      <c r="AW37" s="320"/>
      <c r="AX37" s="319"/>
      <c r="AY37" s="320"/>
      <c r="AZ37" s="319"/>
      <c r="BA37" s="320"/>
      <c r="BB37" s="319"/>
      <c r="BC37" s="320"/>
      <c r="BD37" s="319"/>
      <c r="BE37" s="320"/>
      <c r="BF37" s="319"/>
      <c r="BG37" s="320"/>
      <c r="BH37" s="319"/>
      <c r="BI37" s="320"/>
      <c r="BJ37" s="319"/>
      <c r="BK37" s="320"/>
      <c r="BL37" s="319"/>
      <c r="BM37" s="320"/>
      <c r="BN37" s="319"/>
      <c r="BO37" s="320"/>
      <c r="BP37" s="319"/>
      <c r="BQ37" s="320"/>
      <c r="BR37" s="319"/>
      <c r="BS37" s="320"/>
      <c r="BT37" s="319"/>
      <c r="BU37" s="320"/>
      <c r="BV37" s="264">
        <f t="shared" ref="BV37:BV40" si="15">L37+N37+P37+R37+T37+V37+X37+Z37+AB37+AD37+AF37+AH37+AJ37+AL37+AN37+AP37+AR37+AT37+AV37+AX37+AZ37+BB37+BD37+BF37+BH37+BJ37+BL37+BN37+BP37+BR37+BT37</f>
        <v>0</v>
      </c>
      <c r="BW37" s="264">
        <f t="shared" ref="BW37:BW40" si="16">M37+O37+Q37+S37+U37+W37+Y37+AA37+AC37+AE37+AG37+AI37+AK37+AM37+AO37+AQ37+AS37+AU37+AW37+AY37+BA37+BC37+BE37+BG37+BI37+BK37+BM37+BO37+BQ37+BS37+BU37</f>
        <v>0</v>
      </c>
    </row>
    <row r="38" spans="1:75" s="62" customFormat="1" ht="21.95" customHeight="1" x14ac:dyDescent="0.2">
      <c r="A38" s="304" t="s">
        <v>3202</v>
      </c>
      <c r="B38" s="305" t="s">
        <v>3203</v>
      </c>
      <c r="C38" s="311" t="s">
        <v>3175</v>
      </c>
      <c r="D38" s="306" t="s">
        <v>3204</v>
      </c>
      <c r="E38" s="307" t="s">
        <v>3205</v>
      </c>
      <c r="F38" s="308" t="s">
        <v>3165</v>
      </c>
      <c r="G38" s="308" t="s">
        <v>3166</v>
      </c>
      <c r="H38" s="309" t="s">
        <v>1289</v>
      </c>
      <c r="I38" s="310" t="s">
        <v>1289</v>
      </c>
      <c r="J38" s="273" t="s">
        <v>3167</v>
      </c>
      <c r="K38" s="275" t="s">
        <v>3170</v>
      </c>
      <c r="L38" s="319"/>
      <c r="M38" s="320"/>
      <c r="N38" s="319"/>
      <c r="O38" s="320"/>
      <c r="P38" s="319"/>
      <c r="Q38" s="320"/>
      <c r="R38" s="319"/>
      <c r="S38" s="320"/>
      <c r="T38" s="319"/>
      <c r="U38" s="320"/>
      <c r="V38" s="319"/>
      <c r="W38" s="320"/>
      <c r="X38" s="319"/>
      <c r="Y38" s="320"/>
      <c r="Z38" s="319"/>
      <c r="AA38" s="320"/>
      <c r="AB38" s="319"/>
      <c r="AC38" s="320"/>
      <c r="AD38" s="319"/>
      <c r="AE38" s="320"/>
      <c r="AF38" s="319"/>
      <c r="AG38" s="320"/>
      <c r="AH38" s="319"/>
      <c r="AI38" s="320"/>
      <c r="AJ38" s="319"/>
      <c r="AK38" s="320"/>
      <c r="AL38" s="319"/>
      <c r="AM38" s="320"/>
      <c r="AN38" s="319"/>
      <c r="AO38" s="320"/>
      <c r="AP38" s="319"/>
      <c r="AQ38" s="320"/>
      <c r="AR38" s="319"/>
      <c r="AS38" s="320"/>
      <c r="AT38" s="319"/>
      <c r="AU38" s="320"/>
      <c r="AV38" s="319"/>
      <c r="AW38" s="320"/>
      <c r="AX38" s="319"/>
      <c r="AY38" s="320"/>
      <c r="AZ38" s="319"/>
      <c r="BA38" s="320"/>
      <c r="BB38" s="319"/>
      <c r="BC38" s="320"/>
      <c r="BD38" s="319"/>
      <c r="BE38" s="320"/>
      <c r="BF38" s="319"/>
      <c r="BG38" s="320"/>
      <c r="BH38" s="319"/>
      <c r="BI38" s="320"/>
      <c r="BJ38" s="319"/>
      <c r="BK38" s="320"/>
      <c r="BL38" s="319"/>
      <c r="BM38" s="320"/>
      <c r="BN38" s="319"/>
      <c r="BO38" s="320"/>
      <c r="BP38" s="319"/>
      <c r="BQ38" s="320"/>
      <c r="BR38" s="319"/>
      <c r="BS38" s="320"/>
      <c r="BT38" s="319"/>
      <c r="BU38" s="320"/>
      <c r="BV38" s="264">
        <f t="shared" si="15"/>
        <v>0</v>
      </c>
      <c r="BW38" s="264">
        <f t="shared" si="16"/>
        <v>0</v>
      </c>
    </row>
    <row r="39" spans="1:75" s="62" customFormat="1" ht="21.95" customHeight="1" x14ac:dyDescent="0.2">
      <c r="A39" s="304" t="s">
        <v>3202</v>
      </c>
      <c r="B39" s="305" t="s">
        <v>3203</v>
      </c>
      <c r="C39" s="311" t="s">
        <v>3175</v>
      </c>
      <c r="D39" s="306" t="s">
        <v>3204</v>
      </c>
      <c r="E39" s="307" t="s">
        <v>3205</v>
      </c>
      <c r="F39" s="308" t="s">
        <v>3165</v>
      </c>
      <c r="G39" s="308" t="s">
        <v>3166</v>
      </c>
      <c r="H39" s="309" t="s">
        <v>1289</v>
      </c>
      <c r="I39" s="310" t="s">
        <v>1289</v>
      </c>
      <c r="J39" s="273" t="s">
        <v>3167</v>
      </c>
      <c r="K39" s="276" t="s">
        <v>3171</v>
      </c>
      <c r="L39" s="319"/>
      <c r="M39" s="320"/>
      <c r="N39" s="319"/>
      <c r="O39" s="320"/>
      <c r="P39" s="319"/>
      <c r="Q39" s="320"/>
      <c r="R39" s="319"/>
      <c r="S39" s="320"/>
      <c r="T39" s="319"/>
      <c r="U39" s="320"/>
      <c r="V39" s="319"/>
      <c r="W39" s="320"/>
      <c r="X39" s="319"/>
      <c r="Y39" s="320"/>
      <c r="Z39" s="319"/>
      <c r="AA39" s="320"/>
      <c r="AB39" s="319"/>
      <c r="AC39" s="320"/>
      <c r="AD39" s="319"/>
      <c r="AE39" s="320"/>
      <c r="AF39" s="319"/>
      <c r="AG39" s="320"/>
      <c r="AH39" s="319"/>
      <c r="AI39" s="320"/>
      <c r="AJ39" s="319"/>
      <c r="AK39" s="320"/>
      <c r="AL39" s="319"/>
      <c r="AM39" s="320"/>
      <c r="AN39" s="319"/>
      <c r="AO39" s="320"/>
      <c r="AP39" s="319"/>
      <c r="AQ39" s="320"/>
      <c r="AR39" s="319"/>
      <c r="AS39" s="320"/>
      <c r="AT39" s="319"/>
      <c r="AU39" s="320"/>
      <c r="AV39" s="319"/>
      <c r="AW39" s="320"/>
      <c r="AX39" s="319"/>
      <c r="AY39" s="320"/>
      <c r="AZ39" s="319"/>
      <c r="BA39" s="320"/>
      <c r="BB39" s="319"/>
      <c r="BC39" s="320"/>
      <c r="BD39" s="319"/>
      <c r="BE39" s="320"/>
      <c r="BF39" s="319"/>
      <c r="BG39" s="320"/>
      <c r="BH39" s="319"/>
      <c r="BI39" s="320"/>
      <c r="BJ39" s="319"/>
      <c r="BK39" s="320"/>
      <c r="BL39" s="319"/>
      <c r="BM39" s="320"/>
      <c r="BN39" s="319"/>
      <c r="BO39" s="320"/>
      <c r="BP39" s="319"/>
      <c r="BQ39" s="320"/>
      <c r="BR39" s="319"/>
      <c r="BS39" s="320"/>
      <c r="BT39" s="319"/>
      <c r="BU39" s="320"/>
      <c r="BV39" s="264">
        <f t="shared" si="15"/>
        <v>0</v>
      </c>
      <c r="BW39" s="264">
        <f t="shared" si="16"/>
        <v>0</v>
      </c>
    </row>
    <row r="40" spans="1:75" s="62" customFormat="1" ht="21.95" customHeight="1" thickBot="1" x14ac:dyDescent="0.25">
      <c r="A40" s="568" t="s">
        <v>3202</v>
      </c>
      <c r="B40" s="312" t="s">
        <v>3203</v>
      </c>
      <c r="C40" s="313" t="s">
        <v>3175</v>
      </c>
      <c r="D40" s="314" t="s">
        <v>3204</v>
      </c>
      <c r="E40" s="330" t="s">
        <v>3205</v>
      </c>
      <c r="F40" s="315" t="s">
        <v>3165</v>
      </c>
      <c r="G40" s="315" t="s">
        <v>3166</v>
      </c>
      <c r="H40" s="316" t="s">
        <v>1289</v>
      </c>
      <c r="I40" s="569" t="s">
        <v>1289</v>
      </c>
      <c r="J40" s="273" t="s">
        <v>3167</v>
      </c>
      <c r="K40" s="277" t="s">
        <v>53</v>
      </c>
      <c r="L40" s="321"/>
      <c r="M40" s="322"/>
      <c r="N40" s="321"/>
      <c r="O40" s="322"/>
      <c r="P40" s="321"/>
      <c r="Q40" s="322"/>
      <c r="R40" s="321"/>
      <c r="S40" s="322"/>
      <c r="T40" s="321"/>
      <c r="U40" s="322"/>
      <c r="V40" s="321"/>
      <c r="W40" s="322"/>
      <c r="X40" s="321"/>
      <c r="Y40" s="322"/>
      <c r="Z40" s="321"/>
      <c r="AA40" s="322"/>
      <c r="AB40" s="321"/>
      <c r="AC40" s="322"/>
      <c r="AD40" s="321"/>
      <c r="AE40" s="322"/>
      <c r="AF40" s="321"/>
      <c r="AG40" s="322"/>
      <c r="AH40" s="321"/>
      <c r="AI40" s="322"/>
      <c r="AJ40" s="321"/>
      <c r="AK40" s="322"/>
      <c r="AL40" s="321"/>
      <c r="AM40" s="322"/>
      <c r="AN40" s="321"/>
      <c r="AO40" s="322"/>
      <c r="AP40" s="321"/>
      <c r="AQ40" s="322"/>
      <c r="AR40" s="321"/>
      <c r="AS40" s="322"/>
      <c r="AT40" s="321"/>
      <c r="AU40" s="322"/>
      <c r="AV40" s="321"/>
      <c r="AW40" s="322"/>
      <c r="AX40" s="321"/>
      <c r="AY40" s="322"/>
      <c r="AZ40" s="321"/>
      <c r="BA40" s="322"/>
      <c r="BB40" s="321"/>
      <c r="BC40" s="322"/>
      <c r="BD40" s="321"/>
      <c r="BE40" s="322"/>
      <c r="BF40" s="321"/>
      <c r="BG40" s="322"/>
      <c r="BH40" s="321"/>
      <c r="BI40" s="322"/>
      <c r="BJ40" s="321"/>
      <c r="BK40" s="322"/>
      <c r="BL40" s="321"/>
      <c r="BM40" s="322"/>
      <c r="BN40" s="321"/>
      <c r="BO40" s="322"/>
      <c r="BP40" s="321"/>
      <c r="BQ40" s="322"/>
      <c r="BR40" s="321"/>
      <c r="BS40" s="322"/>
      <c r="BT40" s="321"/>
      <c r="BU40" s="322"/>
      <c r="BV40" s="264">
        <f t="shared" si="15"/>
        <v>0</v>
      </c>
      <c r="BW40" s="264">
        <f t="shared" si="16"/>
        <v>0</v>
      </c>
    </row>
    <row r="41" spans="1:75" s="62" customFormat="1" ht="21.95" customHeight="1" x14ac:dyDescent="0.25">
      <c r="A41" s="344" t="s">
        <v>3206</v>
      </c>
      <c r="B41" s="434" t="s">
        <v>3207</v>
      </c>
      <c r="C41" s="435">
        <v>1</v>
      </c>
      <c r="D41" s="436" t="s">
        <v>3208</v>
      </c>
      <c r="E41" s="345" t="s">
        <v>3209</v>
      </c>
      <c r="F41" s="437" t="s">
        <v>3165</v>
      </c>
      <c r="G41" s="437" t="s">
        <v>3166</v>
      </c>
      <c r="H41" s="438" t="s">
        <v>1292</v>
      </c>
      <c r="I41" s="303" t="s">
        <v>1292</v>
      </c>
      <c r="J41" s="273" t="s">
        <v>3167</v>
      </c>
      <c r="K41" s="274" t="s">
        <v>3168</v>
      </c>
      <c r="L41" s="321"/>
      <c r="M41" s="322"/>
      <c r="N41" s="321"/>
      <c r="O41" s="322"/>
      <c r="P41" s="321"/>
      <c r="Q41" s="322"/>
      <c r="R41" s="321"/>
      <c r="S41" s="322"/>
      <c r="T41" s="321"/>
      <c r="U41" s="322"/>
      <c r="V41" s="321"/>
      <c r="W41" s="322"/>
      <c r="X41" s="321"/>
      <c r="Y41" s="322"/>
      <c r="Z41" s="321"/>
      <c r="AA41" s="322"/>
      <c r="AB41" s="321"/>
      <c r="AC41" s="322"/>
      <c r="AD41" s="321"/>
      <c r="AE41" s="322"/>
      <c r="AF41" s="321"/>
      <c r="AG41" s="322"/>
      <c r="AH41" s="321"/>
      <c r="AI41" s="322"/>
      <c r="AJ41" s="321"/>
      <c r="AK41" s="322"/>
      <c r="AL41" s="321"/>
      <c r="AM41" s="322"/>
      <c r="AN41" s="321"/>
      <c r="AO41" s="322"/>
      <c r="AP41" s="321"/>
      <c r="AQ41" s="322"/>
      <c r="AR41" s="321"/>
      <c r="AS41" s="322"/>
      <c r="AT41" s="321"/>
      <c r="AU41" s="322"/>
      <c r="AV41" s="321"/>
      <c r="AW41" s="322"/>
      <c r="AX41" s="321"/>
      <c r="AY41" s="322"/>
      <c r="AZ41" s="321"/>
      <c r="BA41" s="322"/>
      <c r="BB41" s="321"/>
      <c r="BC41" s="322"/>
      <c r="BD41" s="321"/>
      <c r="BE41" s="322"/>
      <c r="BF41" s="321"/>
      <c r="BG41" s="322"/>
      <c r="BH41" s="321"/>
      <c r="BI41" s="322"/>
      <c r="BJ41" s="321"/>
      <c r="BK41" s="322"/>
      <c r="BL41" s="321"/>
      <c r="BM41" s="322"/>
      <c r="BN41" s="321"/>
      <c r="BO41" s="322"/>
      <c r="BP41" s="321"/>
      <c r="BQ41" s="322"/>
      <c r="BR41" s="321"/>
      <c r="BS41" s="322"/>
      <c r="BT41" s="321"/>
      <c r="BU41" s="322"/>
      <c r="BV41" s="264">
        <f>L41+N41+P41+R41+T41+V41+X41+Z41+AB41+AD41+AF41+AH41+AJ41+AL41+AN41+AP41+AR41+AT41+AV41+AX41+AZ41+BB41+BD41+BF41+BH41+BJ41+BL41+BN41+BP41+BR41+BT41</f>
        <v>0</v>
      </c>
      <c r="BW41" s="264">
        <f>M41+O41+Q41+S41+U41+W41+Y41+AA41+AC41+AE41+AG41+AI41+AK41+AM41+AO41+AQ41+AS41+AU41+AW41+AY41+BA41+BC41+BE41+BG41+BI41+BK41+BM41+BO41+BQ41+BS41+BU41</f>
        <v>0</v>
      </c>
    </row>
    <row r="42" spans="1:75" s="62" customFormat="1" ht="21.95" customHeight="1" x14ac:dyDescent="0.2">
      <c r="A42" s="304" t="s">
        <v>3206</v>
      </c>
      <c r="B42" s="305" t="s">
        <v>3207</v>
      </c>
      <c r="C42" s="272" t="s">
        <v>3175</v>
      </c>
      <c r="D42" s="306" t="s">
        <v>3208</v>
      </c>
      <c r="E42" s="307" t="s">
        <v>3209</v>
      </c>
      <c r="F42" s="308" t="s">
        <v>3165</v>
      </c>
      <c r="G42" s="308" t="s">
        <v>3166</v>
      </c>
      <c r="H42" s="309" t="s">
        <v>1292</v>
      </c>
      <c r="I42" s="310" t="s">
        <v>1292</v>
      </c>
      <c r="J42" s="273" t="s">
        <v>3167</v>
      </c>
      <c r="K42" s="273" t="s">
        <v>3169</v>
      </c>
      <c r="L42" s="319"/>
      <c r="M42" s="320"/>
      <c r="N42" s="319"/>
      <c r="O42" s="320"/>
      <c r="P42" s="319"/>
      <c r="Q42" s="320"/>
      <c r="R42" s="319"/>
      <c r="S42" s="320"/>
      <c r="T42" s="319"/>
      <c r="U42" s="320"/>
      <c r="V42" s="319">
        <v>1</v>
      </c>
      <c r="W42" s="320"/>
      <c r="X42" s="319">
        <v>1</v>
      </c>
      <c r="Y42" s="320"/>
      <c r="Z42" s="319">
        <v>1</v>
      </c>
      <c r="AA42" s="320"/>
      <c r="AB42" s="319">
        <v>1</v>
      </c>
      <c r="AC42" s="320"/>
      <c r="AD42" s="319"/>
      <c r="AE42" s="320"/>
      <c r="AF42" s="319"/>
      <c r="AG42" s="320"/>
      <c r="AH42" s="319"/>
      <c r="AI42" s="320"/>
      <c r="AJ42" s="319">
        <v>1</v>
      </c>
      <c r="AK42" s="320"/>
      <c r="AL42" s="319">
        <v>1</v>
      </c>
      <c r="AM42" s="320"/>
      <c r="AN42" s="319">
        <v>1</v>
      </c>
      <c r="AO42" s="320"/>
      <c r="AP42" s="319">
        <v>1</v>
      </c>
      <c r="AQ42" s="320"/>
      <c r="AR42" s="319"/>
      <c r="AS42" s="320"/>
      <c r="AT42" s="319"/>
      <c r="AU42" s="320"/>
      <c r="AV42" s="319"/>
      <c r="AW42" s="320"/>
      <c r="AX42" s="319">
        <v>1</v>
      </c>
      <c r="AY42" s="320"/>
      <c r="AZ42" s="319"/>
      <c r="BA42" s="320"/>
      <c r="BB42" s="319">
        <v>1</v>
      </c>
      <c r="BC42" s="320"/>
      <c r="BD42" s="319">
        <v>1</v>
      </c>
      <c r="BE42" s="320"/>
      <c r="BF42" s="319"/>
      <c r="BG42" s="320"/>
      <c r="BH42" s="319"/>
      <c r="BI42" s="320"/>
      <c r="BJ42" s="319"/>
      <c r="BK42" s="320"/>
      <c r="BL42" s="319">
        <v>1</v>
      </c>
      <c r="BM42" s="320"/>
      <c r="BN42" s="319">
        <v>1</v>
      </c>
      <c r="BO42" s="320"/>
      <c r="BP42" s="319">
        <v>1</v>
      </c>
      <c r="BQ42" s="320"/>
      <c r="BR42" s="319">
        <v>1</v>
      </c>
      <c r="BS42" s="320"/>
      <c r="BT42" s="319"/>
      <c r="BU42" s="320"/>
      <c r="BV42" s="264">
        <f t="shared" ref="BV42:BV45" si="17">L42+N42+P42+R42+T42+V42+X42+Z42+AB42+AD42+AF42+AH42+AJ42+AL42+AN42+AP42+AR42+AT42+AV42+AX42+AZ42+BB42+BD42+BF42+BH42+BJ42+BL42+BN42+BP42+BR42+BT42</f>
        <v>15</v>
      </c>
      <c r="BW42" s="264">
        <f t="shared" ref="BW42:BW45" si="18">M42+O42+Q42+S42+U42+W42+Y42+AA42+AC42+AE42+AG42+AI42+AK42+AM42+AO42+AQ42+AS42+AU42+AW42+AY42+BA42+BC42+BE42+BG42+BI42+BK42+BM42+BO42+BQ42+BS42+BU42</f>
        <v>0</v>
      </c>
    </row>
    <row r="43" spans="1:75" s="62" customFormat="1" ht="21.95" customHeight="1" x14ac:dyDescent="0.2">
      <c r="A43" s="304" t="s">
        <v>3206</v>
      </c>
      <c r="B43" s="305" t="s">
        <v>3207</v>
      </c>
      <c r="C43" s="311" t="s">
        <v>3175</v>
      </c>
      <c r="D43" s="306" t="s">
        <v>3208</v>
      </c>
      <c r="E43" s="307" t="s">
        <v>3209</v>
      </c>
      <c r="F43" s="308" t="s">
        <v>3165</v>
      </c>
      <c r="G43" s="308" t="s">
        <v>3166</v>
      </c>
      <c r="H43" s="309" t="s">
        <v>1292</v>
      </c>
      <c r="I43" s="310" t="s">
        <v>1292</v>
      </c>
      <c r="J43" s="273" t="s">
        <v>3167</v>
      </c>
      <c r="K43" s="275" t="s">
        <v>3170</v>
      </c>
      <c r="L43" s="319"/>
      <c r="M43" s="320"/>
      <c r="N43" s="319"/>
      <c r="O43" s="320"/>
      <c r="P43" s="319"/>
      <c r="Q43" s="320"/>
      <c r="R43" s="319"/>
      <c r="S43" s="320"/>
      <c r="T43" s="319"/>
      <c r="U43" s="320"/>
      <c r="V43" s="319"/>
      <c r="W43" s="320"/>
      <c r="X43" s="319"/>
      <c r="Y43" s="320"/>
      <c r="Z43" s="319"/>
      <c r="AA43" s="320"/>
      <c r="AB43" s="319"/>
      <c r="AC43" s="320"/>
      <c r="AD43" s="319"/>
      <c r="AE43" s="320"/>
      <c r="AF43" s="319"/>
      <c r="AG43" s="320"/>
      <c r="AH43" s="319"/>
      <c r="AI43" s="320"/>
      <c r="AJ43" s="319"/>
      <c r="AK43" s="320"/>
      <c r="AL43" s="319"/>
      <c r="AM43" s="320"/>
      <c r="AN43" s="319"/>
      <c r="AO43" s="320"/>
      <c r="AP43" s="319"/>
      <c r="AQ43" s="320"/>
      <c r="AR43" s="319"/>
      <c r="AS43" s="320"/>
      <c r="AT43" s="319"/>
      <c r="AU43" s="320"/>
      <c r="AV43" s="319"/>
      <c r="AW43" s="320"/>
      <c r="AX43" s="319"/>
      <c r="AY43" s="320"/>
      <c r="AZ43" s="319"/>
      <c r="BA43" s="320"/>
      <c r="BB43" s="319"/>
      <c r="BC43" s="320"/>
      <c r="BD43" s="319"/>
      <c r="BE43" s="320"/>
      <c r="BF43" s="319"/>
      <c r="BG43" s="320"/>
      <c r="BH43" s="319"/>
      <c r="BI43" s="320"/>
      <c r="BJ43" s="319"/>
      <c r="BK43" s="320"/>
      <c r="BL43" s="319"/>
      <c r="BM43" s="320"/>
      <c r="BN43" s="319"/>
      <c r="BO43" s="320"/>
      <c r="BP43" s="319"/>
      <c r="BQ43" s="320"/>
      <c r="BR43" s="319"/>
      <c r="BS43" s="320"/>
      <c r="BT43" s="319"/>
      <c r="BU43" s="320"/>
      <c r="BV43" s="264">
        <f t="shared" si="17"/>
        <v>0</v>
      </c>
      <c r="BW43" s="264">
        <f t="shared" si="18"/>
        <v>0</v>
      </c>
    </row>
    <row r="44" spans="1:75" s="62" customFormat="1" ht="21.95" customHeight="1" x14ac:dyDescent="0.2">
      <c r="A44" s="304" t="s">
        <v>3206</v>
      </c>
      <c r="B44" s="305" t="s">
        <v>3207</v>
      </c>
      <c r="C44" s="311" t="s">
        <v>3175</v>
      </c>
      <c r="D44" s="306" t="s">
        <v>3208</v>
      </c>
      <c r="E44" s="307" t="s">
        <v>3209</v>
      </c>
      <c r="F44" s="308" t="s">
        <v>3165</v>
      </c>
      <c r="G44" s="308" t="s">
        <v>3166</v>
      </c>
      <c r="H44" s="309" t="s">
        <v>1292</v>
      </c>
      <c r="I44" s="310" t="s">
        <v>1292</v>
      </c>
      <c r="J44" s="273" t="s">
        <v>3167</v>
      </c>
      <c r="K44" s="276" t="s">
        <v>3171</v>
      </c>
      <c r="L44" s="319"/>
      <c r="M44" s="320"/>
      <c r="N44" s="319"/>
      <c r="O44" s="320"/>
      <c r="P44" s="319"/>
      <c r="Q44" s="320"/>
      <c r="R44" s="319"/>
      <c r="S44" s="320"/>
      <c r="T44" s="319"/>
      <c r="U44" s="320"/>
      <c r="V44" s="319"/>
      <c r="W44" s="320"/>
      <c r="X44" s="319"/>
      <c r="Y44" s="320"/>
      <c r="Z44" s="319"/>
      <c r="AA44" s="320"/>
      <c r="AB44" s="319"/>
      <c r="AC44" s="320"/>
      <c r="AD44" s="319"/>
      <c r="AE44" s="320"/>
      <c r="AF44" s="319"/>
      <c r="AG44" s="320"/>
      <c r="AH44" s="319"/>
      <c r="AI44" s="320"/>
      <c r="AJ44" s="319"/>
      <c r="AK44" s="320"/>
      <c r="AL44" s="319"/>
      <c r="AM44" s="320"/>
      <c r="AN44" s="319"/>
      <c r="AO44" s="320"/>
      <c r="AP44" s="319"/>
      <c r="AQ44" s="320"/>
      <c r="AR44" s="319"/>
      <c r="AS44" s="320"/>
      <c r="AT44" s="319"/>
      <c r="AU44" s="320"/>
      <c r="AV44" s="319"/>
      <c r="AW44" s="320"/>
      <c r="AX44" s="319"/>
      <c r="AY44" s="320"/>
      <c r="AZ44" s="319"/>
      <c r="BA44" s="320"/>
      <c r="BB44" s="319"/>
      <c r="BC44" s="320"/>
      <c r="BD44" s="319"/>
      <c r="BE44" s="320"/>
      <c r="BF44" s="319"/>
      <c r="BG44" s="320"/>
      <c r="BH44" s="319"/>
      <c r="BI44" s="320"/>
      <c r="BJ44" s="319"/>
      <c r="BK44" s="320"/>
      <c r="BL44" s="319"/>
      <c r="BM44" s="320"/>
      <c r="BN44" s="319"/>
      <c r="BO44" s="320"/>
      <c r="BP44" s="319"/>
      <c r="BQ44" s="320"/>
      <c r="BR44" s="319"/>
      <c r="BS44" s="320"/>
      <c r="BT44" s="319"/>
      <c r="BU44" s="320"/>
      <c r="BV44" s="264">
        <f t="shared" si="17"/>
        <v>0</v>
      </c>
      <c r="BW44" s="264">
        <f t="shared" si="18"/>
        <v>0</v>
      </c>
    </row>
    <row r="45" spans="1:75" s="62" customFormat="1" ht="21.95" customHeight="1" thickBot="1" x14ac:dyDescent="0.25">
      <c r="A45" s="568" t="s">
        <v>3206</v>
      </c>
      <c r="B45" s="312" t="s">
        <v>3207</v>
      </c>
      <c r="C45" s="313" t="s">
        <v>3175</v>
      </c>
      <c r="D45" s="314" t="s">
        <v>3208</v>
      </c>
      <c r="E45" s="330" t="s">
        <v>3209</v>
      </c>
      <c r="F45" s="315" t="s">
        <v>3165</v>
      </c>
      <c r="G45" s="315" t="s">
        <v>3166</v>
      </c>
      <c r="H45" s="316" t="s">
        <v>1292</v>
      </c>
      <c r="I45" s="569" t="s">
        <v>1292</v>
      </c>
      <c r="J45" s="273" t="s">
        <v>3167</v>
      </c>
      <c r="K45" s="277" t="s">
        <v>53</v>
      </c>
      <c r="L45" s="321"/>
      <c r="M45" s="322"/>
      <c r="N45" s="321"/>
      <c r="O45" s="322"/>
      <c r="P45" s="321"/>
      <c r="Q45" s="322"/>
      <c r="R45" s="321"/>
      <c r="S45" s="322"/>
      <c r="T45" s="321"/>
      <c r="U45" s="322"/>
      <c r="V45" s="321"/>
      <c r="W45" s="322"/>
      <c r="X45" s="321"/>
      <c r="Y45" s="322"/>
      <c r="Z45" s="321"/>
      <c r="AA45" s="322"/>
      <c r="AB45" s="321"/>
      <c r="AC45" s="322"/>
      <c r="AD45" s="321"/>
      <c r="AE45" s="322"/>
      <c r="AF45" s="321"/>
      <c r="AG45" s="322"/>
      <c r="AH45" s="321"/>
      <c r="AI45" s="322"/>
      <c r="AJ45" s="321"/>
      <c r="AK45" s="322"/>
      <c r="AL45" s="321"/>
      <c r="AM45" s="322"/>
      <c r="AN45" s="321"/>
      <c r="AO45" s="322"/>
      <c r="AP45" s="321"/>
      <c r="AQ45" s="322"/>
      <c r="AR45" s="321"/>
      <c r="AS45" s="322"/>
      <c r="AT45" s="321"/>
      <c r="AU45" s="322"/>
      <c r="AV45" s="321"/>
      <c r="AW45" s="322"/>
      <c r="AX45" s="321"/>
      <c r="AY45" s="322"/>
      <c r="AZ45" s="321"/>
      <c r="BA45" s="322"/>
      <c r="BB45" s="321"/>
      <c r="BC45" s="322"/>
      <c r="BD45" s="321"/>
      <c r="BE45" s="322"/>
      <c r="BF45" s="321"/>
      <c r="BG45" s="322"/>
      <c r="BH45" s="321"/>
      <c r="BI45" s="322"/>
      <c r="BJ45" s="321"/>
      <c r="BK45" s="322"/>
      <c r="BL45" s="321"/>
      <c r="BM45" s="322"/>
      <c r="BN45" s="321"/>
      <c r="BO45" s="322"/>
      <c r="BP45" s="321"/>
      <c r="BQ45" s="322"/>
      <c r="BR45" s="321"/>
      <c r="BS45" s="322"/>
      <c r="BT45" s="321"/>
      <c r="BU45" s="322"/>
      <c r="BV45" s="264">
        <f t="shared" si="17"/>
        <v>0</v>
      </c>
      <c r="BW45" s="264">
        <f t="shared" si="18"/>
        <v>0</v>
      </c>
    </row>
    <row r="46" spans="1:75" s="62" customFormat="1" ht="21.95" customHeight="1" x14ac:dyDescent="0.25">
      <c r="A46" s="344" t="s">
        <v>3210</v>
      </c>
      <c r="B46" s="434" t="s">
        <v>3211</v>
      </c>
      <c r="C46" s="435">
        <v>1</v>
      </c>
      <c r="D46" s="436" t="s">
        <v>3212</v>
      </c>
      <c r="E46" s="345" t="s">
        <v>3213</v>
      </c>
      <c r="F46" s="437" t="s">
        <v>3165</v>
      </c>
      <c r="G46" s="437" t="s">
        <v>3166</v>
      </c>
      <c r="H46" s="438" t="s">
        <v>1294</v>
      </c>
      <c r="I46" s="303" t="s">
        <v>1294</v>
      </c>
      <c r="J46" s="273" t="s">
        <v>3167</v>
      </c>
      <c r="K46" s="274" t="s">
        <v>3168</v>
      </c>
      <c r="L46" s="321"/>
      <c r="M46" s="322"/>
      <c r="N46" s="321"/>
      <c r="O46" s="322"/>
      <c r="P46" s="321"/>
      <c r="Q46" s="322"/>
      <c r="R46" s="321"/>
      <c r="S46" s="322"/>
      <c r="T46" s="321"/>
      <c r="U46" s="322"/>
      <c r="V46" s="321"/>
      <c r="W46" s="322"/>
      <c r="X46" s="321"/>
      <c r="Y46" s="322"/>
      <c r="Z46" s="321"/>
      <c r="AA46" s="322"/>
      <c r="AB46" s="321"/>
      <c r="AC46" s="322"/>
      <c r="AD46" s="321"/>
      <c r="AE46" s="322"/>
      <c r="AF46" s="321"/>
      <c r="AG46" s="322"/>
      <c r="AH46" s="321"/>
      <c r="AI46" s="322"/>
      <c r="AJ46" s="321"/>
      <c r="AK46" s="322"/>
      <c r="AL46" s="321"/>
      <c r="AM46" s="322"/>
      <c r="AN46" s="321"/>
      <c r="AO46" s="322"/>
      <c r="AP46" s="321"/>
      <c r="AQ46" s="322"/>
      <c r="AR46" s="321"/>
      <c r="AS46" s="322"/>
      <c r="AT46" s="321"/>
      <c r="AU46" s="322"/>
      <c r="AV46" s="321"/>
      <c r="AW46" s="322"/>
      <c r="AX46" s="321"/>
      <c r="AY46" s="322"/>
      <c r="AZ46" s="321"/>
      <c r="BA46" s="322"/>
      <c r="BB46" s="321"/>
      <c r="BC46" s="322"/>
      <c r="BD46" s="321"/>
      <c r="BE46" s="322"/>
      <c r="BF46" s="321"/>
      <c r="BG46" s="322"/>
      <c r="BH46" s="321"/>
      <c r="BI46" s="322"/>
      <c r="BJ46" s="321"/>
      <c r="BK46" s="322"/>
      <c r="BL46" s="321"/>
      <c r="BM46" s="322"/>
      <c r="BN46" s="321"/>
      <c r="BO46" s="322"/>
      <c r="BP46" s="321"/>
      <c r="BQ46" s="322"/>
      <c r="BR46" s="321"/>
      <c r="BS46" s="322"/>
      <c r="BT46" s="321"/>
      <c r="BU46" s="322"/>
      <c r="BV46" s="264">
        <f>L46+N46+P46+R46+T46+V46+X46+Z46+AB46+AD46+AF46+AH46+AJ46+AL46+AN46+AP46+AR46+AT46+AV46+AX46+AZ46+BB46+BD46+BF46+BH46+BJ46+BL46+BN46+BP46+BR46+BT46</f>
        <v>0</v>
      </c>
      <c r="BW46" s="264">
        <f>M46+O46+Q46+S46+U46+W46+Y46+AA46+AC46+AE46+AG46+AI46+AK46+AM46+AO46+AQ46+AS46+AU46+AW46+AY46+BA46+BC46+BE46+BG46+BI46+BK46+BM46+BO46+BQ46+BS46+BU46</f>
        <v>0</v>
      </c>
    </row>
    <row r="47" spans="1:75" s="62" customFormat="1" ht="21.95" customHeight="1" x14ac:dyDescent="0.2">
      <c r="A47" s="304" t="s">
        <v>3210</v>
      </c>
      <c r="B47" s="305" t="s">
        <v>3211</v>
      </c>
      <c r="C47" s="272" t="s">
        <v>3175</v>
      </c>
      <c r="D47" s="306" t="s">
        <v>3212</v>
      </c>
      <c r="E47" s="307" t="s">
        <v>3213</v>
      </c>
      <c r="F47" s="308" t="s">
        <v>3165</v>
      </c>
      <c r="G47" s="308" t="s">
        <v>3166</v>
      </c>
      <c r="H47" s="309" t="s">
        <v>1294</v>
      </c>
      <c r="I47" s="310" t="s">
        <v>1294</v>
      </c>
      <c r="J47" s="273" t="s">
        <v>3167</v>
      </c>
      <c r="K47" s="273" t="s">
        <v>3169</v>
      </c>
      <c r="L47" s="319"/>
      <c r="M47" s="320"/>
      <c r="N47" s="319"/>
      <c r="O47" s="320"/>
      <c r="P47" s="319"/>
      <c r="Q47" s="320"/>
      <c r="R47" s="319"/>
      <c r="S47" s="320"/>
      <c r="T47" s="319"/>
      <c r="U47" s="320"/>
      <c r="V47" s="319"/>
      <c r="W47" s="320"/>
      <c r="X47" s="319"/>
      <c r="Y47" s="320"/>
      <c r="Z47" s="319"/>
      <c r="AA47" s="320"/>
      <c r="AB47" s="319"/>
      <c r="AC47" s="320"/>
      <c r="AD47" s="319"/>
      <c r="AE47" s="320"/>
      <c r="AF47" s="319"/>
      <c r="AG47" s="320"/>
      <c r="AH47" s="319"/>
      <c r="AI47" s="320"/>
      <c r="AJ47" s="319"/>
      <c r="AK47" s="320"/>
      <c r="AL47" s="319"/>
      <c r="AM47" s="320"/>
      <c r="AN47" s="319"/>
      <c r="AO47" s="320"/>
      <c r="AP47" s="319"/>
      <c r="AQ47" s="320"/>
      <c r="AR47" s="319"/>
      <c r="AS47" s="320"/>
      <c r="AT47" s="319"/>
      <c r="AU47" s="320"/>
      <c r="AV47" s="319"/>
      <c r="AW47" s="320"/>
      <c r="AX47" s="319"/>
      <c r="AY47" s="320"/>
      <c r="AZ47" s="319"/>
      <c r="BA47" s="320"/>
      <c r="BB47" s="319"/>
      <c r="BC47" s="320"/>
      <c r="BD47" s="319"/>
      <c r="BE47" s="320"/>
      <c r="BF47" s="319"/>
      <c r="BG47" s="320"/>
      <c r="BH47" s="319"/>
      <c r="BI47" s="320"/>
      <c r="BJ47" s="319"/>
      <c r="BK47" s="320"/>
      <c r="BL47" s="319"/>
      <c r="BM47" s="320"/>
      <c r="BN47" s="319"/>
      <c r="BO47" s="320"/>
      <c r="BP47" s="319"/>
      <c r="BQ47" s="320"/>
      <c r="BR47" s="319"/>
      <c r="BS47" s="320"/>
      <c r="BT47" s="319"/>
      <c r="BU47" s="320"/>
      <c r="BV47" s="264">
        <f t="shared" ref="BV47:BV50" si="19">L47+N47+P47+R47+T47+V47+X47+Z47+AB47+AD47+AF47+AH47+AJ47+AL47+AN47+AP47+AR47+AT47+AV47+AX47+AZ47+BB47+BD47+BF47+BH47+BJ47+BL47+BN47+BP47+BR47+BT47</f>
        <v>0</v>
      </c>
      <c r="BW47" s="264">
        <f t="shared" ref="BW47:BW50" si="20">M47+O47+Q47+S47+U47+W47+Y47+AA47+AC47+AE47+AG47+AI47+AK47+AM47+AO47+AQ47+AS47+AU47+AW47+AY47+BA47+BC47+BE47+BG47+BI47+BK47+BM47+BO47+BQ47+BS47+BU47</f>
        <v>0</v>
      </c>
    </row>
    <row r="48" spans="1:75" s="62" customFormat="1" ht="21.95" customHeight="1" x14ac:dyDescent="0.2">
      <c r="A48" s="304" t="s">
        <v>3210</v>
      </c>
      <c r="B48" s="305" t="s">
        <v>3211</v>
      </c>
      <c r="C48" s="311" t="s">
        <v>3175</v>
      </c>
      <c r="D48" s="306" t="s">
        <v>3212</v>
      </c>
      <c r="E48" s="307" t="s">
        <v>3213</v>
      </c>
      <c r="F48" s="308" t="s">
        <v>3165</v>
      </c>
      <c r="G48" s="308" t="s">
        <v>3166</v>
      </c>
      <c r="H48" s="309" t="s">
        <v>1294</v>
      </c>
      <c r="I48" s="310" t="s">
        <v>1294</v>
      </c>
      <c r="J48" s="273" t="s">
        <v>3167</v>
      </c>
      <c r="K48" s="275" t="s">
        <v>3170</v>
      </c>
      <c r="L48" s="319"/>
      <c r="M48" s="320"/>
      <c r="N48" s="319"/>
      <c r="O48" s="320"/>
      <c r="P48" s="319"/>
      <c r="Q48" s="320"/>
      <c r="R48" s="319"/>
      <c r="S48" s="320"/>
      <c r="T48" s="319"/>
      <c r="U48" s="320"/>
      <c r="V48" s="319"/>
      <c r="W48" s="320"/>
      <c r="X48" s="319"/>
      <c r="Y48" s="320"/>
      <c r="Z48" s="319"/>
      <c r="AA48" s="320"/>
      <c r="AB48" s="319"/>
      <c r="AC48" s="320"/>
      <c r="AD48" s="319"/>
      <c r="AE48" s="320"/>
      <c r="AF48" s="319"/>
      <c r="AG48" s="320"/>
      <c r="AH48" s="319"/>
      <c r="AI48" s="320"/>
      <c r="AJ48" s="319"/>
      <c r="AK48" s="320"/>
      <c r="AL48" s="319"/>
      <c r="AM48" s="320"/>
      <c r="AN48" s="319"/>
      <c r="AO48" s="320"/>
      <c r="AP48" s="319"/>
      <c r="AQ48" s="320"/>
      <c r="AR48" s="319"/>
      <c r="AS48" s="320"/>
      <c r="AT48" s="319"/>
      <c r="AU48" s="320"/>
      <c r="AV48" s="319"/>
      <c r="AW48" s="320"/>
      <c r="AX48" s="319"/>
      <c r="AY48" s="320"/>
      <c r="AZ48" s="319"/>
      <c r="BA48" s="320"/>
      <c r="BB48" s="319"/>
      <c r="BC48" s="320"/>
      <c r="BD48" s="319"/>
      <c r="BE48" s="320"/>
      <c r="BF48" s="319"/>
      <c r="BG48" s="320"/>
      <c r="BH48" s="319"/>
      <c r="BI48" s="320"/>
      <c r="BJ48" s="319"/>
      <c r="BK48" s="320"/>
      <c r="BL48" s="319"/>
      <c r="BM48" s="320"/>
      <c r="BN48" s="319"/>
      <c r="BO48" s="320"/>
      <c r="BP48" s="319"/>
      <c r="BQ48" s="320"/>
      <c r="BR48" s="319"/>
      <c r="BS48" s="320"/>
      <c r="BT48" s="319"/>
      <c r="BU48" s="320"/>
      <c r="BV48" s="264">
        <f t="shared" si="19"/>
        <v>0</v>
      </c>
      <c r="BW48" s="264">
        <f t="shared" si="20"/>
        <v>0</v>
      </c>
    </row>
    <row r="49" spans="1:75" s="62" customFormat="1" ht="21.95" customHeight="1" x14ac:dyDescent="0.2">
      <c r="A49" s="304" t="s">
        <v>3210</v>
      </c>
      <c r="B49" s="305" t="s">
        <v>3211</v>
      </c>
      <c r="C49" s="311" t="s">
        <v>3175</v>
      </c>
      <c r="D49" s="306" t="s">
        <v>3212</v>
      </c>
      <c r="E49" s="307" t="s">
        <v>3213</v>
      </c>
      <c r="F49" s="308" t="s">
        <v>3165</v>
      </c>
      <c r="G49" s="308" t="s">
        <v>3166</v>
      </c>
      <c r="H49" s="309" t="s">
        <v>1294</v>
      </c>
      <c r="I49" s="310" t="s">
        <v>1294</v>
      </c>
      <c r="J49" s="273" t="s">
        <v>3167</v>
      </c>
      <c r="K49" s="276" t="s">
        <v>3171</v>
      </c>
      <c r="L49" s="319"/>
      <c r="M49" s="320"/>
      <c r="N49" s="319"/>
      <c r="O49" s="320"/>
      <c r="P49" s="319"/>
      <c r="Q49" s="320"/>
      <c r="R49" s="319"/>
      <c r="S49" s="320"/>
      <c r="T49" s="319"/>
      <c r="U49" s="320"/>
      <c r="V49" s="319"/>
      <c r="W49" s="320"/>
      <c r="X49" s="319"/>
      <c r="Y49" s="320"/>
      <c r="Z49" s="319"/>
      <c r="AA49" s="320"/>
      <c r="AB49" s="319"/>
      <c r="AC49" s="320"/>
      <c r="AD49" s="319"/>
      <c r="AE49" s="320"/>
      <c r="AF49" s="319"/>
      <c r="AG49" s="320"/>
      <c r="AH49" s="319"/>
      <c r="AI49" s="320"/>
      <c r="AJ49" s="319"/>
      <c r="AK49" s="320"/>
      <c r="AL49" s="319"/>
      <c r="AM49" s="320"/>
      <c r="AN49" s="319"/>
      <c r="AO49" s="320"/>
      <c r="AP49" s="319"/>
      <c r="AQ49" s="320"/>
      <c r="AR49" s="319"/>
      <c r="AS49" s="320"/>
      <c r="AT49" s="319"/>
      <c r="AU49" s="320"/>
      <c r="AV49" s="319"/>
      <c r="AW49" s="320"/>
      <c r="AX49" s="319"/>
      <c r="AY49" s="320"/>
      <c r="AZ49" s="319"/>
      <c r="BA49" s="320"/>
      <c r="BB49" s="319"/>
      <c r="BC49" s="320"/>
      <c r="BD49" s="319"/>
      <c r="BE49" s="320"/>
      <c r="BF49" s="319"/>
      <c r="BG49" s="320"/>
      <c r="BH49" s="319"/>
      <c r="BI49" s="320"/>
      <c r="BJ49" s="319"/>
      <c r="BK49" s="320"/>
      <c r="BL49" s="319"/>
      <c r="BM49" s="320"/>
      <c r="BN49" s="319"/>
      <c r="BO49" s="320"/>
      <c r="BP49" s="319"/>
      <c r="BQ49" s="320"/>
      <c r="BR49" s="319"/>
      <c r="BS49" s="320"/>
      <c r="BT49" s="319"/>
      <c r="BU49" s="320"/>
      <c r="BV49" s="264">
        <f t="shared" si="19"/>
        <v>0</v>
      </c>
      <c r="BW49" s="264">
        <f t="shared" si="20"/>
        <v>0</v>
      </c>
    </row>
    <row r="50" spans="1:75" s="62" customFormat="1" ht="21.95" customHeight="1" thickBot="1" x14ac:dyDescent="0.25">
      <c r="A50" s="568" t="s">
        <v>3210</v>
      </c>
      <c r="B50" s="312" t="s">
        <v>3211</v>
      </c>
      <c r="C50" s="313" t="s">
        <v>3175</v>
      </c>
      <c r="D50" s="314" t="s">
        <v>3212</v>
      </c>
      <c r="E50" s="330" t="s">
        <v>3213</v>
      </c>
      <c r="F50" s="315" t="s">
        <v>3165</v>
      </c>
      <c r="G50" s="315" t="s">
        <v>3166</v>
      </c>
      <c r="H50" s="316" t="s">
        <v>1294</v>
      </c>
      <c r="I50" s="569" t="s">
        <v>1294</v>
      </c>
      <c r="J50" s="273" t="s">
        <v>3167</v>
      </c>
      <c r="K50" s="277" t="s">
        <v>53</v>
      </c>
      <c r="L50" s="321"/>
      <c r="M50" s="322"/>
      <c r="N50" s="321"/>
      <c r="O50" s="322"/>
      <c r="P50" s="321"/>
      <c r="Q50" s="322"/>
      <c r="R50" s="321"/>
      <c r="S50" s="322"/>
      <c r="T50" s="321"/>
      <c r="U50" s="322"/>
      <c r="V50" s="321"/>
      <c r="W50" s="322"/>
      <c r="X50" s="321"/>
      <c r="Y50" s="322"/>
      <c r="Z50" s="321"/>
      <c r="AA50" s="322"/>
      <c r="AB50" s="321"/>
      <c r="AC50" s="322"/>
      <c r="AD50" s="321"/>
      <c r="AE50" s="322"/>
      <c r="AF50" s="321"/>
      <c r="AG50" s="322"/>
      <c r="AH50" s="321"/>
      <c r="AI50" s="322"/>
      <c r="AJ50" s="321"/>
      <c r="AK50" s="322"/>
      <c r="AL50" s="321"/>
      <c r="AM50" s="322"/>
      <c r="AN50" s="321"/>
      <c r="AO50" s="322"/>
      <c r="AP50" s="321"/>
      <c r="AQ50" s="322"/>
      <c r="AR50" s="321"/>
      <c r="AS50" s="322"/>
      <c r="AT50" s="321"/>
      <c r="AU50" s="322"/>
      <c r="AV50" s="321"/>
      <c r="AW50" s="322"/>
      <c r="AX50" s="321"/>
      <c r="AY50" s="322"/>
      <c r="AZ50" s="321"/>
      <c r="BA50" s="322"/>
      <c r="BB50" s="321"/>
      <c r="BC50" s="322"/>
      <c r="BD50" s="321"/>
      <c r="BE50" s="322"/>
      <c r="BF50" s="321"/>
      <c r="BG50" s="322"/>
      <c r="BH50" s="321"/>
      <c r="BI50" s="322"/>
      <c r="BJ50" s="321"/>
      <c r="BK50" s="322"/>
      <c r="BL50" s="321"/>
      <c r="BM50" s="322"/>
      <c r="BN50" s="321"/>
      <c r="BO50" s="322"/>
      <c r="BP50" s="321"/>
      <c r="BQ50" s="322"/>
      <c r="BR50" s="321"/>
      <c r="BS50" s="322"/>
      <c r="BT50" s="321"/>
      <c r="BU50" s="322"/>
      <c r="BV50" s="264">
        <f t="shared" si="19"/>
        <v>0</v>
      </c>
      <c r="BW50" s="264">
        <f t="shared" si="20"/>
        <v>0</v>
      </c>
    </row>
    <row r="51" spans="1:75" s="62" customFormat="1" ht="21.95" customHeight="1" x14ac:dyDescent="0.25">
      <c r="A51" s="344" t="s">
        <v>3214</v>
      </c>
      <c r="B51" s="434" t="s">
        <v>3215</v>
      </c>
      <c r="C51" s="435">
        <v>2</v>
      </c>
      <c r="D51" s="436" t="s">
        <v>3216</v>
      </c>
      <c r="E51" s="345" t="s">
        <v>3217</v>
      </c>
      <c r="F51" s="437" t="s">
        <v>3165</v>
      </c>
      <c r="G51" s="437" t="s">
        <v>3166</v>
      </c>
      <c r="H51" s="438" t="s">
        <v>1300</v>
      </c>
      <c r="I51" s="303" t="s">
        <v>1300</v>
      </c>
      <c r="J51" s="273" t="s">
        <v>3173</v>
      </c>
      <c r="K51" s="274" t="s">
        <v>3168</v>
      </c>
      <c r="L51" s="321"/>
      <c r="M51" s="322"/>
      <c r="N51" s="321"/>
      <c r="O51" s="322"/>
      <c r="P51" s="321"/>
      <c r="Q51" s="322"/>
      <c r="R51" s="321"/>
      <c r="S51" s="322"/>
      <c r="T51" s="321"/>
      <c r="U51" s="322"/>
      <c r="V51" s="321"/>
      <c r="W51" s="322"/>
      <c r="X51" s="321"/>
      <c r="Y51" s="322"/>
      <c r="Z51" s="321"/>
      <c r="AA51" s="322"/>
      <c r="AB51" s="321"/>
      <c r="AC51" s="322"/>
      <c r="AD51" s="321"/>
      <c r="AE51" s="322"/>
      <c r="AF51" s="321"/>
      <c r="AG51" s="322"/>
      <c r="AH51" s="321"/>
      <c r="AI51" s="322"/>
      <c r="AJ51" s="321"/>
      <c r="AK51" s="322"/>
      <c r="AL51" s="321"/>
      <c r="AM51" s="322"/>
      <c r="AN51" s="321"/>
      <c r="AO51" s="322"/>
      <c r="AP51" s="321"/>
      <c r="AQ51" s="322"/>
      <c r="AR51" s="321"/>
      <c r="AS51" s="322"/>
      <c r="AT51" s="321"/>
      <c r="AU51" s="322"/>
      <c r="AV51" s="321"/>
      <c r="AW51" s="322"/>
      <c r="AX51" s="321"/>
      <c r="AY51" s="322"/>
      <c r="AZ51" s="321"/>
      <c r="BA51" s="322"/>
      <c r="BB51" s="321"/>
      <c r="BC51" s="322"/>
      <c r="BD51" s="321"/>
      <c r="BE51" s="322"/>
      <c r="BF51" s="321"/>
      <c r="BG51" s="322"/>
      <c r="BH51" s="321"/>
      <c r="BI51" s="322"/>
      <c r="BJ51" s="321"/>
      <c r="BK51" s="322"/>
      <c r="BL51" s="321"/>
      <c r="BM51" s="322"/>
      <c r="BN51" s="321"/>
      <c r="BO51" s="322"/>
      <c r="BP51" s="321"/>
      <c r="BQ51" s="322"/>
      <c r="BR51" s="321"/>
      <c r="BS51" s="322"/>
      <c r="BT51" s="321"/>
      <c r="BU51" s="322"/>
      <c r="BV51" s="264">
        <f>L51+N51+P51+R51+T51+V51+X51+Z51+AB51+AD51+AF51+AH51+AJ51+AL51+AN51+AP51+AR51+AT51+AV51+AX51+AZ51+BB51+BD51+BF51+BH51+BJ51+BL51+BN51+BP51+BR51+BT51</f>
        <v>0</v>
      </c>
      <c r="BW51" s="264">
        <f>M51+O51+Q51+S51+U51+W51+Y51+AA51+AC51+AE51+AG51+AI51+AK51+AM51+AO51+AQ51+AS51+AU51+AW51+AY51+BA51+BC51+BE51+BG51+BI51+BK51+BM51+BO51+BQ51+BS51+BU51</f>
        <v>0</v>
      </c>
    </row>
    <row r="52" spans="1:75" s="62" customFormat="1" ht="21.95" customHeight="1" x14ac:dyDescent="0.2">
      <c r="A52" s="304" t="s">
        <v>3214</v>
      </c>
      <c r="B52" s="305" t="s">
        <v>3215</v>
      </c>
      <c r="C52" s="272" t="s">
        <v>3175</v>
      </c>
      <c r="D52" s="306" t="s">
        <v>3216</v>
      </c>
      <c r="E52" s="307" t="s">
        <v>3217</v>
      </c>
      <c r="F52" s="308" t="s">
        <v>3165</v>
      </c>
      <c r="G52" s="308" t="s">
        <v>3166</v>
      </c>
      <c r="H52" s="309" t="s">
        <v>1300</v>
      </c>
      <c r="I52" s="310" t="s">
        <v>1300</v>
      </c>
      <c r="J52" s="273" t="s">
        <v>3173</v>
      </c>
      <c r="K52" s="273" t="s">
        <v>3169</v>
      </c>
      <c r="L52" s="319"/>
      <c r="M52" s="320"/>
      <c r="N52" s="319"/>
      <c r="O52" s="320"/>
      <c r="P52" s="319"/>
      <c r="Q52" s="320"/>
      <c r="R52" s="319"/>
      <c r="S52" s="320"/>
      <c r="T52" s="319"/>
      <c r="U52" s="320"/>
      <c r="V52" s="319"/>
      <c r="W52" s="320"/>
      <c r="X52" s="319"/>
      <c r="Y52" s="320"/>
      <c r="Z52" s="319"/>
      <c r="AA52" s="320"/>
      <c r="AB52" s="319"/>
      <c r="AC52" s="320"/>
      <c r="AD52" s="319"/>
      <c r="AE52" s="320"/>
      <c r="AF52" s="319"/>
      <c r="AG52" s="320"/>
      <c r="AH52" s="319"/>
      <c r="AI52" s="320"/>
      <c r="AJ52" s="319"/>
      <c r="AK52" s="320"/>
      <c r="AL52" s="319"/>
      <c r="AM52" s="320"/>
      <c r="AN52" s="319"/>
      <c r="AO52" s="320"/>
      <c r="AP52" s="319"/>
      <c r="AQ52" s="320"/>
      <c r="AR52" s="319"/>
      <c r="AS52" s="320"/>
      <c r="AT52" s="319"/>
      <c r="AU52" s="320"/>
      <c r="AV52" s="319"/>
      <c r="AW52" s="320"/>
      <c r="AX52" s="319"/>
      <c r="AY52" s="320"/>
      <c r="AZ52" s="319"/>
      <c r="BA52" s="320"/>
      <c r="BB52" s="319"/>
      <c r="BC52" s="320"/>
      <c r="BD52" s="319"/>
      <c r="BE52" s="320"/>
      <c r="BF52" s="319"/>
      <c r="BG52" s="320"/>
      <c r="BH52" s="319"/>
      <c r="BI52" s="320"/>
      <c r="BJ52" s="319"/>
      <c r="BK52" s="320"/>
      <c r="BL52" s="319"/>
      <c r="BM52" s="320"/>
      <c r="BN52" s="319"/>
      <c r="BO52" s="320"/>
      <c r="BP52" s="319"/>
      <c r="BQ52" s="320"/>
      <c r="BR52" s="319"/>
      <c r="BS52" s="320"/>
      <c r="BT52" s="319"/>
      <c r="BU52" s="320"/>
      <c r="BV52" s="264">
        <f t="shared" ref="BV52:BV55" si="21">L52+N52+P52+R52+T52+V52+X52+Z52+AB52+AD52+AF52+AH52+AJ52+AL52+AN52+AP52+AR52+AT52+AV52+AX52+AZ52+BB52+BD52+BF52+BH52+BJ52+BL52+BN52+BP52+BR52+BT52</f>
        <v>0</v>
      </c>
      <c r="BW52" s="264">
        <f t="shared" ref="BW52:BW55" si="22">M52+O52+Q52+S52+U52+W52+Y52+AA52+AC52+AE52+AG52+AI52+AK52+AM52+AO52+AQ52+AS52+AU52+AW52+AY52+BA52+BC52+BE52+BG52+BI52+BK52+BM52+BO52+BQ52+BS52+BU52</f>
        <v>0</v>
      </c>
    </row>
    <row r="53" spans="1:75" s="62" customFormat="1" ht="21.95" customHeight="1" x14ac:dyDescent="0.2">
      <c r="A53" s="304" t="s">
        <v>3214</v>
      </c>
      <c r="B53" s="305" t="s">
        <v>3215</v>
      </c>
      <c r="C53" s="311" t="s">
        <v>3175</v>
      </c>
      <c r="D53" s="306" t="s">
        <v>3216</v>
      </c>
      <c r="E53" s="307" t="s">
        <v>3217</v>
      </c>
      <c r="F53" s="308" t="s">
        <v>3165</v>
      </c>
      <c r="G53" s="308" t="s">
        <v>3166</v>
      </c>
      <c r="H53" s="309" t="s">
        <v>1300</v>
      </c>
      <c r="I53" s="310" t="s">
        <v>1300</v>
      </c>
      <c r="J53" s="273" t="s">
        <v>3173</v>
      </c>
      <c r="K53" s="275" t="s">
        <v>3170</v>
      </c>
      <c r="L53" s="319"/>
      <c r="M53" s="320"/>
      <c r="N53" s="319"/>
      <c r="O53" s="320"/>
      <c r="P53" s="319"/>
      <c r="Q53" s="320"/>
      <c r="R53" s="319"/>
      <c r="S53" s="320"/>
      <c r="T53" s="319"/>
      <c r="U53" s="320"/>
      <c r="V53" s="319"/>
      <c r="W53" s="320"/>
      <c r="X53" s="319"/>
      <c r="Y53" s="320"/>
      <c r="Z53" s="319"/>
      <c r="AA53" s="320"/>
      <c r="AB53" s="319"/>
      <c r="AC53" s="320"/>
      <c r="AD53" s="319"/>
      <c r="AE53" s="320"/>
      <c r="AF53" s="319"/>
      <c r="AG53" s="320"/>
      <c r="AH53" s="319"/>
      <c r="AI53" s="320"/>
      <c r="AJ53" s="319"/>
      <c r="AK53" s="320"/>
      <c r="AL53" s="319"/>
      <c r="AM53" s="320"/>
      <c r="AN53" s="319"/>
      <c r="AO53" s="320"/>
      <c r="AP53" s="319"/>
      <c r="AQ53" s="320"/>
      <c r="AR53" s="319"/>
      <c r="AS53" s="320"/>
      <c r="AT53" s="319"/>
      <c r="AU53" s="320"/>
      <c r="AV53" s="319"/>
      <c r="AW53" s="320"/>
      <c r="AX53" s="319"/>
      <c r="AY53" s="320"/>
      <c r="AZ53" s="319"/>
      <c r="BA53" s="320"/>
      <c r="BB53" s="319"/>
      <c r="BC53" s="320"/>
      <c r="BD53" s="319"/>
      <c r="BE53" s="320"/>
      <c r="BF53" s="319"/>
      <c r="BG53" s="320"/>
      <c r="BH53" s="319"/>
      <c r="BI53" s="320"/>
      <c r="BJ53" s="319"/>
      <c r="BK53" s="320"/>
      <c r="BL53" s="319"/>
      <c r="BM53" s="320"/>
      <c r="BN53" s="319"/>
      <c r="BO53" s="320"/>
      <c r="BP53" s="319"/>
      <c r="BQ53" s="320"/>
      <c r="BR53" s="319"/>
      <c r="BS53" s="320"/>
      <c r="BT53" s="319"/>
      <c r="BU53" s="320"/>
      <c r="BV53" s="264">
        <f t="shared" si="21"/>
        <v>0</v>
      </c>
      <c r="BW53" s="264">
        <f t="shared" si="22"/>
        <v>0</v>
      </c>
    </row>
    <row r="54" spans="1:75" s="62" customFormat="1" ht="21.95" customHeight="1" x14ac:dyDescent="0.2">
      <c r="A54" s="304" t="s">
        <v>3214</v>
      </c>
      <c r="B54" s="305" t="s">
        <v>3215</v>
      </c>
      <c r="C54" s="311" t="s">
        <v>3175</v>
      </c>
      <c r="D54" s="306" t="s">
        <v>3216</v>
      </c>
      <c r="E54" s="307" t="s">
        <v>3217</v>
      </c>
      <c r="F54" s="308" t="s">
        <v>3165</v>
      </c>
      <c r="G54" s="308" t="s">
        <v>3166</v>
      </c>
      <c r="H54" s="309" t="s">
        <v>1300</v>
      </c>
      <c r="I54" s="310" t="s">
        <v>1300</v>
      </c>
      <c r="J54" s="273" t="s">
        <v>3173</v>
      </c>
      <c r="K54" s="276" t="s">
        <v>3171</v>
      </c>
      <c r="L54" s="319"/>
      <c r="M54" s="320"/>
      <c r="N54" s="319"/>
      <c r="O54" s="320"/>
      <c r="P54" s="319"/>
      <c r="Q54" s="320"/>
      <c r="R54" s="319"/>
      <c r="S54" s="320"/>
      <c r="T54" s="319"/>
      <c r="U54" s="320"/>
      <c r="V54" s="319"/>
      <c r="W54" s="320"/>
      <c r="X54" s="319"/>
      <c r="Y54" s="320"/>
      <c r="Z54" s="319"/>
      <c r="AA54" s="320"/>
      <c r="AB54" s="319"/>
      <c r="AC54" s="320"/>
      <c r="AD54" s="319"/>
      <c r="AE54" s="320"/>
      <c r="AF54" s="319"/>
      <c r="AG54" s="320"/>
      <c r="AH54" s="319"/>
      <c r="AI54" s="320"/>
      <c r="AJ54" s="319"/>
      <c r="AK54" s="320"/>
      <c r="AL54" s="319"/>
      <c r="AM54" s="320"/>
      <c r="AN54" s="319"/>
      <c r="AO54" s="320"/>
      <c r="AP54" s="319"/>
      <c r="AQ54" s="320"/>
      <c r="AR54" s="319"/>
      <c r="AS54" s="320"/>
      <c r="AT54" s="319"/>
      <c r="AU54" s="320"/>
      <c r="AV54" s="319"/>
      <c r="AW54" s="320"/>
      <c r="AX54" s="319"/>
      <c r="AY54" s="320"/>
      <c r="AZ54" s="319"/>
      <c r="BA54" s="320"/>
      <c r="BB54" s="319"/>
      <c r="BC54" s="320"/>
      <c r="BD54" s="319"/>
      <c r="BE54" s="320"/>
      <c r="BF54" s="319"/>
      <c r="BG54" s="320"/>
      <c r="BH54" s="319"/>
      <c r="BI54" s="320"/>
      <c r="BJ54" s="319"/>
      <c r="BK54" s="320"/>
      <c r="BL54" s="319"/>
      <c r="BM54" s="320"/>
      <c r="BN54" s="319"/>
      <c r="BO54" s="320"/>
      <c r="BP54" s="319"/>
      <c r="BQ54" s="320"/>
      <c r="BR54" s="319"/>
      <c r="BS54" s="320"/>
      <c r="BT54" s="319"/>
      <c r="BU54" s="320"/>
      <c r="BV54" s="264">
        <f t="shared" si="21"/>
        <v>0</v>
      </c>
      <c r="BW54" s="264">
        <f t="shared" si="22"/>
        <v>0</v>
      </c>
    </row>
    <row r="55" spans="1:75" s="62" customFormat="1" ht="21.95" customHeight="1" thickBot="1" x14ac:dyDescent="0.25">
      <c r="A55" s="568" t="s">
        <v>3214</v>
      </c>
      <c r="B55" s="312" t="s">
        <v>3215</v>
      </c>
      <c r="C55" s="313" t="s">
        <v>3175</v>
      </c>
      <c r="D55" s="314" t="s">
        <v>3216</v>
      </c>
      <c r="E55" s="330" t="s">
        <v>3217</v>
      </c>
      <c r="F55" s="315" t="s">
        <v>3165</v>
      </c>
      <c r="G55" s="315" t="s">
        <v>3166</v>
      </c>
      <c r="H55" s="316" t="s">
        <v>1300</v>
      </c>
      <c r="I55" s="569" t="s">
        <v>1300</v>
      </c>
      <c r="J55" s="273" t="s">
        <v>3173</v>
      </c>
      <c r="K55" s="277" t="s">
        <v>53</v>
      </c>
      <c r="L55" s="321"/>
      <c r="M55" s="322"/>
      <c r="N55" s="321"/>
      <c r="O55" s="322"/>
      <c r="P55" s="321"/>
      <c r="Q55" s="322"/>
      <c r="R55" s="321"/>
      <c r="S55" s="322"/>
      <c r="T55" s="321"/>
      <c r="U55" s="322"/>
      <c r="V55" s="321"/>
      <c r="W55" s="322"/>
      <c r="X55" s="321"/>
      <c r="Y55" s="322"/>
      <c r="Z55" s="321"/>
      <c r="AA55" s="322"/>
      <c r="AB55" s="321"/>
      <c r="AC55" s="322"/>
      <c r="AD55" s="321"/>
      <c r="AE55" s="322"/>
      <c r="AF55" s="321"/>
      <c r="AG55" s="322"/>
      <c r="AH55" s="321"/>
      <c r="AI55" s="322"/>
      <c r="AJ55" s="321"/>
      <c r="AK55" s="322"/>
      <c r="AL55" s="321"/>
      <c r="AM55" s="322"/>
      <c r="AN55" s="321"/>
      <c r="AO55" s="322"/>
      <c r="AP55" s="321"/>
      <c r="AQ55" s="322"/>
      <c r="AR55" s="321"/>
      <c r="AS55" s="322"/>
      <c r="AT55" s="321"/>
      <c r="AU55" s="322"/>
      <c r="AV55" s="321"/>
      <c r="AW55" s="322"/>
      <c r="AX55" s="321"/>
      <c r="AY55" s="322"/>
      <c r="AZ55" s="321"/>
      <c r="BA55" s="322"/>
      <c r="BB55" s="321"/>
      <c r="BC55" s="322"/>
      <c r="BD55" s="321"/>
      <c r="BE55" s="322"/>
      <c r="BF55" s="321"/>
      <c r="BG55" s="322"/>
      <c r="BH55" s="321"/>
      <c r="BI55" s="322"/>
      <c r="BJ55" s="321"/>
      <c r="BK55" s="322"/>
      <c r="BL55" s="321"/>
      <c r="BM55" s="322"/>
      <c r="BN55" s="321"/>
      <c r="BO55" s="322"/>
      <c r="BP55" s="321"/>
      <c r="BQ55" s="322"/>
      <c r="BR55" s="321"/>
      <c r="BS55" s="322"/>
      <c r="BT55" s="321"/>
      <c r="BU55" s="322"/>
      <c r="BV55" s="264">
        <f t="shared" si="21"/>
        <v>0</v>
      </c>
      <c r="BW55" s="264">
        <f t="shared" si="22"/>
        <v>0</v>
      </c>
    </row>
    <row r="56" spans="1:75" s="62" customFormat="1" ht="21.95" customHeight="1" x14ac:dyDescent="0.25">
      <c r="A56" s="344" t="s">
        <v>3218</v>
      </c>
      <c r="B56" s="434" t="s">
        <v>3219</v>
      </c>
      <c r="C56" s="435">
        <v>1</v>
      </c>
      <c r="D56" s="436" t="s">
        <v>3220</v>
      </c>
      <c r="E56" s="345" t="s">
        <v>3221</v>
      </c>
      <c r="F56" s="437" t="s">
        <v>3165</v>
      </c>
      <c r="G56" s="437" t="s">
        <v>3166</v>
      </c>
      <c r="H56" s="438" t="s">
        <v>1305</v>
      </c>
      <c r="I56" s="303" t="s">
        <v>1305</v>
      </c>
      <c r="J56" s="273" t="s">
        <v>3167</v>
      </c>
      <c r="K56" s="274" t="s">
        <v>3168</v>
      </c>
      <c r="L56" s="321"/>
      <c r="M56" s="322"/>
      <c r="N56" s="321"/>
      <c r="O56" s="322"/>
      <c r="P56" s="321"/>
      <c r="Q56" s="322"/>
      <c r="R56" s="321"/>
      <c r="S56" s="322"/>
      <c r="T56" s="321"/>
      <c r="U56" s="322"/>
      <c r="V56" s="321"/>
      <c r="W56" s="322"/>
      <c r="X56" s="321"/>
      <c r="Y56" s="322"/>
      <c r="Z56" s="321"/>
      <c r="AA56" s="322"/>
      <c r="AB56" s="321"/>
      <c r="AC56" s="322"/>
      <c r="AD56" s="321"/>
      <c r="AE56" s="322"/>
      <c r="AF56" s="321"/>
      <c r="AG56" s="322"/>
      <c r="AH56" s="321"/>
      <c r="AI56" s="322"/>
      <c r="AJ56" s="321"/>
      <c r="AK56" s="322"/>
      <c r="AL56" s="321"/>
      <c r="AM56" s="322"/>
      <c r="AN56" s="321"/>
      <c r="AO56" s="322"/>
      <c r="AP56" s="321"/>
      <c r="AQ56" s="322"/>
      <c r="AR56" s="321"/>
      <c r="AS56" s="322"/>
      <c r="AT56" s="321"/>
      <c r="AU56" s="322"/>
      <c r="AV56" s="321"/>
      <c r="AW56" s="322"/>
      <c r="AX56" s="321"/>
      <c r="AY56" s="322"/>
      <c r="AZ56" s="321"/>
      <c r="BA56" s="322"/>
      <c r="BB56" s="321"/>
      <c r="BC56" s="322"/>
      <c r="BD56" s="321"/>
      <c r="BE56" s="322"/>
      <c r="BF56" s="321"/>
      <c r="BG56" s="322"/>
      <c r="BH56" s="321"/>
      <c r="BI56" s="322"/>
      <c r="BJ56" s="321"/>
      <c r="BK56" s="322"/>
      <c r="BL56" s="321"/>
      <c r="BM56" s="322"/>
      <c r="BN56" s="321"/>
      <c r="BO56" s="322"/>
      <c r="BP56" s="321"/>
      <c r="BQ56" s="322"/>
      <c r="BR56" s="321"/>
      <c r="BS56" s="322"/>
      <c r="BT56" s="321"/>
      <c r="BU56" s="322"/>
      <c r="BV56" s="264">
        <f>L56+N56+P56+R56+T56+V56+X56+Z56+AB56+AD56+AF56+AH56+AJ56+AL56+AN56+AP56+AR56+AT56+AV56+AX56+AZ56+BB56+BD56+BF56+BH56+BJ56+BL56+BN56+BP56+BR56+BT56</f>
        <v>0</v>
      </c>
      <c r="BW56" s="264">
        <f>M56+O56+Q56+S56+U56+W56+Y56+AA56+AC56+AE56+AG56+AI56+AK56+AM56+AO56+AQ56+AS56+AU56+AW56+AY56+BA56+BC56+BE56+BG56+BI56+BK56+BM56+BO56+BQ56+BS56+BU56</f>
        <v>0</v>
      </c>
    </row>
    <row r="57" spans="1:75" s="62" customFormat="1" ht="21.95" customHeight="1" x14ac:dyDescent="0.2">
      <c r="A57" s="304" t="s">
        <v>3218</v>
      </c>
      <c r="B57" s="305" t="s">
        <v>3219</v>
      </c>
      <c r="C57" s="272" t="s">
        <v>3175</v>
      </c>
      <c r="D57" s="306" t="s">
        <v>3220</v>
      </c>
      <c r="E57" s="307" t="s">
        <v>3221</v>
      </c>
      <c r="F57" s="308" t="s">
        <v>3165</v>
      </c>
      <c r="G57" s="308" t="s">
        <v>3166</v>
      </c>
      <c r="H57" s="309" t="s">
        <v>1305</v>
      </c>
      <c r="I57" s="310" t="s">
        <v>1305</v>
      </c>
      <c r="J57" s="273" t="s">
        <v>3167</v>
      </c>
      <c r="K57" s="273" t="s">
        <v>3169</v>
      </c>
      <c r="L57" s="319"/>
      <c r="M57" s="320"/>
      <c r="N57" s="319"/>
      <c r="O57" s="320"/>
      <c r="P57" s="319"/>
      <c r="Q57" s="320"/>
      <c r="R57" s="319"/>
      <c r="S57" s="320"/>
      <c r="T57" s="319"/>
      <c r="U57" s="320"/>
      <c r="V57" s="319">
        <v>1</v>
      </c>
      <c r="W57" s="320"/>
      <c r="X57" s="319">
        <v>1</v>
      </c>
      <c r="Y57" s="320"/>
      <c r="Z57" s="319"/>
      <c r="AA57" s="320"/>
      <c r="AB57" s="319"/>
      <c r="AC57" s="320"/>
      <c r="AD57" s="319"/>
      <c r="AE57" s="320"/>
      <c r="AF57" s="319"/>
      <c r="AG57" s="320"/>
      <c r="AH57" s="319"/>
      <c r="AI57" s="320"/>
      <c r="AJ57" s="319">
        <v>1</v>
      </c>
      <c r="AK57" s="320"/>
      <c r="AL57" s="319">
        <v>1</v>
      </c>
      <c r="AM57" s="320"/>
      <c r="AN57" s="319"/>
      <c r="AO57" s="320"/>
      <c r="AP57" s="319"/>
      <c r="AQ57" s="320"/>
      <c r="AR57" s="319"/>
      <c r="AS57" s="320"/>
      <c r="AT57" s="319"/>
      <c r="AU57" s="320"/>
      <c r="AV57" s="319"/>
      <c r="AW57" s="320"/>
      <c r="AX57" s="319">
        <v>1</v>
      </c>
      <c r="AY57" s="320"/>
      <c r="AZ57" s="319"/>
      <c r="BA57" s="320"/>
      <c r="BB57" s="319"/>
      <c r="BC57" s="320"/>
      <c r="BD57" s="319"/>
      <c r="BE57" s="320"/>
      <c r="BF57" s="319"/>
      <c r="BG57" s="320"/>
      <c r="BH57" s="319"/>
      <c r="BI57" s="320"/>
      <c r="BJ57" s="319"/>
      <c r="BK57" s="320"/>
      <c r="BL57" s="319">
        <v>1</v>
      </c>
      <c r="BM57" s="320"/>
      <c r="BN57" s="319">
        <v>1</v>
      </c>
      <c r="BO57" s="320"/>
      <c r="BP57" s="319"/>
      <c r="BQ57" s="320"/>
      <c r="BR57" s="319"/>
      <c r="BS57" s="320"/>
      <c r="BT57" s="319"/>
      <c r="BU57" s="320"/>
      <c r="BV57" s="264">
        <f t="shared" ref="BV57:BV60" si="23">L57+N57+P57+R57+T57+V57+X57+Z57+AB57+AD57+AF57+AH57+AJ57+AL57+AN57+AP57+AR57+AT57+AV57+AX57+AZ57+BB57+BD57+BF57+BH57+BJ57+BL57+BN57+BP57+BR57+BT57</f>
        <v>7</v>
      </c>
      <c r="BW57" s="264">
        <f t="shared" ref="BW57:BW60" si="24">M57+O57+Q57+S57+U57+W57+Y57+AA57+AC57+AE57+AG57+AI57+AK57+AM57+AO57+AQ57+AS57+AU57+AW57+AY57+BA57+BC57+BE57+BG57+BI57+BK57+BM57+BO57+BQ57+BS57+BU57</f>
        <v>0</v>
      </c>
    </row>
    <row r="58" spans="1:75" s="62" customFormat="1" ht="21.95" customHeight="1" x14ac:dyDescent="0.2">
      <c r="A58" s="304" t="s">
        <v>3218</v>
      </c>
      <c r="B58" s="305" t="s">
        <v>3219</v>
      </c>
      <c r="C58" s="311" t="s">
        <v>3175</v>
      </c>
      <c r="D58" s="306" t="s">
        <v>3220</v>
      </c>
      <c r="E58" s="307" t="s">
        <v>3221</v>
      </c>
      <c r="F58" s="308" t="s">
        <v>3165</v>
      </c>
      <c r="G58" s="308" t="s">
        <v>3166</v>
      </c>
      <c r="H58" s="309" t="s">
        <v>1305</v>
      </c>
      <c r="I58" s="310" t="s">
        <v>1305</v>
      </c>
      <c r="J58" s="273" t="s">
        <v>3167</v>
      </c>
      <c r="K58" s="275" t="s">
        <v>3170</v>
      </c>
      <c r="L58" s="319"/>
      <c r="M58" s="320"/>
      <c r="N58" s="319"/>
      <c r="O58" s="320"/>
      <c r="P58" s="319"/>
      <c r="Q58" s="320"/>
      <c r="R58" s="319"/>
      <c r="S58" s="320"/>
      <c r="T58" s="319"/>
      <c r="U58" s="320"/>
      <c r="V58" s="319"/>
      <c r="W58" s="320"/>
      <c r="X58" s="319"/>
      <c r="Y58" s="320"/>
      <c r="Z58" s="319"/>
      <c r="AA58" s="320"/>
      <c r="AB58" s="319"/>
      <c r="AC58" s="320"/>
      <c r="AD58" s="319"/>
      <c r="AE58" s="320"/>
      <c r="AF58" s="319"/>
      <c r="AG58" s="320"/>
      <c r="AH58" s="319"/>
      <c r="AI58" s="320"/>
      <c r="AJ58" s="319"/>
      <c r="AK58" s="320"/>
      <c r="AL58" s="319"/>
      <c r="AM58" s="320"/>
      <c r="AN58" s="319"/>
      <c r="AO58" s="320"/>
      <c r="AP58" s="319"/>
      <c r="AQ58" s="320"/>
      <c r="AR58" s="319"/>
      <c r="AS58" s="320"/>
      <c r="AT58" s="319"/>
      <c r="AU58" s="320"/>
      <c r="AV58" s="319"/>
      <c r="AW58" s="320"/>
      <c r="AX58" s="319"/>
      <c r="AY58" s="320"/>
      <c r="AZ58" s="319"/>
      <c r="BA58" s="320"/>
      <c r="BB58" s="319"/>
      <c r="BC58" s="320"/>
      <c r="BD58" s="319"/>
      <c r="BE58" s="320"/>
      <c r="BF58" s="319"/>
      <c r="BG58" s="320"/>
      <c r="BH58" s="319"/>
      <c r="BI58" s="320"/>
      <c r="BJ58" s="319"/>
      <c r="BK58" s="320"/>
      <c r="BL58" s="319"/>
      <c r="BM58" s="320"/>
      <c r="BN58" s="319"/>
      <c r="BO58" s="320"/>
      <c r="BP58" s="319"/>
      <c r="BQ58" s="320"/>
      <c r="BR58" s="319"/>
      <c r="BS58" s="320"/>
      <c r="BT58" s="319"/>
      <c r="BU58" s="320"/>
      <c r="BV58" s="264">
        <f t="shared" si="23"/>
        <v>0</v>
      </c>
      <c r="BW58" s="264">
        <f t="shared" si="24"/>
        <v>0</v>
      </c>
    </row>
    <row r="59" spans="1:75" s="62" customFormat="1" ht="21.95" customHeight="1" x14ac:dyDescent="0.2">
      <c r="A59" s="304" t="s">
        <v>3218</v>
      </c>
      <c r="B59" s="305" t="s">
        <v>3219</v>
      </c>
      <c r="C59" s="311" t="s">
        <v>3175</v>
      </c>
      <c r="D59" s="306" t="s">
        <v>3220</v>
      </c>
      <c r="E59" s="307" t="s">
        <v>3221</v>
      </c>
      <c r="F59" s="308" t="s">
        <v>3165</v>
      </c>
      <c r="G59" s="308" t="s">
        <v>3166</v>
      </c>
      <c r="H59" s="309" t="s">
        <v>1305</v>
      </c>
      <c r="I59" s="310" t="s">
        <v>1305</v>
      </c>
      <c r="J59" s="273" t="s">
        <v>3167</v>
      </c>
      <c r="K59" s="276" t="s">
        <v>3171</v>
      </c>
      <c r="L59" s="319"/>
      <c r="M59" s="320"/>
      <c r="N59" s="319"/>
      <c r="O59" s="320"/>
      <c r="P59" s="319"/>
      <c r="Q59" s="320"/>
      <c r="R59" s="319"/>
      <c r="S59" s="320"/>
      <c r="T59" s="319"/>
      <c r="U59" s="320"/>
      <c r="V59" s="319"/>
      <c r="W59" s="320"/>
      <c r="X59" s="319"/>
      <c r="Y59" s="320"/>
      <c r="Z59" s="319"/>
      <c r="AA59" s="320"/>
      <c r="AB59" s="319"/>
      <c r="AC59" s="320"/>
      <c r="AD59" s="319"/>
      <c r="AE59" s="320"/>
      <c r="AF59" s="319"/>
      <c r="AG59" s="320"/>
      <c r="AH59" s="319"/>
      <c r="AI59" s="320"/>
      <c r="AJ59" s="319"/>
      <c r="AK59" s="320"/>
      <c r="AL59" s="319"/>
      <c r="AM59" s="320"/>
      <c r="AN59" s="319"/>
      <c r="AO59" s="320"/>
      <c r="AP59" s="319"/>
      <c r="AQ59" s="320"/>
      <c r="AR59" s="319"/>
      <c r="AS59" s="320"/>
      <c r="AT59" s="319"/>
      <c r="AU59" s="320"/>
      <c r="AV59" s="319"/>
      <c r="AW59" s="320"/>
      <c r="AX59" s="319"/>
      <c r="AY59" s="320"/>
      <c r="AZ59" s="319"/>
      <c r="BA59" s="320"/>
      <c r="BB59" s="319"/>
      <c r="BC59" s="320"/>
      <c r="BD59" s="319"/>
      <c r="BE59" s="320"/>
      <c r="BF59" s="319"/>
      <c r="BG59" s="320"/>
      <c r="BH59" s="319"/>
      <c r="BI59" s="320"/>
      <c r="BJ59" s="319"/>
      <c r="BK59" s="320"/>
      <c r="BL59" s="319"/>
      <c r="BM59" s="320"/>
      <c r="BN59" s="319"/>
      <c r="BO59" s="320"/>
      <c r="BP59" s="319"/>
      <c r="BQ59" s="320"/>
      <c r="BR59" s="319"/>
      <c r="BS59" s="320"/>
      <c r="BT59" s="319"/>
      <c r="BU59" s="320"/>
      <c r="BV59" s="264">
        <f t="shared" si="23"/>
        <v>0</v>
      </c>
      <c r="BW59" s="264">
        <f t="shared" si="24"/>
        <v>0</v>
      </c>
    </row>
    <row r="60" spans="1:75" s="62" customFormat="1" ht="21.95" customHeight="1" thickBot="1" x14ac:dyDescent="0.25">
      <c r="A60" s="568" t="s">
        <v>3218</v>
      </c>
      <c r="B60" s="312" t="s">
        <v>3219</v>
      </c>
      <c r="C60" s="313" t="s">
        <v>3175</v>
      </c>
      <c r="D60" s="314" t="s">
        <v>3220</v>
      </c>
      <c r="E60" s="330" t="s">
        <v>3221</v>
      </c>
      <c r="F60" s="315" t="s">
        <v>3165</v>
      </c>
      <c r="G60" s="315" t="s">
        <v>3166</v>
      </c>
      <c r="H60" s="316" t="s">
        <v>1305</v>
      </c>
      <c r="I60" s="569" t="s">
        <v>1305</v>
      </c>
      <c r="J60" s="273" t="s">
        <v>3167</v>
      </c>
      <c r="K60" s="277" t="s">
        <v>53</v>
      </c>
      <c r="L60" s="321"/>
      <c r="M60" s="322"/>
      <c r="N60" s="321"/>
      <c r="O60" s="322"/>
      <c r="P60" s="321"/>
      <c r="Q60" s="322"/>
      <c r="R60" s="321"/>
      <c r="S60" s="322"/>
      <c r="T60" s="321"/>
      <c r="U60" s="322"/>
      <c r="V60" s="321"/>
      <c r="W60" s="322"/>
      <c r="X60" s="321"/>
      <c r="Y60" s="322"/>
      <c r="Z60" s="321"/>
      <c r="AA60" s="322"/>
      <c r="AB60" s="321"/>
      <c r="AC60" s="322"/>
      <c r="AD60" s="321"/>
      <c r="AE60" s="322"/>
      <c r="AF60" s="321"/>
      <c r="AG60" s="322"/>
      <c r="AH60" s="321"/>
      <c r="AI60" s="322"/>
      <c r="AJ60" s="321"/>
      <c r="AK60" s="322"/>
      <c r="AL60" s="321"/>
      <c r="AM60" s="322"/>
      <c r="AN60" s="321"/>
      <c r="AO60" s="322"/>
      <c r="AP60" s="321"/>
      <c r="AQ60" s="322"/>
      <c r="AR60" s="321"/>
      <c r="AS60" s="322"/>
      <c r="AT60" s="321"/>
      <c r="AU60" s="322"/>
      <c r="AV60" s="321"/>
      <c r="AW60" s="322"/>
      <c r="AX60" s="321"/>
      <c r="AY60" s="322"/>
      <c r="AZ60" s="321"/>
      <c r="BA60" s="322"/>
      <c r="BB60" s="321"/>
      <c r="BC60" s="322"/>
      <c r="BD60" s="321"/>
      <c r="BE60" s="322"/>
      <c r="BF60" s="321"/>
      <c r="BG60" s="322"/>
      <c r="BH60" s="321"/>
      <c r="BI60" s="322"/>
      <c r="BJ60" s="321"/>
      <c r="BK60" s="322"/>
      <c r="BL60" s="321"/>
      <c r="BM60" s="322"/>
      <c r="BN60" s="321"/>
      <c r="BO60" s="322"/>
      <c r="BP60" s="321"/>
      <c r="BQ60" s="322"/>
      <c r="BR60" s="321"/>
      <c r="BS60" s="322"/>
      <c r="BT60" s="321"/>
      <c r="BU60" s="322"/>
      <c r="BV60" s="264">
        <f t="shared" si="23"/>
        <v>0</v>
      </c>
      <c r="BW60" s="264">
        <f t="shared" si="24"/>
        <v>0</v>
      </c>
    </row>
    <row r="61" spans="1:75" s="62" customFormat="1" ht="21.95" customHeight="1" x14ac:dyDescent="0.25">
      <c r="A61" s="344" t="s">
        <v>3222</v>
      </c>
      <c r="B61" s="434" t="s">
        <v>3223</v>
      </c>
      <c r="C61" s="435">
        <v>1</v>
      </c>
      <c r="D61" s="436" t="s">
        <v>3224</v>
      </c>
      <c r="E61" s="345" t="s">
        <v>3225</v>
      </c>
      <c r="F61" s="437" t="s">
        <v>3165</v>
      </c>
      <c r="G61" s="437" t="s">
        <v>3166</v>
      </c>
      <c r="H61" s="438" t="s">
        <v>1306</v>
      </c>
      <c r="I61" s="303" t="s">
        <v>1306</v>
      </c>
      <c r="J61" s="273" t="s">
        <v>3167</v>
      </c>
      <c r="K61" s="274" t="s">
        <v>3168</v>
      </c>
      <c r="L61" s="321"/>
      <c r="M61" s="322"/>
      <c r="N61" s="321"/>
      <c r="O61" s="322"/>
      <c r="P61" s="321"/>
      <c r="Q61" s="322"/>
      <c r="R61" s="321"/>
      <c r="S61" s="322"/>
      <c r="T61" s="321"/>
      <c r="U61" s="322"/>
      <c r="V61" s="321"/>
      <c r="W61" s="322"/>
      <c r="X61" s="321"/>
      <c r="Y61" s="322"/>
      <c r="Z61" s="321"/>
      <c r="AA61" s="322"/>
      <c r="AB61" s="321"/>
      <c r="AC61" s="322"/>
      <c r="AD61" s="321"/>
      <c r="AE61" s="322"/>
      <c r="AF61" s="321"/>
      <c r="AG61" s="322"/>
      <c r="AH61" s="321"/>
      <c r="AI61" s="322"/>
      <c r="AJ61" s="321"/>
      <c r="AK61" s="322"/>
      <c r="AL61" s="321"/>
      <c r="AM61" s="322"/>
      <c r="AN61" s="321"/>
      <c r="AO61" s="322"/>
      <c r="AP61" s="321"/>
      <c r="AQ61" s="322"/>
      <c r="AR61" s="321"/>
      <c r="AS61" s="322"/>
      <c r="AT61" s="321"/>
      <c r="AU61" s="322"/>
      <c r="AV61" s="321"/>
      <c r="AW61" s="322"/>
      <c r="AX61" s="321"/>
      <c r="AY61" s="322"/>
      <c r="AZ61" s="321"/>
      <c r="BA61" s="322"/>
      <c r="BB61" s="321"/>
      <c r="BC61" s="322"/>
      <c r="BD61" s="321"/>
      <c r="BE61" s="322"/>
      <c r="BF61" s="321"/>
      <c r="BG61" s="322"/>
      <c r="BH61" s="321"/>
      <c r="BI61" s="322"/>
      <c r="BJ61" s="321"/>
      <c r="BK61" s="322"/>
      <c r="BL61" s="321"/>
      <c r="BM61" s="322"/>
      <c r="BN61" s="321"/>
      <c r="BO61" s="322"/>
      <c r="BP61" s="321"/>
      <c r="BQ61" s="322"/>
      <c r="BR61" s="321"/>
      <c r="BS61" s="322"/>
      <c r="BT61" s="321"/>
      <c r="BU61" s="322"/>
      <c r="BV61" s="264">
        <f>L61+N61+P61+R61+T61+V61+X61+Z61+AB61+AD61+AF61+AH61+AJ61+AL61+AN61+AP61+AR61+AT61+AV61+AX61+AZ61+BB61+BD61+BF61+BH61+BJ61+BL61+BN61+BP61+BR61+BT61</f>
        <v>0</v>
      </c>
      <c r="BW61" s="264">
        <f>M61+O61+Q61+S61+U61+W61+Y61+AA61+AC61+AE61+AG61+AI61+AK61+AM61+AO61+AQ61+AS61+AU61+AW61+AY61+BA61+BC61+BE61+BG61+BI61+BK61+BM61+BO61+BQ61+BS61+BU61</f>
        <v>0</v>
      </c>
    </row>
    <row r="62" spans="1:75" s="62" customFormat="1" ht="21.95" customHeight="1" x14ac:dyDescent="0.2">
      <c r="A62" s="304" t="s">
        <v>3222</v>
      </c>
      <c r="B62" s="305" t="s">
        <v>3223</v>
      </c>
      <c r="C62" s="272" t="s">
        <v>3175</v>
      </c>
      <c r="D62" s="306" t="s">
        <v>3224</v>
      </c>
      <c r="E62" s="307" t="s">
        <v>3225</v>
      </c>
      <c r="F62" s="308" t="s">
        <v>3165</v>
      </c>
      <c r="G62" s="308" t="s">
        <v>3166</v>
      </c>
      <c r="H62" s="309" t="s">
        <v>1306</v>
      </c>
      <c r="I62" s="310" t="s">
        <v>1306</v>
      </c>
      <c r="J62" s="273" t="s">
        <v>3167</v>
      </c>
      <c r="K62" s="273" t="s">
        <v>3169</v>
      </c>
      <c r="L62" s="319"/>
      <c r="M62" s="320"/>
      <c r="N62" s="319"/>
      <c r="O62" s="320"/>
      <c r="P62" s="319"/>
      <c r="Q62" s="320"/>
      <c r="R62" s="319"/>
      <c r="S62" s="320"/>
      <c r="T62" s="319"/>
      <c r="U62" s="320"/>
      <c r="V62" s="319"/>
      <c r="W62" s="320"/>
      <c r="X62" s="319"/>
      <c r="Y62" s="320"/>
      <c r="Z62" s="319"/>
      <c r="AA62" s="320"/>
      <c r="AB62" s="319"/>
      <c r="AC62" s="320"/>
      <c r="AD62" s="319"/>
      <c r="AE62" s="320"/>
      <c r="AF62" s="319"/>
      <c r="AG62" s="320"/>
      <c r="AH62" s="319"/>
      <c r="AI62" s="320"/>
      <c r="AJ62" s="319"/>
      <c r="AK62" s="320"/>
      <c r="AL62" s="319"/>
      <c r="AM62" s="320"/>
      <c r="AN62" s="319"/>
      <c r="AO62" s="320"/>
      <c r="AP62" s="319"/>
      <c r="AQ62" s="320"/>
      <c r="AR62" s="319"/>
      <c r="AS62" s="320"/>
      <c r="AT62" s="319"/>
      <c r="AU62" s="320"/>
      <c r="AV62" s="319"/>
      <c r="AW62" s="320"/>
      <c r="AX62" s="319"/>
      <c r="AY62" s="320"/>
      <c r="AZ62" s="319"/>
      <c r="BA62" s="320"/>
      <c r="BB62" s="319"/>
      <c r="BC62" s="320"/>
      <c r="BD62" s="319"/>
      <c r="BE62" s="320"/>
      <c r="BF62" s="319"/>
      <c r="BG62" s="320"/>
      <c r="BH62" s="319"/>
      <c r="BI62" s="320"/>
      <c r="BJ62" s="319"/>
      <c r="BK62" s="320"/>
      <c r="BL62" s="319"/>
      <c r="BM62" s="320"/>
      <c r="BN62" s="319"/>
      <c r="BO62" s="320"/>
      <c r="BP62" s="319"/>
      <c r="BQ62" s="320"/>
      <c r="BR62" s="319"/>
      <c r="BS62" s="320"/>
      <c r="BT62" s="319"/>
      <c r="BU62" s="320"/>
      <c r="BV62" s="264">
        <f t="shared" ref="BV62:BV65" si="25">L62+N62+P62+R62+T62+V62+X62+Z62+AB62+AD62+AF62+AH62+AJ62+AL62+AN62+AP62+AR62+AT62+AV62+AX62+AZ62+BB62+BD62+BF62+BH62+BJ62+BL62+BN62+BP62+BR62+BT62</f>
        <v>0</v>
      </c>
      <c r="BW62" s="264">
        <f t="shared" ref="BW62:BW65" si="26">M62+O62+Q62+S62+U62+W62+Y62+AA62+AC62+AE62+AG62+AI62+AK62+AM62+AO62+AQ62+AS62+AU62+AW62+AY62+BA62+BC62+BE62+BG62+BI62+BK62+BM62+BO62+BQ62+BS62+BU62</f>
        <v>0</v>
      </c>
    </row>
    <row r="63" spans="1:75" s="62" customFormat="1" ht="21.95" customHeight="1" x14ac:dyDescent="0.2">
      <c r="A63" s="304" t="s">
        <v>3222</v>
      </c>
      <c r="B63" s="305" t="s">
        <v>3223</v>
      </c>
      <c r="C63" s="311" t="s">
        <v>3175</v>
      </c>
      <c r="D63" s="306" t="s">
        <v>3224</v>
      </c>
      <c r="E63" s="307" t="s">
        <v>3225</v>
      </c>
      <c r="F63" s="308" t="s">
        <v>3165</v>
      </c>
      <c r="G63" s="308" t="s">
        <v>3166</v>
      </c>
      <c r="H63" s="309" t="s">
        <v>1306</v>
      </c>
      <c r="I63" s="310" t="s">
        <v>1306</v>
      </c>
      <c r="J63" s="273" t="s">
        <v>3167</v>
      </c>
      <c r="K63" s="275" t="s">
        <v>3170</v>
      </c>
      <c r="L63" s="319"/>
      <c r="M63" s="320"/>
      <c r="N63" s="319"/>
      <c r="O63" s="320"/>
      <c r="P63" s="319"/>
      <c r="Q63" s="320"/>
      <c r="R63" s="319"/>
      <c r="S63" s="320"/>
      <c r="T63" s="319"/>
      <c r="U63" s="320"/>
      <c r="V63" s="319"/>
      <c r="W63" s="320"/>
      <c r="X63" s="319"/>
      <c r="Y63" s="320"/>
      <c r="Z63" s="319"/>
      <c r="AA63" s="320"/>
      <c r="AB63" s="319"/>
      <c r="AC63" s="320"/>
      <c r="AD63" s="319"/>
      <c r="AE63" s="320"/>
      <c r="AF63" s="319"/>
      <c r="AG63" s="320"/>
      <c r="AH63" s="319"/>
      <c r="AI63" s="320"/>
      <c r="AJ63" s="319"/>
      <c r="AK63" s="320"/>
      <c r="AL63" s="319"/>
      <c r="AM63" s="320"/>
      <c r="AN63" s="319"/>
      <c r="AO63" s="320"/>
      <c r="AP63" s="319"/>
      <c r="AQ63" s="320"/>
      <c r="AR63" s="319"/>
      <c r="AS63" s="320"/>
      <c r="AT63" s="319"/>
      <c r="AU63" s="320"/>
      <c r="AV63" s="319"/>
      <c r="AW63" s="320"/>
      <c r="AX63" s="319"/>
      <c r="AY63" s="320"/>
      <c r="AZ63" s="319"/>
      <c r="BA63" s="320"/>
      <c r="BB63" s="319"/>
      <c r="BC63" s="320"/>
      <c r="BD63" s="319"/>
      <c r="BE63" s="320"/>
      <c r="BF63" s="319"/>
      <c r="BG63" s="320"/>
      <c r="BH63" s="319"/>
      <c r="BI63" s="320"/>
      <c r="BJ63" s="319"/>
      <c r="BK63" s="320"/>
      <c r="BL63" s="319"/>
      <c r="BM63" s="320"/>
      <c r="BN63" s="319"/>
      <c r="BO63" s="320"/>
      <c r="BP63" s="319"/>
      <c r="BQ63" s="320"/>
      <c r="BR63" s="319"/>
      <c r="BS63" s="320"/>
      <c r="BT63" s="319"/>
      <c r="BU63" s="320"/>
      <c r="BV63" s="264">
        <f t="shared" si="25"/>
        <v>0</v>
      </c>
      <c r="BW63" s="264">
        <f t="shared" si="26"/>
        <v>0</v>
      </c>
    </row>
    <row r="64" spans="1:75" s="62" customFormat="1" ht="21.95" customHeight="1" x14ac:dyDescent="0.2">
      <c r="A64" s="304" t="s">
        <v>3222</v>
      </c>
      <c r="B64" s="305" t="s">
        <v>3223</v>
      </c>
      <c r="C64" s="311" t="s">
        <v>3175</v>
      </c>
      <c r="D64" s="306" t="s">
        <v>3224</v>
      </c>
      <c r="E64" s="307" t="s">
        <v>3225</v>
      </c>
      <c r="F64" s="308" t="s">
        <v>3165</v>
      </c>
      <c r="G64" s="308" t="s">
        <v>3166</v>
      </c>
      <c r="H64" s="309" t="s">
        <v>1306</v>
      </c>
      <c r="I64" s="310" t="s">
        <v>1306</v>
      </c>
      <c r="J64" s="273" t="s">
        <v>3167</v>
      </c>
      <c r="K64" s="276" t="s">
        <v>3171</v>
      </c>
      <c r="L64" s="319"/>
      <c r="M64" s="320"/>
      <c r="N64" s="319"/>
      <c r="O64" s="320"/>
      <c r="P64" s="319"/>
      <c r="Q64" s="320"/>
      <c r="R64" s="319"/>
      <c r="S64" s="320"/>
      <c r="T64" s="319"/>
      <c r="U64" s="320"/>
      <c r="V64" s="319"/>
      <c r="W64" s="320"/>
      <c r="X64" s="319"/>
      <c r="Y64" s="320"/>
      <c r="Z64" s="319"/>
      <c r="AA64" s="320"/>
      <c r="AB64" s="319"/>
      <c r="AC64" s="320"/>
      <c r="AD64" s="319"/>
      <c r="AE64" s="320"/>
      <c r="AF64" s="319"/>
      <c r="AG64" s="320"/>
      <c r="AH64" s="319"/>
      <c r="AI64" s="320"/>
      <c r="AJ64" s="319"/>
      <c r="AK64" s="320"/>
      <c r="AL64" s="319"/>
      <c r="AM64" s="320"/>
      <c r="AN64" s="319"/>
      <c r="AO64" s="320"/>
      <c r="AP64" s="319"/>
      <c r="AQ64" s="320"/>
      <c r="AR64" s="319"/>
      <c r="AS64" s="320"/>
      <c r="AT64" s="319"/>
      <c r="AU64" s="320"/>
      <c r="AV64" s="319"/>
      <c r="AW64" s="320"/>
      <c r="AX64" s="319"/>
      <c r="AY64" s="320"/>
      <c r="AZ64" s="319"/>
      <c r="BA64" s="320"/>
      <c r="BB64" s="319"/>
      <c r="BC64" s="320"/>
      <c r="BD64" s="319"/>
      <c r="BE64" s="320"/>
      <c r="BF64" s="319"/>
      <c r="BG64" s="320"/>
      <c r="BH64" s="319"/>
      <c r="BI64" s="320"/>
      <c r="BJ64" s="319"/>
      <c r="BK64" s="320"/>
      <c r="BL64" s="319"/>
      <c r="BM64" s="320"/>
      <c r="BN64" s="319"/>
      <c r="BO64" s="320"/>
      <c r="BP64" s="319"/>
      <c r="BQ64" s="320"/>
      <c r="BR64" s="319"/>
      <c r="BS64" s="320"/>
      <c r="BT64" s="319"/>
      <c r="BU64" s="320"/>
      <c r="BV64" s="264">
        <f t="shared" si="25"/>
        <v>0</v>
      </c>
      <c r="BW64" s="264">
        <f t="shared" si="26"/>
        <v>0</v>
      </c>
    </row>
    <row r="65" spans="1:75" s="62" customFormat="1" ht="21.95" customHeight="1" thickBot="1" x14ac:dyDescent="0.25">
      <c r="A65" s="568" t="s">
        <v>3222</v>
      </c>
      <c r="B65" s="312" t="s">
        <v>3223</v>
      </c>
      <c r="C65" s="313" t="s">
        <v>3175</v>
      </c>
      <c r="D65" s="314" t="s">
        <v>3224</v>
      </c>
      <c r="E65" s="330" t="s">
        <v>3225</v>
      </c>
      <c r="F65" s="315" t="s">
        <v>3165</v>
      </c>
      <c r="G65" s="315" t="s">
        <v>3166</v>
      </c>
      <c r="H65" s="316" t="s">
        <v>1306</v>
      </c>
      <c r="I65" s="569" t="s">
        <v>1306</v>
      </c>
      <c r="J65" s="273" t="s">
        <v>3167</v>
      </c>
      <c r="K65" s="277" t="s">
        <v>53</v>
      </c>
      <c r="L65" s="321"/>
      <c r="M65" s="322"/>
      <c r="N65" s="321"/>
      <c r="O65" s="322"/>
      <c r="P65" s="321"/>
      <c r="Q65" s="322"/>
      <c r="R65" s="321"/>
      <c r="S65" s="322"/>
      <c r="T65" s="321"/>
      <c r="U65" s="322"/>
      <c r="V65" s="321"/>
      <c r="W65" s="322"/>
      <c r="X65" s="321"/>
      <c r="Y65" s="322"/>
      <c r="Z65" s="321"/>
      <c r="AA65" s="322"/>
      <c r="AB65" s="321"/>
      <c r="AC65" s="322"/>
      <c r="AD65" s="321"/>
      <c r="AE65" s="322"/>
      <c r="AF65" s="321"/>
      <c r="AG65" s="322"/>
      <c r="AH65" s="321"/>
      <c r="AI65" s="322"/>
      <c r="AJ65" s="321"/>
      <c r="AK65" s="322"/>
      <c r="AL65" s="321"/>
      <c r="AM65" s="322"/>
      <c r="AN65" s="321"/>
      <c r="AO65" s="322"/>
      <c r="AP65" s="321"/>
      <c r="AQ65" s="322"/>
      <c r="AR65" s="321"/>
      <c r="AS65" s="322"/>
      <c r="AT65" s="321"/>
      <c r="AU65" s="322"/>
      <c r="AV65" s="321"/>
      <c r="AW65" s="322"/>
      <c r="AX65" s="321"/>
      <c r="AY65" s="322"/>
      <c r="AZ65" s="321"/>
      <c r="BA65" s="322"/>
      <c r="BB65" s="321"/>
      <c r="BC65" s="322"/>
      <c r="BD65" s="321"/>
      <c r="BE65" s="322"/>
      <c r="BF65" s="321"/>
      <c r="BG65" s="322"/>
      <c r="BH65" s="321"/>
      <c r="BI65" s="322"/>
      <c r="BJ65" s="321"/>
      <c r="BK65" s="322"/>
      <c r="BL65" s="321"/>
      <c r="BM65" s="322"/>
      <c r="BN65" s="321"/>
      <c r="BO65" s="322"/>
      <c r="BP65" s="321"/>
      <c r="BQ65" s="322"/>
      <c r="BR65" s="321"/>
      <c r="BS65" s="322"/>
      <c r="BT65" s="321"/>
      <c r="BU65" s="322"/>
      <c r="BV65" s="264">
        <f t="shared" si="25"/>
        <v>0</v>
      </c>
      <c r="BW65" s="264">
        <f t="shared" si="26"/>
        <v>0</v>
      </c>
    </row>
    <row r="66" spans="1:75" s="62" customFormat="1" ht="21.95" customHeight="1" x14ac:dyDescent="0.25">
      <c r="A66" s="344" t="s">
        <v>3226</v>
      </c>
      <c r="B66" s="434" t="s">
        <v>3227</v>
      </c>
      <c r="C66" s="435">
        <v>4</v>
      </c>
      <c r="D66" s="436" t="s">
        <v>3228</v>
      </c>
      <c r="E66" s="345" t="s">
        <v>3229</v>
      </c>
      <c r="F66" s="437" t="s">
        <v>3165</v>
      </c>
      <c r="G66" s="437" t="s">
        <v>3166</v>
      </c>
      <c r="H66" s="438" t="s">
        <v>1308</v>
      </c>
      <c r="I66" s="303" t="s">
        <v>1308</v>
      </c>
      <c r="J66" s="273" t="s">
        <v>3167</v>
      </c>
      <c r="K66" s="274" t="s">
        <v>3168</v>
      </c>
      <c r="L66" s="321"/>
      <c r="M66" s="322"/>
      <c r="N66" s="321"/>
      <c r="O66" s="322"/>
      <c r="P66" s="321"/>
      <c r="Q66" s="322"/>
      <c r="R66" s="321"/>
      <c r="S66" s="322"/>
      <c r="T66" s="321"/>
      <c r="U66" s="322"/>
      <c r="V66" s="321"/>
      <c r="W66" s="322"/>
      <c r="X66" s="321"/>
      <c r="Y66" s="322"/>
      <c r="Z66" s="321"/>
      <c r="AA66" s="322"/>
      <c r="AB66" s="321"/>
      <c r="AC66" s="322"/>
      <c r="AD66" s="321"/>
      <c r="AE66" s="322"/>
      <c r="AF66" s="321"/>
      <c r="AG66" s="322"/>
      <c r="AH66" s="321"/>
      <c r="AI66" s="322"/>
      <c r="AJ66" s="321"/>
      <c r="AK66" s="322"/>
      <c r="AL66" s="321"/>
      <c r="AM66" s="322"/>
      <c r="AN66" s="321"/>
      <c r="AO66" s="322"/>
      <c r="AP66" s="321"/>
      <c r="AQ66" s="322"/>
      <c r="AR66" s="321"/>
      <c r="AS66" s="322"/>
      <c r="AT66" s="321"/>
      <c r="AU66" s="322"/>
      <c r="AV66" s="321"/>
      <c r="AW66" s="322"/>
      <c r="AX66" s="321"/>
      <c r="AY66" s="322"/>
      <c r="AZ66" s="321"/>
      <c r="BA66" s="322"/>
      <c r="BB66" s="321"/>
      <c r="BC66" s="322"/>
      <c r="BD66" s="321"/>
      <c r="BE66" s="322"/>
      <c r="BF66" s="321"/>
      <c r="BG66" s="322"/>
      <c r="BH66" s="321"/>
      <c r="BI66" s="322"/>
      <c r="BJ66" s="321"/>
      <c r="BK66" s="322"/>
      <c r="BL66" s="321"/>
      <c r="BM66" s="322"/>
      <c r="BN66" s="321"/>
      <c r="BO66" s="322"/>
      <c r="BP66" s="321"/>
      <c r="BQ66" s="322"/>
      <c r="BR66" s="321"/>
      <c r="BS66" s="322"/>
      <c r="BT66" s="321"/>
      <c r="BU66" s="322"/>
      <c r="BV66" s="264">
        <f>L66+N66+P66+R66+T66+V66+X66+Z66+AB66+AD66+AF66+AH66+AJ66+AL66+AN66+AP66+AR66+AT66+AV66+AX66+AZ66+BB66+BD66+BF66+BH66+BJ66+BL66+BN66+BP66+BR66+BT66</f>
        <v>0</v>
      </c>
      <c r="BW66" s="264">
        <f>M66+O66+Q66+S66+U66+W66+Y66+AA66+AC66+AE66+AG66+AI66+AK66+AM66+AO66+AQ66+AS66+AU66+AW66+AY66+BA66+BC66+BE66+BG66+BI66+BK66+BM66+BO66+BQ66+BS66+BU66</f>
        <v>0</v>
      </c>
    </row>
    <row r="67" spans="1:75" s="62" customFormat="1" ht="21.95" customHeight="1" x14ac:dyDescent="0.2">
      <c r="A67" s="304" t="s">
        <v>3226</v>
      </c>
      <c r="B67" s="305" t="s">
        <v>3227</v>
      </c>
      <c r="C67" s="272" t="s">
        <v>3176</v>
      </c>
      <c r="D67" s="306" t="s">
        <v>3228</v>
      </c>
      <c r="E67" s="307" t="s">
        <v>3229</v>
      </c>
      <c r="F67" s="308" t="s">
        <v>3165</v>
      </c>
      <c r="G67" s="308" t="s">
        <v>3166</v>
      </c>
      <c r="H67" s="309" t="s">
        <v>1308</v>
      </c>
      <c r="I67" s="310" t="s">
        <v>1308</v>
      </c>
      <c r="J67" s="273" t="s">
        <v>3167</v>
      </c>
      <c r="K67" s="273" t="s">
        <v>3169</v>
      </c>
      <c r="L67" s="319"/>
      <c r="M67" s="320"/>
      <c r="N67" s="319"/>
      <c r="O67" s="320"/>
      <c r="P67" s="319"/>
      <c r="Q67" s="320"/>
      <c r="R67" s="319"/>
      <c r="S67" s="320"/>
      <c r="T67" s="319"/>
      <c r="U67" s="320"/>
      <c r="V67" s="319"/>
      <c r="W67" s="320"/>
      <c r="X67" s="319"/>
      <c r="Y67" s="320"/>
      <c r="Z67" s="319"/>
      <c r="AA67" s="320"/>
      <c r="AB67" s="319"/>
      <c r="AC67" s="320"/>
      <c r="AD67" s="319"/>
      <c r="AE67" s="320"/>
      <c r="AF67" s="319"/>
      <c r="AG67" s="320"/>
      <c r="AH67" s="319"/>
      <c r="AI67" s="320"/>
      <c r="AJ67" s="319"/>
      <c r="AK67" s="320"/>
      <c r="AL67" s="319"/>
      <c r="AM67" s="320"/>
      <c r="AN67" s="319"/>
      <c r="AO67" s="320"/>
      <c r="AP67" s="319"/>
      <c r="AQ67" s="320"/>
      <c r="AR67" s="319"/>
      <c r="AS67" s="320"/>
      <c r="AT67" s="319"/>
      <c r="AU67" s="320"/>
      <c r="AV67" s="319"/>
      <c r="AW67" s="320"/>
      <c r="AX67" s="319"/>
      <c r="AY67" s="320"/>
      <c r="AZ67" s="319"/>
      <c r="BA67" s="320"/>
      <c r="BB67" s="319"/>
      <c r="BC67" s="320"/>
      <c r="BD67" s="319"/>
      <c r="BE67" s="320"/>
      <c r="BF67" s="319"/>
      <c r="BG67" s="320"/>
      <c r="BH67" s="319"/>
      <c r="BI67" s="320"/>
      <c r="BJ67" s="319"/>
      <c r="BK67" s="320"/>
      <c r="BL67" s="319"/>
      <c r="BM67" s="320"/>
      <c r="BN67" s="319"/>
      <c r="BO67" s="320"/>
      <c r="BP67" s="319"/>
      <c r="BQ67" s="320"/>
      <c r="BR67" s="319"/>
      <c r="BS67" s="320"/>
      <c r="BT67" s="319"/>
      <c r="BU67" s="320"/>
      <c r="BV67" s="264">
        <f t="shared" ref="BV67:BV70" si="27">L67+N67+P67+R67+T67+V67+X67+Z67+AB67+AD67+AF67+AH67+AJ67+AL67+AN67+AP67+AR67+AT67+AV67+AX67+AZ67+BB67+BD67+BF67+BH67+BJ67+BL67+BN67+BP67+BR67+BT67</f>
        <v>0</v>
      </c>
      <c r="BW67" s="264">
        <f t="shared" ref="BW67:BW70" si="28">M67+O67+Q67+S67+U67+W67+Y67+AA67+AC67+AE67+AG67+AI67+AK67+AM67+AO67+AQ67+AS67+AU67+AW67+AY67+BA67+BC67+BE67+BG67+BI67+BK67+BM67+BO67+BQ67+BS67+BU67</f>
        <v>0</v>
      </c>
    </row>
    <row r="68" spans="1:75" s="62" customFormat="1" ht="21.95" customHeight="1" x14ac:dyDescent="0.2">
      <c r="A68" s="304" t="s">
        <v>3226</v>
      </c>
      <c r="B68" s="305" t="s">
        <v>3227</v>
      </c>
      <c r="C68" s="311" t="s">
        <v>3176</v>
      </c>
      <c r="D68" s="306" t="s">
        <v>3228</v>
      </c>
      <c r="E68" s="307" t="s">
        <v>3229</v>
      </c>
      <c r="F68" s="308" t="s">
        <v>3165</v>
      </c>
      <c r="G68" s="308" t="s">
        <v>3166</v>
      </c>
      <c r="H68" s="309" t="s">
        <v>1308</v>
      </c>
      <c r="I68" s="310" t="s">
        <v>1308</v>
      </c>
      <c r="J68" s="273" t="s">
        <v>3167</v>
      </c>
      <c r="K68" s="275" t="s">
        <v>3170</v>
      </c>
      <c r="L68" s="319"/>
      <c r="M68" s="320"/>
      <c r="N68" s="319"/>
      <c r="O68" s="320"/>
      <c r="P68" s="319"/>
      <c r="Q68" s="320"/>
      <c r="R68" s="319"/>
      <c r="S68" s="320"/>
      <c r="T68" s="319"/>
      <c r="U68" s="320"/>
      <c r="V68" s="319"/>
      <c r="W68" s="320"/>
      <c r="X68" s="319"/>
      <c r="Y68" s="320"/>
      <c r="Z68" s="319"/>
      <c r="AA68" s="320"/>
      <c r="AB68" s="319"/>
      <c r="AC68" s="320"/>
      <c r="AD68" s="319"/>
      <c r="AE68" s="320"/>
      <c r="AF68" s="319"/>
      <c r="AG68" s="320"/>
      <c r="AH68" s="319"/>
      <c r="AI68" s="320"/>
      <c r="AJ68" s="319"/>
      <c r="AK68" s="320"/>
      <c r="AL68" s="319"/>
      <c r="AM68" s="320"/>
      <c r="AN68" s="319"/>
      <c r="AO68" s="320"/>
      <c r="AP68" s="319"/>
      <c r="AQ68" s="320"/>
      <c r="AR68" s="319"/>
      <c r="AS68" s="320"/>
      <c r="AT68" s="319"/>
      <c r="AU68" s="320"/>
      <c r="AV68" s="319"/>
      <c r="AW68" s="320"/>
      <c r="AX68" s="319"/>
      <c r="AY68" s="320"/>
      <c r="AZ68" s="319"/>
      <c r="BA68" s="320"/>
      <c r="BB68" s="319"/>
      <c r="BC68" s="320"/>
      <c r="BD68" s="319"/>
      <c r="BE68" s="320"/>
      <c r="BF68" s="319"/>
      <c r="BG68" s="320"/>
      <c r="BH68" s="319"/>
      <c r="BI68" s="320"/>
      <c r="BJ68" s="319"/>
      <c r="BK68" s="320"/>
      <c r="BL68" s="319"/>
      <c r="BM68" s="320"/>
      <c r="BN68" s="319"/>
      <c r="BO68" s="320"/>
      <c r="BP68" s="319"/>
      <c r="BQ68" s="320"/>
      <c r="BR68" s="319"/>
      <c r="BS68" s="320"/>
      <c r="BT68" s="319"/>
      <c r="BU68" s="320"/>
      <c r="BV68" s="264">
        <f t="shared" si="27"/>
        <v>0</v>
      </c>
      <c r="BW68" s="264">
        <f t="shared" si="28"/>
        <v>0</v>
      </c>
    </row>
    <row r="69" spans="1:75" s="62" customFormat="1" ht="21.95" customHeight="1" x14ac:dyDescent="0.2">
      <c r="A69" s="304" t="s">
        <v>3226</v>
      </c>
      <c r="B69" s="305" t="s">
        <v>3227</v>
      </c>
      <c r="C69" s="311" t="s">
        <v>3176</v>
      </c>
      <c r="D69" s="306" t="s">
        <v>3228</v>
      </c>
      <c r="E69" s="307" t="s">
        <v>3229</v>
      </c>
      <c r="F69" s="308" t="s">
        <v>3165</v>
      </c>
      <c r="G69" s="308" t="s">
        <v>3166</v>
      </c>
      <c r="H69" s="309" t="s">
        <v>1308</v>
      </c>
      <c r="I69" s="310" t="s">
        <v>1308</v>
      </c>
      <c r="J69" s="273" t="s">
        <v>3167</v>
      </c>
      <c r="K69" s="276" t="s">
        <v>3171</v>
      </c>
      <c r="L69" s="319"/>
      <c r="M69" s="320"/>
      <c r="N69" s="319"/>
      <c r="O69" s="320"/>
      <c r="P69" s="319"/>
      <c r="Q69" s="320"/>
      <c r="R69" s="319"/>
      <c r="S69" s="320"/>
      <c r="T69" s="319"/>
      <c r="U69" s="320"/>
      <c r="V69" s="319"/>
      <c r="W69" s="320"/>
      <c r="X69" s="319"/>
      <c r="Y69" s="320"/>
      <c r="Z69" s="319"/>
      <c r="AA69" s="320"/>
      <c r="AB69" s="319"/>
      <c r="AC69" s="320"/>
      <c r="AD69" s="319"/>
      <c r="AE69" s="320"/>
      <c r="AF69" s="319"/>
      <c r="AG69" s="320"/>
      <c r="AH69" s="319"/>
      <c r="AI69" s="320"/>
      <c r="AJ69" s="319"/>
      <c r="AK69" s="320"/>
      <c r="AL69" s="319"/>
      <c r="AM69" s="320"/>
      <c r="AN69" s="319"/>
      <c r="AO69" s="320"/>
      <c r="AP69" s="319"/>
      <c r="AQ69" s="320"/>
      <c r="AR69" s="319"/>
      <c r="AS69" s="320"/>
      <c r="AT69" s="319"/>
      <c r="AU69" s="320"/>
      <c r="AV69" s="319"/>
      <c r="AW69" s="320"/>
      <c r="AX69" s="319"/>
      <c r="AY69" s="320"/>
      <c r="AZ69" s="319"/>
      <c r="BA69" s="320"/>
      <c r="BB69" s="319"/>
      <c r="BC69" s="320"/>
      <c r="BD69" s="319"/>
      <c r="BE69" s="320"/>
      <c r="BF69" s="319"/>
      <c r="BG69" s="320"/>
      <c r="BH69" s="319"/>
      <c r="BI69" s="320"/>
      <c r="BJ69" s="319"/>
      <c r="BK69" s="320"/>
      <c r="BL69" s="319"/>
      <c r="BM69" s="320"/>
      <c r="BN69" s="319"/>
      <c r="BO69" s="320"/>
      <c r="BP69" s="319"/>
      <c r="BQ69" s="320"/>
      <c r="BR69" s="319"/>
      <c r="BS69" s="320"/>
      <c r="BT69" s="319"/>
      <c r="BU69" s="320"/>
      <c r="BV69" s="264">
        <f t="shared" si="27"/>
        <v>0</v>
      </c>
      <c r="BW69" s="264">
        <f t="shared" si="28"/>
        <v>0</v>
      </c>
    </row>
    <row r="70" spans="1:75" s="62" customFormat="1" ht="21.95" customHeight="1" thickBot="1" x14ac:dyDescent="0.25">
      <c r="A70" s="568" t="s">
        <v>3226</v>
      </c>
      <c r="B70" s="312" t="s">
        <v>3227</v>
      </c>
      <c r="C70" s="313" t="s">
        <v>3176</v>
      </c>
      <c r="D70" s="314" t="s">
        <v>3228</v>
      </c>
      <c r="E70" s="330" t="s">
        <v>3229</v>
      </c>
      <c r="F70" s="315" t="s">
        <v>3165</v>
      </c>
      <c r="G70" s="315" t="s">
        <v>3166</v>
      </c>
      <c r="H70" s="316" t="s">
        <v>1308</v>
      </c>
      <c r="I70" s="569" t="s">
        <v>1308</v>
      </c>
      <c r="J70" s="273" t="s">
        <v>3167</v>
      </c>
      <c r="K70" s="277" t="s">
        <v>53</v>
      </c>
      <c r="L70" s="321"/>
      <c r="M70" s="322"/>
      <c r="N70" s="321"/>
      <c r="O70" s="322"/>
      <c r="P70" s="321"/>
      <c r="Q70" s="322"/>
      <c r="R70" s="321"/>
      <c r="S70" s="322"/>
      <c r="T70" s="321"/>
      <c r="U70" s="322"/>
      <c r="V70" s="321"/>
      <c r="W70" s="322"/>
      <c r="X70" s="321"/>
      <c r="Y70" s="322"/>
      <c r="Z70" s="321"/>
      <c r="AA70" s="322"/>
      <c r="AB70" s="321"/>
      <c r="AC70" s="322"/>
      <c r="AD70" s="321"/>
      <c r="AE70" s="322"/>
      <c r="AF70" s="321"/>
      <c r="AG70" s="322"/>
      <c r="AH70" s="321"/>
      <c r="AI70" s="322"/>
      <c r="AJ70" s="321"/>
      <c r="AK70" s="322"/>
      <c r="AL70" s="321"/>
      <c r="AM70" s="322"/>
      <c r="AN70" s="321"/>
      <c r="AO70" s="322"/>
      <c r="AP70" s="321"/>
      <c r="AQ70" s="322"/>
      <c r="AR70" s="321"/>
      <c r="AS70" s="322"/>
      <c r="AT70" s="321"/>
      <c r="AU70" s="322"/>
      <c r="AV70" s="321"/>
      <c r="AW70" s="322"/>
      <c r="AX70" s="321"/>
      <c r="AY70" s="322"/>
      <c r="AZ70" s="321"/>
      <c r="BA70" s="322"/>
      <c r="BB70" s="321"/>
      <c r="BC70" s="322"/>
      <c r="BD70" s="321"/>
      <c r="BE70" s="322"/>
      <c r="BF70" s="321"/>
      <c r="BG70" s="322"/>
      <c r="BH70" s="321"/>
      <c r="BI70" s="322"/>
      <c r="BJ70" s="321"/>
      <c r="BK70" s="322"/>
      <c r="BL70" s="321"/>
      <c r="BM70" s="322"/>
      <c r="BN70" s="321"/>
      <c r="BO70" s="322"/>
      <c r="BP70" s="321"/>
      <c r="BQ70" s="322"/>
      <c r="BR70" s="321"/>
      <c r="BS70" s="322"/>
      <c r="BT70" s="321"/>
      <c r="BU70" s="322"/>
      <c r="BV70" s="264">
        <f t="shared" si="27"/>
        <v>0</v>
      </c>
      <c r="BW70" s="264">
        <f t="shared" si="28"/>
        <v>0</v>
      </c>
    </row>
    <row r="71" spans="1:75" s="62" customFormat="1" ht="21.95" customHeight="1" x14ac:dyDescent="0.25">
      <c r="A71" s="344" t="s">
        <v>3230</v>
      </c>
      <c r="B71" s="434" t="s">
        <v>3231</v>
      </c>
      <c r="C71" s="435">
        <v>1</v>
      </c>
      <c r="D71" s="436" t="s">
        <v>3232</v>
      </c>
      <c r="E71" s="345" t="s">
        <v>3233</v>
      </c>
      <c r="F71" s="437" t="s">
        <v>3165</v>
      </c>
      <c r="G71" s="437" t="s">
        <v>3166</v>
      </c>
      <c r="H71" s="438" t="s">
        <v>1312</v>
      </c>
      <c r="I71" s="303" t="s">
        <v>1312</v>
      </c>
      <c r="J71" s="273" t="s">
        <v>3167</v>
      </c>
      <c r="K71" s="274" t="s">
        <v>3168</v>
      </c>
      <c r="L71" s="321"/>
      <c r="M71" s="322"/>
      <c r="N71" s="321"/>
      <c r="O71" s="322"/>
      <c r="P71" s="321"/>
      <c r="Q71" s="322"/>
      <c r="R71" s="321"/>
      <c r="S71" s="322"/>
      <c r="T71" s="321"/>
      <c r="U71" s="322"/>
      <c r="V71" s="321"/>
      <c r="W71" s="322"/>
      <c r="X71" s="321"/>
      <c r="Y71" s="322"/>
      <c r="Z71" s="321"/>
      <c r="AA71" s="322"/>
      <c r="AB71" s="321"/>
      <c r="AC71" s="322"/>
      <c r="AD71" s="321"/>
      <c r="AE71" s="322"/>
      <c r="AF71" s="321"/>
      <c r="AG71" s="322"/>
      <c r="AH71" s="321"/>
      <c r="AI71" s="322"/>
      <c r="AJ71" s="321"/>
      <c r="AK71" s="322"/>
      <c r="AL71" s="321"/>
      <c r="AM71" s="322"/>
      <c r="AN71" s="321"/>
      <c r="AO71" s="322"/>
      <c r="AP71" s="321"/>
      <c r="AQ71" s="322"/>
      <c r="AR71" s="321"/>
      <c r="AS71" s="322"/>
      <c r="AT71" s="321"/>
      <c r="AU71" s="322"/>
      <c r="AV71" s="321"/>
      <c r="AW71" s="322"/>
      <c r="AX71" s="321"/>
      <c r="AY71" s="322"/>
      <c r="AZ71" s="321"/>
      <c r="BA71" s="322"/>
      <c r="BB71" s="321"/>
      <c r="BC71" s="322"/>
      <c r="BD71" s="321"/>
      <c r="BE71" s="322"/>
      <c r="BF71" s="321"/>
      <c r="BG71" s="322"/>
      <c r="BH71" s="321"/>
      <c r="BI71" s="322"/>
      <c r="BJ71" s="321"/>
      <c r="BK71" s="322"/>
      <c r="BL71" s="321"/>
      <c r="BM71" s="322"/>
      <c r="BN71" s="321"/>
      <c r="BO71" s="322"/>
      <c r="BP71" s="321"/>
      <c r="BQ71" s="322"/>
      <c r="BR71" s="321"/>
      <c r="BS71" s="322"/>
      <c r="BT71" s="321"/>
      <c r="BU71" s="322"/>
      <c r="BV71" s="264">
        <f>L71+N71+P71+R71+T71+V71+X71+Z71+AB71+AD71+AF71+AH71+AJ71+AL71+AN71+AP71+AR71+AT71+AV71+AX71+AZ71+BB71+BD71+BF71+BH71+BJ71+BL71+BN71+BP71+BR71+BT71</f>
        <v>0</v>
      </c>
      <c r="BW71" s="264">
        <f>M71+O71+Q71+S71+U71+W71+Y71+AA71+AC71+AE71+AG71+AI71+AK71+AM71+AO71+AQ71+AS71+AU71+AW71+AY71+BA71+BC71+BE71+BG71+BI71+BK71+BM71+BO71+BQ71+BS71+BU71</f>
        <v>0</v>
      </c>
    </row>
    <row r="72" spans="1:75" s="62" customFormat="1" ht="21.95" customHeight="1" x14ac:dyDescent="0.2">
      <c r="A72" s="304" t="s">
        <v>3230</v>
      </c>
      <c r="B72" s="305" t="s">
        <v>3231</v>
      </c>
      <c r="C72" s="272" t="s">
        <v>3175</v>
      </c>
      <c r="D72" s="306" t="s">
        <v>3232</v>
      </c>
      <c r="E72" s="307" t="s">
        <v>3233</v>
      </c>
      <c r="F72" s="308" t="s">
        <v>3165</v>
      </c>
      <c r="G72" s="308" t="s">
        <v>3166</v>
      </c>
      <c r="H72" s="309" t="s">
        <v>1312</v>
      </c>
      <c r="I72" s="310" t="s">
        <v>1312</v>
      </c>
      <c r="J72" s="273" t="s">
        <v>3167</v>
      </c>
      <c r="K72" s="273" t="s">
        <v>3169</v>
      </c>
      <c r="L72" s="319"/>
      <c r="M72" s="320"/>
      <c r="N72" s="319">
        <v>1</v>
      </c>
      <c r="O72" s="320"/>
      <c r="P72" s="319"/>
      <c r="Q72" s="320"/>
      <c r="R72" s="319"/>
      <c r="S72" s="320"/>
      <c r="T72" s="319"/>
      <c r="U72" s="320"/>
      <c r="V72" s="319"/>
      <c r="W72" s="320"/>
      <c r="X72" s="319"/>
      <c r="Y72" s="320"/>
      <c r="Z72" s="319"/>
      <c r="AA72" s="320"/>
      <c r="AB72" s="319">
        <v>1</v>
      </c>
      <c r="AC72" s="320"/>
      <c r="AD72" s="319"/>
      <c r="AE72" s="320"/>
      <c r="AF72" s="319"/>
      <c r="AG72" s="320"/>
      <c r="AH72" s="319"/>
      <c r="AI72" s="320"/>
      <c r="AJ72" s="319"/>
      <c r="AK72" s="320"/>
      <c r="AL72" s="319"/>
      <c r="AM72" s="320"/>
      <c r="AN72" s="319"/>
      <c r="AO72" s="320"/>
      <c r="AP72" s="319">
        <v>1</v>
      </c>
      <c r="AQ72" s="320"/>
      <c r="AR72" s="319"/>
      <c r="AS72" s="320"/>
      <c r="AT72" s="319"/>
      <c r="AU72" s="320"/>
      <c r="AV72" s="319"/>
      <c r="AW72" s="320"/>
      <c r="AX72" s="319"/>
      <c r="AY72" s="320"/>
      <c r="AZ72" s="319"/>
      <c r="BA72" s="320"/>
      <c r="BB72" s="319"/>
      <c r="BC72" s="320"/>
      <c r="BD72" s="319">
        <v>1</v>
      </c>
      <c r="BE72" s="320"/>
      <c r="BF72" s="319"/>
      <c r="BG72" s="320"/>
      <c r="BH72" s="319"/>
      <c r="BI72" s="320"/>
      <c r="BJ72" s="319"/>
      <c r="BK72" s="320"/>
      <c r="BL72" s="319"/>
      <c r="BM72" s="320"/>
      <c r="BN72" s="319"/>
      <c r="BO72" s="320"/>
      <c r="BP72" s="319"/>
      <c r="BQ72" s="320"/>
      <c r="BR72" s="319">
        <v>1</v>
      </c>
      <c r="BS72" s="320"/>
      <c r="BT72" s="319"/>
      <c r="BU72" s="320"/>
      <c r="BV72" s="264">
        <f t="shared" ref="BV72:BV75" si="29">L72+N72+P72+R72+T72+V72+X72+Z72+AB72+AD72+AF72+AH72+AJ72+AL72+AN72+AP72+AR72+AT72+AV72+AX72+AZ72+BB72+BD72+BF72+BH72+BJ72+BL72+BN72+BP72+BR72+BT72</f>
        <v>5</v>
      </c>
      <c r="BW72" s="264">
        <f t="shared" ref="BW72:BW75" si="30">M72+O72+Q72+S72+U72+W72+Y72+AA72+AC72+AE72+AG72+AI72+AK72+AM72+AO72+AQ72+AS72+AU72+AW72+AY72+BA72+BC72+BE72+BG72+BI72+BK72+BM72+BO72+BQ72+BS72+BU72</f>
        <v>0</v>
      </c>
    </row>
    <row r="73" spans="1:75" s="62" customFormat="1" ht="21.95" customHeight="1" x14ac:dyDescent="0.2">
      <c r="A73" s="304" t="s">
        <v>3230</v>
      </c>
      <c r="B73" s="305" t="s">
        <v>3231</v>
      </c>
      <c r="C73" s="311" t="s">
        <v>3175</v>
      </c>
      <c r="D73" s="306" t="s">
        <v>3232</v>
      </c>
      <c r="E73" s="307" t="s">
        <v>3233</v>
      </c>
      <c r="F73" s="308" t="s">
        <v>3165</v>
      </c>
      <c r="G73" s="308" t="s">
        <v>3166</v>
      </c>
      <c r="H73" s="309" t="s">
        <v>1312</v>
      </c>
      <c r="I73" s="310" t="s">
        <v>1312</v>
      </c>
      <c r="J73" s="273" t="s">
        <v>3167</v>
      </c>
      <c r="K73" s="275" t="s">
        <v>3170</v>
      </c>
      <c r="L73" s="319"/>
      <c r="M73" s="320"/>
      <c r="N73" s="319"/>
      <c r="O73" s="320"/>
      <c r="P73" s="319"/>
      <c r="Q73" s="320"/>
      <c r="R73" s="319"/>
      <c r="S73" s="320"/>
      <c r="T73" s="319"/>
      <c r="U73" s="320"/>
      <c r="V73" s="319"/>
      <c r="W73" s="320"/>
      <c r="X73" s="319"/>
      <c r="Y73" s="320"/>
      <c r="Z73" s="319"/>
      <c r="AA73" s="320"/>
      <c r="AB73" s="319"/>
      <c r="AC73" s="320"/>
      <c r="AD73" s="319"/>
      <c r="AE73" s="320"/>
      <c r="AF73" s="319"/>
      <c r="AG73" s="320"/>
      <c r="AH73" s="319"/>
      <c r="AI73" s="320"/>
      <c r="AJ73" s="319"/>
      <c r="AK73" s="320"/>
      <c r="AL73" s="319"/>
      <c r="AM73" s="320"/>
      <c r="AN73" s="319"/>
      <c r="AO73" s="320"/>
      <c r="AP73" s="319"/>
      <c r="AQ73" s="320"/>
      <c r="AR73" s="319"/>
      <c r="AS73" s="320"/>
      <c r="AT73" s="319"/>
      <c r="AU73" s="320"/>
      <c r="AV73" s="319"/>
      <c r="AW73" s="320"/>
      <c r="AX73" s="319"/>
      <c r="AY73" s="320"/>
      <c r="AZ73" s="319"/>
      <c r="BA73" s="320"/>
      <c r="BB73" s="319"/>
      <c r="BC73" s="320"/>
      <c r="BD73" s="319"/>
      <c r="BE73" s="320"/>
      <c r="BF73" s="319"/>
      <c r="BG73" s="320"/>
      <c r="BH73" s="319"/>
      <c r="BI73" s="320"/>
      <c r="BJ73" s="319"/>
      <c r="BK73" s="320"/>
      <c r="BL73" s="319"/>
      <c r="BM73" s="320"/>
      <c r="BN73" s="319"/>
      <c r="BO73" s="320"/>
      <c r="BP73" s="319"/>
      <c r="BQ73" s="320"/>
      <c r="BR73" s="319"/>
      <c r="BS73" s="320"/>
      <c r="BT73" s="319"/>
      <c r="BU73" s="320"/>
      <c r="BV73" s="264">
        <f t="shared" si="29"/>
        <v>0</v>
      </c>
      <c r="BW73" s="264">
        <f t="shared" si="30"/>
        <v>0</v>
      </c>
    </row>
    <row r="74" spans="1:75" s="62" customFormat="1" ht="21.95" customHeight="1" x14ac:dyDescent="0.2">
      <c r="A74" s="304" t="s">
        <v>3230</v>
      </c>
      <c r="B74" s="305" t="s">
        <v>3231</v>
      </c>
      <c r="C74" s="311" t="s">
        <v>3175</v>
      </c>
      <c r="D74" s="306" t="s">
        <v>3232</v>
      </c>
      <c r="E74" s="307" t="s">
        <v>3233</v>
      </c>
      <c r="F74" s="308" t="s">
        <v>3165</v>
      </c>
      <c r="G74" s="308" t="s">
        <v>3166</v>
      </c>
      <c r="H74" s="309" t="s">
        <v>1312</v>
      </c>
      <c r="I74" s="310" t="s">
        <v>1312</v>
      </c>
      <c r="J74" s="273" t="s">
        <v>3167</v>
      </c>
      <c r="K74" s="276" t="s">
        <v>3171</v>
      </c>
      <c r="L74" s="319"/>
      <c r="M74" s="320"/>
      <c r="N74" s="319"/>
      <c r="O74" s="320"/>
      <c r="P74" s="319"/>
      <c r="Q74" s="320"/>
      <c r="R74" s="319"/>
      <c r="S74" s="320"/>
      <c r="T74" s="319"/>
      <c r="U74" s="320"/>
      <c r="V74" s="319"/>
      <c r="W74" s="320"/>
      <c r="X74" s="319"/>
      <c r="Y74" s="320"/>
      <c r="Z74" s="319"/>
      <c r="AA74" s="320"/>
      <c r="AB74" s="319"/>
      <c r="AC74" s="320"/>
      <c r="AD74" s="319"/>
      <c r="AE74" s="320"/>
      <c r="AF74" s="319"/>
      <c r="AG74" s="320"/>
      <c r="AH74" s="319"/>
      <c r="AI74" s="320"/>
      <c r="AJ74" s="319"/>
      <c r="AK74" s="320"/>
      <c r="AL74" s="319"/>
      <c r="AM74" s="320"/>
      <c r="AN74" s="319"/>
      <c r="AO74" s="320"/>
      <c r="AP74" s="319"/>
      <c r="AQ74" s="320"/>
      <c r="AR74" s="319"/>
      <c r="AS74" s="320"/>
      <c r="AT74" s="319"/>
      <c r="AU74" s="320"/>
      <c r="AV74" s="319"/>
      <c r="AW74" s="320"/>
      <c r="AX74" s="319"/>
      <c r="AY74" s="320"/>
      <c r="AZ74" s="319"/>
      <c r="BA74" s="320"/>
      <c r="BB74" s="319"/>
      <c r="BC74" s="320"/>
      <c r="BD74" s="319"/>
      <c r="BE74" s="320"/>
      <c r="BF74" s="319"/>
      <c r="BG74" s="320"/>
      <c r="BH74" s="319"/>
      <c r="BI74" s="320"/>
      <c r="BJ74" s="319"/>
      <c r="BK74" s="320"/>
      <c r="BL74" s="319"/>
      <c r="BM74" s="320"/>
      <c r="BN74" s="319"/>
      <c r="BO74" s="320"/>
      <c r="BP74" s="319"/>
      <c r="BQ74" s="320"/>
      <c r="BR74" s="319"/>
      <c r="BS74" s="320"/>
      <c r="BT74" s="319"/>
      <c r="BU74" s="320"/>
      <c r="BV74" s="264">
        <f t="shared" si="29"/>
        <v>0</v>
      </c>
      <c r="BW74" s="264">
        <f t="shared" si="30"/>
        <v>0</v>
      </c>
    </row>
    <row r="75" spans="1:75" s="62" customFormat="1" ht="21.95" customHeight="1" thickBot="1" x14ac:dyDescent="0.25">
      <c r="A75" s="568" t="s">
        <v>3230</v>
      </c>
      <c r="B75" s="312" t="s">
        <v>3231</v>
      </c>
      <c r="C75" s="313" t="s">
        <v>3175</v>
      </c>
      <c r="D75" s="314" t="s">
        <v>3232</v>
      </c>
      <c r="E75" s="330" t="s">
        <v>3233</v>
      </c>
      <c r="F75" s="315" t="s">
        <v>3165</v>
      </c>
      <c r="G75" s="315" t="s">
        <v>3166</v>
      </c>
      <c r="H75" s="316" t="s">
        <v>1312</v>
      </c>
      <c r="I75" s="569" t="s">
        <v>1312</v>
      </c>
      <c r="J75" s="273" t="s">
        <v>3167</v>
      </c>
      <c r="K75" s="277" t="s">
        <v>53</v>
      </c>
      <c r="L75" s="321"/>
      <c r="M75" s="322"/>
      <c r="N75" s="321"/>
      <c r="O75" s="322"/>
      <c r="P75" s="321"/>
      <c r="Q75" s="322"/>
      <c r="R75" s="321"/>
      <c r="S75" s="322"/>
      <c r="T75" s="321"/>
      <c r="U75" s="322"/>
      <c r="V75" s="321"/>
      <c r="W75" s="322"/>
      <c r="X75" s="321"/>
      <c r="Y75" s="322"/>
      <c r="Z75" s="321"/>
      <c r="AA75" s="322"/>
      <c r="AB75" s="321"/>
      <c r="AC75" s="322"/>
      <c r="AD75" s="321"/>
      <c r="AE75" s="322"/>
      <c r="AF75" s="321"/>
      <c r="AG75" s="322"/>
      <c r="AH75" s="321"/>
      <c r="AI75" s="322"/>
      <c r="AJ75" s="321"/>
      <c r="AK75" s="322"/>
      <c r="AL75" s="321"/>
      <c r="AM75" s="322"/>
      <c r="AN75" s="321"/>
      <c r="AO75" s="322"/>
      <c r="AP75" s="321"/>
      <c r="AQ75" s="322"/>
      <c r="AR75" s="321"/>
      <c r="AS75" s="322"/>
      <c r="AT75" s="321"/>
      <c r="AU75" s="322"/>
      <c r="AV75" s="321"/>
      <c r="AW75" s="322"/>
      <c r="AX75" s="321"/>
      <c r="AY75" s="322"/>
      <c r="AZ75" s="321"/>
      <c r="BA75" s="322"/>
      <c r="BB75" s="321"/>
      <c r="BC75" s="322"/>
      <c r="BD75" s="321"/>
      <c r="BE75" s="322"/>
      <c r="BF75" s="321"/>
      <c r="BG75" s="322"/>
      <c r="BH75" s="321"/>
      <c r="BI75" s="322"/>
      <c r="BJ75" s="321"/>
      <c r="BK75" s="322"/>
      <c r="BL75" s="321"/>
      <c r="BM75" s="322"/>
      <c r="BN75" s="321"/>
      <c r="BO75" s="322"/>
      <c r="BP75" s="321"/>
      <c r="BQ75" s="322"/>
      <c r="BR75" s="321"/>
      <c r="BS75" s="322"/>
      <c r="BT75" s="321"/>
      <c r="BU75" s="322"/>
      <c r="BV75" s="264">
        <f t="shared" si="29"/>
        <v>0</v>
      </c>
      <c r="BW75" s="264">
        <f t="shared" si="30"/>
        <v>0</v>
      </c>
    </row>
    <row r="76" spans="1:75" s="62" customFormat="1" ht="21.95" customHeight="1" x14ac:dyDescent="0.25">
      <c r="A76" s="344" t="s">
        <v>3234</v>
      </c>
      <c r="B76" s="434" t="s">
        <v>3235</v>
      </c>
      <c r="C76" s="435">
        <v>4</v>
      </c>
      <c r="D76" s="436" t="s">
        <v>3236</v>
      </c>
      <c r="E76" s="345" t="s">
        <v>3237</v>
      </c>
      <c r="F76" s="437" t="s">
        <v>3165</v>
      </c>
      <c r="G76" s="437" t="s">
        <v>3166</v>
      </c>
      <c r="H76" s="438" t="s">
        <v>1314</v>
      </c>
      <c r="I76" s="303" t="s">
        <v>1314</v>
      </c>
      <c r="J76" s="273" t="s">
        <v>3167</v>
      </c>
      <c r="K76" s="274" t="s">
        <v>3168</v>
      </c>
      <c r="L76" s="321"/>
      <c r="M76" s="322"/>
      <c r="N76" s="321"/>
      <c r="O76" s="322"/>
      <c r="P76" s="321"/>
      <c r="Q76" s="322"/>
      <c r="R76" s="321"/>
      <c r="S76" s="322"/>
      <c r="T76" s="321"/>
      <c r="U76" s="322"/>
      <c r="V76" s="321"/>
      <c r="W76" s="322"/>
      <c r="X76" s="321"/>
      <c r="Y76" s="322"/>
      <c r="Z76" s="321"/>
      <c r="AA76" s="322"/>
      <c r="AB76" s="321"/>
      <c r="AC76" s="322"/>
      <c r="AD76" s="321"/>
      <c r="AE76" s="322"/>
      <c r="AF76" s="321"/>
      <c r="AG76" s="322"/>
      <c r="AH76" s="321"/>
      <c r="AI76" s="322"/>
      <c r="AJ76" s="321"/>
      <c r="AK76" s="322"/>
      <c r="AL76" s="321"/>
      <c r="AM76" s="322"/>
      <c r="AN76" s="321"/>
      <c r="AO76" s="322"/>
      <c r="AP76" s="321"/>
      <c r="AQ76" s="322"/>
      <c r="AR76" s="321"/>
      <c r="AS76" s="322"/>
      <c r="AT76" s="321"/>
      <c r="AU76" s="322"/>
      <c r="AV76" s="321"/>
      <c r="AW76" s="322"/>
      <c r="AX76" s="321"/>
      <c r="AY76" s="322"/>
      <c r="AZ76" s="321"/>
      <c r="BA76" s="322"/>
      <c r="BB76" s="321"/>
      <c r="BC76" s="322"/>
      <c r="BD76" s="321"/>
      <c r="BE76" s="322"/>
      <c r="BF76" s="321"/>
      <c r="BG76" s="322"/>
      <c r="BH76" s="321"/>
      <c r="BI76" s="322"/>
      <c r="BJ76" s="321"/>
      <c r="BK76" s="322"/>
      <c r="BL76" s="321"/>
      <c r="BM76" s="322"/>
      <c r="BN76" s="321"/>
      <c r="BO76" s="322"/>
      <c r="BP76" s="321"/>
      <c r="BQ76" s="322"/>
      <c r="BR76" s="321"/>
      <c r="BS76" s="322"/>
      <c r="BT76" s="321"/>
      <c r="BU76" s="322"/>
      <c r="BV76" s="264">
        <f>L76+N76+P76+R76+T76+V76+X76+Z76+AB76+AD76+AF76+AH76+AJ76+AL76+AN76+AP76+AR76+AT76+AV76+AX76+AZ76+BB76+BD76+BF76+BH76+BJ76+BL76+BN76+BP76+BR76+BT76</f>
        <v>0</v>
      </c>
      <c r="BW76" s="264">
        <f>M76+O76+Q76+S76+U76+W76+Y76+AA76+AC76+AE76+AG76+AI76+AK76+AM76+AO76+AQ76+AS76+AU76+AW76+AY76+BA76+BC76+BE76+BG76+BI76+BK76+BM76+BO76+BQ76+BS76+BU76</f>
        <v>0</v>
      </c>
    </row>
    <row r="77" spans="1:75" s="62" customFormat="1" ht="21.95" customHeight="1" x14ac:dyDescent="0.2">
      <c r="A77" s="304" t="s">
        <v>3234</v>
      </c>
      <c r="B77" s="305" t="s">
        <v>3235</v>
      </c>
      <c r="C77" s="272" t="s">
        <v>3176</v>
      </c>
      <c r="D77" s="306" t="s">
        <v>3236</v>
      </c>
      <c r="E77" s="307" t="s">
        <v>3237</v>
      </c>
      <c r="F77" s="308" t="s">
        <v>3165</v>
      </c>
      <c r="G77" s="308" t="s">
        <v>3166</v>
      </c>
      <c r="H77" s="309" t="s">
        <v>1314</v>
      </c>
      <c r="I77" s="310" t="s">
        <v>1314</v>
      </c>
      <c r="J77" s="273" t="s">
        <v>3167</v>
      </c>
      <c r="K77" s="273" t="s">
        <v>3169</v>
      </c>
      <c r="L77" s="319"/>
      <c r="M77" s="320"/>
      <c r="N77" s="319"/>
      <c r="O77" s="320"/>
      <c r="P77" s="319"/>
      <c r="Q77" s="320"/>
      <c r="R77" s="319"/>
      <c r="S77" s="320"/>
      <c r="T77" s="319"/>
      <c r="U77" s="320"/>
      <c r="V77" s="319"/>
      <c r="W77" s="320"/>
      <c r="X77" s="319"/>
      <c r="Y77" s="320"/>
      <c r="Z77" s="319"/>
      <c r="AA77" s="320"/>
      <c r="AB77" s="319"/>
      <c r="AC77" s="320"/>
      <c r="AD77" s="319"/>
      <c r="AE77" s="320"/>
      <c r="AF77" s="319"/>
      <c r="AG77" s="320"/>
      <c r="AH77" s="319"/>
      <c r="AI77" s="320"/>
      <c r="AJ77" s="319"/>
      <c r="AK77" s="320"/>
      <c r="AL77" s="319"/>
      <c r="AM77" s="320"/>
      <c r="AN77" s="319"/>
      <c r="AO77" s="320"/>
      <c r="AP77" s="319"/>
      <c r="AQ77" s="320"/>
      <c r="AR77" s="319"/>
      <c r="AS77" s="320"/>
      <c r="AT77" s="319"/>
      <c r="AU77" s="320"/>
      <c r="AV77" s="319"/>
      <c r="AW77" s="320"/>
      <c r="AX77" s="319"/>
      <c r="AY77" s="320"/>
      <c r="AZ77" s="319"/>
      <c r="BA77" s="320"/>
      <c r="BB77" s="319"/>
      <c r="BC77" s="320"/>
      <c r="BD77" s="319"/>
      <c r="BE77" s="320"/>
      <c r="BF77" s="319"/>
      <c r="BG77" s="320"/>
      <c r="BH77" s="319"/>
      <c r="BI77" s="320"/>
      <c r="BJ77" s="319"/>
      <c r="BK77" s="320"/>
      <c r="BL77" s="319"/>
      <c r="BM77" s="320"/>
      <c r="BN77" s="319"/>
      <c r="BO77" s="320"/>
      <c r="BP77" s="319"/>
      <c r="BQ77" s="320"/>
      <c r="BR77" s="319"/>
      <c r="BS77" s="320"/>
      <c r="BT77" s="319"/>
      <c r="BU77" s="320"/>
      <c r="BV77" s="264">
        <f t="shared" ref="BV77:BV80" si="31">L77+N77+P77+R77+T77+V77+X77+Z77+AB77+AD77+AF77+AH77+AJ77+AL77+AN77+AP77+AR77+AT77+AV77+AX77+AZ77+BB77+BD77+BF77+BH77+BJ77+BL77+BN77+BP77+BR77+BT77</f>
        <v>0</v>
      </c>
      <c r="BW77" s="264">
        <f t="shared" ref="BW77:BW80" si="32">M77+O77+Q77+S77+U77+W77+Y77+AA77+AC77+AE77+AG77+AI77+AK77+AM77+AO77+AQ77+AS77+AU77+AW77+AY77+BA77+BC77+BE77+BG77+BI77+BK77+BM77+BO77+BQ77+BS77+BU77</f>
        <v>0</v>
      </c>
    </row>
    <row r="78" spans="1:75" s="62" customFormat="1" ht="21.95" customHeight="1" x14ac:dyDescent="0.2">
      <c r="A78" s="304" t="s">
        <v>3234</v>
      </c>
      <c r="B78" s="305" t="s">
        <v>3235</v>
      </c>
      <c r="C78" s="311" t="s">
        <v>3176</v>
      </c>
      <c r="D78" s="306" t="s">
        <v>3236</v>
      </c>
      <c r="E78" s="307" t="s">
        <v>3237</v>
      </c>
      <c r="F78" s="308" t="s">
        <v>3165</v>
      </c>
      <c r="G78" s="308" t="s">
        <v>3166</v>
      </c>
      <c r="H78" s="309" t="s">
        <v>1314</v>
      </c>
      <c r="I78" s="310" t="s">
        <v>1314</v>
      </c>
      <c r="J78" s="273" t="s">
        <v>3167</v>
      </c>
      <c r="K78" s="275" t="s">
        <v>3170</v>
      </c>
      <c r="L78" s="319"/>
      <c r="M78" s="320"/>
      <c r="N78" s="319"/>
      <c r="O78" s="320"/>
      <c r="P78" s="319"/>
      <c r="Q78" s="320"/>
      <c r="R78" s="319"/>
      <c r="S78" s="320"/>
      <c r="T78" s="319"/>
      <c r="U78" s="320"/>
      <c r="V78" s="319"/>
      <c r="W78" s="320"/>
      <c r="X78" s="319"/>
      <c r="Y78" s="320"/>
      <c r="Z78" s="319"/>
      <c r="AA78" s="320"/>
      <c r="AB78" s="319"/>
      <c r="AC78" s="320"/>
      <c r="AD78" s="319"/>
      <c r="AE78" s="320"/>
      <c r="AF78" s="319"/>
      <c r="AG78" s="320"/>
      <c r="AH78" s="319"/>
      <c r="AI78" s="320"/>
      <c r="AJ78" s="319"/>
      <c r="AK78" s="320"/>
      <c r="AL78" s="319"/>
      <c r="AM78" s="320"/>
      <c r="AN78" s="319"/>
      <c r="AO78" s="320"/>
      <c r="AP78" s="319"/>
      <c r="AQ78" s="320"/>
      <c r="AR78" s="319"/>
      <c r="AS78" s="320"/>
      <c r="AT78" s="319"/>
      <c r="AU78" s="320"/>
      <c r="AV78" s="319"/>
      <c r="AW78" s="320"/>
      <c r="AX78" s="319"/>
      <c r="AY78" s="320"/>
      <c r="AZ78" s="319"/>
      <c r="BA78" s="320"/>
      <c r="BB78" s="319"/>
      <c r="BC78" s="320"/>
      <c r="BD78" s="319"/>
      <c r="BE78" s="320"/>
      <c r="BF78" s="319"/>
      <c r="BG78" s="320"/>
      <c r="BH78" s="319"/>
      <c r="BI78" s="320"/>
      <c r="BJ78" s="319"/>
      <c r="BK78" s="320"/>
      <c r="BL78" s="319"/>
      <c r="BM78" s="320"/>
      <c r="BN78" s="319"/>
      <c r="BO78" s="320"/>
      <c r="BP78" s="319"/>
      <c r="BQ78" s="320"/>
      <c r="BR78" s="319"/>
      <c r="BS78" s="320"/>
      <c r="BT78" s="319"/>
      <c r="BU78" s="320"/>
      <c r="BV78" s="264">
        <f t="shared" si="31"/>
        <v>0</v>
      </c>
      <c r="BW78" s="264">
        <f t="shared" si="32"/>
        <v>0</v>
      </c>
    </row>
    <row r="79" spans="1:75" s="62" customFormat="1" ht="21.95" customHeight="1" x14ac:dyDescent="0.2">
      <c r="A79" s="304" t="s">
        <v>3234</v>
      </c>
      <c r="B79" s="305" t="s">
        <v>3235</v>
      </c>
      <c r="C79" s="311" t="s">
        <v>3176</v>
      </c>
      <c r="D79" s="306" t="s">
        <v>3236</v>
      </c>
      <c r="E79" s="307" t="s">
        <v>3237</v>
      </c>
      <c r="F79" s="308" t="s">
        <v>3165</v>
      </c>
      <c r="G79" s="308" t="s">
        <v>3166</v>
      </c>
      <c r="H79" s="309" t="s">
        <v>1314</v>
      </c>
      <c r="I79" s="310" t="s">
        <v>1314</v>
      </c>
      <c r="J79" s="273" t="s">
        <v>3167</v>
      </c>
      <c r="K79" s="276" t="s">
        <v>3171</v>
      </c>
      <c r="L79" s="319"/>
      <c r="M79" s="320"/>
      <c r="N79" s="319"/>
      <c r="O79" s="320"/>
      <c r="P79" s="319"/>
      <c r="Q79" s="320"/>
      <c r="R79" s="319"/>
      <c r="S79" s="320"/>
      <c r="T79" s="319"/>
      <c r="U79" s="320"/>
      <c r="V79" s="319"/>
      <c r="W79" s="320"/>
      <c r="X79" s="319"/>
      <c r="Y79" s="320"/>
      <c r="Z79" s="319"/>
      <c r="AA79" s="320"/>
      <c r="AB79" s="319"/>
      <c r="AC79" s="320"/>
      <c r="AD79" s="319"/>
      <c r="AE79" s="320"/>
      <c r="AF79" s="319"/>
      <c r="AG79" s="320"/>
      <c r="AH79" s="319"/>
      <c r="AI79" s="320"/>
      <c r="AJ79" s="319"/>
      <c r="AK79" s="320"/>
      <c r="AL79" s="319"/>
      <c r="AM79" s="320"/>
      <c r="AN79" s="319"/>
      <c r="AO79" s="320"/>
      <c r="AP79" s="319"/>
      <c r="AQ79" s="320"/>
      <c r="AR79" s="319"/>
      <c r="AS79" s="320"/>
      <c r="AT79" s="319"/>
      <c r="AU79" s="320"/>
      <c r="AV79" s="319"/>
      <c r="AW79" s="320"/>
      <c r="AX79" s="319"/>
      <c r="AY79" s="320"/>
      <c r="AZ79" s="319"/>
      <c r="BA79" s="320"/>
      <c r="BB79" s="319"/>
      <c r="BC79" s="320"/>
      <c r="BD79" s="319"/>
      <c r="BE79" s="320"/>
      <c r="BF79" s="319"/>
      <c r="BG79" s="320"/>
      <c r="BH79" s="319"/>
      <c r="BI79" s="320"/>
      <c r="BJ79" s="319"/>
      <c r="BK79" s="320"/>
      <c r="BL79" s="319"/>
      <c r="BM79" s="320"/>
      <c r="BN79" s="319"/>
      <c r="BO79" s="320"/>
      <c r="BP79" s="319"/>
      <c r="BQ79" s="320"/>
      <c r="BR79" s="319"/>
      <c r="BS79" s="320"/>
      <c r="BT79" s="319"/>
      <c r="BU79" s="320"/>
      <c r="BV79" s="264">
        <f t="shared" si="31"/>
        <v>0</v>
      </c>
      <c r="BW79" s="264">
        <f t="shared" si="32"/>
        <v>0</v>
      </c>
    </row>
    <row r="80" spans="1:75" s="62" customFormat="1" ht="21.95" customHeight="1" thickBot="1" x14ac:dyDescent="0.25">
      <c r="A80" s="568" t="s">
        <v>3234</v>
      </c>
      <c r="B80" s="312" t="s">
        <v>3235</v>
      </c>
      <c r="C80" s="313" t="s">
        <v>3176</v>
      </c>
      <c r="D80" s="314" t="s">
        <v>3236</v>
      </c>
      <c r="E80" s="330" t="s">
        <v>3237</v>
      </c>
      <c r="F80" s="315" t="s">
        <v>3165</v>
      </c>
      <c r="G80" s="315" t="s">
        <v>3166</v>
      </c>
      <c r="H80" s="316" t="s">
        <v>1314</v>
      </c>
      <c r="I80" s="569" t="s">
        <v>1314</v>
      </c>
      <c r="J80" s="273" t="s">
        <v>3167</v>
      </c>
      <c r="K80" s="277" t="s">
        <v>53</v>
      </c>
      <c r="L80" s="321"/>
      <c r="M80" s="322"/>
      <c r="N80" s="321"/>
      <c r="O80" s="322"/>
      <c r="P80" s="321"/>
      <c r="Q80" s="322"/>
      <c r="R80" s="321"/>
      <c r="S80" s="322"/>
      <c r="T80" s="321"/>
      <c r="U80" s="322"/>
      <c r="V80" s="321"/>
      <c r="W80" s="322"/>
      <c r="X80" s="321"/>
      <c r="Y80" s="322"/>
      <c r="Z80" s="321"/>
      <c r="AA80" s="322"/>
      <c r="AB80" s="321"/>
      <c r="AC80" s="322"/>
      <c r="AD80" s="321"/>
      <c r="AE80" s="322"/>
      <c r="AF80" s="321"/>
      <c r="AG80" s="322"/>
      <c r="AH80" s="321"/>
      <c r="AI80" s="322"/>
      <c r="AJ80" s="321"/>
      <c r="AK80" s="322"/>
      <c r="AL80" s="321"/>
      <c r="AM80" s="322"/>
      <c r="AN80" s="321"/>
      <c r="AO80" s="322"/>
      <c r="AP80" s="321"/>
      <c r="AQ80" s="322"/>
      <c r="AR80" s="321"/>
      <c r="AS80" s="322"/>
      <c r="AT80" s="321"/>
      <c r="AU80" s="322"/>
      <c r="AV80" s="321"/>
      <c r="AW80" s="322"/>
      <c r="AX80" s="321"/>
      <c r="AY80" s="322"/>
      <c r="AZ80" s="321"/>
      <c r="BA80" s="322"/>
      <c r="BB80" s="321"/>
      <c r="BC80" s="322"/>
      <c r="BD80" s="321"/>
      <c r="BE80" s="322"/>
      <c r="BF80" s="321"/>
      <c r="BG80" s="322"/>
      <c r="BH80" s="321"/>
      <c r="BI80" s="322"/>
      <c r="BJ80" s="321"/>
      <c r="BK80" s="322"/>
      <c r="BL80" s="321"/>
      <c r="BM80" s="322"/>
      <c r="BN80" s="321"/>
      <c r="BO80" s="322"/>
      <c r="BP80" s="321"/>
      <c r="BQ80" s="322"/>
      <c r="BR80" s="321"/>
      <c r="BS80" s="322"/>
      <c r="BT80" s="321"/>
      <c r="BU80" s="322"/>
      <c r="BV80" s="264">
        <f t="shared" si="31"/>
        <v>0</v>
      </c>
      <c r="BW80" s="264">
        <f t="shared" si="32"/>
        <v>0</v>
      </c>
    </row>
    <row r="81" spans="1:75" s="62" customFormat="1" ht="21.95" customHeight="1" x14ac:dyDescent="0.25">
      <c r="A81" s="344" t="s">
        <v>3238</v>
      </c>
      <c r="B81" s="434" t="s">
        <v>3239</v>
      </c>
      <c r="C81" s="435">
        <v>1</v>
      </c>
      <c r="D81" s="436" t="s">
        <v>3240</v>
      </c>
      <c r="E81" s="345" t="s">
        <v>3241</v>
      </c>
      <c r="F81" s="437" t="s">
        <v>3165</v>
      </c>
      <c r="G81" s="437" t="s">
        <v>3166</v>
      </c>
      <c r="H81" s="438" t="s">
        <v>1315</v>
      </c>
      <c r="I81" s="303" t="s">
        <v>1315</v>
      </c>
      <c r="J81" s="273" t="s">
        <v>3167</v>
      </c>
      <c r="K81" s="274" t="s">
        <v>3168</v>
      </c>
      <c r="L81" s="321"/>
      <c r="M81" s="322"/>
      <c r="N81" s="321"/>
      <c r="O81" s="322"/>
      <c r="P81" s="321"/>
      <c r="Q81" s="322"/>
      <c r="R81" s="321"/>
      <c r="S81" s="322"/>
      <c r="T81" s="321"/>
      <c r="U81" s="322"/>
      <c r="V81" s="321"/>
      <c r="W81" s="322"/>
      <c r="X81" s="321"/>
      <c r="Y81" s="322"/>
      <c r="Z81" s="321"/>
      <c r="AA81" s="322"/>
      <c r="AB81" s="321"/>
      <c r="AC81" s="322"/>
      <c r="AD81" s="321"/>
      <c r="AE81" s="322"/>
      <c r="AF81" s="321"/>
      <c r="AG81" s="322"/>
      <c r="AH81" s="321"/>
      <c r="AI81" s="322"/>
      <c r="AJ81" s="321"/>
      <c r="AK81" s="322"/>
      <c r="AL81" s="321"/>
      <c r="AM81" s="322"/>
      <c r="AN81" s="321"/>
      <c r="AO81" s="322"/>
      <c r="AP81" s="321"/>
      <c r="AQ81" s="322"/>
      <c r="AR81" s="321"/>
      <c r="AS81" s="322"/>
      <c r="AT81" s="321"/>
      <c r="AU81" s="322"/>
      <c r="AV81" s="321"/>
      <c r="AW81" s="322"/>
      <c r="AX81" s="321"/>
      <c r="AY81" s="322"/>
      <c r="AZ81" s="321"/>
      <c r="BA81" s="322"/>
      <c r="BB81" s="321"/>
      <c r="BC81" s="322"/>
      <c r="BD81" s="321"/>
      <c r="BE81" s="322"/>
      <c r="BF81" s="321"/>
      <c r="BG81" s="322"/>
      <c r="BH81" s="321"/>
      <c r="BI81" s="322"/>
      <c r="BJ81" s="321"/>
      <c r="BK81" s="322"/>
      <c r="BL81" s="321"/>
      <c r="BM81" s="322"/>
      <c r="BN81" s="321"/>
      <c r="BO81" s="322"/>
      <c r="BP81" s="321"/>
      <c r="BQ81" s="322"/>
      <c r="BR81" s="321"/>
      <c r="BS81" s="322"/>
      <c r="BT81" s="321"/>
      <c r="BU81" s="322"/>
      <c r="BV81" s="264">
        <f>L81+N81+P81+R81+T81+V81+X81+Z81+AB81+AD81+AF81+AH81+AJ81+AL81+AN81+AP81+AR81+AT81+AV81+AX81+AZ81+BB81+BD81+BF81+BH81+BJ81+BL81+BN81+BP81+BR81+BT81</f>
        <v>0</v>
      </c>
      <c r="BW81" s="264">
        <f>M81+O81+Q81+S81+U81+W81+Y81+AA81+AC81+AE81+AG81+AI81+AK81+AM81+AO81+AQ81+AS81+AU81+AW81+AY81+BA81+BC81+BE81+BG81+BI81+BK81+BM81+BO81+BQ81+BS81+BU81</f>
        <v>0</v>
      </c>
    </row>
    <row r="82" spans="1:75" s="62" customFormat="1" ht="21.95" customHeight="1" x14ac:dyDescent="0.2">
      <c r="A82" s="304" t="s">
        <v>3238</v>
      </c>
      <c r="B82" s="305" t="s">
        <v>3239</v>
      </c>
      <c r="C82" s="272" t="s">
        <v>3175</v>
      </c>
      <c r="D82" s="306" t="s">
        <v>3240</v>
      </c>
      <c r="E82" s="307" t="s">
        <v>3241</v>
      </c>
      <c r="F82" s="308" t="s">
        <v>3165</v>
      </c>
      <c r="G82" s="308" t="s">
        <v>3166</v>
      </c>
      <c r="H82" s="309" t="s">
        <v>1315</v>
      </c>
      <c r="I82" s="310" t="s">
        <v>1315</v>
      </c>
      <c r="J82" s="273" t="s">
        <v>3167</v>
      </c>
      <c r="K82" s="273" t="s">
        <v>3169</v>
      </c>
      <c r="L82" s="319"/>
      <c r="M82" s="320"/>
      <c r="N82" s="319"/>
      <c r="O82" s="320"/>
      <c r="P82" s="319"/>
      <c r="Q82" s="320"/>
      <c r="R82" s="319"/>
      <c r="S82" s="320"/>
      <c r="T82" s="319"/>
      <c r="U82" s="320"/>
      <c r="V82" s="319"/>
      <c r="W82" s="320"/>
      <c r="X82" s="319"/>
      <c r="Y82" s="320"/>
      <c r="Z82" s="319"/>
      <c r="AA82" s="320"/>
      <c r="AB82" s="319"/>
      <c r="AC82" s="320"/>
      <c r="AD82" s="319"/>
      <c r="AE82" s="320"/>
      <c r="AF82" s="319"/>
      <c r="AG82" s="320"/>
      <c r="AH82" s="319"/>
      <c r="AI82" s="320"/>
      <c r="AJ82" s="319"/>
      <c r="AK82" s="320"/>
      <c r="AL82" s="319"/>
      <c r="AM82" s="320"/>
      <c r="AN82" s="319"/>
      <c r="AO82" s="320"/>
      <c r="AP82" s="319"/>
      <c r="AQ82" s="320"/>
      <c r="AR82" s="319"/>
      <c r="AS82" s="320"/>
      <c r="AT82" s="319"/>
      <c r="AU82" s="320"/>
      <c r="AV82" s="319"/>
      <c r="AW82" s="320"/>
      <c r="AX82" s="319"/>
      <c r="AY82" s="320"/>
      <c r="AZ82" s="319"/>
      <c r="BA82" s="320"/>
      <c r="BB82" s="319"/>
      <c r="BC82" s="320"/>
      <c r="BD82" s="319"/>
      <c r="BE82" s="320"/>
      <c r="BF82" s="319"/>
      <c r="BG82" s="320"/>
      <c r="BH82" s="319"/>
      <c r="BI82" s="320"/>
      <c r="BJ82" s="319"/>
      <c r="BK82" s="320"/>
      <c r="BL82" s="319"/>
      <c r="BM82" s="320"/>
      <c r="BN82" s="319"/>
      <c r="BO82" s="320"/>
      <c r="BP82" s="319"/>
      <c r="BQ82" s="320"/>
      <c r="BR82" s="319"/>
      <c r="BS82" s="320"/>
      <c r="BT82" s="319"/>
      <c r="BU82" s="320"/>
      <c r="BV82" s="264">
        <f t="shared" ref="BV82:BV85" si="33">L82+N82+P82+R82+T82+V82+X82+Z82+AB82+AD82+AF82+AH82+AJ82+AL82+AN82+AP82+AR82+AT82+AV82+AX82+AZ82+BB82+BD82+BF82+BH82+BJ82+BL82+BN82+BP82+BR82+BT82</f>
        <v>0</v>
      </c>
      <c r="BW82" s="264">
        <f t="shared" ref="BW82:BW85" si="34">M82+O82+Q82+S82+U82+W82+Y82+AA82+AC82+AE82+AG82+AI82+AK82+AM82+AO82+AQ82+AS82+AU82+AW82+AY82+BA82+BC82+BE82+BG82+BI82+BK82+BM82+BO82+BQ82+BS82+BU82</f>
        <v>0</v>
      </c>
    </row>
    <row r="83" spans="1:75" s="62" customFormat="1" ht="21.95" customHeight="1" x14ac:dyDescent="0.2">
      <c r="A83" s="304" t="s">
        <v>3238</v>
      </c>
      <c r="B83" s="305" t="s">
        <v>3239</v>
      </c>
      <c r="C83" s="311" t="s">
        <v>3175</v>
      </c>
      <c r="D83" s="306" t="s">
        <v>3240</v>
      </c>
      <c r="E83" s="307" t="s">
        <v>3241</v>
      </c>
      <c r="F83" s="308" t="s">
        <v>3165</v>
      </c>
      <c r="G83" s="308" t="s">
        <v>3166</v>
      </c>
      <c r="H83" s="309" t="s">
        <v>1315</v>
      </c>
      <c r="I83" s="310" t="s">
        <v>1315</v>
      </c>
      <c r="J83" s="273" t="s">
        <v>3167</v>
      </c>
      <c r="K83" s="275" t="s">
        <v>3170</v>
      </c>
      <c r="L83" s="319"/>
      <c r="M83" s="320"/>
      <c r="N83" s="319"/>
      <c r="O83" s="320"/>
      <c r="P83" s="319"/>
      <c r="Q83" s="320"/>
      <c r="R83" s="319"/>
      <c r="S83" s="320"/>
      <c r="T83" s="319"/>
      <c r="U83" s="320"/>
      <c r="V83" s="319"/>
      <c r="W83" s="320"/>
      <c r="X83" s="319"/>
      <c r="Y83" s="320"/>
      <c r="Z83" s="319"/>
      <c r="AA83" s="320"/>
      <c r="AB83" s="319"/>
      <c r="AC83" s="320"/>
      <c r="AD83" s="319"/>
      <c r="AE83" s="320"/>
      <c r="AF83" s="319"/>
      <c r="AG83" s="320"/>
      <c r="AH83" s="319"/>
      <c r="AI83" s="320"/>
      <c r="AJ83" s="319"/>
      <c r="AK83" s="320"/>
      <c r="AL83" s="319"/>
      <c r="AM83" s="320"/>
      <c r="AN83" s="319"/>
      <c r="AO83" s="320"/>
      <c r="AP83" s="319"/>
      <c r="AQ83" s="320"/>
      <c r="AR83" s="319"/>
      <c r="AS83" s="320"/>
      <c r="AT83" s="319"/>
      <c r="AU83" s="320"/>
      <c r="AV83" s="319"/>
      <c r="AW83" s="320"/>
      <c r="AX83" s="319"/>
      <c r="AY83" s="320"/>
      <c r="AZ83" s="319"/>
      <c r="BA83" s="320"/>
      <c r="BB83" s="319"/>
      <c r="BC83" s="320"/>
      <c r="BD83" s="319"/>
      <c r="BE83" s="320"/>
      <c r="BF83" s="319"/>
      <c r="BG83" s="320"/>
      <c r="BH83" s="319"/>
      <c r="BI83" s="320"/>
      <c r="BJ83" s="319"/>
      <c r="BK83" s="320"/>
      <c r="BL83" s="319"/>
      <c r="BM83" s="320"/>
      <c r="BN83" s="319"/>
      <c r="BO83" s="320"/>
      <c r="BP83" s="319"/>
      <c r="BQ83" s="320"/>
      <c r="BR83" s="319"/>
      <c r="BS83" s="320"/>
      <c r="BT83" s="319"/>
      <c r="BU83" s="320"/>
      <c r="BV83" s="264">
        <f t="shared" si="33"/>
        <v>0</v>
      </c>
      <c r="BW83" s="264">
        <f t="shared" si="34"/>
        <v>0</v>
      </c>
    </row>
    <row r="84" spans="1:75" s="62" customFormat="1" ht="21.95" customHeight="1" x14ac:dyDescent="0.2">
      <c r="A84" s="304" t="s">
        <v>3238</v>
      </c>
      <c r="B84" s="305" t="s">
        <v>3239</v>
      </c>
      <c r="C84" s="311" t="s">
        <v>3175</v>
      </c>
      <c r="D84" s="306" t="s">
        <v>3240</v>
      </c>
      <c r="E84" s="307" t="s">
        <v>3241</v>
      </c>
      <c r="F84" s="308" t="s">
        <v>3165</v>
      </c>
      <c r="G84" s="308" t="s">
        <v>3166</v>
      </c>
      <c r="H84" s="309" t="s">
        <v>1315</v>
      </c>
      <c r="I84" s="310" t="s">
        <v>1315</v>
      </c>
      <c r="J84" s="273" t="s">
        <v>3167</v>
      </c>
      <c r="K84" s="276" t="s">
        <v>3171</v>
      </c>
      <c r="L84" s="319"/>
      <c r="M84" s="320"/>
      <c r="N84" s="319"/>
      <c r="O84" s="320"/>
      <c r="P84" s="319"/>
      <c r="Q84" s="320"/>
      <c r="R84" s="319"/>
      <c r="S84" s="320"/>
      <c r="T84" s="319"/>
      <c r="U84" s="320"/>
      <c r="V84" s="319"/>
      <c r="W84" s="320"/>
      <c r="X84" s="319"/>
      <c r="Y84" s="320"/>
      <c r="Z84" s="319"/>
      <c r="AA84" s="320"/>
      <c r="AB84" s="319"/>
      <c r="AC84" s="320"/>
      <c r="AD84" s="319"/>
      <c r="AE84" s="320"/>
      <c r="AF84" s="319"/>
      <c r="AG84" s="320"/>
      <c r="AH84" s="319"/>
      <c r="AI84" s="320"/>
      <c r="AJ84" s="319"/>
      <c r="AK84" s="320"/>
      <c r="AL84" s="319"/>
      <c r="AM84" s="320"/>
      <c r="AN84" s="319"/>
      <c r="AO84" s="320"/>
      <c r="AP84" s="319"/>
      <c r="AQ84" s="320"/>
      <c r="AR84" s="319"/>
      <c r="AS84" s="320"/>
      <c r="AT84" s="319"/>
      <c r="AU84" s="320"/>
      <c r="AV84" s="319"/>
      <c r="AW84" s="320"/>
      <c r="AX84" s="319"/>
      <c r="AY84" s="320"/>
      <c r="AZ84" s="319"/>
      <c r="BA84" s="320"/>
      <c r="BB84" s="319"/>
      <c r="BC84" s="320"/>
      <c r="BD84" s="319"/>
      <c r="BE84" s="320"/>
      <c r="BF84" s="319"/>
      <c r="BG84" s="320"/>
      <c r="BH84" s="319"/>
      <c r="BI84" s="320"/>
      <c r="BJ84" s="319"/>
      <c r="BK84" s="320"/>
      <c r="BL84" s="319"/>
      <c r="BM84" s="320"/>
      <c r="BN84" s="319"/>
      <c r="BO84" s="320"/>
      <c r="BP84" s="319"/>
      <c r="BQ84" s="320"/>
      <c r="BR84" s="319"/>
      <c r="BS84" s="320"/>
      <c r="BT84" s="319"/>
      <c r="BU84" s="320"/>
      <c r="BV84" s="264">
        <f t="shared" si="33"/>
        <v>0</v>
      </c>
      <c r="BW84" s="264">
        <f t="shared" si="34"/>
        <v>0</v>
      </c>
    </row>
    <row r="85" spans="1:75" s="62" customFormat="1" ht="21.95" customHeight="1" thickBot="1" x14ac:dyDescent="0.25">
      <c r="A85" s="568" t="s">
        <v>3238</v>
      </c>
      <c r="B85" s="312" t="s">
        <v>3239</v>
      </c>
      <c r="C85" s="313" t="s">
        <v>3175</v>
      </c>
      <c r="D85" s="314" t="s">
        <v>3240</v>
      </c>
      <c r="E85" s="330" t="s">
        <v>3241</v>
      </c>
      <c r="F85" s="315" t="s">
        <v>3165</v>
      </c>
      <c r="G85" s="315" t="s">
        <v>3166</v>
      </c>
      <c r="H85" s="316" t="s">
        <v>1315</v>
      </c>
      <c r="I85" s="569" t="s">
        <v>1315</v>
      </c>
      <c r="J85" s="273" t="s">
        <v>3167</v>
      </c>
      <c r="K85" s="277" t="s">
        <v>53</v>
      </c>
      <c r="L85" s="321"/>
      <c r="M85" s="322"/>
      <c r="N85" s="321"/>
      <c r="O85" s="322"/>
      <c r="P85" s="321"/>
      <c r="Q85" s="322"/>
      <c r="R85" s="321"/>
      <c r="S85" s="322"/>
      <c r="T85" s="321"/>
      <c r="U85" s="322"/>
      <c r="V85" s="321"/>
      <c r="W85" s="322"/>
      <c r="X85" s="321"/>
      <c r="Y85" s="322"/>
      <c r="Z85" s="321"/>
      <c r="AA85" s="322"/>
      <c r="AB85" s="321"/>
      <c r="AC85" s="322"/>
      <c r="AD85" s="321"/>
      <c r="AE85" s="322"/>
      <c r="AF85" s="321"/>
      <c r="AG85" s="322"/>
      <c r="AH85" s="321"/>
      <c r="AI85" s="322"/>
      <c r="AJ85" s="321"/>
      <c r="AK85" s="322"/>
      <c r="AL85" s="321"/>
      <c r="AM85" s="322"/>
      <c r="AN85" s="321"/>
      <c r="AO85" s="322"/>
      <c r="AP85" s="321"/>
      <c r="AQ85" s="322"/>
      <c r="AR85" s="321"/>
      <c r="AS85" s="322"/>
      <c r="AT85" s="321"/>
      <c r="AU85" s="322"/>
      <c r="AV85" s="321"/>
      <c r="AW85" s="322"/>
      <c r="AX85" s="321"/>
      <c r="AY85" s="322"/>
      <c r="AZ85" s="321"/>
      <c r="BA85" s="322"/>
      <c r="BB85" s="321"/>
      <c r="BC85" s="322"/>
      <c r="BD85" s="321"/>
      <c r="BE85" s="322"/>
      <c r="BF85" s="321"/>
      <c r="BG85" s="322"/>
      <c r="BH85" s="321"/>
      <c r="BI85" s="322"/>
      <c r="BJ85" s="321"/>
      <c r="BK85" s="322"/>
      <c r="BL85" s="321"/>
      <c r="BM85" s="322"/>
      <c r="BN85" s="321"/>
      <c r="BO85" s="322"/>
      <c r="BP85" s="321"/>
      <c r="BQ85" s="322"/>
      <c r="BR85" s="321"/>
      <c r="BS85" s="322"/>
      <c r="BT85" s="321"/>
      <c r="BU85" s="322"/>
      <c r="BV85" s="264">
        <f t="shared" si="33"/>
        <v>0</v>
      </c>
      <c r="BW85" s="264">
        <f t="shared" si="34"/>
        <v>0</v>
      </c>
    </row>
    <row r="86" spans="1:75" s="62" customFormat="1" ht="21.95" customHeight="1" x14ac:dyDescent="0.25">
      <c r="A86" s="344" t="s">
        <v>3242</v>
      </c>
      <c r="B86" s="434" t="s">
        <v>3243</v>
      </c>
      <c r="C86" s="435">
        <v>1</v>
      </c>
      <c r="D86" s="436" t="s">
        <v>3244</v>
      </c>
      <c r="E86" s="345" t="s">
        <v>3245</v>
      </c>
      <c r="F86" s="437" t="s">
        <v>3165</v>
      </c>
      <c r="G86" s="437" t="s">
        <v>3166</v>
      </c>
      <c r="H86" s="438" t="s">
        <v>1316</v>
      </c>
      <c r="I86" s="303" t="s">
        <v>1316</v>
      </c>
      <c r="J86" s="273" t="s">
        <v>3167</v>
      </c>
      <c r="K86" s="274" t="s">
        <v>3168</v>
      </c>
      <c r="L86" s="321"/>
      <c r="M86" s="322"/>
      <c r="N86" s="321"/>
      <c r="O86" s="322"/>
      <c r="P86" s="321"/>
      <c r="Q86" s="322"/>
      <c r="R86" s="321"/>
      <c r="S86" s="322"/>
      <c r="T86" s="321"/>
      <c r="U86" s="322"/>
      <c r="V86" s="321"/>
      <c r="W86" s="322"/>
      <c r="X86" s="321"/>
      <c r="Y86" s="322"/>
      <c r="Z86" s="321"/>
      <c r="AA86" s="322"/>
      <c r="AB86" s="321"/>
      <c r="AC86" s="322"/>
      <c r="AD86" s="321"/>
      <c r="AE86" s="322"/>
      <c r="AF86" s="321"/>
      <c r="AG86" s="322"/>
      <c r="AH86" s="321"/>
      <c r="AI86" s="322"/>
      <c r="AJ86" s="321"/>
      <c r="AK86" s="322"/>
      <c r="AL86" s="321"/>
      <c r="AM86" s="322"/>
      <c r="AN86" s="321"/>
      <c r="AO86" s="322"/>
      <c r="AP86" s="321"/>
      <c r="AQ86" s="322"/>
      <c r="AR86" s="321"/>
      <c r="AS86" s="322"/>
      <c r="AT86" s="321"/>
      <c r="AU86" s="322"/>
      <c r="AV86" s="321"/>
      <c r="AW86" s="322"/>
      <c r="AX86" s="321"/>
      <c r="AY86" s="322"/>
      <c r="AZ86" s="321"/>
      <c r="BA86" s="322"/>
      <c r="BB86" s="321"/>
      <c r="BC86" s="322"/>
      <c r="BD86" s="321"/>
      <c r="BE86" s="322"/>
      <c r="BF86" s="321"/>
      <c r="BG86" s="322"/>
      <c r="BH86" s="321"/>
      <c r="BI86" s="322"/>
      <c r="BJ86" s="321"/>
      <c r="BK86" s="322"/>
      <c r="BL86" s="321"/>
      <c r="BM86" s="322"/>
      <c r="BN86" s="321"/>
      <c r="BO86" s="322"/>
      <c r="BP86" s="321"/>
      <c r="BQ86" s="322"/>
      <c r="BR86" s="321"/>
      <c r="BS86" s="322"/>
      <c r="BT86" s="321"/>
      <c r="BU86" s="322"/>
      <c r="BV86" s="264">
        <f>L86+N86+P86+R86+T86+V86+X86+Z86+AB86+AD86+AF86+AH86+AJ86+AL86+AN86+AP86+AR86+AT86+AV86+AX86+AZ86+BB86+BD86+BF86+BH86+BJ86+BL86+BN86+BP86+BR86+BT86</f>
        <v>0</v>
      </c>
      <c r="BW86" s="264">
        <f>M86+O86+Q86+S86+U86+W86+Y86+AA86+AC86+AE86+AG86+AI86+AK86+AM86+AO86+AQ86+AS86+AU86+AW86+AY86+BA86+BC86+BE86+BG86+BI86+BK86+BM86+BO86+BQ86+BS86+BU86</f>
        <v>0</v>
      </c>
    </row>
    <row r="87" spans="1:75" s="62" customFormat="1" ht="21.95" customHeight="1" x14ac:dyDescent="0.2">
      <c r="A87" s="304" t="s">
        <v>3242</v>
      </c>
      <c r="B87" s="305" t="s">
        <v>3243</v>
      </c>
      <c r="C87" s="272" t="s">
        <v>3175</v>
      </c>
      <c r="D87" s="306" t="s">
        <v>3244</v>
      </c>
      <c r="E87" s="307" t="s">
        <v>3245</v>
      </c>
      <c r="F87" s="308" t="s">
        <v>3165</v>
      </c>
      <c r="G87" s="308" t="s">
        <v>3166</v>
      </c>
      <c r="H87" s="309" t="s">
        <v>1316</v>
      </c>
      <c r="I87" s="310" t="s">
        <v>1316</v>
      </c>
      <c r="J87" s="273" t="s">
        <v>3167</v>
      </c>
      <c r="K87" s="273" t="s">
        <v>3169</v>
      </c>
      <c r="L87" s="319"/>
      <c r="M87" s="320"/>
      <c r="N87" s="319"/>
      <c r="O87" s="320"/>
      <c r="P87" s="319"/>
      <c r="Q87" s="320"/>
      <c r="R87" s="319"/>
      <c r="S87" s="320"/>
      <c r="T87" s="319"/>
      <c r="U87" s="320"/>
      <c r="V87" s="319"/>
      <c r="W87" s="320"/>
      <c r="X87" s="319"/>
      <c r="Y87" s="320"/>
      <c r="Z87" s="319"/>
      <c r="AA87" s="320"/>
      <c r="AB87" s="319"/>
      <c r="AC87" s="320"/>
      <c r="AD87" s="319"/>
      <c r="AE87" s="320"/>
      <c r="AF87" s="319"/>
      <c r="AG87" s="320"/>
      <c r="AH87" s="319"/>
      <c r="AI87" s="320"/>
      <c r="AJ87" s="319"/>
      <c r="AK87" s="320"/>
      <c r="AL87" s="319"/>
      <c r="AM87" s="320"/>
      <c r="AN87" s="319"/>
      <c r="AO87" s="320"/>
      <c r="AP87" s="319"/>
      <c r="AQ87" s="320"/>
      <c r="AR87" s="319"/>
      <c r="AS87" s="320"/>
      <c r="AT87" s="319"/>
      <c r="AU87" s="320"/>
      <c r="AV87" s="319"/>
      <c r="AW87" s="320"/>
      <c r="AX87" s="319"/>
      <c r="AY87" s="320"/>
      <c r="AZ87" s="319"/>
      <c r="BA87" s="320"/>
      <c r="BB87" s="319"/>
      <c r="BC87" s="320"/>
      <c r="BD87" s="319"/>
      <c r="BE87" s="320"/>
      <c r="BF87" s="319"/>
      <c r="BG87" s="320"/>
      <c r="BH87" s="319"/>
      <c r="BI87" s="320"/>
      <c r="BJ87" s="319"/>
      <c r="BK87" s="320"/>
      <c r="BL87" s="319"/>
      <c r="BM87" s="320"/>
      <c r="BN87" s="319"/>
      <c r="BO87" s="320"/>
      <c r="BP87" s="319"/>
      <c r="BQ87" s="320"/>
      <c r="BR87" s="319"/>
      <c r="BS87" s="320"/>
      <c r="BT87" s="319"/>
      <c r="BU87" s="320"/>
      <c r="BV87" s="264">
        <f t="shared" ref="BV87:BV90" si="35">L87+N87+P87+R87+T87+V87+X87+Z87+AB87+AD87+AF87+AH87+AJ87+AL87+AN87+AP87+AR87+AT87+AV87+AX87+AZ87+BB87+BD87+BF87+BH87+BJ87+BL87+BN87+BP87+BR87+BT87</f>
        <v>0</v>
      </c>
      <c r="BW87" s="264">
        <f t="shared" ref="BW87:BW90" si="36">M87+O87+Q87+S87+U87+W87+Y87+AA87+AC87+AE87+AG87+AI87+AK87+AM87+AO87+AQ87+AS87+AU87+AW87+AY87+BA87+BC87+BE87+BG87+BI87+BK87+BM87+BO87+BQ87+BS87+BU87</f>
        <v>0</v>
      </c>
    </row>
    <row r="88" spans="1:75" s="62" customFormat="1" ht="21.95" customHeight="1" x14ac:dyDescent="0.2">
      <c r="A88" s="304" t="s">
        <v>3242</v>
      </c>
      <c r="B88" s="305" t="s">
        <v>3243</v>
      </c>
      <c r="C88" s="311" t="s">
        <v>3175</v>
      </c>
      <c r="D88" s="306" t="s">
        <v>3244</v>
      </c>
      <c r="E88" s="307" t="s">
        <v>3245</v>
      </c>
      <c r="F88" s="308" t="s">
        <v>3165</v>
      </c>
      <c r="G88" s="308" t="s">
        <v>3166</v>
      </c>
      <c r="H88" s="309" t="s">
        <v>1316</v>
      </c>
      <c r="I88" s="310" t="s">
        <v>1316</v>
      </c>
      <c r="J88" s="273" t="s">
        <v>3167</v>
      </c>
      <c r="K88" s="275" t="s">
        <v>3170</v>
      </c>
      <c r="L88" s="319"/>
      <c r="M88" s="320"/>
      <c r="N88" s="319"/>
      <c r="O88" s="320"/>
      <c r="P88" s="319"/>
      <c r="Q88" s="320"/>
      <c r="R88" s="319"/>
      <c r="S88" s="320"/>
      <c r="T88" s="319"/>
      <c r="U88" s="320"/>
      <c r="V88" s="319"/>
      <c r="W88" s="320"/>
      <c r="X88" s="319"/>
      <c r="Y88" s="320"/>
      <c r="Z88" s="319"/>
      <c r="AA88" s="320"/>
      <c r="AB88" s="319"/>
      <c r="AC88" s="320"/>
      <c r="AD88" s="319"/>
      <c r="AE88" s="320"/>
      <c r="AF88" s="319"/>
      <c r="AG88" s="320"/>
      <c r="AH88" s="319"/>
      <c r="AI88" s="320"/>
      <c r="AJ88" s="319"/>
      <c r="AK88" s="320"/>
      <c r="AL88" s="319"/>
      <c r="AM88" s="320"/>
      <c r="AN88" s="319"/>
      <c r="AO88" s="320"/>
      <c r="AP88" s="319"/>
      <c r="AQ88" s="320"/>
      <c r="AR88" s="319"/>
      <c r="AS88" s="320"/>
      <c r="AT88" s="319"/>
      <c r="AU88" s="320"/>
      <c r="AV88" s="319"/>
      <c r="AW88" s="320"/>
      <c r="AX88" s="319"/>
      <c r="AY88" s="320"/>
      <c r="AZ88" s="319"/>
      <c r="BA88" s="320"/>
      <c r="BB88" s="319"/>
      <c r="BC88" s="320"/>
      <c r="BD88" s="319"/>
      <c r="BE88" s="320"/>
      <c r="BF88" s="319"/>
      <c r="BG88" s="320"/>
      <c r="BH88" s="319"/>
      <c r="BI88" s="320"/>
      <c r="BJ88" s="319"/>
      <c r="BK88" s="320"/>
      <c r="BL88" s="319"/>
      <c r="BM88" s="320"/>
      <c r="BN88" s="319"/>
      <c r="BO88" s="320"/>
      <c r="BP88" s="319"/>
      <c r="BQ88" s="320"/>
      <c r="BR88" s="319"/>
      <c r="BS88" s="320"/>
      <c r="BT88" s="319"/>
      <c r="BU88" s="320"/>
      <c r="BV88" s="264">
        <f t="shared" si="35"/>
        <v>0</v>
      </c>
      <c r="BW88" s="264">
        <f t="shared" si="36"/>
        <v>0</v>
      </c>
    </row>
    <row r="89" spans="1:75" s="62" customFormat="1" ht="21.95" customHeight="1" x14ac:dyDescent="0.2">
      <c r="A89" s="304" t="s">
        <v>3242</v>
      </c>
      <c r="B89" s="305" t="s">
        <v>3243</v>
      </c>
      <c r="C89" s="311" t="s">
        <v>3175</v>
      </c>
      <c r="D89" s="306" t="s">
        <v>3244</v>
      </c>
      <c r="E89" s="307" t="s">
        <v>3245</v>
      </c>
      <c r="F89" s="308" t="s">
        <v>3165</v>
      </c>
      <c r="G89" s="308" t="s">
        <v>3166</v>
      </c>
      <c r="H89" s="309" t="s">
        <v>1316</v>
      </c>
      <c r="I89" s="310" t="s">
        <v>1316</v>
      </c>
      <c r="J89" s="273" t="s">
        <v>3167</v>
      </c>
      <c r="K89" s="276" t="s">
        <v>3171</v>
      </c>
      <c r="L89" s="319"/>
      <c r="M89" s="320"/>
      <c r="N89" s="319"/>
      <c r="O89" s="320"/>
      <c r="P89" s="319"/>
      <c r="Q89" s="320"/>
      <c r="R89" s="319"/>
      <c r="S89" s="320"/>
      <c r="T89" s="319"/>
      <c r="U89" s="320"/>
      <c r="V89" s="319"/>
      <c r="W89" s="320"/>
      <c r="X89" s="319"/>
      <c r="Y89" s="320"/>
      <c r="Z89" s="319"/>
      <c r="AA89" s="320"/>
      <c r="AB89" s="319"/>
      <c r="AC89" s="320"/>
      <c r="AD89" s="319"/>
      <c r="AE89" s="320"/>
      <c r="AF89" s="319"/>
      <c r="AG89" s="320"/>
      <c r="AH89" s="319"/>
      <c r="AI89" s="320"/>
      <c r="AJ89" s="319"/>
      <c r="AK89" s="320"/>
      <c r="AL89" s="319"/>
      <c r="AM89" s="320"/>
      <c r="AN89" s="319"/>
      <c r="AO89" s="320"/>
      <c r="AP89" s="319"/>
      <c r="AQ89" s="320"/>
      <c r="AR89" s="319"/>
      <c r="AS89" s="320"/>
      <c r="AT89" s="319"/>
      <c r="AU89" s="320"/>
      <c r="AV89" s="319"/>
      <c r="AW89" s="320"/>
      <c r="AX89" s="319"/>
      <c r="AY89" s="320"/>
      <c r="AZ89" s="319"/>
      <c r="BA89" s="320"/>
      <c r="BB89" s="319"/>
      <c r="BC89" s="320"/>
      <c r="BD89" s="319"/>
      <c r="BE89" s="320"/>
      <c r="BF89" s="319"/>
      <c r="BG89" s="320"/>
      <c r="BH89" s="319"/>
      <c r="BI89" s="320"/>
      <c r="BJ89" s="319"/>
      <c r="BK89" s="320"/>
      <c r="BL89" s="319"/>
      <c r="BM89" s="320"/>
      <c r="BN89" s="319"/>
      <c r="BO89" s="320"/>
      <c r="BP89" s="319"/>
      <c r="BQ89" s="320"/>
      <c r="BR89" s="319"/>
      <c r="BS89" s="320"/>
      <c r="BT89" s="319"/>
      <c r="BU89" s="320"/>
      <c r="BV89" s="264">
        <f t="shared" si="35"/>
        <v>0</v>
      </c>
      <c r="BW89" s="264">
        <f t="shared" si="36"/>
        <v>0</v>
      </c>
    </row>
    <row r="90" spans="1:75" s="62" customFormat="1" ht="21.95" customHeight="1" thickBot="1" x14ac:dyDescent="0.25">
      <c r="A90" s="568" t="s">
        <v>3242</v>
      </c>
      <c r="B90" s="312" t="s">
        <v>3243</v>
      </c>
      <c r="C90" s="313" t="s">
        <v>3175</v>
      </c>
      <c r="D90" s="314" t="s">
        <v>3244</v>
      </c>
      <c r="E90" s="330" t="s">
        <v>3245</v>
      </c>
      <c r="F90" s="315" t="s">
        <v>3165</v>
      </c>
      <c r="G90" s="315" t="s">
        <v>3166</v>
      </c>
      <c r="H90" s="316" t="s">
        <v>1316</v>
      </c>
      <c r="I90" s="569" t="s">
        <v>1316</v>
      </c>
      <c r="J90" s="273" t="s">
        <v>3167</v>
      </c>
      <c r="K90" s="277" t="s">
        <v>53</v>
      </c>
      <c r="L90" s="321"/>
      <c r="M90" s="322"/>
      <c r="N90" s="321"/>
      <c r="O90" s="322"/>
      <c r="P90" s="321"/>
      <c r="Q90" s="322"/>
      <c r="R90" s="321"/>
      <c r="S90" s="322"/>
      <c r="T90" s="321"/>
      <c r="U90" s="322"/>
      <c r="V90" s="321"/>
      <c r="W90" s="322"/>
      <c r="X90" s="321"/>
      <c r="Y90" s="322"/>
      <c r="Z90" s="321"/>
      <c r="AA90" s="322"/>
      <c r="AB90" s="321"/>
      <c r="AC90" s="322"/>
      <c r="AD90" s="321"/>
      <c r="AE90" s="322"/>
      <c r="AF90" s="321"/>
      <c r="AG90" s="322"/>
      <c r="AH90" s="321"/>
      <c r="AI90" s="322"/>
      <c r="AJ90" s="321"/>
      <c r="AK90" s="322"/>
      <c r="AL90" s="321"/>
      <c r="AM90" s="322"/>
      <c r="AN90" s="321"/>
      <c r="AO90" s="322"/>
      <c r="AP90" s="321"/>
      <c r="AQ90" s="322"/>
      <c r="AR90" s="321"/>
      <c r="AS90" s="322"/>
      <c r="AT90" s="321"/>
      <c r="AU90" s="322"/>
      <c r="AV90" s="321"/>
      <c r="AW90" s="322"/>
      <c r="AX90" s="321"/>
      <c r="AY90" s="322"/>
      <c r="AZ90" s="321"/>
      <c r="BA90" s="322"/>
      <c r="BB90" s="321"/>
      <c r="BC90" s="322"/>
      <c r="BD90" s="321"/>
      <c r="BE90" s="322"/>
      <c r="BF90" s="321"/>
      <c r="BG90" s="322"/>
      <c r="BH90" s="321"/>
      <c r="BI90" s="322"/>
      <c r="BJ90" s="321"/>
      <c r="BK90" s="322"/>
      <c r="BL90" s="321"/>
      <c r="BM90" s="322"/>
      <c r="BN90" s="321"/>
      <c r="BO90" s="322"/>
      <c r="BP90" s="321"/>
      <c r="BQ90" s="322"/>
      <c r="BR90" s="321"/>
      <c r="BS90" s="322"/>
      <c r="BT90" s="321"/>
      <c r="BU90" s="322"/>
      <c r="BV90" s="264">
        <f t="shared" si="35"/>
        <v>0</v>
      </c>
      <c r="BW90" s="264">
        <f t="shared" si="36"/>
        <v>0</v>
      </c>
    </row>
    <row r="91" spans="1:75" s="62" customFormat="1" ht="21.95" customHeight="1" x14ac:dyDescent="0.25">
      <c r="A91" s="344" t="s">
        <v>3246</v>
      </c>
      <c r="B91" s="434" t="s">
        <v>3247</v>
      </c>
      <c r="C91" s="435">
        <v>1</v>
      </c>
      <c r="D91" s="436" t="s">
        <v>3248</v>
      </c>
      <c r="E91" s="345" t="s">
        <v>3249</v>
      </c>
      <c r="F91" s="437" t="s">
        <v>3165</v>
      </c>
      <c r="G91" s="437" t="s">
        <v>3166</v>
      </c>
      <c r="H91" s="438" t="s">
        <v>1318</v>
      </c>
      <c r="I91" s="303" t="s">
        <v>1318</v>
      </c>
      <c r="J91" s="273" t="s">
        <v>3167</v>
      </c>
      <c r="K91" s="274" t="s">
        <v>3168</v>
      </c>
      <c r="L91" s="321"/>
      <c r="M91" s="322"/>
      <c r="N91" s="321"/>
      <c r="O91" s="322"/>
      <c r="P91" s="321"/>
      <c r="Q91" s="322"/>
      <c r="R91" s="321"/>
      <c r="S91" s="322"/>
      <c r="T91" s="321"/>
      <c r="U91" s="322"/>
      <c r="V91" s="321"/>
      <c r="W91" s="322"/>
      <c r="X91" s="321"/>
      <c r="Y91" s="322"/>
      <c r="Z91" s="321"/>
      <c r="AA91" s="322"/>
      <c r="AB91" s="321"/>
      <c r="AC91" s="322"/>
      <c r="AD91" s="321"/>
      <c r="AE91" s="322"/>
      <c r="AF91" s="321"/>
      <c r="AG91" s="322"/>
      <c r="AH91" s="321"/>
      <c r="AI91" s="322"/>
      <c r="AJ91" s="321"/>
      <c r="AK91" s="322"/>
      <c r="AL91" s="321"/>
      <c r="AM91" s="322"/>
      <c r="AN91" s="321"/>
      <c r="AO91" s="322"/>
      <c r="AP91" s="321"/>
      <c r="AQ91" s="322"/>
      <c r="AR91" s="321"/>
      <c r="AS91" s="322"/>
      <c r="AT91" s="321"/>
      <c r="AU91" s="322"/>
      <c r="AV91" s="321"/>
      <c r="AW91" s="322"/>
      <c r="AX91" s="321"/>
      <c r="AY91" s="322"/>
      <c r="AZ91" s="321"/>
      <c r="BA91" s="322"/>
      <c r="BB91" s="321"/>
      <c r="BC91" s="322"/>
      <c r="BD91" s="321"/>
      <c r="BE91" s="322"/>
      <c r="BF91" s="321"/>
      <c r="BG91" s="322"/>
      <c r="BH91" s="321"/>
      <c r="BI91" s="322"/>
      <c r="BJ91" s="321"/>
      <c r="BK91" s="322"/>
      <c r="BL91" s="321"/>
      <c r="BM91" s="322"/>
      <c r="BN91" s="321"/>
      <c r="BO91" s="322"/>
      <c r="BP91" s="321"/>
      <c r="BQ91" s="322"/>
      <c r="BR91" s="321"/>
      <c r="BS91" s="322"/>
      <c r="BT91" s="321"/>
      <c r="BU91" s="322"/>
      <c r="BV91" s="264">
        <f>L91+N91+P91+R91+T91+V91+X91+Z91+AB91+AD91+AF91+AH91+AJ91+AL91+AN91+AP91+AR91+AT91+AV91+AX91+AZ91+BB91+BD91+BF91+BH91+BJ91+BL91+BN91+BP91+BR91+BT91</f>
        <v>0</v>
      </c>
      <c r="BW91" s="264">
        <f>M91+O91+Q91+S91+U91+W91+Y91+AA91+AC91+AE91+AG91+AI91+AK91+AM91+AO91+AQ91+AS91+AU91+AW91+AY91+BA91+BC91+BE91+BG91+BI91+BK91+BM91+BO91+BQ91+BS91+BU91</f>
        <v>0</v>
      </c>
    </row>
    <row r="92" spans="1:75" s="62" customFormat="1" ht="21.95" customHeight="1" x14ac:dyDescent="0.2">
      <c r="A92" s="304" t="s">
        <v>3246</v>
      </c>
      <c r="B92" s="305" t="s">
        <v>3247</v>
      </c>
      <c r="C92" s="272" t="s">
        <v>3175</v>
      </c>
      <c r="D92" s="306" t="s">
        <v>3248</v>
      </c>
      <c r="E92" s="307" t="s">
        <v>3249</v>
      </c>
      <c r="F92" s="308" t="s">
        <v>3165</v>
      </c>
      <c r="G92" s="308" t="s">
        <v>3166</v>
      </c>
      <c r="H92" s="309" t="s">
        <v>1318</v>
      </c>
      <c r="I92" s="310" t="s">
        <v>1318</v>
      </c>
      <c r="J92" s="273" t="s">
        <v>3167</v>
      </c>
      <c r="K92" s="273" t="s">
        <v>3169</v>
      </c>
      <c r="L92" s="319">
        <v>1</v>
      </c>
      <c r="M92" s="320"/>
      <c r="N92" s="319"/>
      <c r="O92" s="320"/>
      <c r="P92" s="319"/>
      <c r="Q92" s="320"/>
      <c r="R92" s="319"/>
      <c r="S92" s="320"/>
      <c r="T92" s="319"/>
      <c r="U92" s="320"/>
      <c r="V92" s="319"/>
      <c r="W92" s="320"/>
      <c r="X92" s="319"/>
      <c r="Y92" s="320"/>
      <c r="Z92" s="319">
        <v>2</v>
      </c>
      <c r="AA92" s="320"/>
      <c r="AB92" s="319"/>
      <c r="AC92" s="320"/>
      <c r="AD92" s="319">
        <v>3</v>
      </c>
      <c r="AE92" s="320"/>
      <c r="AF92" s="319"/>
      <c r="AG92" s="320"/>
      <c r="AH92" s="319"/>
      <c r="AI92" s="320"/>
      <c r="AJ92" s="319"/>
      <c r="AK92" s="320"/>
      <c r="AL92" s="319"/>
      <c r="AM92" s="320"/>
      <c r="AN92" s="319">
        <v>2</v>
      </c>
      <c r="AO92" s="320"/>
      <c r="AP92" s="319"/>
      <c r="AQ92" s="320"/>
      <c r="AR92" s="319">
        <v>3</v>
      </c>
      <c r="AS92" s="320"/>
      <c r="AT92" s="319"/>
      <c r="AU92" s="320"/>
      <c r="AV92" s="319"/>
      <c r="AW92" s="320"/>
      <c r="AX92" s="319"/>
      <c r="AY92" s="320"/>
      <c r="AZ92" s="319"/>
      <c r="BA92" s="320"/>
      <c r="BB92" s="319">
        <v>2</v>
      </c>
      <c r="BC92" s="320"/>
      <c r="BD92" s="319"/>
      <c r="BE92" s="320"/>
      <c r="BF92" s="319">
        <v>3</v>
      </c>
      <c r="BG92" s="320"/>
      <c r="BH92" s="319"/>
      <c r="BI92" s="320"/>
      <c r="BJ92" s="319"/>
      <c r="BK92" s="320"/>
      <c r="BL92" s="319"/>
      <c r="BM92" s="320"/>
      <c r="BN92" s="319"/>
      <c r="BO92" s="320"/>
      <c r="BP92" s="319">
        <v>2</v>
      </c>
      <c r="BQ92" s="320"/>
      <c r="BR92" s="319"/>
      <c r="BS92" s="320"/>
      <c r="BT92" s="319"/>
      <c r="BU92" s="320"/>
      <c r="BV92" s="264">
        <f t="shared" ref="BV92:BV95" si="37">L92+N92+P92+R92+T92+V92+X92+Z92+AB92+AD92+AF92+AH92+AJ92+AL92+AN92+AP92+AR92+AT92+AV92+AX92+AZ92+BB92+BD92+BF92+BH92+BJ92+BL92+BN92+BP92+BR92+BT92</f>
        <v>18</v>
      </c>
      <c r="BW92" s="264">
        <f t="shared" ref="BW92:BW95" si="38">M92+O92+Q92+S92+U92+W92+Y92+AA92+AC92+AE92+AG92+AI92+AK92+AM92+AO92+AQ92+AS92+AU92+AW92+AY92+BA92+BC92+BE92+BG92+BI92+BK92+BM92+BO92+BQ92+BS92+BU92</f>
        <v>0</v>
      </c>
    </row>
    <row r="93" spans="1:75" s="62" customFormat="1" ht="21.95" customHeight="1" x14ac:dyDescent="0.2">
      <c r="A93" s="304" t="s">
        <v>3246</v>
      </c>
      <c r="B93" s="305" t="s">
        <v>3247</v>
      </c>
      <c r="C93" s="311" t="s">
        <v>3175</v>
      </c>
      <c r="D93" s="306" t="s">
        <v>3248</v>
      </c>
      <c r="E93" s="307" t="s">
        <v>3249</v>
      </c>
      <c r="F93" s="308" t="s">
        <v>3165</v>
      </c>
      <c r="G93" s="308" t="s">
        <v>3166</v>
      </c>
      <c r="H93" s="309" t="s">
        <v>1318</v>
      </c>
      <c r="I93" s="310" t="s">
        <v>1318</v>
      </c>
      <c r="J93" s="273" t="s">
        <v>3167</v>
      </c>
      <c r="K93" s="275" t="s">
        <v>3170</v>
      </c>
      <c r="L93" s="319"/>
      <c r="M93" s="320"/>
      <c r="N93" s="319"/>
      <c r="O93" s="320"/>
      <c r="P93" s="319"/>
      <c r="Q93" s="320"/>
      <c r="R93" s="319"/>
      <c r="S93" s="320"/>
      <c r="T93" s="319"/>
      <c r="U93" s="320"/>
      <c r="V93" s="319"/>
      <c r="W93" s="320"/>
      <c r="X93" s="319"/>
      <c r="Y93" s="320"/>
      <c r="Z93" s="319"/>
      <c r="AA93" s="320"/>
      <c r="AB93" s="319"/>
      <c r="AC93" s="320"/>
      <c r="AD93" s="319"/>
      <c r="AE93" s="320"/>
      <c r="AF93" s="319"/>
      <c r="AG93" s="320"/>
      <c r="AH93" s="319"/>
      <c r="AI93" s="320"/>
      <c r="AJ93" s="319"/>
      <c r="AK93" s="320"/>
      <c r="AL93" s="319"/>
      <c r="AM93" s="320"/>
      <c r="AN93" s="319"/>
      <c r="AO93" s="320"/>
      <c r="AP93" s="319"/>
      <c r="AQ93" s="320"/>
      <c r="AR93" s="319"/>
      <c r="AS93" s="320"/>
      <c r="AT93" s="319"/>
      <c r="AU93" s="320"/>
      <c r="AV93" s="319"/>
      <c r="AW93" s="320"/>
      <c r="AX93" s="319"/>
      <c r="AY93" s="320"/>
      <c r="AZ93" s="319"/>
      <c r="BA93" s="320"/>
      <c r="BB93" s="319"/>
      <c r="BC93" s="320"/>
      <c r="BD93" s="319"/>
      <c r="BE93" s="320"/>
      <c r="BF93" s="319"/>
      <c r="BG93" s="320"/>
      <c r="BH93" s="319"/>
      <c r="BI93" s="320"/>
      <c r="BJ93" s="319"/>
      <c r="BK93" s="320"/>
      <c r="BL93" s="319"/>
      <c r="BM93" s="320"/>
      <c r="BN93" s="319"/>
      <c r="BO93" s="320"/>
      <c r="BP93" s="319"/>
      <c r="BQ93" s="320"/>
      <c r="BR93" s="319"/>
      <c r="BS93" s="320"/>
      <c r="BT93" s="319"/>
      <c r="BU93" s="320"/>
      <c r="BV93" s="264">
        <f t="shared" si="37"/>
        <v>0</v>
      </c>
      <c r="BW93" s="264">
        <f t="shared" si="38"/>
        <v>0</v>
      </c>
    </row>
    <row r="94" spans="1:75" s="62" customFormat="1" ht="21.95" customHeight="1" x14ac:dyDescent="0.2">
      <c r="A94" s="304" t="s">
        <v>3246</v>
      </c>
      <c r="B94" s="305" t="s">
        <v>3247</v>
      </c>
      <c r="C94" s="311" t="s">
        <v>3175</v>
      </c>
      <c r="D94" s="306" t="s">
        <v>3248</v>
      </c>
      <c r="E94" s="307" t="s">
        <v>3249</v>
      </c>
      <c r="F94" s="308" t="s">
        <v>3165</v>
      </c>
      <c r="G94" s="308" t="s">
        <v>3166</v>
      </c>
      <c r="H94" s="309" t="s">
        <v>1318</v>
      </c>
      <c r="I94" s="310" t="s">
        <v>1318</v>
      </c>
      <c r="J94" s="273" t="s">
        <v>3167</v>
      </c>
      <c r="K94" s="276" t="s">
        <v>3171</v>
      </c>
      <c r="L94" s="319"/>
      <c r="M94" s="320"/>
      <c r="N94" s="319"/>
      <c r="O94" s="320"/>
      <c r="P94" s="319"/>
      <c r="Q94" s="320"/>
      <c r="R94" s="319"/>
      <c r="S94" s="320"/>
      <c r="T94" s="319"/>
      <c r="U94" s="320"/>
      <c r="V94" s="319"/>
      <c r="W94" s="320"/>
      <c r="X94" s="319"/>
      <c r="Y94" s="320"/>
      <c r="Z94" s="319"/>
      <c r="AA94" s="320"/>
      <c r="AB94" s="319"/>
      <c r="AC94" s="320"/>
      <c r="AD94" s="319"/>
      <c r="AE94" s="320"/>
      <c r="AF94" s="319"/>
      <c r="AG94" s="320"/>
      <c r="AH94" s="319"/>
      <c r="AI94" s="320"/>
      <c r="AJ94" s="319"/>
      <c r="AK94" s="320"/>
      <c r="AL94" s="319"/>
      <c r="AM94" s="320"/>
      <c r="AN94" s="319"/>
      <c r="AO94" s="320"/>
      <c r="AP94" s="319"/>
      <c r="AQ94" s="320"/>
      <c r="AR94" s="319"/>
      <c r="AS94" s="320"/>
      <c r="AT94" s="319"/>
      <c r="AU94" s="320"/>
      <c r="AV94" s="319"/>
      <c r="AW94" s="320"/>
      <c r="AX94" s="319"/>
      <c r="AY94" s="320"/>
      <c r="AZ94" s="319"/>
      <c r="BA94" s="320"/>
      <c r="BB94" s="319"/>
      <c r="BC94" s="320"/>
      <c r="BD94" s="319"/>
      <c r="BE94" s="320"/>
      <c r="BF94" s="319"/>
      <c r="BG94" s="320"/>
      <c r="BH94" s="319"/>
      <c r="BI94" s="320"/>
      <c r="BJ94" s="319"/>
      <c r="BK94" s="320"/>
      <c r="BL94" s="319"/>
      <c r="BM94" s="320"/>
      <c r="BN94" s="319"/>
      <c r="BO94" s="320"/>
      <c r="BP94" s="319"/>
      <c r="BQ94" s="320"/>
      <c r="BR94" s="319"/>
      <c r="BS94" s="320"/>
      <c r="BT94" s="319"/>
      <c r="BU94" s="320"/>
      <c r="BV94" s="264">
        <f t="shared" si="37"/>
        <v>0</v>
      </c>
      <c r="BW94" s="264">
        <f t="shared" si="38"/>
        <v>0</v>
      </c>
    </row>
    <row r="95" spans="1:75" s="62" customFormat="1" ht="21.95" customHeight="1" thickBot="1" x14ac:dyDescent="0.25">
      <c r="A95" s="568" t="s">
        <v>3246</v>
      </c>
      <c r="B95" s="312" t="s">
        <v>3247</v>
      </c>
      <c r="C95" s="313" t="s">
        <v>3175</v>
      </c>
      <c r="D95" s="314" t="s">
        <v>3248</v>
      </c>
      <c r="E95" s="330" t="s">
        <v>3249</v>
      </c>
      <c r="F95" s="315" t="s">
        <v>3165</v>
      </c>
      <c r="G95" s="315" t="s">
        <v>3166</v>
      </c>
      <c r="H95" s="316" t="s">
        <v>1318</v>
      </c>
      <c r="I95" s="569" t="s">
        <v>1318</v>
      </c>
      <c r="J95" s="273" t="s">
        <v>3167</v>
      </c>
      <c r="K95" s="277" t="s">
        <v>53</v>
      </c>
      <c r="L95" s="321"/>
      <c r="M95" s="322"/>
      <c r="N95" s="321"/>
      <c r="O95" s="322"/>
      <c r="P95" s="321"/>
      <c r="Q95" s="322"/>
      <c r="R95" s="321"/>
      <c r="S95" s="322"/>
      <c r="T95" s="321"/>
      <c r="U95" s="322"/>
      <c r="V95" s="321"/>
      <c r="W95" s="322"/>
      <c r="X95" s="321"/>
      <c r="Y95" s="322"/>
      <c r="Z95" s="321"/>
      <c r="AA95" s="322"/>
      <c r="AB95" s="321"/>
      <c r="AC95" s="322"/>
      <c r="AD95" s="321"/>
      <c r="AE95" s="322"/>
      <c r="AF95" s="321"/>
      <c r="AG95" s="322"/>
      <c r="AH95" s="321"/>
      <c r="AI95" s="322"/>
      <c r="AJ95" s="321"/>
      <c r="AK95" s="322"/>
      <c r="AL95" s="321"/>
      <c r="AM95" s="322"/>
      <c r="AN95" s="321"/>
      <c r="AO95" s="322"/>
      <c r="AP95" s="321"/>
      <c r="AQ95" s="322"/>
      <c r="AR95" s="321"/>
      <c r="AS95" s="322"/>
      <c r="AT95" s="321"/>
      <c r="AU95" s="322"/>
      <c r="AV95" s="321"/>
      <c r="AW95" s="322"/>
      <c r="AX95" s="321"/>
      <c r="AY95" s="322"/>
      <c r="AZ95" s="321"/>
      <c r="BA95" s="322"/>
      <c r="BB95" s="321"/>
      <c r="BC95" s="322"/>
      <c r="BD95" s="321"/>
      <c r="BE95" s="322"/>
      <c r="BF95" s="321"/>
      <c r="BG95" s="322"/>
      <c r="BH95" s="321"/>
      <c r="BI95" s="322"/>
      <c r="BJ95" s="321"/>
      <c r="BK95" s="322"/>
      <c r="BL95" s="321"/>
      <c r="BM95" s="322"/>
      <c r="BN95" s="321"/>
      <c r="BO95" s="322"/>
      <c r="BP95" s="321"/>
      <c r="BQ95" s="322"/>
      <c r="BR95" s="321"/>
      <c r="BS95" s="322"/>
      <c r="BT95" s="321"/>
      <c r="BU95" s="322"/>
      <c r="BV95" s="264">
        <f t="shared" si="37"/>
        <v>0</v>
      </c>
      <c r="BW95" s="264">
        <f t="shared" si="38"/>
        <v>0</v>
      </c>
    </row>
    <row r="96" spans="1:75" s="62" customFormat="1" ht="21.95" customHeight="1" x14ac:dyDescent="0.25">
      <c r="A96" s="344" t="s">
        <v>3250</v>
      </c>
      <c r="B96" s="434" t="s">
        <v>3251</v>
      </c>
      <c r="C96" s="435">
        <v>1</v>
      </c>
      <c r="D96" s="436" t="s">
        <v>3252</v>
      </c>
      <c r="E96" s="345" t="s">
        <v>3253</v>
      </c>
      <c r="F96" s="437" t="s">
        <v>3165</v>
      </c>
      <c r="G96" s="437" t="s">
        <v>3166</v>
      </c>
      <c r="H96" s="438" t="s">
        <v>1327</v>
      </c>
      <c r="I96" s="303" t="s">
        <v>1327</v>
      </c>
      <c r="J96" s="273" t="s">
        <v>3167</v>
      </c>
      <c r="K96" s="274" t="s">
        <v>3168</v>
      </c>
      <c r="L96" s="321"/>
      <c r="M96" s="322"/>
      <c r="N96" s="321"/>
      <c r="O96" s="322"/>
      <c r="P96" s="321"/>
      <c r="Q96" s="322"/>
      <c r="R96" s="321"/>
      <c r="S96" s="322"/>
      <c r="T96" s="321"/>
      <c r="U96" s="322"/>
      <c r="V96" s="321"/>
      <c r="W96" s="322"/>
      <c r="X96" s="321"/>
      <c r="Y96" s="322"/>
      <c r="Z96" s="321"/>
      <c r="AA96" s="322"/>
      <c r="AB96" s="321"/>
      <c r="AC96" s="322"/>
      <c r="AD96" s="321"/>
      <c r="AE96" s="322"/>
      <c r="AF96" s="321"/>
      <c r="AG96" s="322"/>
      <c r="AH96" s="321"/>
      <c r="AI96" s="322"/>
      <c r="AJ96" s="321"/>
      <c r="AK96" s="322"/>
      <c r="AL96" s="321"/>
      <c r="AM96" s="322"/>
      <c r="AN96" s="321"/>
      <c r="AO96" s="322"/>
      <c r="AP96" s="321"/>
      <c r="AQ96" s="322"/>
      <c r="AR96" s="321"/>
      <c r="AS96" s="322"/>
      <c r="AT96" s="321"/>
      <c r="AU96" s="322"/>
      <c r="AV96" s="321"/>
      <c r="AW96" s="322"/>
      <c r="AX96" s="321"/>
      <c r="AY96" s="322"/>
      <c r="AZ96" s="321"/>
      <c r="BA96" s="322"/>
      <c r="BB96" s="321"/>
      <c r="BC96" s="322"/>
      <c r="BD96" s="321"/>
      <c r="BE96" s="322"/>
      <c r="BF96" s="321"/>
      <c r="BG96" s="322"/>
      <c r="BH96" s="321"/>
      <c r="BI96" s="322"/>
      <c r="BJ96" s="321"/>
      <c r="BK96" s="322"/>
      <c r="BL96" s="321"/>
      <c r="BM96" s="322"/>
      <c r="BN96" s="321"/>
      <c r="BO96" s="322"/>
      <c r="BP96" s="321"/>
      <c r="BQ96" s="322"/>
      <c r="BR96" s="321"/>
      <c r="BS96" s="322"/>
      <c r="BT96" s="321"/>
      <c r="BU96" s="322"/>
      <c r="BV96" s="264">
        <f>L96+N96+P96+R96+T96+V96+X96+Z96+AB96+AD96+AF96+AH96+AJ96+AL96+AN96+AP96+AR96+AT96+AV96+AX96+AZ96+BB96+BD96+BF96+BH96+BJ96+BL96+BN96+BP96+BR96+BT96</f>
        <v>0</v>
      </c>
      <c r="BW96" s="264">
        <f>M96+O96+Q96+S96+U96+W96+Y96+AA96+AC96+AE96+AG96+AI96+AK96+AM96+AO96+AQ96+AS96+AU96+AW96+AY96+BA96+BC96+BE96+BG96+BI96+BK96+BM96+BO96+BQ96+BS96+BU96</f>
        <v>0</v>
      </c>
    </row>
    <row r="97" spans="1:75" s="62" customFormat="1" ht="21.95" customHeight="1" x14ac:dyDescent="0.2">
      <c r="A97" s="304" t="s">
        <v>3250</v>
      </c>
      <c r="B97" s="305" t="s">
        <v>3251</v>
      </c>
      <c r="C97" s="272" t="s">
        <v>3175</v>
      </c>
      <c r="D97" s="306" t="s">
        <v>3252</v>
      </c>
      <c r="E97" s="307" t="s">
        <v>3253</v>
      </c>
      <c r="F97" s="308" t="s">
        <v>3165</v>
      </c>
      <c r="G97" s="308" t="s">
        <v>3166</v>
      </c>
      <c r="H97" s="309" t="s">
        <v>1327</v>
      </c>
      <c r="I97" s="310" t="s">
        <v>1327</v>
      </c>
      <c r="J97" s="273" t="s">
        <v>3167</v>
      </c>
      <c r="K97" s="273" t="s">
        <v>3169</v>
      </c>
      <c r="L97" s="319"/>
      <c r="M97" s="320"/>
      <c r="N97" s="319"/>
      <c r="O97" s="320"/>
      <c r="P97" s="319"/>
      <c r="Q97" s="320"/>
      <c r="R97" s="319"/>
      <c r="S97" s="320"/>
      <c r="T97" s="319"/>
      <c r="U97" s="320"/>
      <c r="V97" s="319"/>
      <c r="W97" s="320"/>
      <c r="X97" s="319"/>
      <c r="Y97" s="320"/>
      <c r="Z97" s="319"/>
      <c r="AA97" s="320"/>
      <c r="AB97" s="319"/>
      <c r="AC97" s="320"/>
      <c r="AD97" s="319"/>
      <c r="AE97" s="320"/>
      <c r="AF97" s="319"/>
      <c r="AG97" s="320"/>
      <c r="AH97" s="319"/>
      <c r="AI97" s="320"/>
      <c r="AJ97" s="319"/>
      <c r="AK97" s="320"/>
      <c r="AL97" s="319"/>
      <c r="AM97" s="320"/>
      <c r="AN97" s="319"/>
      <c r="AO97" s="320"/>
      <c r="AP97" s="319"/>
      <c r="AQ97" s="320"/>
      <c r="AR97" s="319"/>
      <c r="AS97" s="320"/>
      <c r="AT97" s="319"/>
      <c r="AU97" s="320"/>
      <c r="AV97" s="319"/>
      <c r="AW97" s="320"/>
      <c r="AX97" s="319"/>
      <c r="AY97" s="320"/>
      <c r="AZ97" s="319"/>
      <c r="BA97" s="320"/>
      <c r="BB97" s="319"/>
      <c r="BC97" s="320"/>
      <c r="BD97" s="319"/>
      <c r="BE97" s="320"/>
      <c r="BF97" s="319"/>
      <c r="BG97" s="320"/>
      <c r="BH97" s="319"/>
      <c r="BI97" s="320"/>
      <c r="BJ97" s="319"/>
      <c r="BK97" s="320"/>
      <c r="BL97" s="319"/>
      <c r="BM97" s="320"/>
      <c r="BN97" s="319"/>
      <c r="BO97" s="320"/>
      <c r="BP97" s="319"/>
      <c r="BQ97" s="320"/>
      <c r="BR97" s="319"/>
      <c r="BS97" s="320"/>
      <c r="BT97" s="319"/>
      <c r="BU97" s="320"/>
      <c r="BV97" s="264">
        <f t="shared" ref="BV97:BV100" si="39">L97+N97+P97+R97+T97+V97+X97+Z97+AB97+AD97+AF97+AH97+AJ97+AL97+AN97+AP97+AR97+AT97+AV97+AX97+AZ97+BB97+BD97+BF97+BH97+BJ97+BL97+BN97+BP97+BR97+BT97</f>
        <v>0</v>
      </c>
      <c r="BW97" s="264">
        <f t="shared" ref="BW97:BW100" si="40">M97+O97+Q97+S97+U97+W97+Y97+AA97+AC97+AE97+AG97+AI97+AK97+AM97+AO97+AQ97+AS97+AU97+AW97+AY97+BA97+BC97+BE97+BG97+BI97+BK97+BM97+BO97+BQ97+BS97+BU97</f>
        <v>0</v>
      </c>
    </row>
    <row r="98" spans="1:75" s="62" customFormat="1" ht="21.95" customHeight="1" x14ac:dyDescent="0.2">
      <c r="A98" s="304" t="s">
        <v>3250</v>
      </c>
      <c r="B98" s="305" t="s">
        <v>3251</v>
      </c>
      <c r="C98" s="311" t="s">
        <v>3175</v>
      </c>
      <c r="D98" s="306" t="s">
        <v>3252</v>
      </c>
      <c r="E98" s="307" t="s">
        <v>3253</v>
      </c>
      <c r="F98" s="308" t="s">
        <v>3165</v>
      </c>
      <c r="G98" s="308" t="s">
        <v>3166</v>
      </c>
      <c r="H98" s="309" t="s">
        <v>1327</v>
      </c>
      <c r="I98" s="310" t="s">
        <v>1327</v>
      </c>
      <c r="J98" s="273" t="s">
        <v>3167</v>
      </c>
      <c r="K98" s="275" t="s">
        <v>3170</v>
      </c>
      <c r="L98" s="319"/>
      <c r="M98" s="320"/>
      <c r="N98" s="319"/>
      <c r="O98" s="320"/>
      <c r="P98" s="319"/>
      <c r="Q98" s="320"/>
      <c r="R98" s="319"/>
      <c r="S98" s="320"/>
      <c r="T98" s="319"/>
      <c r="U98" s="320"/>
      <c r="V98" s="319"/>
      <c r="W98" s="320"/>
      <c r="X98" s="319"/>
      <c r="Y98" s="320"/>
      <c r="Z98" s="319"/>
      <c r="AA98" s="320"/>
      <c r="AB98" s="319"/>
      <c r="AC98" s="320"/>
      <c r="AD98" s="319"/>
      <c r="AE98" s="320"/>
      <c r="AF98" s="319"/>
      <c r="AG98" s="320"/>
      <c r="AH98" s="319"/>
      <c r="AI98" s="320"/>
      <c r="AJ98" s="319"/>
      <c r="AK98" s="320"/>
      <c r="AL98" s="319"/>
      <c r="AM98" s="320"/>
      <c r="AN98" s="319"/>
      <c r="AO98" s="320"/>
      <c r="AP98" s="319"/>
      <c r="AQ98" s="320"/>
      <c r="AR98" s="319"/>
      <c r="AS98" s="320"/>
      <c r="AT98" s="319"/>
      <c r="AU98" s="320"/>
      <c r="AV98" s="319"/>
      <c r="AW98" s="320"/>
      <c r="AX98" s="319"/>
      <c r="AY98" s="320"/>
      <c r="AZ98" s="319"/>
      <c r="BA98" s="320"/>
      <c r="BB98" s="319"/>
      <c r="BC98" s="320"/>
      <c r="BD98" s="319"/>
      <c r="BE98" s="320"/>
      <c r="BF98" s="319"/>
      <c r="BG98" s="320"/>
      <c r="BH98" s="319"/>
      <c r="BI98" s="320"/>
      <c r="BJ98" s="319"/>
      <c r="BK98" s="320"/>
      <c r="BL98" s="319"/>
      <c r="BM98" s="320"/>
      <c r="BN98" s="319"/>
      <c r="BO98" s="320"/>
      <c r="BP98" s="319"/>
      <c r="BQ98" s="320"/>
      <c r="BR98" s="319"/>
      <c r="BS98" s="320"/>
      <c r="BT98" s="319"/>
      <c r="BU98" s="320"/>
      <c r="BV98" s="264">
        <f t="shared" si="39"/>
        <v>0</v>
      </c>
      <c r="BW98" s="264">
        <f t="shared" si="40"/>
        <v>0</v>
      </c>
    </row>
    <row r="99" spans="1:75" s="62" customFormat="1" ht="21.95" customHeight="1" x14ac:dyDescent="0.2">
      <c r="A99" s="304" t="s">
        <v>3250</v>
      </c>
      <c r="B99" s="305" t="s">
        <v>3251</v>
      </c>
      <c r="C99" s="311" t="s">
        <v>3175</v>
      </c>
      <c r="D99" s="306" t="s">
        <v>3252</v>
      </c>
      <c r="E99" s="307" t="s">
        <v>3253</v>
      </c>
      <c r="F99" s="308" t="s">
        <v>3165</v>
      </c>
      <c r="G99" s="308" t="s">
        <v>3166</v>
      </c>
      <c r="H99" s="309" t="s">
        <v>1327</v>
      </c>
      <c r="I99" s="310" t="s">
        <v>1327</v>
      </c>
      <c r="J99" s="273" t="s">
        <v>3167</v>
      </c>
      <c r="K99" s="276" t="s">
        <v>3171</v>
      </c>
      <c r="L99" s="319"/>
      <c r="M99" s="320"/>
      <c r="N99" s="319"/>
      <c r="O99" s="320"/>
      <c r="P99" s="319"/>
      <c r="Q99" s="320"/>
      <c r="R99" s="319"/>
      <c r="S99" s="320"/>
      <c r="T99" s="319"/>
      <c r="U99" s="320"/>
      <c r="V99" s="319"/>
      <c r="W99" s="320"/>
      <c r="X99" s="319"/>
      <c r="Y99" s="320"/>
      <c r="Z99" s="319"/>
      <c r="AA99" s="320"/>
      <c r="AB99" s="319"/>
      <c r="AC99" s="320"/>
      <c r="AD99" s="319"/>
      <c r="AE99" s="320"/>
      <c r="AF99" s="319"/>
      <c r="AG99" s="320"/>
      <c r="AH99" s="319"/>
      <c r="AI99" s="320"/>
      <c r="AJ99" s="319"/>
      <c r="AK99" s="320"/>
      <c r="AL99" s="319"/>
      <c r="AM99" s="320"/>
      <c r="AN99" s="319"/>
      <c r="AO99" s="320"/>
      <c r="AP99" s="319"/>
      <c r="AQ99" s="320"/>
      <c r="AR99" s="319"/>
      <c r="AS99" s="320"/>
      <c r="AT99" s="319"/>
      <c r="AU99" s="320"/>
      <c r="AV99" s="319"/>
      <c r="AW99" s="320"/>
      <c r="AX99" s="319"/>
      <c r="AY99" s="320"/>
      <c r="AZ99" s="319"/>
      <c r="BA99" s="320"/>
      <c r="BB99" s="319"/>
      <c r="BC99" s="320"/>
      <c r="BD99" s="319"/>
      <c r="BE99" s="320"/>
      <c r="BF99" s="319"/>
      <c r="BG99" s="320"/>
      <c r="BH99" s="319"/>
      <c r="BI99" s="320"/>
      <c r="BJ99" s="319"/>
      <c r="BK99" s="320"/>
      <c r="BL99" s="319"/>
      <c r="BM99" s="320"/>
      <c r="BN99" s="319"/>
      <c r="BO99" s="320"/>
      <c r="BP99" s="319"/>
      <c r="BQ99" s="320"/>
      <c r="BR99" s="319"/>
      <c r="BS99" s="320"/>
      <c r="BT99" s="319"/>
      <c r="BU99" s="320"/>
      <c r="BV99" s="264">
        <f t="shared" si="39"/>
        <v>0</v>
      </c>
      <c r="BW99" s="264">
        <f t="shared" si="40"/>
        <v>0</v>
      </c>
    </row>
    <row r="100" spans="1:75" s="62" customFormat="1" ht="21.95" customHeight="1" thickBot="1" x14ac:dyDescent="0.25">
      <c r="A100" s="568" t="s">
        <v>3250</v>
      </c>
      <c r="B100" s="312" t="s">
        <v>3251</v>
      </c>
      <c r="C100" s="313" t="s">
        <v>3175</v>
      </c>
      <c r="D100" s="314" t="s">
        <v>3252</v>
      </c>
      <c r="E100" s="330" t="s">
        <v>3253</v>
      </c>
      <c r="F100" s="315" t="s">
        <v>3165</v>
      </c>
      <c r="G100" s="315" t="s">
        <v>3166</v>
      </c>
      <c r="H100" s="316" t="s">
        <v>1327</v>
      </c>
      <c r="I100" s="569" t="s">
        <v>1327</v>
      </c>
      <c r="J100" s="273" t="s">
        <v>3167</v>
      </c>
      <c r="K100" s="277" t="s">
        <v>53</v>
      </c>
      <c r="L100" s="321"/>
      <c r="M100" s="322"/>
      <c r="N100" s="321"/>
      <c r="O100" s="322"/>
      <c r="P100" s="321"/>
      <c r="Q100" s="322"/>
      <c r="R100" s="321"/>
      <c r="S100" s="322"/>
      <c r="T100" s="321"/>
      <c r="U100" s="322"/>
      <c r="V100" s="321"/>
      <c r="W100" s="322"/>
      <c r="X100" s="321"/>
      <c r="Y100" s="322"/>
      <c r="Z100" s="321"/>
      <c r="AA100" s="322"/>
      <c r="AB100" s="321"/>
      <c r="AC100" s="322"/>
      <c r="AD100" s="321"/>
      <c r="AE100" s="322"/>
      <c r="AF100" s="321"/>
      <c r="AG100" s="322"/>
      <c r="AH100" s="321"/>
      <c r="AI100" s="322"/>
      <c r="AJ100" s="321"/>
      <c r="AK100" s="322"/>
      <c r="AL100" s="321"/>
      <c r="AM100" s="322"/>
      <c r="AN100" s="321"/>
      <c r="AO100" s="322"/>
      <c r="AP100" s="321"/>
      <c r="AQ100" s="322"/>
      <c r="AR100" s="321"/>
      <c r="AS100" s="322"/>
      <c r="AT100" s="321"/>
      <c r="AU100" s="322"/>
      <c r="AV100" s="321"/>
      <c r="AW100" s="322"/>
      <c r="AX100" s="321"/>
      <c r="AY100" s="322"/>
      <c r="AZ100" s="321"/>
      <c r="BA100" s="322"/>
      <c r="BB100" s="321"/>
      <c r="BC100" s="322"/>
      <c r="BD100" s="321"/>
      <c r="BE100" s="322"/>
      <c r="BF100" s="321"/>
      <c r="BG100" s="322"/>
      <c r="BH100" s="321"/>
      <c r="BI100" s="322"/>
      <c r="BJ100" s="321"/>
      <c r="BK100" s="322"/>
      <c r="BL100" s="321"/>
      <c r="BM100" s="322"/>
      <c r="BN100" s="321"/>
      <c r="BO100" s="322"/>
      <c r="BP100" s="321"/>
      <c r="BQ100" s="322"/>
      <c r="BR100" s="321"/>
      <c r="BS100" s="322"/>
      <c r="BT100" s="321"/>
      <c r="BU100" s="322"/>
      <c r="BV100" s="264">
        <f t="shared" si="39"/>
        <v>0</v>
      </c>
      <c r="BW100" s="264">
        <f t="shared" si="40"/>
        <v>0</v>
      </c>
    </row>
    <row r="101" spans="1:75" s="62" customFormat="1" ht="21.95" customHeight="1" x14ac:dyDescent="0.25">
      <c r="A101" s="344" t="s">
        <v>3254</v>
      </c>
      <c r="B101" s="434" t="s">
        <v>3255</v>
      </c>
      <c r="C101" s="435">
        <v>3</v>
      </c>
      <c r="D101" s="436" t="s">
        <v>3256</v>
      </c>
      <c r="E101" s="345" t="s">
        <v>3257</v>
      </c>
      <c r="F101" s="437" t="s">
        <v>3165</v>
      </c>
      <c r="G101" s="437" t="s">
        <v>3166</v>
      </c>
      <c r="H101" s="438" t="s">
        <v>1328</v>
      </c>
      <c r="I101" s="303" t="s">
        <v>1328</v>
      </c>
      <c r="J101" s="273" t="s">
        <v>3172</v>
      </c>
      <c r="K101" s="274" t="s">
        <v>3168</v>
      </c>
      <c r="L101" s="321"/>
      <c r="M101" s="322"/>
      <c r="N101" s="321"/>
      <c r="O101" s="322"/>
      <c r="P101" s="321"/>
      <c r="Q101" s="322"/>
      <c r="R101" s="321"/>
      <c r="S101" s="322"/>
      <c r="T101" s="321"/>
      <c r="U101" s="322"/>
      <c r="V101" s="321"/>
      <c r="W101" s="322"/>
      <c r="X101" s="321"/>
      <c r="Y101" s="322"/>
      <c r="Z101" s="321"/>
      <c r="AA101" s="322"/>
      <c r="AB101" s="321"/>
      <c r="AC101" s="322"/>
      <c r="AD101" s="321"/>
      <c r="AE101" s="322"/>
      <c r="AF101" s="321"/>
      <c r="AG101" s="322"/>
      <c r="AH101" s="321"/>
      <c r="AI101" s="322"/>
      <c r="AJ101" s="321"/>
      <c r="AK101" s="322"/>
      <c r="AL101" s="321"/>
      <c r="AM101" s="322"/>
      <c r="AN101" s="321"/>
      <c r="AO101" s="322"/>
      <c r="AP101" s="321"/>
      <c r="AQ101" s="322"/>
      <c r="AR101" s="321"/>
      <c r="AS101" s="322"/>
      <c r="AT101" s="321"/>
      <c r="AU101" s="322"/>
      <c r="AV101" s="321"/>
      <c r="AW101" s="322"/>
      <c r="AX101" s="321"/>
      <c r="AY101" s="322"/>
      <c r="AZ101" s="321"/>
      <c r="BA101" s="322"/>
      <c r="BB101" s="321"/>
      <c r="BC101" s="322"/>
      <c r="BD101" s="321"/>
      <c r="BE101" s="322"/>
      <c r="BF101" s="321"/>
      <c r="BG101" s="322"/>
      <c r="BH101" s="321"/>
      <c r="BI101" s="322"/>
      <c r="BJ101" s="321"/>
      <c r="BK101" s="322"/>
      <c r="BL101" s="321"/>
      <c r="BM101" s="322"/>
      <c r="BN101" s="321"/>
      <c r="BO101" s="322"/>
      <c r="BP101" s="321"/>
      <c r="BQ101" s="322"/>
      <c r="BR101" s="321"/>
      <c r="BS101" s="322"/>
      <c r="BT101" s="321"/>
      <c r="BU101" s="322"/>
      <c r="BV101" s="264">
        <f>L101+N101+P101+R101+T101+V101+X101+Z101+AB101+AD101+AF101+AH101+AJ101+AL101+AN101+AP101+AR101+AT101+AV101+AX101+AZ101+BB101+BD101+BF101+BH101+BJ101+BL101+BN101+BP101+BR101+BT101</f>
        <v>0</v>
      </c>
      <c r="BW101" s="264">
        <f>M101+O101+Q101+S101+U101+W101+Y101+AA101+AC101+AE101+AG101+AI101+AK101+AM101+AO101+AQ101+AS101+AU101+AW101+AY101+BA101+BC101+BE101+BG101+BI101+BK101+BM101+BO101+BQ101+BS101+BU101</f>
        <v>0</v>
      </c>
    </row>
    <row r="102" spans="1:75" s="62" customFormat="1" ht="21.95" customHeight="1" x14ac:dyDescent="0.2">
      <c r="A102" s="304" t="s">
        <v>3254</v>
      </c>
      <c r="B102" s="305" t="s">
        <v>3255</v>
      </c>
      <c r="C102" s="272" t="s">
        <v>3177</v>
      </c>
      <c r="D102" s="306" t="s">
        <v>3256</v>
      </c>
      <c r="E102" s="307" t="s">
        <v>3257</v>
      </c>
      <c r="F102" s="308" t="s">
        <v>3165</v>
      </c>
      <c r="G102" s="308" t="s">
        <v>3166</v>
      </c>
      <c r="H102" s="309" t="s">
        <v>1328</v>
      </c>
      <c r="I102" s="310" t="s">
        <v>1328</v>
      </c>
      <c r="J102" s="273" t="s">
        <v>3172</v>
      </c>
      <c r="K102" s="273" t="s">
        <v>3169</v>
      </c>
      <c r="L102" s="319"/>
      <c r="M102" s="320"/>
      <c r="N102" s="319"/>
      <c r="O102" s="320"/>
      <c r="P102" s="319"/>
      <c r="Q102" s="320"/>
      <c r="R102" s="319"/>
      <c r="S102" s="320"/>
      <c r="T102" s="319"/>
      <c r="U102" s="320"/>
      <c r="V102" s="319"/>
      <c r="W102" s="320"/>
      <c r="X102" s="319"/>
      <c r="Y102" s="320"/>
      <c r="Z102" s="319"/>
      <c r="AA102" s="320"/>
      <c r="AB102" s="319"/>
      <c r="AC102" s="320"/>
      <c r="AD102" s="319"/>
      <c r="AE102" s="320"/>
      <c r="AF102" s="319"/>
      <c r="AG102" s="320"/>
      <c r="AH102" s="319"/>
      <c r="AI102" s="320"/>
      <c r="AJ102" s="319"/>
      <c r="AK102" s="320"/>
      <c r="AL102" s="319"/>
      <c r="AM102" s="320"/>
      <c r="AN102" s="319"/>
      <c r="AO102" s="320"/>
      <c r="AP102" s="319"/>
      <c r="AQ102" s="320"/>
      <c r="AR102" s="319"/>
      <c r="AS102" s="320"/>
      <c r="AT102" s="319"/>
      <c r="AU102" s="320"/>
      <c r="AV102" s="319"/>
      <c r="AW102" s="320"/>
      <c r="AX102" s="319"/>
      <c r="AY102" s="320"/>
      <c r="AZ102" s="319"/>
      <c r="BA102" s="320"/>
      <c r="BB102" s="319"/>
      <c r="BC102" s="320"/>
      <c r="BD102" s="319"/>
      <c r="BE102" s="320"/>
      <c r="BF102" s="319"/>
      <c r="BG102" s="320"/>
      <c r="BH102" s="319"/>
      <c r="BI102" s="320"/>
      <c r="BJ102" s="319"/>
      <c r="BK102" s="320"/>
      <c r="BL102" s="319"/>
      <c r="BM102" s="320"/>
      <c r="BN102" s="319"/>
      <c r="BO102" s="320"/>
      <c r="BP102" s="319"/>
      <c r="BQ102" s="320"/>
      <c r="BR102" s="319"/>
      <c r="BS102" s="320"/>
      <c r="BT102" s="319"/>
      <c r="BU102" s="320"/>
      <c r="BV102" s="264">
        <f t="shared" ref="BV102:BV105" si="41">L102+N102+P102+R102+T102+V102+X102+Z102+AB102+AD102+AF102+AH102+AJ102+AL102+AN102+AP102+AR102+AT102+AV102+AX102+AZ102+BB102+BD102+BF102+BH102+BJ102+BL102+BN102+BP102+BR102+BT102</f>
        <v>0</v>
      </c>
      <c r="BW102" s="264">
        <f t="shared" ref="BW102:BW105" si="42">M102+O102+Q102+S102+U102+W102+Y102+AA102+AC102+AE102+AG102+AI102+AK102+AM102+AO102+AQ102+AS102+AU102+AW102+AY102+BA102+BC102+BE102+BG102+BI102+BK102+BM102+BO102+BQ102+BS102+BU102</f>
        <v>0</v>
      </c>
    </row>
    <row r="103" spans="1:75" s="62" customFormat="1" ht="21.95" customHeight="1" x14ac:dyDescent="0.2">
      <c r="A103" s="304" t="s">
        <v>3254</v>
      </c>
      <c r="B103" s="305" t="s">
        <v>3255</v>
      </c>
      <c r="C103" s="311" t="s">
        <v>3177</v>
      </c>
      <c r="D103" s="306" t="s">
        <v>3256</v>
      </c>
      <c r="E103" s="307" t="s">
        <v>3257</v>
      </c>
      <c r="F103" s="308" t="s">
        <v>3165</v>
      </c>
      <c r="G103" s="308" t="s">
        <v>3166</v>
      </c>
      <c r="H103" s="309" t="s">
        <v>1328</v>
      </c>
      <c r="I103" s="310" t="s">
        <v>1328</v>
      </c>
      <c r="J103" s="273" t="s">
        <v>3172</v>
      </c>
      <c r="K103" s="275" t="s">
        <v>3170</v>
      </c>
      <c r="L103" s="319"/>
      <c r="M103" s="320"/>
      <c r="N103" s="319"/>
      <c r="O103" s="320"/>
      <c r="P103" s="319"/>
      <c r="Q103" s="320"/>
      <c r="R103" s="319"/>
      <c r="S103" s="320"/>
      <c r="T103" s="319"/>
      <c r="U103" s="320"/>
      <c r="V103" s="319"/>
      <c r="W103" s="320"/>
      <c r="X103" s="319"/>
      <c r="Y103" s="320"/>
      <c r="Z103" s="319"/>
      <c r="AA103" s="320"/>
      <c r="AB103" s="319"/>
      <c r="AC103" s="320"/>
      <c r="AD103" s="319"/>
      <c r="AE103" s="320"/>
      <c r="AF103" s="319"/>
      <c r="AG103" s="320"/>
      <c r="AH103" s="319"/>
      <c r="AI103" s="320"/>
      <c r="AJ103" s="319"/>
      <c r="AK103" s="320"/>
      <c r="AL103" s="319"/>
      <c r="AM103" s="320"/>
      <c r="AN103" s="319"/>
      <c r="AO103" s="320"/>
      <c r="AP103" s="319"/>
      <c r="AQ103" s="320"/>
      <c r="AR103" s="319"/>
      <c r="AS103" s="320"/>
      <c r="AT103" s="319"/>
      <c r="AU103" s="320"/>
      <c r="AV103" s="319"/>
      <c r="AW103" s="320"/>
      <c r="AX103" s="319"/>
      <c r="AY103" s="320"/>
      <c r="AZ103" s="319"/>
      <c r="BA103" s="320"/>
      <c r="BB103" s="319"/>
      <c r="BC103" s="320"/>
      <c r="BD103" s="319"/>
      <c r="BE103" s="320"/>
      <c r="BF103" s="319"/>
      <c r="BG103" s="320"/>
      <c r="BH103" s="319"/>
      <c r="BI103" s="320"/>
      <c r="BJ103" s="319"/>
      <c r="BK103" s="320"/>
      <c r="BL103" s="319"/>
      <c r="BM103" s="320"/>
      <c r="BN103" s="319"/>
      <c r="BO103" s="320"/>
      <c r="BP103" s="319"/>
      <c r="BQ103" s="320"/>
      <c r="BR103" s="319"/>
      <c r="BS103" s="320"/>
      <c r="BT103" s="319"/>
      <c r="BU103" s="320"/>
      <c r="BV103" s="264">
        <f t="shared" si="41"/>
        <v>0</v>
      </c>
      <c r="BW103" s="264">
        <f t="shared" si="42"/>
        <v>0</v>
      </c>
    </row>
    <row r="104" spans="1:75" s="62" customFormat="1" ht="21.95" customHeight="1" x14ac:dyDescent="0.2">
      <c r="A104" s="304" t="s">
        <v>3254</v>
      </c>
      <c r="B104" s="305" t="s">
        <v>3255</v>
      </c>
      <c r="C104" s="311" t="s">
        <v>3177</v>
      </c>
      <c r="D104" s="306" t="s">
        <v>3256</v>
      </c>
      <c r="E104" s="307" t="s">
        <v>3257</v>
      </c>
      <c r="F104" s="308" t="s">
        <v>3165</v>
      </c>
      <c r="G104" s="308" t="s">
        <v>3166</v>
      </c>
      <c r="H104" s="309" t="s">
        <v>1328</v>
      </c>
      <c r="I104" s="310" t="s">
        <v>1328</v>
      </c>
      <c r="J104" s="273" t="s">
        <v>3172</v>
      </c>
      <c r="K104" s="276" t="s">
        <v>3171</v>
      </c>
      <c r="L104" s="319"/>
      <c r="M104" s="320"/>
      <c r="N104" s="319"/>
      <c r="O104" s="320"/>
      <c r="P104" s="319"/>
      <c r="Q104" s="320"/>
      <c r="R104" s="319"/>
      <c r="S104" s="320"/>
      <c r="T104" s="319"/>
      <c r="U104" s="320"/>
      <c r="V104" s="319"/>
      <c r="W104" s="320"/>
      <c r="X104" s="319"/>
      <c r="Y104" s="320"/>
      <c r="Z104" s="319"/>
      <c r="AA104" s="320"/>
      <c r="AB104" s="319"/>
      <c r="AC104" s="320"/>
      <c r="AD104" s="319"/>
      <c r="AE104" s="320"/>
      <c r="AF104" s="319"/>
      <c r="AG104" s="320"/>
      <c r="AH104" s="319"/>
      <c r="AI104" s="320"/>
      <c r="AJ104" s="319"/>
      <c r="AK104" s="320"/>
      <c r="AL104" s="319"/>
      <c r="AM104" s="320"/>
      <c r="AN104" s="319"/>
      <c r="AO104" s="320"/>
      <c r="AP104" s="319"/>
      <c r="AQ104" s="320"/>
      <c r="AR104" s="319"/>
      <c r="AS104" s="320"/>
      <c r="AT104" s="319"/>
      <c r="AU104" s="320"/>
      <c r="AV104" s="319"/>
      <c r="AW104" s="320"/>
      <c r="AX104" s="319"/>
      <c r="AY104" s="320"/>
      <c r="AZ104" s="319"/>
      <c r="BA104" s="320"/>
      <c r="BB104" s="319"/>
      <c r="BC104" s="320"/>
      <c r="BD104" s="319"/>
      <c r="BE104" s="320"/>
      <c r="BF104" s="319"/>
      <c r="BG104" s="320"/>
      <c r="BH104" s="319"/>
      <c r="BI104" s="320"/>
      <c r="BJ104" s="319"/>
      <c r="BK104" s="320"/>
      <c r="BL104" s="319"/>
      <c r="BM104" s="320"/>
      <c r="BN104" s="319"/>
      <c r="BO104" s="320"/>
      <c r="BP104" s="319"/>
      <c r="BQ104" s="320"/>
      <c r="BR104" s="319"/>
      <c r="BS104" s="320"/>
      <c r="BT104" s="319"/>
      <c r="BU104" s="320"/>
      <c r="BV104" s="264">
        <f t="shared" si="41"/>
        <v>0</v>
      </c>
      <c r="BW104" s="264">
        <f t="shared" si="42"/>
        <v>0</v>
      </c>
    </row>
    <row r="105" spans="1:75" s="62" customFormat="1" ht="21.95" customHeight="1" thickBot="1" x14ac:dyDescent="0.25">
      <c r="A105" s="568" t="s">
        <v>3254</v>
      </c>
      <c r="B105" s="312" t="s">
        <v>3255</v>
      </c>
      <c r="C105" s="313" t="s">
        <v>3177</v>
      </c>
      <c r="D105" s="314" t="s">
        <v>3256</v>
      </c>
      <c r="E105" s="330" t="s">
        <v>3257</v>
      </c>
      <c r="F105" s="315" t="s">
        <v>3165</v>
      </c>
      <c r="G105" s="315" t="s">
        <v>3166</v>
      </c>
      <c r="H105" s="316" t="s">
        <v>1328</v>
      </c>
      <c r="I105" s="569" t="s">
        <v>1328</v>
      </c>
      <c r="J105" s="273" t="s">
        <v>3172</v>
      </c>
      <c r="K105" s="277" t="s">
        <v>53</v>
      </c>
      <c r="L105" s="321"/>
      <c r="M105" s="322"/>
      <c r="N105" s="321"/>
      <c r="O105" s="322"/>
      <c r="P105" s="321"/>
      <c r="Q105" s="322"/>
      <c r="R105" s="321"/>
      <c r="S105" s="322"/>
      <c r="T105" s="321"/>
      <c r="U105" s="322"/>
      <c r="V105" s="321"/>
      <c r="W105" s="322"/>
      <c r="X105" s="321"/>
      <c r="Y105" s="322"/>
      <c r="Z105" s="321"/>
      <c r="AA105" s="322"/>
      <c r="AB105" s="321"/>
      <c r="AC105" s="322"/>
      <c r="AD105" s="321"/>
      <c r="AE105" s="322"/>
      <c r="AF105" s="321"/>
      <c r="AG105" s="322"/>
      <c r="AH105" s="321"/>
      <c r="AI105" s="322"/>
      <c r="AJ105" s="321"/>
      <c r="AK105" s="322"/>
      <c r="AL105" s="321"/>
      <c r="AM105" s="322"/>
      <c r="AN105" s="321"/>
      <c r="AO105" s="322"/>
      <c r="AP105" s="321"/>
      <c r="AQ105" s="322"/>
      <c r="AR105" s="321"/>
      <c r="AS105" s="322"/>
      <c r="AT105" s="321"/>
      <c r="AU105" s="322"/>
      <c r="AV105" s="321"/>
      <c r="AW105" s="322"/>
      <c r="AX105" s="321"/>
      <c r="AY105" s="322"/>
      <c r="AZ105" s="321"/>
      <c r="BA105" s="322"/>
      <c r="BB105" s="321"/>
      <c r="BC105" s="322"/>
      <c r="BD105" s="321"/>
      <c r="BE105" s="322"/>
      <c r="BF105" s="321"/>
      <c r="BG105" s="322"/>
      <c r="BH105" s="321"/>
      <c r="BI105" s="322"/>
      <c r="BJ105" s="321"/>
      <c r="BK105" s="322"/>
      <c r="BL105" s="321"/>
      <c r="BM105" s="322"/>
      <c r="BN105" s="321"/>
      <c r="BO105" s="322"/>
      <c r="BP105" s="321"/>
      <c r="BQ105" s="322"/>
      <c r="BR105" s="321"/>
      <c r="BS105" s="322"/>
      <c r="BT105" s="321"/>
      <c r="BU105" s="322"/>
      <c r="BV105" s="264">
        <f t="shared" si="41"/>
        <v>0</v>
      </c>
      <c r="BW105" s="264">
        <f t="shared" si="42"/>
        <v>0</v>
      </c>
    </row>
    <row r="106" spans="1:75" s="62" customFormat="1" ht="21.95" customHeight="1" x14ac:dyDescent="0.25">
      <c r="A106" s="344" t="s">
        <v>3258</v>
      </c>
      <c r="B106" s="434" t="s">
        <v>3259</v>
      </c>
      <c r="C106" s="435">
        <v>4</v>
      </c>
      <c r="D106" s="436" t="s">
        <v>3260</v>
      </c>
      <c r="E106" s="345" t="s">
        <v>3261</v>
      </c>
      <c r="F106" s="437" t="s">
        <v>3165</v>
      </c>
      <c r="G106" s="437" t="s">
        <v>3166</v>
      </c>
      <c r="H106" s="438" t="s">
        <v>1333</v>
      </c>
      <c r="I106" s="303" t="s">
        <v>1333</v>
      </c>
      <c r="J106" s="273" t="s">
        <v>3167</v>
      </c>
      <c r="K106" s="274" t="s">
        <v>3168</v>
      </c>
      <c r="L106" s="321"/>
      <c r="M106" s="322"/>
      <c r="N106" s="321"/>
      <c r="O106" s="322"/>
      <c r="P106" s="321"/>
      <c r="Q106" s="322"/>
      <c r="R106" s="321"/>
      <c r="S106" s="322"/>
      <c r="T106" s="321"/>
      <c r="U106" s="322"/>
      <c r="V106" s="321"/>
      <c r="W106" s="322"/>
      <c r="X106" s="321"/>
      <c r="Y106" s="322"/>
      <c r="Z106" s="321"/>
      <c r="AA106" s="322"/>
      <c r="AB106" s="321"/>
      <c r="AC106" s="322"/>
      <c r="AD106" s="321"/>
      <c r="AE106" s="322"/>
      <c r="AF106" s="321"/>
      <c r="AG106" s="322"/>
      <c r="AH106" s="321"/>
      <c r="AI106" s="322"/>
      <c r="AJ106" s="321"/>
      <c r="AK106" s="322"/>
      <c r="AL106" s="321"/>
      <c r="AM106" s="322"/>
      <c r="AN106" s="321"/>
      <c r="AO106" s="322"/>
      <c r="AP106" s="321"/>
      <c r="AQ106" s="322"/>
      <c r="AR106" s="321"/>
      <c r="AS106" s="322"/>
      <c r="AT106" s="321"/>
      <c r="AU106" s="322"/>
      <c r="AV106" s="321"/>
      <c r="AW106" s="322"/>
      <c r="AX106" s="321"/>
      <c r="AY106" s="322"/>
      <c r="AZ106" s="321"/>
      <c r="BA106" s="322"/>
      <c r="BB106" s="321"/>
      <c r="BC106" s="322"/>
      <c r="BD106" s="321"/>
      <c r="BE106" s="322"/>
      <c r="BF106" s="321"/>
      <c r="BG106" s="322"/>
      <c r="BH106" s="321"/>
      <c r="BI106" s="322"/>
      <c r="BJ106" s="321"/>
      <c r="BK106" s="322"/>
      <c r="BL106" s="321"/>
      <c r="BM106" s="322"/>
      <c r="BN106" s="321"/>
      <c r="BO106" s="322"/>
      <c r="BP106" s="321"/>
      <c r="BQ106" s="322"/>
      <c r="BR106" s="321"/>
      <c r="BS106" s="322"/>
      <c r="BT106" s="321"/>
      <c r="BU106" s="322"/>
      <c r="BV106" s="264">
        <f>L106+N106+P106+R106+T106+V106+X106+Z106+AB106+AD106+AF106+AH106+AJ106+AL106+AN106+AP106+AR106+AT106+AV106+AX106+AZ106+BB106+BD106+BF106+BH106+BJ106+BL106+BN106+BP106+BR106+BT106</f>
        <v>0</v>
      </c>
      <c r="BW106" s="264">
        <f>M106+O106+Q106+S106+U106+W106+Y106+AA106+AC106+AE106+AG106+AI106+AK106+AM106+AO106+AQ106+AS106+AU106+AW106+AY106+BA106+BC106+BE106+BG106+BI106+BK106+BM106+BO106+BQ106+BS106+BU106</f>
        <v>0</v>
      </c>
    </row>
    <row r="107" spans="1:75" s="62" customFormat="1" ht="21.95" customHeight="1" x14ac:dyDescent="0.2">
      <c r="A107" s="304" t="s">
        <v>3258</v>
      </c>
      <c r="B107" s="305" t="s">
        <v>3259</v>
      </c>
      <c r="C107" s="272" t="s">
        <v>3176</v>
      </c>
      <c r="D107" s="306" t="s">
        <v>3260</v>
      </c>
      <c r="E107" s="307" t="s">
        <v>3261</v>
      </c>
      <c r="F107" s="308" t="s">
        <v>3165</v>
      </c>
      <c r="G107" s="308" t="s">
        <v>3166</v>
      </c>
      <c r="H107" s="309" t="s">
        <v>1333</v>
      </c>
      <c r="I107" s="310" t="s">
        <v>1333</v>
      </c>
      <c r="J107" s="273" t="s">
        <v>3167</v>
      </c>
      <c r="K107" s="273" t="s">
        <v>3169</v>
      </c>
      <c r="L107" s="319"/>
      <c r="M107" s="320"/>
      <c r="N107" s="319"/>
      <c r="O107" s="320"/>
      <c r="P107" s="319"/>
      <c r="Q107" s="320"/>
      <c r="R107" s="319"/>
      <c r="S107" s="320"/>
      <c r="T107" s="319"/>
      <c r="U107" s="320"/>
      <c r="V107" s="319"/>
      <c r="W107" s="320"/>
      <c r="X107" s="319"/>
      <c r="Y107" s="320"/>
      <c r="Z107" s="319"/>
      <c r="AA107" s="320"/>
      <c r="AB107" s="319"/>
      <c r="AC107" s="320"/>
      <c r="AD107" s="319"/>
      <c r="AE107" s="320"/>
      <c r="AF107" s="319"/>
      <c r="AG107" s="320"/>
      <c r="AH107" s="319"/>
      <c r="AI107" s="320"/>
      <c r="AJ107" s="319"/>
      <c r="AK107" s="320"/>
      <c r="AL107" s="319"/>
      <c r="AM107" s="320"/>
      <c r="AN107" s="319"/>
      <c r="AO107" s="320"/>
      <c r="AP107" s="319"/>
      <c r="AQ107" s="320"/>
      <c r="AR107" s="319"/>
      <c r="AS107" s="320"/>
      <c r="AT107" s="319"/>
      <c r="AU107" s="320"/>
      <c r="AV107" s="319"/>
      <c r="AW107" s="320"/>
      <c r="AX107" s="319"/>
      <c r="AY107" s="320"/>
      <c r="AZ107" s="319"/>
      <c r="BA107" s="320"/>
      <c r="BB107" s="319"/>
      <c r="BC107" s="320"/>
      <c r="BD107" s="319"/>
      <c r="BE107" s="320"/>
      <c r="BF107" s="319"/>
      <c r="BG107" s="320"/>
      <c r="BH107" s="319"/>
      <c r="BI107" s="320"/>
      <c r="BJ107" s="319"/>
      <c r="BK107" s="320"/>
      <c r="BL107" s="319"/>
      <c r="BM107" s="320"/>
      <c r="BN107" s="319"/>
      <c r="BO107" s="320"/>
      <c r="BP107" s="319"/>
      <c r="BQ107" s="320"/>
      <c r="BR107" s="319"/>
      <c r="BS107" s="320"/>
      <c r="BT107" s="319"/>
      <c r="BU107" s="320"/>
      <c r="BV107" s="264">
        <f t="shared" ref="BV107:BV110" si="43">L107+N107+P107+R107+T107+V107+X107+Z107+AB107+AD107+AF107+AH107+AJ107+AL107+AN107+AP107+AR107+AT107+AV107+AX107+AZ107+BB107+BD107+BF107+BH107+BJ107+BL107+BN107+BP107+BR107+BT107</f>
        <v>0</v>
      </c>
      <c r="BW107" s="264">
        <f t="shared" ref="BW107:BW110" si="44">M107+O107+Q107+S107+U107+W107+Y107+AA107+AC107+AE107+AG107+AI107+AK107+AM107+AO107+AQ107+AS107+AU107+AW107+AY107+BA107+BC107+BE107+BG107+BI107+BK107+BM107+BO107+BQ107+BS107+BU107</f>
        <v>0</v>
      </c>
    </row>
    <row r="108" spans="1:75" s="62" customFormat="1" ht="21.95" customHeight="1" x14ac:dyDescent="0.2">
      <c r="A108" s="304" t="s">
        <v>3258</v>
      </c>
      <c r="B108" s="305" t="s">
        <v>3259</v>
      </c>
      <c r="C108" s="311" t="s">
        <v>3176</v>
      </c>
      <c r="D108" s="306" t="s">
        <v>3260</v>
      </c>
      <c r="E108" s="307" t="s">
        <v>3261</v>
      </c>
      <c r="F108" s="308" t="s">
        <v>3165</v>
      </c>
      <c r="G108" s="308" t="s">
        <v>3166</v>
      </c>
      <c r="H108" s="309" t="s">
        <v>1333</v>
      </c>
      <c r="I108" s="310" t="s">
        <v>1333</v>
      </c>
      <c r="J108" s="273" t="s">
        <v>3167</v>
      </c>
      <c r="K108" s="275" t="s">
        <v>3170</v>
      </c>
      <c r="L108" s="319"/>
      <c r="M108" s="320"/>
      <c r="N108" s="319">
        <v>2</v>
      </c>
      <c r="O108" s="320"/>
      <c r="P108" s="319"/>
      <c r="Q108" s="320"/>
      <c r="R108" s="319"/>
      <c r="S108" s="320"/>
      <c r="T108" s="319"/>
      <c r="U108" s="320"/>
      <c r="V108" s="319"/>
      <c r="W108" s="320"/>
      <c r="X108" s="319">
        <v>2</v>
      </c>
      <c r="Y108" s="320"/>
      <c r="Z108" s="319"/>
      <c r="AA108" s="320"/>
      <c r="AB108" s="319">
        <v>2</v>
      </c>
      <c r="AC108" s="320"/>
      <c r="AD108" s="319"/>
      <c r="AE108" s="320"/>
      <c r="AF108" s="319"/>
      <c r="AG108" s="320"/>
      <c r="AH108" s="319"/>
      <c r="AI108" s="320"/>
      <c r="AJ108" s="319"/>
      <c r="AK108" s="320"/>
      <c r="AL108" s="319">
        <v>2</v>
      </c>
      <c r="AM108" s="320"/>
      <c r="AN108" s="319"/>
      <c r="AO108" s="320"/>
      <c r="AP108" s="319">
        <v>2</v>
      </c>
      <c r="AQ108" s="320"/>
      <c r="AR108" s="319"/>
      <c r="AS108" s="320"/>
      <c r="AT108" s="319"/>
      <c r="AU108" s="320"/>
      <c r="AV108" s="319"/>
      <c r="AW108" s="320"/>
      <c r="AX108" s="319"/>
      <c r="AY108" s="320"/>
      <c r="AZ108" s="319"/>
      <c r="BA108" s="320"/>
      <c r="BB108" s="319"/>
      <c r="BC108" s="320"/>
      <c r="BD108" s="319">
        <v>2</v>
      </c>
      <c r="BE108" s="320"/>
      <c r="BF108" s="319"/>
      <c r="BG108" s="320"/>
      <c r="BH108" s="319"/>
      <c r="BI108" s="320"/>
      <c r="BJ108" s="319"/>
      <c r="BK108" s="320"/>
      <c r="BL108" s="319"/>
      <c r="BM108" s="320"/>
      <c r="BN108" s="319">
        <v>2</v>
      </c>
      <c r="BO108" s="320"/>
      <c r="BP108" s="319"/>
      <c r="BQ108" s="320"/>
      <c r="BR108" s="319">
        <v>2</v>
      </c>
      <c r="BS108" s="320"/>
      <c r="BT108" s="319"/>
      <c r="BU108" s="320"/>
      <c r="BV108" s="264">
        <f t="shared" si="43"/>
        <v>16</v>
      </c>
      <c r="BW108" s="264">
        <f t="shared" si="44"/>
        <v>0</v>
      </c>
    </row>
    <row r="109" spans="1:75" s="62" customFormat="1" ht="21.95" customHeight="1" x14ac:dyDescent="0.2">
      <c r="A109" s="304" t="s">
        <v>3258</v>
      </c>
      <c r="B109" s="305" t="s">
        <v>3259</v>
      </c>
      <c r="C109" s="311" t="s">
        <v>3176</v>
      </c>
      <c r="D109" s="306" t="s">
        <v>3260</v>
      </c>
      <c r="E109" s="307" t="s">
        <v>3261</v>
      </c>
      <c r="F109" s="308" t="s">
        <v>3165</v>
      </c>
      <c r="G109" s="308" t="s">
        <v>3166</v>
      </c>
      <c r="H109" s="309" t="s">
        <v>1333</v>
      </c>
      <c r="I109" s="310" t="s">
        <v>1333</v>
      </c>
      <c r="J109" s="273" t="s">
        <v>3167</v>
      </c>
      <c r="K109" s="276" t="s">
        <v>3171</v>
      </c>
      <c r="L109" s="319"/>
      <c r="M109" s="320"/>
      <c r="N109" s="319"/>
      <c r="O109" s="320"/>
      <c r="P109" s="319"/>
      <c r="Q109" s="320"/>
      <c r="R109" s="319"/>
      <c r="S109" s="320"/>
      <c r="T109" s="319"/>
      <c r="U109" s="320"/>
      <c r="V109" s="319"/>
      <c r="W109" s="320"/>
      <c r="X109" s="319"/>
      <c r="Y109" s="320"/>
      <c r="Z109" s="319"/>
      <c r="AA109" s="320"/>
      <c r="AB109" s="319"/>
      <c r="AC109" s="320"/>
      <c r="AD109" s="319"/>
      <c r="AE109" s="320"/>
      <c r="AF109" s="319"/>
      <c r="AG109" s="320"/>
      <c r="AH109" s="319"/>
      <c r="AI109" s="320"/>
      <c r="AJ109" s="319"/>
      <c r="AK109" s="320"/>
      <c r="AL109" s="319"/>
      <c r="AM109" s="320"/>
      <c r="AN109" s="319"/>
      <c r="AO109" s="320"/>
      <c r="AP109" s="319"/>
      <c r="AQ109" s="320"/>
      <c r="AR109" s="319"/>
      <c r="AS109" s="320"/>
      <c r="AT109" s="319"/>
      <c r="AU109" s="320"/>
      <c r="AV109" s="319"/>
      <c r="AW109" s="320"/>
      <c r="AX109" s="319"/>
      <c r="AY109" s="320"/>
      <c r="AZ109" s="319"/>
      <c r="BA109" s="320"/>
      <c r="BB109" s="319"/>
      <c r="BC109" s="320"/>
      <c r="BD109" s="319"/>
      <c r="BE109" s="320"/>
      <c r="BF109" s="319"/>
      <c r="BG109" s="320"/>
      <c r="BH109" s="319"/>
      <c r="BI109" s="320"/>
      <c r="BJ109" s="319"/>
      <c r="BK109" s="320"/>
      <c r="BL109" s="319"/>
      <c r="BM109" s="320"/>
      <c r="BN109" s="319"/>
      <c r="BO109" s="320"/>
      <c r="BP109" s="319"/>
      <c r="BQ109" s="320"/>
      <c r="BR109" s="319"/>
      <c r="BS109" s="320"/>
      <c r="BT109" s="319"/>
      <c r="BU109" s="320"/>
      <c r="BV109" s="264">
        <f t="shared" si="43"/>
        <v>0</v>
      </c>
      <c r="BW109" s="264">
        <f t="shared" si="44"/>
        <v>0</v>
      </c>
    </row>
    <row r="110" spans="1:75" s="62" customFormat="1" ht="21.95" customHeight="1" thickBot="1" x14ac:dyDescent="0.25">
      <c r="A110" s="568" t="s">
        <v>3258</v>
      </c>
      <c r="B110" s="312" t="s">
        <v>3259</v>
      </c>
      <c r="C110" s="313" t="s">
        <v>3176</v>
      </c>
      <c r="D110" s="314" t="s">
        <v>3260</v>
      </c>
      <c r="E110" s="330" t="s">
        <v>3261</v>
      </c>
      <c r="F110" s="315" t="s">
        <v>3165</v>
      </c>
      <c r="G110" s="315" t="s">
        <v>3166</v>
      </c>
      <c r="H110" s="316" t="s">
        <v>1333</v>
      </c>
      <c r="I110" s="569" t="s">
        <v>1333</v>
      </c>
      <c r="J110" s="273" t="s">
        <v>3167</v>
      </c>
      <c r="K110" s="277" t="s">
        <v>53</v>
      </c>
      <c r="L110" s="321"/>
      <c r="M110" s="322"/>
      <c r="N110" s="321"/>
      <c r="O110" s="322"/>
      <c r="P110" s="321"/>
      <c r="Q110" s="322"/>
      <c r="R110" s="321"/>
      <c r="S110" s="322"/>
      <c r="T110" s="321"/>
      <c r="U110" s="322"/>
      <c r="V110" s="321"/>
      <c r="W110" s="322"/>
      <c r="X110" s="321"/>
      <c r="Y110" s="322"/>
      <c r="Z110" s="321"/>
      <c r="AA110" s="322"/>
      <c r="AB110" s="321"/>
      <c r="AC110" s="322"/>
      <c r="AD110" s="321"/>
      <c r="AE110" s="322"/>
      <c r="AF110" s="321"/>
      <c r="AG110" s="322"/>
      <c r="AH110" s="321"/>
      <c r="AI110" s="322"/>
      <c r="AJ110" s="321"/>
      <c r="AK110" s="322"/>
      <c r="AL110" s="321"/>
      <c r="AM110" s="322"/>
      <c r="AN110" s="321"/>
      <c r="AO110" s="322"/>
      <c r="AP110" s="321"/>
      <c r="AQ110" s="322"/>
      <c r="AR110" s="321"/>
      <c r="AS110" s="322"/>
      <c r="AT110" s="321"/>
      <c r="AU110" s="322"/>
      <c r="AV110" s="321"/>
      <c r="AW110" s="322"/>
      <c r="AX110" s="321"/>
      <c r="AY110" s="322"/>
      <c r="AZ110" s="321"/>
      <c r="BA110" s="322"/>
      <c r="BB110" s="321"/>
      <c r="BC110" s="322"/>
      <c r="BD110" s="321"/>
      <c r="BE110" s="322"/>
      <c r="BF110" s="321"/>
      <c r="BG110" s="322"/>
      <c r="BH110" s="321"/>
      <c r="BI110" s="322"/>
      <c r="BJ110" s="321"/>
      <c r="BK110" s="322"/>
      <c r="BL110" s="321"/>
      <c r="BM110" s="322"/>
      <c r="BN110" s="321"/>
      <c r="BO110" s="322"/>
      <c r="BP110" s="321"/>
      <c r="BQ110" s="322"/>
      <c r="BR110" s="321"/>
      <c r="BS110" s="322"/>
      <c r="BT110" s="321"/>
      <c r="BU110" s="322"/>
      <c r="BV110" s="264">
        <f t="shared" si="43"/>
        <v>0</v>
      </c>
      <c r="BW110" s="264">
        <f t="shared" si="44"/>
        <v>0</v>
      </c>
    </row>
    <row r="111" spans="1:75" s="62" customFormat="1" ht="21.95" customHeight="1" x14ac:dyDescent="0.25">
      <c r="A111" s="344" t="s">
        <v>3262</v>
      </c>
      <c r="B111" s="434" t="s">
        <v>3263</v>
      </c>
      <c r="C111" s="435">
        <v>1</v>
      </c>
      <c r="D111" s="436" t="s">
        <v>3264</v>
      </c>
      <c r="E111" s="345" t="s">
        <v>3265</v>
      </c>
      <c r="F111" s="437" t="s">
        <v>3165</v>
      </c>
      <c r="G111" s="437" t="s">
        <v>3166</v>
      </c>
      <c r="H111" s="438" t="s">
        <v>1334</v>
      </c>
      <c r="I111" s="303" t="s">
        <v>1334</v>
      </c>
      <c r="J111" s="273" t="s">
        <v>3167</v>
      </c>
      <c r="K111" s="274" t="s">
        <v>3168</v>
      </c>
      <c r="L111" s="321"/>
      <c r="M111" s="322"/>
      <c r="N111" s="321"/>
      <c r="O111" s="322"/>
      <c r="P111" s="321"/>
      <c r="Q111" s="322"/>
      <c r="R111" s="321"/>
      <c r="S111" s="322"/>
      <c r="T111" s="321"/>
      <c r="U111" s="322"/>
      <c r="V111" s="321"/>
      <c r="W111" s="322"/>
      <c r="X111" s="321"/>
      <c r="Y111" s="322"/>
      <c r="Z111" s="321"/>
      <c r="AA111" s="322"/>
      <c r="AB111" s="321"/>
      <c r="AC111" s="322"/>
      <c r="AD111" s="321"/>
      <c r="AE111" s="322"/>
      <c r="AF111" s="321"/>
      <c r="AG111" s="322"/>
      <c r="AH111" s="321"/>
      <c r="AI111" s="322"/>
      <c r="AJ111" s="321"/>
      <c r="AK111" s="322"/>
      <c r="AL111" s="321"/>
      <c r="AM111" s="322"/>
      <c r="AN111" s="321"/>
      <c r="AO111" s="322"/>
      <c r="AP111" s="321"/>
      <c r="AQ111" s="322"/>
      <c r="AR111" s="321"/>
      <c r="AS111" s="322"/>
      <c r="AT111" s="321"/>
      <c r="AU111" s="322"/>
      <c r="AV111" s="321"/>
      <c r="AW111" s="322"/>
      <c r="AX111" s="321"/>
      <c r="AY111" s="322"/>
      <c r="AZ111" s="321"/>
      <c r="BA111" s="322"/>
      <c r="BB111" s="321"/>
      <c r="BC111" s="322"/>
      <c r="BD111" s="321"/>
      <c r="BE111" s="322"/>
      <c r="BF111" s="321"/>
      <c r="BG111" s="322"/>
      <c r="BH111" s="321"/>
      <c r="BI111" s="322"/>
      <c r="BJ111" s="321"/>
      <c r="BK111" s="322"/>
      <c r="BL111" s="321"/>
      <c r="BM111" s="322"/>
      <c r="BN111" s="321"/>
      <c r="BO111" s="322"/>
      <c r="BP111" s="321"/>
      <c r="BQ111" s="322"/>
      <c r="BR111" s="321"/>
      <c r="BS111" s="322"/>
      <c r="BT111" s="321"/>
      <c r="BU111" s="322"/>
      <c r="BV111" s="264">
        <f>L111+N111+P111+R111+T111+V111+X111+Z111+AB111+AD111+AF111+AH111+AJ111+AL111+AN111+AP111+AR111+AT111+AV111+AX111+AZ111+BB111+BD111+BF111+BH111+BJ111+BL111+BN111+BP111+BR111+BT111</f>
        <v>0</v>
      </c>
      <c r="BW111" s="264">
        <f>M111+O111+Q111+S111+U111+W111+Y111+AA111+AC111+AE111+AG111+AI111+AK111+AM111+AO111+AQ111+AS111+AU111+AW111+AY111+BA111+BC111+BE111+BG111+BI111+BK111+BM111+BO111+BQ111+BS111+BU111</f>
        <v>0</v>
      </c>
    </row>
    <row r="112" spans="1:75" s="62" customFormat="1" ht="21.95" customHeight="1" x14ac:dyDescent="0.2">
      <c r="A112" s="304" t="s">
        <v>3262</v>
      </c>
      <c r="B112" s="305" t="s">
        <v>3263</v>
      </c>
      <c r="C112" s="272" t="s">
        <v>3175</v>
      </c>
      <c r="D112" s="306" t="s">
        <v>3264</v>
      </c>
      <c r="E112" s="307" t="s">
        <v>3265</v>
      </c>
      <c r="F112" s="308" t="s">
        <v>3165</v>
      </c>
      <c r="G112" s="308" t="s">
        <v>3166</v>
      </c>
      <c r="H112" s="309" t="s">
        <v>1334</v>
      </c>
      <c r="I112" s="310" t="s">
        <v>1334</v>
      </c>
      <c r="J112" s="273" t="s">
        <v>3167</v>
      </c>
      <c r="K112" s="273" t="s">
        <v>3169</v>
      </c>
      <c r="L112" s="319"/>
      <c r="M112" s="320"/>
      <c r="N112" s="319"/>
      <c r="O112" s="320"/>
      <c r="P112" s="319"/>
      <c r="Q112" s="320"/>
      <c r="R112" s="319"/>
      <c r="S112" s="320"/>
      <c r="T112" s="319"/>
      <c r="U112" s="320"/>
      <c r="V112" s="319"/>
      <c r="W112" s="320"/>
      <c r="X112" s="319"/>
      <c r="Y112" s="320"/>
      <c r="Z112" s="319"/>
      <c r="AA112" s="320"/>
      <c r="AB112" s="319"/>
      <c r="AC112" s="320"/>
      <c r="AD112" s="319"/>
      <c r="AE112" s="320"/>
      <c r="AF112" s="319"/>
      <c r="AG112" s="320"/>
      <c r="AH112" s="319"/>
      <c r="AI112" s="320"/>
      <c r="AJ112" s="319"/>
      <c r="AK112" s="320"/>
      <c r="AL112" s="319"/>
      <c r="AM112" s="320"/>
      <c r="AN112" s="319"/>
      <c r="AO112" s="320"/>
      <c r="AP112" s="319"/>
      <c r="AQ112" s="320"/>
      <c r="AR112" s="319"/>
      <c r="AS112" s="320"/>
      <c r="AT112" s="319"/>
      <c r="AU112" s="320"/>
      <c r="AV112" s="319"/>
      <c r="AW112" s="320"/>
      <c r="AX112" s="319"/>
      <c r="AY112" s="320"/>
      <c r="AZ112" s="319"/>
      <c r="BA112" s="320"/>
      <c r="BB112" s="319"/>
      <c r="BC112" s="320"/>
      <c r="BD112" s="319"/>
      <c r="BE112" s="320"/>
      <c r="BF112" s="319"/>
      <c r="BG112" s="320"/>
      <c r="BH112" s="319"/>
      <c r="BI112" s="320"/>
      <c r="BJ112" s="319"/>
      <c r="BK112" s="320"/>
      <c r="BL112" s="319"/>
      <c r="BM112" s="320"/>
      <c r="BN112" s="319"/>
      <c r="BO112" s="320"/>
      <c r="BP112" s="319"/>
      <c r="BQ112" s="320"/>
      <c r="BR112" s="319"/>
      <c r="BS112" s="320"/>
      <c r="BT112" s="319"/>
      <c r="BU112" s="320"/>
      <c r="BV112" s="264">
        <f t="shared" ref="BV112:BV115" si="45">L112+N112+P112+R112+T112+V112+X112+Z112+AB112+AD112+AF112+AH112+AJ112+AL112+AN112+AP112+AR112+AT112+AV112+AX112+AZ112+BB112+BD112+BF112+BH112+BJ112+BL112+BN112+BP112+BR112+BT112</f>
        <v>0</v>
      </c>
      <c r="BW112" s="264">
        <f t="shared" ref="BW112:BW115" si="46">M112+O112+Q112+S112+U112+W112+Y112+AA112+AC112+AE112+AG112+AI112+AK112+AM112+AO112+AQ112+AS112+AU112+AW112+AY112+BA112+BC112+BE112+BG112+BI112+BK112+BM112+BO112+BQ112+BS112+BU112</f>
        <v>0</v>
      </c>
    </row>
    <row r="113" spans="1:75" s="62" customFormat="1" ht="21.95" customHeight="1" x14ac:dyDescent="0.2">
      <c r="A113" s="304" t="s">
        <v>3262</v>
      </c>
      <c r="B113" s="305" t="s">
        <v>3263</v>
      </c>
      <c r="C113" s="311" t="s">
        <v>3175</v>
      </c>
      <c r="D113" s="306" t="s">
        <v>3264</v>
      </c>
      <c r="E113" s="307" t="s">
        <v>3265</v>
      </c>
      <c r="F113" s="308" t="s">
        <v>3165</v>
      </c>
      <c r="G113" s="308" t="s">
        <v>3166</v>
      </c>
      <c r="H113" s="309" t="s">
        <v>1334</v>
      </c>
      <c r="I113" s="310" t="s">
        <v>1334</v>
      </c>
      <c r="J113" s="273" t="s">
        <v>3167</v>
      </c>
      <c r="K113" s="275" t="s">
        <v>3170</v>
      </c>
      <c r="L113" s="319"/>
      <c r="M113" s="320"/>
      <c r="N113" s="319"/>
      <c r="O113" s="320"/>
      <c r="P113" s="319"/>
      <c r="Q113" s="320"/>
      <c r="R113" s="319"/>
      <c r="S113" s="320"/>
      <c r="T113" s="319"/>
      <c r="U113" s="320"/>
      <c r="V113" s="319"/>
      <c r="W113" s="320"/>
      <c r="X113" s="319"/>
      <c r="Y113" s="320"/>
      <c r="Z113" s="319"/>
      <c r="AA113" s="320"/>
      <c r="AB113" s="319"/>
      <c r="AC113" s="320"/>
      <c r="AD113" s="319"/>
      <c r="AE113" s="320"/>
      <c r="AF113" s="319"/>
      <c r="AG113" s="320"/>
      <c r="AH113" s="319"/>
      <c r="AI113" s="320"/>
      <c r="AJ113" s="319"/>
      <c r="AK113" s="320"/>
      <c r="AL113" s="319"/>
      <c r="AM113" s="320"/>
      <c r="AN113" s="319"/>
      <c r="AO113" s="320"/>
      <c r="AP113" s="319"/>
      <c r="AQ113" s="320"/>
      <c r="AR113" s="319"/>
      <c r="AS113" s="320"/>
      <c r="AT113" s="319"/>
      <c r="AU113" s="320"/>
      <c r="AV113" s="319"/>
      <c r="AW113" s="320"/>
      <c r="AX113" s="319"/>
      <c r="AY113" s="320"/>
      <c r="AZ113" s="319"/>
      <c r="BA113" s="320"/>
      <c r="BB113" s="319"/>
      <c r="BC113" s="320"/>
      <c r="BD113" s="319"/>
      <c r="BE113" s="320"/>
      <c r="BF113" s="319"/>
      <c r="BG113" s="320"/>
      <c r="BH113" s="319"/>
      <c r="BI113" s="320"/>
      <c r="BJ113" s="319"/>
      <c r="BK113" s="320"/>
      <c r="BL113" s="319"/>
      <c r="BM113" s="320"/>
      <c r="BN113" s="319"/>
      <c r="BO113" s="320"/>
      <c r="BP113" s="319"/>
      <c r="BQ113" s="320"/>
      <c r="BR113" s="319"/>
      <c r="BS113" s="320"/>
      <c r="BT113" s="319"/>
      <c r="BU113" s="320"/>
      <c r="BV113" s="264">
        <f t="shared" si="45"/>
        <v>0</v>
      </c>
      <c r="BW113" s="264">
        <f t="shared" si="46"/>
        <v>0</v>
      </c>
    </row>
    <row r="114" spans="1:75" s="62" customFormat="1" ht="21.95" customHeight="1" x14ac:dyDescent="0.2">
      <c r="A114" s="304" t="s">
        <v>3262</v>
      </c>
      <c r="B114" s="305" t="s">
        <v>3263</v>
      </c>
      <c r="C114" s="311" t="s">
        <v>3175</v>
      </c>
      <c r="D114" s="306" t="s">
        <v>3264</v>
      </c>
      <c r="E114" s="307" t="s">
        <v>3265</v>
      </c>
      <c r="F114" s="308" t="s">
        <v>3165</v>
      </c>
      <c r="G114" s="308" t="s">
        <v>3166</v>
      </c>
      <c r="H114" s="309" t="s">
        <v>1334</v>
      </c>
      <c r="I114" s="310" t="s">
        <v>1334</v>
      </c>
      <c r="J114" s="273" t="s">
        <v>3167</v>
      </c>
      <c r="K114" s="276" t="s">
        <v>3171</v>
      </c>
      <c r="L114" s="319"/>
      <c r="M114" s="320"/>
      <c r="N114" s="319"/>
      <c r="O114" s="320"/>
      <c r="P114" s="319"/>
      <c r="Q114" s="320"/>
      <c r="R114" s="319"/>
      <c r="S114" s="320"/>
      <c r="T114" s="319"/>
      <c r="U114" s="320"/>
      <c r="V114" s="319"/>
      <c r="W114" s="320"/>
      <c r="X114" s="319"/>
      <c r="Y114" s="320"/>
      <c r="Z114" s="319"/>
      <c r="AA114" s="320"/>
      <c r="AB114" s="319"/>
      <c r="AC114" s="320"/>
      <c r="AD114" s="319"/>
      <c r="AE114" s="320"/>
      <c r="AF114" s="319"/>
      <c r="AG114" s="320"/>
      <c r="AH114" s="319"/>
      <c r="AI114" s="320"/>
      <c r="AJ114" s="319"/>
      <c r="AK114" s="320"/>
      <c r="AL114" s="319"/>
      <c r="AM114" s="320"/>
      <c r="AN114" s="319"/>
      <c r="AO114" s="320"/>
      <c r="AP114" s="319"/>
      <c r="AQ114" s="320"/>
      <c r="AR114" s="319"/>
      <c r="AS114" s="320"/>
      <c r="AT114" s="319"/>
      <c r="AU114" s="320"/>
      <c r="AV114" s="319"/>
      <c r="AW114" s="320"/>
      <c r="AX114" s="319"/>
      <c r="AY114" s="320"/>
      <c r="AZ114" s="319"/>
      <c r="BA114" s="320"/>
      <c r="BB114" s="319"/>
      <c r="BC114" s="320"/>
      <c r="BD114" s="319"/>
      <c r="BE114" s="320"/>
      <c r="BF114" s="319"/>
      <c r="BG114" s="320"/>
      <c r="BH114" s="319"/>
      <c r="BI114" s="320"/>
      <c r="BJ114" s="319"/>
      <c r="BK114" s="320"/>
      <c r="BL114" s="319"/>
      <c r="BM114" s="320"/>
      <c r="BN114" s="319"/>
      <c r="BO114" s="320"/>
      <c r="BP114" s="319"/>
      <c r="BQ114" s="320"/>
      <c r="BR114" s="319"/>
      <c r="BS114" s="320"/>
      <c r="BT114" s="319"/>
      <c r="BU114" s="320"/>
      <c r="BV114" s="264">
        <f t="shared" si="45"/>
        <v>0</v>
      </c>
      <c r="BW114" s="264">
        <f t="shared" si="46"/>
        <v>0</v>
      </c>
    </row>
    <row r="115" spans="1:75" s="62" customFormat="1" ht="21.95" customHeight="1" thickBot="1" x14ac:dyDescent="0.25">
      <c r="A115" s="568" t="s">
        <v>3262</v>
      </c>
      <c r="B115" s="312" t="s">
        <v>3263</v>
      </c>
      <c r="C115" s="313" t="s">
        <v>3175</v>
      </c>
      <c r="D115" s="314" t="s">
        <v>3264</v>
      </c>
      <c r="E115" s="330" t="s">
        <v>3265</v>
      </c>
      <c r="F115" s="315" t="s">
        <v>3165</v>
      </c>
      <c r="G115" s="315" t="s">
        <v>3166</v>
      </c>
      <c r="H115" s="316" t="s">
        <v>1334</v>
      </c>
      <c r="I115" s="569" t="s">
        <v>1334</v>
      </c>
      <c r="J115" s="273" t="s">
        <v>3167</v>
      </c>
      <c r="K115" s="277" t="s">
        <v>53</v>
      </c>
      <c r="L115" s="321"/>
      <c r="M115" s="322"/>
      <c r="N115" s="321"/>
      <c r="O115" s="322"/>
      <c r="P115" s="321"/>
      <c r="Q115" s="322"/>
      <c r="R115" s="321"/>
      <c r="S115" s="322"/>
      <c r="T115" s="321"/>
      <c r="U115" s="322"/>
      <c r="V115" s="321"/>
      <c r="W115" s="322"/>
      <c r="X115" s="321"/>
      <c r="Y115" s="322"/>
      <c r="Z115" s="321"/>
      <c r="AA115" s="322"/>
      <c r="AB115" s="321"/>
      <c r="AC115" s="322"/>
      <c r="AD115" s="321"/>
      <c r="AE115" s="322"/>
      <c r="AF115" s="321"/>
      <c r="AG115" s="322"/>
      <c r="AH115" s="321"/>
      <c r="AI115" s="322"/>
      <c r="AJ115" s="321"/>
      <c r="AK115" s="322"/>
      <c r="AL115" s="321"/>
      <c r="AM115" s="322"/>
      <c r="AN115" s="321"/>
      <c r="AO115" s="322"/>
      <c r="AP115" s="321"/>
      <c r="AQ115" s="322"/>
      <c r="AR115" s="321"/>
      <c r="AS115" s="322"/>
      <c r="AT115" s="321"/>
      <c r="AU115" s="322"/>
      <c r="AV115" s="321"/>
      <c r="AW115" s="322"/>
      <c r="AX115" s="321"/>
      <c r="AY115" s="322"/>
      <c r="AZ115" s="321"/>
      <c r="BA115" s="322"/>
      <c r="BB115" s="321"/>
      <c r="BC115" s="322"/>
      <c r="BD115" s="321"/>
      <c r="BE115" s="322"/>
      <c r="BF115" s="321"/>
      <c r="BG115" s="322"/>
      <c r="BH115" s="321"/>
      <c r="BI115" s="322"/>
      <c r="BJ115" s="321"/>
      <c r="BK115" s="322"/>
      <c r="BL115" s="321"/>
      <c r="BM115" s="322"/>
      <c r="BN115" s="321"/>
      <c r="BO115" s="322"/>
      <c r="BP115" s="321"/>
      <c r="BQ115" s="322"/>
      <c r="BR115" s="321"/>
      <c r="BS115" s="322"/>
      <c r="BT115" s="321"/>
      <c r="BU115" s="322"/>
      <c r="BV115" s="264">
        <f t="shared" si="45"/>
        <v>0</v>
      </c>
      <c r="BW115" s="264">
        <f t="shared" si="46"/>
        <v>0</v>
      </c>
    </row>
    <row r="116" spans="1:75" s="62" customFormat="1" ht="21.95" customHeight="1" x14ac:dyDescent="0.25">
      <c r="A116" s="344" t="s">
        <v>3266</v>
      </c>
      <c r="B116" s="434" t="s">
        <v>3267</v>
      </c>
      <c r="C116" s="435">
        <v>1</v>
      </c>
      <c r="D116" s="436" t="s">
        <v>3268</v>
      </c>
      <c r="E116" s="345" t="s">
        <v>3269</v>
      </c>
      <c r="F116" s="437" t="s">
        <v>3165</v>
      </c>
      <c r="G116" s="437" t="s">
        <v>3166</v>
      </c>
      <c r="H116" s="438" t="s">
        <v>1335</v>
      </c>
      <c r="I116" s="303" t="s">
        <v>1335</v>
      </c>
      <c r="J116" s="273" t="s">
        <v>3167</v>
      </c>
      <c r="K116" s="274" t="s">
        <v>3168</v>
      </c>
      <c r="L116" s="321"/>
      <c r="M116" s="322"/>
      <c r="N116" s="321"/>
      <c r="O116" s="322"/>
      <c r="P116" s="321"/>
      <c r="Q116" s="322"/>
      <c r="R116" s="321"/>
      <c r="S116" s="322"/>
      <c r="T116" s="321"/>
      <c r="U116" s="322"/>
      <c r="V116" s="321"/>
      <c r="W116" s="322"/>
      <c r="X116" s="321"/>
      <c r="Y116" s="322"/>
      <c r="Z116" s="321"/>
      <c r="AA116" s="322"/>
      <c r="AB116" s="321"/>
      <c r="AC116" s="322"/>
      <c r="AD116" s="321"/>
      <c r="AE116" s="322"/>
      <c r="AF116" s="321"/>
      <c r="AG116" s="322"/>
      <c r="AH116" s="321"/>
      <c r="AI116" s="322"/>
      <c r="AJ116" s="321"/>
      <c r="AK116" s="322"/>
      <c r="AL116" s="321"/>
      <c r="AM116" s="322"/>
      <c r="AN116" s="321"/>
      <c r="AO116" s="322"/>
      <c r="AP116" s="321"/>
      <c r="AQ116" s="322"/>
      <c r="AR116" s="321"/>
      <c r="AS116" s="322"/>
      <c r="AT116" s="321"/>
      <c r="AU116" s="322"/>
      <c r="AV116" s="321"/>
      <c r="AW116" s="322"/>
      <c r="AX116" s="321"/>
      <c r="AY116" s="322"/>
      <c r="AZ116" s="321"/>
      <c r="BA116" s="322"/>
      <c r="BB116" s="321"/>
      <c r="BC116" s="322"/>
      <c r="BD116" s="321"/>
      <c r="BE116" s="322"/>
      <c r="BF116" s="321"/>
      <c r="BG116" s="322"/>
      <c r="BH116" s="321"/>
      <c r="BI116" s="322"/>
      <c r="BJ116" s="321"/>
      <c r="BK116" s="322"/>
      <c r="BL116" s="321"/>
      <c r="BM116" s="322"/>
      <c r="BN116" s="321"/>
      <c r="BO116" s="322"/>
      <c r="BP116" s="321"/>
      <c r="BQ116" s="322"/>
      <c r="BR116" s="321"/>
      <c r="BS116" s="322"/>
      <c r="BT116" s="321"/>
      <c r="BU116" s="322"/>
      <c r="BV116" s="264">
        <f>L116+N116+P116+R116+T116+V116+X116+Z116+AB116+AD116+AF116+AH116+AJ116+AL116+AN116+AP116+AR116+AT116+AV116+AX116+AZ116+BB116+BD116+BF116+BH116+BJ116+BL116+BN116+BP116+BR116+BT116</f>
        <v>0</v>
      </c>
      <c r="BW116" s="264">
        <f>M116+O116+Q116+S116+U116+W116+Y116+AA116+AC116+AE116+AG116+AI116+AK116+AM116+AO116+AQ116+AS116+AU116+AW116+AY116+BA116+BC116+BE116+BG116+BI116+BK116+BM116+BO116+BQ116+BS116+BU116</f>
        <v>0</v>
      </c>
    </row>
    <row r="117" spans="1:75" s="62" customFormat="1" ht="21.95" customHeight="1" x14ac:dyDescent="0.2">
      <c r="A117" s="304" t="s">
        <v>3266</v>
      </c>
      <c r="B117" s="305" t="s">
        <v>3267</v>
      </c>
      <c r="C117" s="272" t="s">
        <v>3175</v>
      </c>
      <c r="D117" s="306" t="s">
        <v>3268</v>
      </c>
      <c r="E117" s="307" t="s">
        <v>3269</v>
      </c>
      <c r="F117" s="308" t="s">
        <v>3165</v>
      </c>
      <c r="G117" s="308" t="s">
        <v>3166</v>
      </c>
      <c r="H117" s="309" t="s">
        <v>1335</v>
      </c>
      <c r="I117" s="310" t="s">
        <v>1335</v>
      </c>
      <c r="J117" s="273" t="s">
        <v>3167</v>
      </c>
      <c r="K117" s="273" t="s">
        <v>3169</v>
      </c>
      <c r="L117" s="319"/>
      <c r="M117" s="320"/>
      <c r="N117" s="319"/>
      <c r="O117" s="320"/>
      <c r="P117" s="319"/>
      <c r="Q117" s="320"/>
      <c r="R117" s="319"/>
      <c r="S117" s="320"/>
      <c r="T117" s="319"/>
      <c r="U117" s="320"/>
      <c r="V117" s="319"/>
      <c r="W117" s="320"/>
      <c r="X117" s="319"/>
      <c r="Y117" s="320"/>
      <c r="Z117" s="319"/>
      <c r="AA117" s="320"/>
      <c r="AB117" s="319"/>
      <c r="AC117" s="320"/>
      <c r="AD117" s="319"/>
      <c r="AE117" s="320"/>
      <c r="AF117" s="319"/>
      <c r="AG117" s="320"/>
      <c r="AH117" s="319"/>
      <c r="AI117" s="320"/>
      <c r="AJ117" s="319"/>
      <c r="AK117" s="320"/>
      <c r="AL117" s="319"/>
      <c r="AM117" s="320"/>
      <c r="AN117" s="319"/>
      <c r="AO117" s="320"/>
      <c r="AP117" s="319"/>
      <c r="AQ117" s="320"/>
      <c r="AR117" s="319"/>
      <c r="AS117" s="320"/>
      <c r="AT117" s="319"/>
      <c r="AU117" s="320"/>
      <c r="AV117" s="319"/>
      <c r="AW117" s="320"/>
      <c r="AX117" s="319"/>
      <c r="AY117" s="320"/>
      <c r="AZ117" s="319"/>
      <c r="BA117" s="320"/>
      <c r="BB117" s="319"/>
      <c r="BC117" s="320"/>
      <c r="BD117" s="319"/>
      <c r="BE117" s="320"/>
      <c r="BF117" s="319"/>
      <c r="BG117" s="320"/>
      <c r="BH117" s="319"/>
      <c r="BI117" s="320"/>
      <c r="BJ117" s="319"/>
      <c r="BK117" s="320"/>
      <c r="BL117" s="319">
        <v>2</v>
      </c>
      <c r="BM117" s="320"/>
      <c r="BN117" s="319">
        <v>1</v>
      </c>
      <c r="BO117" s="320"/>
      <c r="BP117" s="319">
        <v>2</v>
      </c>
      <c r="BQ117" s="320"/>
      <c r="BR117" s="319">
        <v>2</v>
      </c>
      <c r="BS117" s="320"/>
      <c r="BT117" s="319"/>
      <c r="BU117" s="320"/>
      <c r="BV117" s="264">
        <f t="shared" ref="BV117:BV120" si="47">L117+N117+P117+R117+T117+V117+X117+Z117+AB117+AD117+AF117+AH117+AJ117+AL117+AN117+AP117+AR117+AT117+AV117+AX117+AZ117+BB117+BD117+BF117+BH117+BJ117+BL117+BN117+BP117+BR117+BT117</f>
        <v>7</v>
      </c>
      <c r="BW117" s="264">
        <f t="shared" ref="BW117:BW120" si="48">M117+O117+Q117+S117+U117+W117+Y117+AA117+AC117+AE117+AG117+AI117+AK117+AM117+AO117+AQ117+AS117+AU117+AW117+AY117+BA117+BC117+BE117+BG117+BI117+BK117+BM117+BO117+BQ117+BS117+BU117</f>
        <v>0</v>
      </c>
    </row>
    <row r="118" spans="1:75" s="62" customFormat="1" ht="21.95" customHeight="1" x14ac:dyDescent="0.2">
      <c r="A118" s="304" t="s">
        <v>3266</v>
      </c>
      <c r="B118" s="305" t="s">
        <v>3267</v>
      </c>
      <c r="C118" s="311" t="s">
        <v>3175</v>
      </c>
      <c r="D118" s="306" t="s">
        <v>3268</v>
      </c>
      <c r="E118" s="307" t="s">
        <v>3269</v>
      </c>
      <c r="F118" s="308" t="s">
        <v>3165</v>
      </c>
      <c r="G118" s="308" t="s">
        <v>3166</v>
      </c>
      <c r="H118" s="309" t="s">
        <v>1335</v>
      </c>
      <c r="I118" s="310" t="s">
        <v>1335</v>
      </c>
      <c r="J118" s="273" t="s">
        <v>3167</v>
      </c>
      <c r="K118" s="275" t="s">
        <v>3170</v>
      </c>
      <c r="L118" s="319"/>
      <c r="M118" s="320"/>
      <c r="N118" s="319"/>
      <c r="O118" s="320"/>
      <c r="P118" s="319"/>
      <c r="Q118" s="320"/>
      <c r="R118" s="319"/>
      <c r="S118" s="320"/>
      <c r="T118" s="319"/>
      <c r="U118" s="320"/>
      <c r="V118" s="319"/>
      <c r="W118" s="320"/>
      <c r="X118" s="319"/>
      <c r="Y118" s="320"/>
      <c r="Z118" s="319"/>
      <c r="AA118" s="320"/>
      <c r="AB118" s="319"/>
      <c r="AC118" s="320"/>
      <c r="AD118" s="319"/>
      <c r="AE118" s="320"/>
      <c r="AF118" s="319"/>
      <c r="AG118" s="320"/>
      <c r="AH118" s="319"/>
      <c r="AI118" s="320"/>
      <c r="AJ118" s="319"/>
      <c r="AK118" s="320"/>
      <c r="AL118" s="319"/>
      <c r="AM118" s="320"/>
      <c r="AN118" s="319"/>
      <c r="AO118" s="320"/>
      <c r="AP118" s="319"/>
      <c r="AQ118" s="320"/>
      <c r="AR118" s="319"/>
      <c r="AS118" s="320"/>
      <c r="AT118" s="319"/>
      <c r="AU118" s="320"/>
      <c r="AV118" s="319"/>
      <c r="AW118" s="320"/>
      <c r="AX118" s="319"/>
      <c r="AY118" s="320"/>
      <c r="AZ118" s="319"/>
      <c r="BA118" s="320"/>
      <c r="BB118" s="319"/>
      <c r="BC118" s="320"/>
      <c r="BD118" s="319"/>
      <c r="BE118" s="320"/>
      <c r="BF118" s="319"/>
      <c r="BG118" s="320"/>
      <c r="BH118" s="319"/>
      <c r="BI118" s="320"/>
      <c r="BJ118" s="319"/>
      <c r="BK118" s="320"/>
      <c r="BL118" s="319"/>
      <c r="BM118" s="320"/>
      <c r="BN118" s="319"/>
      <c r="BO118" s="320"/>
      <c r="BP118" s="319"/>
      <c r="BQ118" s="320"/>
      <c r="BR118" s="319"/>
      <c r="BS118" s="320"/>
      <c r="BT118" s="319"/>
      <c r="BU118" s="320"/>
      <c r="BV118" s="264">
        <f t="shared" si="47"/>
        <v>0</v>
      </c>
      <c r="BW118" s="264">
        <f t="shared" si="48"/>
        <v>0</v>
      </c>
    </row>
    <row r="119" spans="1:75" s="62" customFormat="1" ht="21.95" customHeight="1" x14ac:dyDescent="0.2">
      <c r="A119" s="304" t="s">
        <v>3266</v>
      </c>
      <c r="B119" s="305" t="s">
        <v>3267</v>
      </c>
      <c r="C119" s="311" t="s">
        <v>3175</v>
      </c>
      <c r="D119" s="306" t="s">
        <v>3268</v>
      </c>
      <c r="E119" s="307" t="s">
        <v>3269</v>
      </c>
      <c r="F119" s="308" t="s">
        <v>3165</v>
      </c>
      <c r="G119" s="308" t="s">
        <v>3166</v>
      </c>
      <c r="H119" s="309" t="s">
        <v>1335</v>
      </c>
      <c r="I119" s="310" t="s">
        <v>1335</v>
      </c>
      <c r="J119" s="273" t="s">
        <v>3167</v>
      </c>
      <c r="K119" s="276" t="s">
        <v>3171</v>
      </c>
      <c r="L119" s="319"/>
      <c r="M119" s="320"/>
      <c r="N119" s="319"/>
      <c r="O119" s="320"/>
      <c r="P119" s="319"/>
      <c r="Q119" s="320"/>
      <c r="R119" s="319"/>
      <c r="S119" s="320"/>
      <c r="T119" s="319"/>
      <c r="U119" s="320"/>
      <c r="V119" s="319"/>
      <c r="W119" s="320"/>
      <c r="X119" s="319"/>
      <c r="Y119" s="320"/>
      <c r="Z119" s="319"/>
      <c r="AA119" s="320"/>
      <c r="AB119" s="319"/>
      <c r="AC119" s="320"/>
      <c r="AD119" s="319"/>
      <c r="AE119" s="320"/>
      <c r="AF119" s="319"/>
      <c r="AG119" s="320"/>
      <c r="AH119" s="319"/>
      <c r="AI119" s="320"/>
      <c r="AJ119" s="319"/>
      <c r="AK119" s="320"/>
      <c r="AL119" s="319"/>
      <c r="AM119" s="320"/>
      <c r="AN119" s="319"/>
      <c r="AO119" s="320"/>
      <c r="AP119" s="319"/>
      <c r="AQ119" s="320"/>
      <c r="AR119" s="319"/>
      <c r="AS119" s="320"/>
      <c r="AT119" s="319"/>
      <c r="AU119" s="320"/>
      <c r="AV119" s="319"/>
      <c r="AW119" s="320"/>
      <c r="AX119" s="319"/>
      <c r="AY119" s="320"/>
      <c r="AZ119" s="319"/>
      <c r="BA119" s="320"/>
      <c r="BB119" s="319"/>
      <c r="BC119" s="320"/>
      <c r="BD119" s="319"/>
      <c r="BE119" s="320"/>
      <c r="BF119" s="319"/>
      <c r="BG119" s="320"/>
      <c r="BH119" s="319"/>
      <c r="BI119" s="320"/>
      <c r="BJ119" s="319"/>
      <c r="BK119" s="320"/>
      <c r="BL119" s="319"/>
      <c r="BM119" s="320"/>
      <c r="BN119" s="319"/>
      <c r="BO119" s="320"/>
      <c r="BP119" s="319"/>
      <c r="BQ119" s="320"/>
      <c r="BR119" s="319"/>
      <c r="BS119" s="320"/>
      <c r="BT119" s="319"/>
      <c r="BU119" s="320"/>
      <c r="BV119" s="264">
        <f t="shared" si="47"/>
        <v>0</v>
      </c>
      <c r="BW119" s="264">
        <f t="shared" si="48"/>
        <v>0</v>
      </c>
    </row>
    <row r="120" spans="1:75" s="62" customFormat="1" ht="21.95" customHeight="1" thickBot="1" x14ac:dyDescent="0.25">
      <c r="A120" s="568" t="s">
        <v>3266</v>
      </c>
      <c r="B120" s="312" t="s">
        <v>3267</v>
      </c>
      <c r="C120" s="313" t="s">
        <v>3175</v>
      </c>
      <c r="D120" s="314" t="s">
        <v>3268</v>
      </c>
      <c r="E120" s="330" t="s">
        <v>3269</v>
      </c>
      <c r="F120" s="315" t="s">
        <v>3165</v>
      </c>
      <c r="G120" s="315" t="s">
        <v>3166</v>
      </c>
      <c r="H120" s="316" t="s">
        <v>1335</v>
      </c>
      <c r="I120" s="569" t="s">
        <v>1335</v>
      </c>
      <c r="J120" s="273" t="s">
        <v>3167</v>
      </c>
      <c r="K120" s="277" t="s">
        <v>53</v>
      </c>
      <c r="L120" s="321"/>
      <c r="M120" s="322"/>
      <c r="N120" s="321"/>
      <c r="O120" s="322"/>
      <c r="P120" s="321"/>
      <c r="Q120" s="322"/>
      <c r="R120" s="321"/>
      <c r="S120" s="322"/>
      <c r="T120" s="321"/>
      <c r="U120" s="322"/>
      <c r="V120" s="321"/>
      <c r="W120" s="322"/>
      <c r="X120" s="321"/>
      <c r="Y120" s="322"/>
      <c r="Z120" s="321"/>
      <c r="AA120" s="322"/>
      <c r="AB120" s="321"/>
      <c r="AC120" s="322"/>
      <c r="AD120" s="321"/>
      <c r="AE120" s="322"/>
      <c r="AF120" s="321"/>
      <c r="AG120" s="322"/>
      <c r="AH120" s="321"/>
      <c r="AI120" s="322"/>
      <c r="AJ120" s="321"/>
      <c r="AK120" s="322"/>
      <c r="AL120" s="321"/>
      <c r="AM120" s="322"/>
      <c r="AN120" s="321"/>
      <c r="AO120" s="322"/>
      <c r="AP120" s="321"/>
      <c r="AQ120" s="322"/>
      <c r="AR120" s="321"/>
      <c r="AS120" s="322"/>
      <c r="AT120" s="321"/>
      <c r="AU120" s="322"/>
      <c r="AV120" s="321"/>
      <c r="AW120" s="322"/>
      <c r="AX120" s="321"/>
      <c r="AY120" s="322"/>
      <c r="AZ120" s="321"/>
      <c r="BA120" s="322"/>
      <c r="BB120" s="321"/>
      <c r="BC120" s="322"/>
      <c r="BD120" s="321"/>
      <c r="BE120" s="322"/>
      <c r="BF120" s="321"/>
      <c r="BG120" s="322"/>
      <c r="BH120" s="321"/>
      <c r="BI120" s="322"/>
      <c r="BJ120" s="321"/>
      <c r="BK120" s="322"/>
      <c r="BL120" s="321"/>
      <c r="BM120" s="322"/>
      <c r="BN120" s="321"/>
      <c r="BO120" s="322"/>
      <c r="BP120" s="321"/>
      <c r="BQ120" s="322"/>
      <c r="BR120" s="321"/>
      <c r="BS120" s="322"/>
      <c r="BT120" s="321"/>
      <c r="BU120" s="322"/>
      <c r="BV120" s="264">
        <f t="shared" si="47"/>
        <v>0</v>
      </c>
      <c r="BW120" s="264">
        <f t="shared" si="48"/>
        <v>0</v>
      </c>
    </row>
    <row r="121" spans="1:75" s="62" customFormat="1" ht="21.95" customHeight="1" x14ac:dyDescent="0.25">
      <c r="A121" s="344" t="s">
        <v>3270</v>
      </c>
      <c r="B121" s="434" t="s">
        <v>3271</v>
      </c>
      <c r="C121" s="435">
        <v>4</v>
      </c>
      <c r="D121" s="436" t="s">
        <v>3272</v>
      </c>
      <c r="E121" s="345" t="s">
        <v>3273</v>
      </c>
      <c r="F121" s="437" t="s">
        <v>3165</v>
      </c>
      <c r="G121" s="437" t="s">
        <v>3166</v>
      </c>
      <c r="H121" s="438" t="s">
        <v>1336</v>
      </c>
      <c r="I121" s="303" t="s">
        <v>1336</v>
      </c>
      <c r="J121" s="273" t="s">
        <v>3167</v>
      </c>
      <c r="K121" s="274" t="s">
        <v>3168</v>
      </c>
      <c r="L121" s="321"/>
      <c r="M121" s="322"/>
      <c r="N121" s="321"/>
      <c r="O121" s="322"/>
      <c r="P121" s="321"/>
      <c r="Q121" s="322"/>
      <c r="R121" s="321"/>
      <c r="S121" s="322"/>
      <c r="T121" s="321"/>
      <c r="U121" s="322"/>
      <c r="V121" s="321"/>
      <c r="W121" s="322"/>
      <c r="X121" s="321"/>
      <c r="Y121" s="322"/>
      <c r="Z121" s="321"/>
      <c r="AA121" s="322"/>
      <c r="AB121" s="321"/>
      <c r="AC121" s="322"/>
      <c r="AD121" s="321"/>
      <c r="AE121" s="322"/>
      <c r="AF121" s="321"/>
      <c r="AG121" s="322"/>
      <c r="AH121" s="321"/>
      <c r="AI121" s="322"/>
      <c r="AJ121" s="321"/>
      <c r="AK121" s="322"/>
      <c r="AL121" s="321"/>
      <c r="AM121" s="322"/>
      <c r="AN121" s="321"/>
      <c r="AO121" s="322"/>
      <c r="AP121" s="321"/>
      <c r="AQ121" s="322"/>
      <c r="AR121" s="321"/>
      <c r="AS121" s="322"/>
      <c r="AT121" s="321"/>
      <c r="AU121" s="322"/>
      <c r="AV121" s="321"/>
      <c r="AW121" s="322"/>
      <c r="AX121" s="321"/>
      <c r="AY121" s="322"/>
      <c r="AZ121" s="321"/>
      <c r="BA121" s="322"/>
      <c r="BB121" s="321"/>
      <c r="BC121" s="322"/>
      <c r="BD121" s="321"/>
      <c r="BE121" s="322"/>
      <c r="BF121" s="321"/>
      <c r="BG121" s="322"/>
      <c r="BH121" s="321"/>
      <c r="BI121" s="322"/>
      <c r="BJ121" s="321"/>
      <c r="BK121" s="322"/>
      <c r="BL121" s="321"/>
      <c r="BM121" s="322"/>
      <c r="BN121" s="321"/>
      <c r="BO121" s="322"/>
      <c r="BP121" s="321"/>
      <c r="BQ121" s="322"/>
      <c r="BR121" s="321"/>
      <c r="BS121" s="322"/>
      <c r="BT121" s="321"/>
      <c r="BU121" s="322"/>
      <c r="BV121" s="264">
        <f>L121+N121+P121+R121+T121+V121+X121+Z121+AB121+AD121+AF121+AH121+AJ121+AL121+AN121+AP121+AR121+AT121+AV121+AX121+AZ121+BB121+BD121+BF121+BH121+BJ121+BL121+BN121+BP121+BR121+BT121</f>
        <v>0</v>
      </c>
      <c r="BW121" s="264">
        <f>M121+O121+Q121+S121+U121+W121+Y121+AA121+AC121+AE121+AG121+AI121+AK121+AM121+AO121+AQ121+AS121+AU121+AW121+AY121+BA121+BC121+BE121+BG121+BI121+BK121+BM121+BO121+BQ121+BS121+BU121</f>
        <v>0</v>
      </c>
    </row>
    <row r="122" spans="1:75" s="62" customFormat="1" ht="21.95" customHeight="1" x14ac:dyDescent="0.2">
      <c r="A122" s="304" t="s">
        <v>3270</v>
      </c>
      <c r="B122" s="305" t="s">
        <v>3271</v>
      </c>
      <c r="C122" s="272" t="s">
        <v>3176</v>
      </c>
      <c r="D122" s="306" t="s">
        <v>3272</v>
      </c>
      <c r="E122" s="307" t="s">
        <v>3273</v>
      </c>
      <c r="F122" s="308" t="s">
        <v>3165</v>
      </c>
      <c r="G122" s="308" t="s">
        <v>3166</v>
      </c>
      <c r="H122" s="309" t="s">
        <v>1336</v>
      </c>
      <c r="I122" s="310" t="s">
        <v>1336</v>
      </c>
      <c r="J122" s="273" t="s">
        <v>3167</v>
      </c>
      <c r="K122" s="273" t="s">
        <v>3169</v>
      </c>
      <c r="L122" s="319"/>
      <c r="M122" s="320"/>
      <c r="N122" s="319"/>
      <c r="O122" s="320"/>
      <c r="P122" s="319"/>
      <c r="Q122" s="320"/>
      <c r="R122" s="319"/>
      <c r="S122" s="320"/>
      <c r="T122" s="319"/>
      <c r="U122" s="320"/>
      <c r="V122" s="319"/>
      <c r="W122" s="320"/>
      <c r="X122" s="319"/>
      <c r="Y122" s="320"/>
      <c r="Z122" s="319"/>
      <c r="AA122" s="320"/>
      <c r="AB122" s="319"/>
      <c r="AC122" s="320"/>
      <c r="AD122" s="319"/>
      <c r="AE122" s="320"/>
      <c r="AF122" s="319"/>
      <c r="AG122" s="320"/>
      <c r="AH122" s="319"/>
      <c r="AI122" s="320"/>
      <c r="AJ122" s="319"/>
      <c r="AK122" s="320"/>
      <c r="AL122" s="319"/>
      <c r="AM122" s="320"/>
      <c r="AN122" s="319"/>
      <c r="AO122" s="320"/>
      <c r="AP122" s="319"/>
      <c r="AQ122" s="320"/>
      <c r="AR122" s="319"/>
      <c r="AS122" s="320"/>
      <c r="AT122" s="319"/>
      <c r="AU122" s="320"/>
      <c r="AV122" s="319"/>
      <c r="AW122" s="320"/>
      <c r="AX122" s="319"/>
      <c r="AY122" s="320"/>
      <c r="AZ122" s="319"/>
      <c r="BA122" s="320"/>
      <c r="BB122" s="319"/>
      <c r="BC122" s="320"/>
      <c r="BD122" s="319"/>
      <c r="BE122" s="320"/>
      <c r="BF122" s="319"/>
      <c r="BG122" s="320"/>
      <c r="BH122" s="319"/>
      <c r="BI122" s="320"/>
      <c r="BJ122" s="319"/>
      <c r="BK122" s="320"/>
      <c r="BL122" s="319"/>
      <c r="BM122" s="320"/>
      <c r="BN122" s="319"/>
      <c r="BO122" s="320"/>
      <c r="BP122" s="319"/>
      <c r="BQ122" s="320"/>
      <c r="BR122" s="319"/>
      <c r="BS122" s="320"/>
      <c r="BT122" s="319"/>
      <c r="BU122" s="320"/>
      <c r="BV122" s="264">
        <f t="shared" ref="BV122:BV125" si="49">L122+N122+P122+R122+T122+V122+X122+Z122+AB122+AD122+AF122+AH122+AJ122+AL122+AN122+AP122+AR122+AT122+AV122+AX122+AZ122+BB122+BD122+BF122+BH122+BJ122+BL122+BN122+BP122+BR122+BT122</f>
        <v>0</v>
      </c>
      <c r="BW122" s="264">
        <f t="shared" ref="BW122:BW125" si="50">M122+O122+Q122+S122+U122+W122+Y122+AA122+AC122+AE122+AG122+AI122+AK122+AM122+AO122+AQ122+AS122+AU122+AW122+AY122+BA122+BC122+BE122+BG122+BI122+BK122+BM122+BO122+BQ122+BS122+BU122</f>
        <v>0</v>
      </c>
    </row>
    <row r="123" spans="1:75" s="62" customFormat="1" ht="21.95" customHeight="1" x14ac:dyDescent="0.2">
      <c r="A123" s="304" t="s">
        <v>3270</v>
      </c>
      <c r="B123" s="305" t="s">
        <v>3271</v>
      </c>
      <c r="C123" s="311" t="s">
        <v>3176</v>
      </c>
      <c r="D123" s="306" t="s">
        <v>3272</v>
      </c>
      <c r="E123" s="307" t="s">
        <v>3273</v>
      </c>
      <c r="F123" s="308" t="s">
        <v>3165</v>
      </c>
      <c r="G123" s="308" t="s">
        <v>3166</v>
      </c>
      <c r="H123" s="309" t="s">
        <v>1336</v>
      </c>
      <c r="I123" s="310" t="s">
        <v>1336</v>
      </c>
      <c r="J123" s="273" t="s">
        <v>3167</v>
      </c>
      <c r="K123" s="275" t="s">
        <v>3170</v>
      </c>
      <c r="L123" s="319"/>
      <c r="M123" s="320"/>
      <c r="N123" s="319"/>
      <c r="O123" s="320"/>
      <c r="P123" s="319"/>
      <c r="Q123" s="320"/>
      <c r="R123" s="319"/>
      <c r="S123" s="320"/>
      <c r="T123" s="319"/>
      <c r="U123" s="320"/>
      <c r="V123" s="319"/>
      <c r="W123" s="320"/>
      <c r="X123" s="319"/>
      <c r="Y123" s="320"/>
      <c r="Z123" s="319"/>
      <c r="AA123" s="320"/>
      <c r="AB123" s="319"/>
      <c r="AC123" s="320"/>
      <c r="AD123" s="319"/>
      <c r="AE123" s="320"/>
      <c r="AF123" s="319"/>
      <c r="AG123" s="320"/>
      <c r="AH123" s="319"/>
      <c r="AI123" s="320"/>
      <c r="AJ123" s="319"/>
      <c r="AK123" s="320"/>
      <c r="AL123" s="319"/>
      <c r="AM123" s="320"/>
      <c r="AN123" s="319"/>
      <c r="AO123" s="320"/>
      <c r="AP123" s="319"/>
      <c r="AQ123" s="320"/>
      <c r="AR123" s="319"/>
      <c r="AS123" s="320"/>
      <c r="AT123" s="319"/>
      <c r="AU123" s="320"/>
      <c r="AV123" s="319"/>
      <c r="AW123" s="320"/>
      <c r="AX123" s="319"/>
      <c r="AY123" s="320"/>
      <c r="AZ123" s="319"/>
      <c r="BA123" s="320"/>
      <c r="BB123" s="319"/>
      <c r="BC123" s="320"/>
      <c r="BD123" s="319"/>
      <c r="BE123" s="320"/>
      <c r="BF123" s="319"/>
      <c r="BG123" s="320"/>
      <c r="BH123" s="319"/>
      <c r="BI123" s="320"/>
      <c r="BJ123" s="319"/>
      <c r="BK123" s="320"/>
      <c r="BL123" s="319"/>
      <c r="BM123" s="320"/>
      <c r="BN123" s="319"/>
      <c r="BO123" s="320"/>
      <c r="BP123" s="319"/>
      <c r="BQ123" s="320"/>
      <c r="BR123" s="319"/>
      <c r="BS123" s="320"/>
      <c r="BT123" s="319"/>
      <c r="BU123" s="320"/>
      <c r="BV123" s="264">
        <f t="shared" si="49"/>
        <v>0</v>
      </c>
      <c r="BW123" s="264">
        <f t="shared" si="50"/>
        <v>0</v>
      </c>
    </row>
    <row r="124" spans="1:75" s="62" customFormat="1" ht="21.95" customHeight="1" x14ac:dyDescent="0.2">
      <c r="A124" s="304" t="s">
        <v>3270</v>
      </c>
      <c r="B124" s="305" t="s">
        <v>3271</v>
      </c>
      <c r="C124" s="311" t="s">
        <v>3176</v>
      </c>
      <c r="D124" s="306" t="s">
        <v>3272</v>
      </c>
      <c r="E124" s="307" t="s">
        <v>3273</v>
      </c>
      <c r="F124" s="308" t="s">
        <v>3165</v>
      </c>
      <c r="G124" s="308" t="s">
        <v>3166</v>
      </c>
      <c r="H124" s="309" t="s">
        <v>1336</v>
      </c>
      <c r="I124" s="310" t="s">
        <v>1336</v>
      </c>
      <c r="J124" s="273" t="s">
        <v>3167</v>
      </c>
      <c r="K124" s="276" t="s">
        <v>3171</v>
      </c>
      <c r="L124" s="319"/>
      <c r="M124" s="320"/>
      <c r="N124" s="319"/>
      <c r="O124" s="320"/>
      <c r="P124" s="319"/>
      <c r="Q124" s="320"/>
      <c r="R124" s="319"/>
      <c r="S124" s="320"/>
      <c r="T124" s="319"/>
      <c r="U124" s="320"/>
      <c r="V124" s="319"/>
      <c r="W124" s="320"/>
      <c r="X124" s="319"/>
      <c r="Y124" s="320"/>
      <c r="Z124" s="319"/>
      <c r="AA124" s="320"/>
      <c r="AB124" s="319"/>
      <c r="AC124" s="320"/>
      <c r="AD124" s="319"/>
      <c r="AE124" s="320"/>
      <c r="AF124" s="319"/>
      <c r="AG124" s="320"/>
      <c r="AH124" s="319"/>
      <c r="AI124" s="320"/>
      <c r="AJ124" s="319"/>
      <c r="AK124" s="320"/>
      <c r="AL124" s="319"/>
      <c r="AM124" s="320"/>
      <c r="AN124" s="319"/>
      <c r="AO124" s="320"/>
      <c r="AP124" s="319"/>
      <c r="AQ124" s="320"/>
      <c r="AR124" s="319"/>
      <c r="AS124" s="320"/>
      <c r="AT124" s="319"/>
      <c r="AU124" s="320"/>
      <c r="AV124" s="319"/>
      <c r="AW124" s="320"/>
      <c r="AX124" s="319"/>
      <c r="AY124" s="320"/>
      <c r="AZ124" s="319"/>
      <c r="BA124" s="320"/>
      <c r="BB124" s="319"/>
      <c r="BC124" s="320"/>
      <c r="BD124" s="319"/>
      <c r="BE124" s="320"/>
      <c r="BF124" s="319"/>
      <c r="BG124" s="320"/>
      <c r="BH124" s="319"/>
      <c r="BI124" s="320"/>
      <c r="BJ124" s="319"/>
      <c r="BK124" s="320"/>
      <c r="BL124" s="319"/>
      <c r="BM124" s="320"/>
      <c r="BN124" s="319"/>
      <c r="BO124" s="320"/>
      <c r="BP124" s="319"/>
      <c r="BQ124" s="320"/>
      <c r="BR124" s="319"/>
      <c r="BS124" s="320"/>
      <c r="BT124" s="319"/>
      <c r="BU124" s="320"/>
      <c r="BV124" s="264">
        <f t="shared" si="49"/>
        <v>0</v>
      </c>
      <c r="BW124" s="264">
        <f t="shared" si="50"/>
        <v>0</v>
      </c>
    </row>
    <row r="125" spans="1:75" s="62" customFormat="1" ht="21.95" customHeight="1" thickBot="1" x14ac:dyDescent="0.25">
      <c r="A125" s="568" t="s">
        <v>3270</v>
      </c>
      <c r="B125" s="312" t="s">
        <v>3271</v>
      </c>
      <c r="C125" s="313" t="s">
        <v>3176</v>
      </c>
      <c r="D125" s="314" t="s">
        <v>3272</v>
      </c>
      <c r="E125" s="330" t="s">
        <v>3273</v>
      </c>
      <c r="F125" s="315" t="s">
        <v>3165</v>
      </c>
      <c r="G125" s="315" t="s">
        <v>3166</v>
      </c>
      <c r="H125" s="316" t="s">
        <v>1336</v>
      </c>
      <c r="I125" s="569" t="s">
        <v>1336</v>
      </c>
      <c r="J125" s="273" t="s">
        <v>3167</v>
      </c>
      <c r="K125" s="277" t="s">
        <v>53</v>
      </c>
      <c r="L125" s="321"/>
      <c r="M125" s="322"/>
      <c r="N125" s="321"/>
      <c r="O125" s="322"/>
      <c r="P125" s="321"/>
      <c r="Q125" s="322"/>
      <c r="R125" s="321"/>
      <c r="S125" s="322"/>
      <c r="T125" s="321"/>
      <c r="U125" s="322"/>
      <c r="V125" s="321"/>
      <c r="W125" s="322"/>
      <c r="X125" s="321"/>
      <c r="Y125" s="322"/>
      <c r="Z125" s="321"/>
      <c r="AA125" s="322"/>
      <c r="AB125" s="321"/>
      <c r="AC125" s="322"/>
      <c r="AD125" s="321"/>
      <c r="AE125" s="322"/>
      <c r="AF125" s="321"/>
      <c r="AG125" s="322"/>
      <c r="AH125" s="321"/>
      <c r="AI125" s="322"/>
      <c r="AJ125" s="321"/>
      <c r="AK125" s="322"/>
      <c r="AL125" s="321"/>
      <c r="AM125" s="322"/>
      <c r="AN125" s="321"/>
      <c r="AO125" s="322"/>
      <c r="AP125" s="321"/>
      <c r="AQ125" s="322"/>
      <c r="AR125" s="321"/>
      <c r="AS125" s="322"/>
      <c r="AT125" s="321"/>
      <c r="AU125" s="322"/>
      <c r="AV125" s="321"/>
      <c r="AW125" s="322"/>
      <c r="AX125" s="321"/>
      <c r="AY125" s="322"/>
      <c r="AZ125" s="321"/>
      <c r="BA125" s="322"/>
      <c r="BB125" s="321"/>
      <c r="BC125" s="322"/>
      <c r="BD125" s="321"/>
      <c r="BE125" s="322"/>
      <c r="BF125" s="321"/>
      <c r="BG125" s="322"/>
      <c r="BH125" s="321"/>
      <c r="BI125" s="322"/>
      <c r="BJ125" s="321"/>
      <c r="BK125" s="322"/>
      <c r="BL125" s="321"/>
      <c r="BM125" s="322"/>
      <c r="BN125" s="321"/>
      <c r="BO125" s="322"/>
      <c r="BP125" s="321"/>
      <c r="BQ125" s="322"/>
      <c r="BR125" s="321"/>
      <c r="BS125" s="322"/>
      <c r="BT125" s="321"/>
      <c r="BU125" s="322"/>
      <c r="BV125" s="264">
        <f t="shared" si="49"/>
        <v>0</v>
      </c>
      <c r="BW125" s="264">
        <f t="shared" si="50"/>
        <v>0</v>
      </c>
    </row>
    <row r="126" spans="1:75" s="62" customFormat="1" ht="21.95" customHeight="1" x14ac:dyDescent="0.25">
      <c r="A126" s="344" t="s">
        <v>3274</v>
      </c>
      <c r="B126" s="434" t="s">
        <v>3275</v>
      </c>
      <c r="C126" s="435">
        <v>1</v>
      </c>
      <c r="D126" s="436" t="s">
        <v>3276</v>
      </c>
      <c r="E126" s="345" t="s">
        <v>3277</v>
      </c>
      <c r="F126" s="437" t="s">
        <v>3165</v>
      </c>
      <c r="G126" s="437" t="s">
        <v>3166</v>
      </c>
      <c r="H126" s="438" t="s">
        <v>1339</v>
      </c>
      <c r="I126" s="303" t="s">
        <v>1339</v>
      </c>
      <c r="J126" s="273" t="s">
        <v>3167</v>
      </c>
      <c r="K126" s="274" t="s">
        <v>3168</v>
      </c>
      <c r="L126" s="321"/>
      <c r="M126" s="322"/>
      <c r="N126" s="321"/>
      <c r="O126" s="322"/>
      <c r="P126" s="321"/>
      <c r="Q126" s="322"/>
      <c r="R126" s="321"/>
      <c r="S126" s="322"/>
      <c r="T126" s="321"/>
      <c r="U126" s="322"/>
      <c r="V126" s="321"/>
      <c r="W126" s="322"/>
      <c r="X126" s="321"/>
      <c r="Y126" s="322"/>
      <c r="Z126" s="321"/>
      <c r="AA126" s="322"/>
      <c r="AB126" s="321"/>
      <c r="AC126" s="322"/>
      <c r="AD126" s="321"/>
      <c r="AE126" s="322"/>
      <c r="AF126" s="321"/>
      <c r="AG126" s="322"/>
      <c r="AH126" s="321"/>
      <c r="AI126" s="322"/>
      <c r="AJ126" s="321"/>
      <c r="AK126" s="322"/>
      <c r="AL126" s="321"/>
      <c r="AM126" s="322"/>
      <c r="AN126" s="321"/>
      <c r="AO126" s="322"/>
      <c r="AP126" s="321"/>
      <c r="AQ126" s="322"/>
      <c r="AR126" s="321"/>
      <c r="AS126" s="322"/>
      <c r="AT126" s="321"/>
      <c r="AU126" s="322"/>
      <c r="AV126" s="321"/>
      <c r="AW126" s="322"/>
      <c r="AX126" s="321"/>
      <c r="AY126" s="322"/>
      <c r="AZ126" s="321"/>
      <c r="BA126" s="322"/>
      <c r="BB126" s="321"/>
      <c r="BC126" s="322"/>
      <c r="BD126" s="321"/>
      <c r="BE126" s="322"/>
      <c r="BF126" s="321"/>
      <c r="BG126" s="322"/>
      <c r="BH126" s="321"/>
      <c r="BI126" s="322"/>
      <c r="BJ126" s="321"/>
      <c r="BK126" s="322"/>
      <c r="BL126" s="321"/>
      <c r="BM126" s="322"/>
      <c r="BN126" s="321"/>
      <c r="BO126" s="322"/>
      <c r="BP126" s="321"/>
      <c r="BQ126" s="322"/>
      <c r="BR126" s="321"/>
      <c r="BS126" s="322"/>
      <c r="BT126" s="321"/>
      <c r="BU126" s="322"/>
      <c r="BV126" s="264">
        <f>L126+N126+P126+R126+T126+V126+X126+Z126+AB126+AD126+AF126+AH126+AJ126+AL126+AN126+AP126+AR126+AT126+AV126+AX126+AZ126+BB126+BD126+BF126+BH126+BJ126+BL126+BN126+BP126+BR126+BT126</f>
        <v>0</v>
      </c>
      <c r="BW126" s="264">
        <f>M126+O126+Q126+S126+U126+W126+Y126+AA126+AC126+AE126+AG126+AI126+AK126+AM126+AO126+AQ126+AS126+AU126+AW126+AY126+BA126+BC126+BE126+BG126+BI126+BK126+BM126+BO126+BQ126+BS126+BU126</f>
        <v>0</v>
      </c>
    </row>
    <row r="127" spans="1:75" s="62" customFormat="1" ht="21.95" customHeight="1" x14ac:dyDescent="0.2">
      <c r="A127" s="304" t="s">
        <v>3274</v>
      </c>
      <c r="B127" s="305" t="s">
        <v>3275</v>
      </c>
      <c r="C127" s="272" t="s">
        <v>3175</v>
      </c>
      <c r="D127" s="306" t="s">
        <v>3276</v>
      </c>
      <c r="E127" s="307" t="s">
        <v>3277</v>
      </c>
      <c r="F127" s="308" t="s">
        <v>3165</v>
      </c>
      <c r="G127" s="308" t="s">
        <v>3166</v>
      </c>
      <c r="H127" s="309" t="s">
        <v>1339</v>
      </c>
      <c r="I127" s="310" t="s">
        <v>1339</v>
      </c>
      <c r="J127" s="273" t="s">
        <v>3167</v>
      </c>
      <c r="K127" s="273" t="s">
        <v>3169</v>
      </c>
      <c r="L127" s="319">
        <v>2</v>
      </c>
      <c r="M127" s="320"/>
      <c r="N127" s="319">
        <v>2</v>
      </c>
      <c r="O127" s="320"/>
      <c r="P127" s="319"/>
      <c r="Q127" s="320"/>
      <c r="R127" s="319"/>
      <c r="S127" s="320"/>
      <c r="T127" s="319"/>
      <c r="U127" s="320"/>
      <c r="V127" s="319">
        <v>1</v>
      </c>
      <c r="W127" s="320"/>
      <c r="X127" s="319">
        <v>3</v>
      </c>
      <c r="Y127" s="320"/>
      <c r="Z127" s="319">
        <v>2</v>
      </c>
      <c r="AA127" s="320"/>
      <c r="AB127" s="319">
        <v>2</v>
      </c>
      <c r="AC127" s="320"/>
      <c r="AD127" s="319">
        <v>3</v>
      </c>
      <c r="AE127" s="320"/>
      <c r="AF127" s="319"/>
      <c r="AG127" s="320"/>
      <c r="AH127" s="319"/>
      <c r="AI127" s="320"/>
      <c r="AJ127" s="319">
        <v>1</v>
      </c>
      <c r="AK127" s="320"/>
      <c r="AL127" s="319">
        <v>3</v>
      </c>
      <c r="AM127" s="320"/>
      <c r="AN127" s="319">
        <v>2</v>
      </c>
      <c r="AO127" s="320"/>
      <c r="AP127" s="319">
        <v>2</v>
      </c>
      <c r="AQ127" s="320"/>
      <c r="AR127" s="319">
        <v>3</v>
      </c>
      <c r="AS127" s="320"/>
      <c r="AT127" s="319"/>
      <c r="AU127" s="320"/>
      <c r="AV127" s="319"/>
      <c r="AW127" s="320"/>
      <c r="AX127" s="319">
        <v>1</v>
      </c>
      <c r="AY127" s="320"/>
      <c r="AZ127" s="319"/>
      <c r="BA127" s="320"/>
      <c r="BB127" s="319">
        <v>2</v>
      </c>
      <c r="BC127" s="320"/>
      <c r="BD127" s="319">
        <v>2</v>
      </c>
      <c r="BE127" s="320"/>
      <c r="BF127" s="319">
        <v>3</v>
      </c>
      <c r="BG127" s="320"/>
      <c r="BH127" s="319"/>
      <c r="BI127" s="320"/>
      <c r="BJ127" s="319"/>
      <c r="BK127" s="320"/>
      <c r="BL127" s="319">
        <v>1</v>
      </c>
      <c r="BM127" s="320"/>
      <c r="BN127" s="319">
        <v>3</v>
      </c>
      <c r="BO127" s="320"/>
      <c r="BP127" s="319">
        <v>2</v>
      </c>
      <c r="BQ127" s="320"/>
      <c r="BR127" s="319">
        <v>2</v>
      </c>
      <c r="BS127" s="320"/>
      <c r="BT127" s="319"/>
      <c r="BU127" s="320"/>
      <c r="BV127" s="264">
        <f t="shared" ref="BV127:BV130" si="51">L127+N127+P127+R127+T127+V127+X127+Z127+AB127+AD127+AF127+AH127+AJ127+AL127+AN127+AP127+AR127+AT127+AV127+AX127+AZ127+BB127+BD127+BF127+BH127+BJ127+BL127+BN127+BP127+BR127+BT127</f>
        <v>42</v>
      </c>
      <c r="BW127" s="264">
        <f t="shared" ref="BW127:BW130" si="52">M127+O127+Q127+S127+U127+W127+Y127+AA127+AC127+AE127+AG127+AI127+AK127+AM127+AO127+AQ127+AS127+AU127+AW127+AY127+BA127+BC127+BE127+BG127+BI127+BK127+BM127+BO127+BQ127+BS127+BU127</f>
        <v>0</v>
      </c>
    </row>
    <row r="128" spans="1:75" s="62" customFormat="1" ht="21.95" customHeight="1" x14ac:dyDescent="0.2">
      <c r="A128" s="304" t="s">
        <v>3274</v>
      </c>
      <c r="B128" s="305" t="s">
        <v>3275</v>
      </c>
      <c r="C128" s="311" t="s">
        <v>3175</v>
      </c>
      <c r="D128" s="306" t="s">
        <v>3276</v>
      </c>
      <c r="E128" s="307" t="s">
        <v>3277</v>
      </c>
      <c r="F128" s="308" t="s">
        <v>3165</v>
      </c>
      <c r="G128" s="308" t="s">
        <v>3166</v>
      </c>
      <c r="H128" s="309" t="s">
        <v>1339</v>
      </c>
      <c r="I128" s="310" t="s">
        <v>1339</v>
      </c>
      <c r="J128" s="273" t="s">
        <v>3167</v>
      </c>
      <c r="K128" s="275" t="s">
        <v>3170</v>
      </c>
      <c r="L128" s="319"/>
      <c r="M128" s="320"/>
      <c r="N128" s="319"/>
      <c r="O128" s="320"/>
      <c r="P128" s="319"/>
      <c r="Q128" s="320"/>
      <c r="R128" s="319"/>
      <c r="S128" s="320"/>
      <c r="T128" s="319"/>
      <c r="U128" s="320"/>
      <c r="V128" s="319"/>
      <c r="W128" s="320"/>
      <c r="X128" s="319"/>
      <c r="Y128" s="320"/>
      <c r="Z128" s="319"/>
      <c r="AA128" s="320"/>
      <c r="AB128" s="319"/>
      <c r="AC128" s="320"/>
      <c r="AD128" s="319"/>
      <c r="AE128" s="320"/>
      <c r="AF128" s="319"/>
      <c r="AG128" s="320"/>
      <c r="AH128" s="319"/>
      <c r="AI128" s="320"/>
      <c r="AJ128" s="319"/>
      <c r="AK128" s="320"/>
      <c r="AL128" s="319"/>
      <c r="AM128" s="320"/>
      <c r="AN128" s="319"/>
      <c r="AO128" s="320"/>
      <c r="AP128" s="319"/>
      <c r="AQ128" s="320"/>
      <c r="AR128" s="319"/>
      <c r="AS128" s="320"/>
      <c r="AT128" s="319"/>
      <c r="AU128" s="320"/>
      <c r="AV128" s="319"/>
      <c r="AW128" s="320"/>
      <c r="AX128" s="319"/>
      <c r="AY128" s="320"/>
      <c r="AZ128" s="319"/>
      <c r="BA128" s="320"/>
      <c r="BB128" s="319"/>
      <c r="BC128" s="320"/>
      <c r="BD128" s="319"/>
      <c r="BE128" s="320"/>
      <c r="BF128" s="319"/>
      <c r="BG128" s="320"/>
      <c r="BH128" s="319"/>
      <c r="BI128" s="320"/>
      <c r="BJ128" s="319"/>
      <c r="BK128" s="320"/>
      <c r="BL128" s="319"/>
      <c r="BM128" s="320"/>
      <c r="BN128" s="319"/>
      <c r="BO128" s="320"/>
      <c r="BP128" s="319"/>
      <c r="BQ128" s="320"/>
      <c r="BR128" s="319"/>
      <c r="BS128" s="320"/>
      <c r="BT128" s="319"/>
      <c r="BU128" s="320"/>
      <c r="BV128" s="264">
        <f t="shared" si="51"/>
        <v>0</v>
      </c>
      <c r="BW128" s="264">
        <f t="shared" si="52"/>
        <v>0</v>
      </c>
    </row>
    <row r="129" spans="1:75" s="62" customFormat="1" ht="21.95" customHeight="1" x14ac:dyDescent="0.2">
      <c r="A129" s="304" t="s">
        <v>3274</v>
      </c>
      <c r="B129" s="305" t="s">
        <v>3275</v>
      </c>
      <c r="C129" s="311" t="s">
        <v>3175</v>
      </c>
      <c r="D129" s="306" t="s">
        <v>3276</v>
      </c>
      <c r="E129" s="307" t="s">
        <v>3277</v>
      </c>
      <c r="F129" s="308" t="s">
        <v>3165</v>
      </c>
      <c r="G129" s="308" t="s">
        <v>3166</v>
      </c>
      <c r="H129" s="309" t="s">
        <v>1339</v>
      </c>
      <c r="I129" s="310" t="s">
        <v>1339</v>
      </c>
      <c r="J129" s="273" t="s">
        <v>3167</v>
      </c>
      <c r="K129" s="276" t="s">
        <v>3171</v>
      </c>
      <c r="L129" s="319"/>
      <c r="M129" s="320"/>
      <c r="N129" s="319"/>
      <c r="O129" s="320"/>
      <c r="P129" s="319"/>
      <c r="Q129" s="320"/>
      <c r="R129" s="319"/>
      <c r="S129" s="320"/>
      <c r="T129" s="319"/>
      <c r="U129" s="320"/>
      <c r="V129" s="319"/>
      <c r="W129" s="320"/>
      <c r="X129" s="319"/>
      <c r="Y129" s="320"/>
      <c r="Z129" s="319"/>
      <c r="AA129" s="320"/>
      <c r="AB129" s="319"/>
      <c r="AC129" s="320"/>
      <c r="AD129" s="319"/>
      <c r="AE129" s="320"/>
      <c r="AF129" s="319"/>
      <c r="AG129" s="320"/>
      <c r="AH129" s="319"/>
      <c r="AI129" s="320"/>
      <c r="AJ129" s="319"/>
      <c r="AK129" s="320"/>
      <c r="AL129" s="319"/>
      <c r="AM129" s="320"/>
      <c r="AN129" s="319"/>
      <c r="AO129" s="320"/>
      <c r="AP129" s="319"/>
      <c r="AQ129" s="320"/>
      <c r="AR129" s="319"/>
      <c r="AS129" s="320"/>
      <c r="AT129" s="319"/>
      <c r="AU129" s="320"/>
      <c r="AV129" s="319"/>
      <c r="AW129" s="320"/>
      <c r="AX129" s="319"/>
      <c r="AY129" s="320"/>
      <c r="AZ129" s="319"/>
      <c r="BA129" s="320"/>
      <c r="BB129" s="319"/>
      <c r="BC129" s="320"/>
      <c r="BD129" s="319"/>
      <c r="BE129" s="320"/>
      <c r="BF129" s="319"/>
      <c r="BG129" s="320"/>
      <c r="BH129" s="319"/>
      <c r="BI129" s="320"/>
      <c r="BJ129" s="319"/>
      <c r="BK129" s="320"/>
      <c r="BL129" s="319"/>
      <c r="BM129" s="320"/>
      <c r="BN129" s="319"/>
      <c r="BO129" s="320"/>
      <c r="BP129" s="319"/>
      <c r="BQ129" s="320"/>
      <c r="BR129" s="319"/>
      <c r="BS129" s="320"/>
      <c r="BT129" s="319"/>
      <c r="BU129" s="320"/>
      <c r="BV129" s="264">
        <f t="shared" si="51"/>
        <v>0</v>
      </c>
      <c r="BW129" s="264">
        <f t="shared" si="52"/>
        <v>0</v>
      </c>
    </row>
    <row r="130" spans="1:75" s="62" customFormat="1" ht="21.95" customHeight="1" thickBot="1" x14ac:dyDescent="0.25">
      <c r="A130" s="568" t="s">
        <v>3274</v>
      </c>
      <c r="B130" s="312" t="s">
        <v>3275</v>
      </c>
      <c r="C130" s="313" t="s">
        <v>3175</v>
      </c>
      <c r="D130" s="314" t="s">
        <v>3276</v>
      </c>
      <c r="E130" s="330" t="s">
        <v>3277</v>
      </c>
      <c r="F130" s="315" t="s">
        <v>3165</v>
      </c>
      <c r="G130" s="315" t="s">
        <v>3166</v>
      </c>
      <c r="H130" s="316" t="s">
        <v>1339</v>
      </c>
      <c r="I130" s="569" t="s">
        <v>1339</v>
      </c>
      <c r="J130" s="273" t="s">
        <v>3167</v>
      </c>
      <c r="K130" s="277" t="s">
        <v>53</v>
      </c>
      <c r="L130" s="321"/>
      <c r="M130" s="322"/>
      <c r="N130" s="321"/>
      <c r="O130" s="322"/>
      <c r="P130" s="321"/>
      <c r="Q130" s="322"/>
      <c r="R130" s="321"/>
      <c r="S130" s="322"/>
      <c r="T130" s="321"/>
      <c r="U130" s="322"/>
      <c r="V130" s="321"/>
      <c r="W130" s="322"/>
      <c r="X130" s="321"/>
      <c r="Y130" s="322"/>
      <c r="Z130" s="321"/>
      <c r="AA130" s="322"/>
      <c r="AB130" s="321"/>
      <c r="AC130" s="322"/>
      <c r="AD130" s="321"/>
      <c r="AE130" s="322"/>
      <c r="AF130" s="321"/>
      <c r="AG130" s="322"/>
      <c r="AH130" s="321"/>
      <c r="AI130" s="322"/>
      <c r="AJ130" s="321"/>
      <c r="AK130" s="322"/>
      <c r="AL130" s="321"/>
      <c r="AM130" s="322"/>
      <c r="AN130" s="321"/>
      <c r="AO130" s="322"/>
      <c r="AP130" s="321"/>
      <c r="AQ130" s="322"/>
      <c r="AR130" s="321"/>
      <c r="AS130" s="322"/>
      <c r="AT130" s="321"/>
      <c r="AU130" s="322"/>
      <c r="AV130" s="321"/>
      <c r="AW130" s="322"/>
      <c r="AX130" s="321"/>
      <c r="AY130" s="322"/>
      <c r="AZ130" s="321"/>
      <c r="BA130" s="322"/>
      <c r="BB130" s="321"/>
      <c r="BC130" s="322"/>
      <c r="BD130" s="321"/>
      <c r="BE130" s="322"/>
      <c r="BF130" s="321"/>
      <c r="BG130" s="322"/>
      <c r="BH130" s="321"/>
      <c r="BI130" s="322"/>
      <c r="BJ130" s="321"/>
      <c r="BK130" s="322"/>
      <c r="BL130" s="321"/>
      <c r="BM130" s="322"/>
      <c r="BN130" s="321"/>
      <c r="BO130" s="322"/>
      <c r="BP130" s="321"/>
      <c r="BQ130" s="322"/>
      <c r="BR130" s="321"/>
      <c r="BS130" s="322"/>
      <c r="BT130" s="321"/>
      <c r="BU130" s="322"/>
      <c r="BV130" s="264">
        <f t="shared" si="51"/>
        <v>0</v>
      </c>
      <c r="BW130" s="264">
        <f t="shared" si="52"/>
        <v>0</v>
      </c>
    </row>
    <row r="131" spans="1:75" s="62" customFormat="1" ht="21.95" customHeight="1" x14ac:dyDescent="0.25">
      <c r="A131" s="344" t="s">
        <v>3278</v>
      </c>
      <c r="B131" s="434" t="s">
        <v>3279</v>
      </c>
      <c r="C131" s="435">
        <v>3</v>
      </c>
      <c r="D131" s="436" t="s">
        <v>3280</v>
      </c>
      <c r="E131" s="345" t="s">
        <v>3281</v>
      </c>
      <c r="F131" s="437" t="s">
        <v>3165</v>
      </c>
      <c r="G131" s="437" t="s">
        <v>3166</v>
      </c>
      <c r="H131" s="438" t="s">
        <v>1344</v>
      </c>
      <c r="I131" s="303" t="s">
        <v>1344</v>
      </c>
      <c r="J131" s="273" t="s">
        <v>3172</v>
      </c>
      <c r="K131" s="274" t="s">
        <v>3168</v>
      </c>
      <c r="L131" s="321"/>
      <c r="M131" s="322"/>
      <c r="N131" s="321"/>
      <c r="O131" s="322"/>
      <c r="P131" s="321"/>
      <c r="Q131" s="322"/>
      <c r="R131" s="321"/>
      <c r="S131" s="322"/>
      <c r="T131" s="321"/>
      <c r="U131" s="322"/>
      <c r="V131" s="321"/>
      <c r="W131" s="322"/>
      <c r="X131" s="321"/>
      <c r="Y131" s="322"/>
      <c r="Z131" s="321"/>
      <c r="AA131" s="322"/>
      <c r="AB131" s="321"/>
      <c r="AC131" s="322"/>
      <c r="AD131" s="321"/>
      <c r="AE131" s="322"/>
      <c r="AF131" s="321"/>
      <c r="AG131" s="322"/>
      <c r="AH131" s="321"/>
      <c r="AI131" s="322"/>
      <c r="AJ131" s="321"/>
      <c r="AK131" s="322"/>
      <c r="AL131" s="321"/>
      <c r="AM131" s="322"/>
      <c r="AN131" s="321"/>
      <c r="AO131" s="322"/>
      <c r="AP131" s="321"/>
      <c r="AQ131" s="322"/>
      <c r="AR131" s="321"/>
      <c r="AS131" s="322"/>
      <c r="AT131" s="321"/>
      <c r="AU131" s="322"/>
      <c r="AV131" s="321"/>
      <c r="AW131" s="322"/>
      <c r="AX131" s="321"/>
      <c r="AY131" s="322"/>
      <c r="AZ131" s="321"/>
      <c r="BA131" s="322"/>
      <c r="BB131" s="321"/>
      <c r="BC131" s="322"/>
      <c r="BD131" s="321"/>
      <c r="BE131" s="322"/>
      <c r="BF131" s="321"/>
      <c r="BG131" s="322"/>
      <c r="BH131" s="321"/>
      <c r="BI131" s="322"/>
      <c r="BJ131" s="321"/>
      <c r="BK131" s="322"/>
      <c r="BL131" s="321"/>
      <c r="BM131" s="322"/>
      <c r="BN131" s="321"/>
      <c r="BO131" s="322"/>
      <c r="BP131" s="321"/>
      <c r="BQ131" s="322"/>
      <c r="BR131" s="321"/>
      <c r="BS131" s="322"/>
      <c r="BT131" s="321"/>
      <c r="BU131" s="322"/>
      <c r="BV131" s="264">
        <f>L131+N131+P131+R131+T131+V131+X131+Z131+AB131+AD131+AF131+AH131+AJ131+AL131+AN131+AP131+AR131+AT131+AV131+AX131+AZ131+BB131+BD131+BF131+BH131+BJ131+BL131+BN131+BP131+BR131+BT131</f>
        <v>0</v>
      </c>
      <c r="BW131" s="264">
        <f>M131+O131+Q131+S131+U131+W131+Y131+AA131+AC131+AE131+AG131+AI131+AK131+AM131+AO131+AQ131+AS131+AU131+AW131+AY131+BA131+BC131+BE131+BG131+BI131+BK131+BM131+BO131+BQ131+BS131+BU131</f>
        <v>0</v>
      </c>
    </row>
    <row r="132" spans="1:75" s="62" customFormat="1" ht="21.95" customHeight="1" x14ac:dyDescent="0.2">
      <c r="A132" s="304" t="s">
        <v>3278</v>
      </c>
      <c r="B132" s="305" t="s">
        <v>3279</v>
      </c>
      <c r="C132" s="272" t="s">
        <v>3177</v>
      </c>
      <c r="D132" s="306" t="s">
        <v>3280</v>
      </c>
      <c r="E132" s="307" t="s">
        <v>3281</v>
      </c>
      <c r="F132" s="308" t="s">
        <v>3165</v>
      </c>
      <c r="G132" s="308" t="s">
        <v>3166</v>
      </c>
      <c r="H132" s="309" t="s">
        <v>1344</v>
      </c>
      <c r="I132" s="310" t="s">
        <v>1344</v>
      </c>
      <c r="J132" s="273" t="s">
        <v>3172</v>
      </c>
      <c r="K132" s="273" t="s">
        <v>3169</v>
      </c>
      <c r="L132" s="319"/>
      <c r="M132" s="320"/>
      <c r="N132" s="319"/>
      <c r="O132" s="320"/>
      <c r="P132" s="319"/>
      <c r="Q132" s="320"/>
      <c r="R132" s="319"/>
      <c r="S132" s="320"/>
      <c r="T132" s="319"/>
      <c r="U132" s="320"/>
      <c r="V132" s="319"/>
      <c r="W132" s="320"/>
      <c r="X132" s="319"/>
      <c r="Y132" s="320"/>
      <c r="Z132" s="319"/>
      <c r="AA132" s="320"/>
      <c r="AB132" s="319"/>
      <c r="AC132" s="320"/>
      <c r="AD132" s="319"/>
      <c r="AE132" s="320"/>
      <c r="AF132" s="319"/>
      <c r="AG132" s="320"/>
      <c r="AH132" s="319"/>
      <c r="AI132" s="320"/>
      <c r="AJ132" s="319"/>
      <c r="AK132" s="320"/>
      <c r="AL132" s="319"/>
      <c r="AM132" s="320"/>
      <c r="AN132" s="319"/>
      <c r="AO132" s="320"/>
      <c r="AP132" s="319"/>
      <c r="AQ132" s="320"/>
      <c r="AR132" s="319"/>
      <c r="AS132" s="320"/>
      <c r="AT132" s="319"/>
      <c r="AU132" s="320"/>
      <c r="AV132" s="319"/>
      <c r="AW132" s="320"/>
      <c r="AX132" s="319"/>
      <c r="AY132" s="320"/>
      <c r="AZ132" s="319"/>
      <c r="BA132" s="320"/>
      <c r="BB132" s="319"/>
      <c r="BC132" s="320"/>
      <c r="BD132" s="319"/>
      <c r="BE132" s="320"/>
      <c r="BF132" s="319"/>
      <c r="BG132" s="320"/>
      <c r="BH132" s="319"/>
      <c r="BI132" s="320"/>
      <c r="BJ132" s="319"/>
      <c r="BK132" s="320"/>
      <c r="BL132" s="319"/>
      <c r="BM132" s="320"/>
      <c r="BN132" s="319"/>
      <c r="BO132" s="320"/>
      <c r="BP132" s="319"/>
      <c r="BQ132" s="320"/>
      <c r="BR132" s="319"/>
      <c r="BS132" s="320"/>
      <c r="BT132" s="319"/>
      <c r="BU132" s="320"/>
      <c r="BV132" s="264">
        <f t="shared" ref="BV132:BV135" si="53">L132+N132+P132+R132+T132+V132+X132+Z132+AB132+AD132+AF132+AH132+AJ132+AL132+AN132+AP132+AR132+AT132+AV132+AX132+AZ132+BB132+BD132+BF132+BH132+BJ132+BL132+BN132+BP132+BR132+BT132</f>
        <v>0</v>
      </c>
      <c r="BW132" s="264">
        <f t="shared" ref="BW132:BW135" si="54">M132+O132+Q132+S132+U132+W132+Y132+AA132+AC132+AE132+AG132+AI132+AK132+AM132+AO132+AQ132+AS132+AU132+AW132+AY132+BA132+BC132+BE132+BG132+BI132+BK132+BM132+BO132+BQ132+BS132+BU132</f>
        <v>0</v>
      </c>
    </row>
    <row r="133" spans="1:75" s="62" customFormat="1" ht="21.95" customHeight="1" x14ac:dyDescent="0.2">
      <c r="A133" s="304" t="s">
        <v>3278</v>
      </c>
      <c r="B133" s="305" t="s">
        <v>3279</v>
      </c>
      <c r="C133" s="311" t="s">
        <v>3177</v>
      </c>
      <c r="D133" s="306" t="s">
        <v>3280</v>
      </c>
      <c r="E133" s="307" t="s">
        <v>3281</v>
      </c>
      <c r="F133" s="308" t="s">
        <v>3165</v>
      </c>
      <c r="G133" s="308" t="s">
        <v>3166</v>
      </c>
      <c r="H133" s="309" t="s">
        <v>1344</v>
      </c>
      <c r="I133" s="310" t="s">
        <v>1344</v>
      </c>
      <c r="J133" s="273" t="s">
        <v>3172</v>
      </c>
      <c r="K133" s="275" t="s">
        <v>3170</v>
      </c>
      <c r="L133" s="319"/>
      <c r="M133" s="320"/>
      <c r="N133" s="319"/>
      <c r="O133" s="320"/>
      <c r="P133" s="319"/>
      <c r="Q133" s="320"/>
      <c r="R133" s="319"/>
      <c r="S133" s="320"/>
      <c r="T133" s="319"/>
      <c r="U133" s="320"/>
      <c r="V133" s="319"/>
      <c r="W133" s="320"/>
      <c r="X133" s="319"/>
      <c r="Y133" s="320"/>
      <c r="Z133" s="319"/>
      <c r="AA133" s="320"/>
      <c r="AB133" s="319"/>
      <c r="AC133" s="320"/>
      <c r="AD133" s="319"/>
      <c r="AE133" s="320"/>
      <c r="AF133" s="319"/>
      <c r="AG133" s="320"/>
      <c r="AH133" s="319"/>
      <c r="AI133" s="320"/>
      <c r="AJ133" s="319"/>
      <c r="AK133" s="320"/>
      <c r="AL133" s="319"/>
      <c r="AM133" s="320"/>
      <c r="AN133" s="319"/>
      <c r="AO133" s="320"/>
      <c r="AP133" s="319"/>
      <c r="AQ133" s="320"/>
      <c r="AR133" s="319"/>
      <c r="AS133" s="320"/>
      <c r="AT133" s="319"/>
      <c r="AU133" s="320"/>
      <c r="AV133" s="319"/>
      <c r="AW133" s="320"/>
      <c r="AX133" s="319"/>
      <c r="AY133" s="320"/>
      <c r="AZ133" s="319"/>
      <c r="BA133" s="320"/>
      <c r="BB133" s="319"/>
      <c r="BC133" s="320"/>
      <c r="BD133" s="319"/>
      <c r="BE133" s="320"/>
      <c r="BF133" s="319"/>
      <c r="BG133" s="320"/>
      <c r="BH133" s="319"/>
      <c r="BI133" s="320"/>
      <c r="BJ133" s="319"/>
      <c r="BK133" s="320"/>
      <c r="BL133" s="319"/>
      <c r="BM133" s="320"/>
      <c r="BN133" s="319"/>
      <c r="BO133" s="320"/>
      <c r="BP133" s="319"/>
      <c r="BQ133" s="320"/>
      <c r="BR133" s="319"/>
      <c r="BS133" s="320"/>
      <c r="BT133" s="319"/>
      <c r="BU133" s="320"/>
      <c r="BV133" s="264">
        <f t="shared" si="53"/>
        <v>0</v>
      </c>
      <c r="BW133" s="264">
        <f t="shared" si="54"/>
        <v>0</v>
      </c>
    </row>
    <row r="134" spans="1:75" s="62" customFormat="1" ht="21.95" customHeight="1" x14ac:dyDescent="0.2">
      <c r="A134" s="304" t="s">
        <v>3278</v>
      </c>
      <c r="B134" s="305" t="s">
        <v>3279</v>
      </c>
      <c r="C134" s="311" t="s">
        <v>3177</v>
      </c>
      <c r="D134" s="306" t="s">
        <v>3280</v>
      </c>
      <c r="E134" s="307" t="s">
        <v>3281</v>
      </c>
      <c r="F134" s="308" t="s">
        <v>3165</v>
      </c>
      <c r="G134" s="308" t="s">
        <v>3166</v>
      </c>
      <c r="H134" s="309" t="s">
        <v>1344</v>
      </c>
      <c r="I134" s="310" t="s">
        <v>1344</v>
      </c>
      <c r="J134" s="273" t="s">
        <v>3172</v>
      </c>
      <c r="K134" s="276" t="s">
        <v>3171</v>
      </c>
      <c r="L134" s="319"/>
      <c r="M134" s="320"/>
      <c r="N134" s="319"/>
      <c r="O134" s="320"/>
      <c r="P134" s="319"/>
      <c r="Q134" s="320"/>
      <c r="R134" s="319"/>
      <c r="S134" s="320"/>
      <c r="T134" s="319"/>
      <c r="U134" s="320"/>
      <c r="V134" s="319"/>
      <c r="W134" s="320"/>
      <c r="X134" s="319"/>
      <c r="Y134" s="320"/>
      <c r="Z134" s="319"/>
      <c r="AA134" s="320"/>
      <c r="AB134" s="319"/>
      <c r="AC134" s="320"/>
      <c r="AD134" s="319"/>
      <c r="AE134" s="320"/>
      <c r="AF134" s="319"/>
      <c r="AG134" s="320"/>
      <c r="AH134" s="319"/>
      <c r="AI134" s="320"/>
      <c r="AJ134" s="319"/>
      <c r="AK134" s="320"/>
      <c r="AL134" s="319"/>
      <c r="AM134" s="320"/>
      <c r="AN134" s="319"/>
      <c r="AO134" s="320"/>
      <c r="AP134" s="319"/>
      <c r="AQ134" s="320"/>
      <c r="AR134" s="319"/>
      <c r="AS134" s="320"/>
      <c r="AT134" s="319"/>
      <c r="AU134" s="320"/>
      <c r="AV134" s="319"/>
      <c r="AW134" s="320"/>
      <c r="AX134" s="319"/>
      <c r="AY134" s="320"/>
      <c r="AZ134" s="319"/>
      <c r="BA134" s="320"/>
      <c r="BB134" s="319"/>
      <c r="BC134" s="320"/>
      <c r="BD134" s="319"/>
      <c r="BE134" s="320"/>
      <c r="BF134" s="319"/>
      <c r="BG134" s="320"/>
      <c r="BH134" s="319"/>
      <c r="BI134" s="320"/>
      <c r="BJ134" s="319"/>
      <c r="BK134" s="320"/>
      <c r="BL134" s="319"/>
      <c r="BM134" s="320"/>
      <c r="BN134" s="319"/>
      <c r="BO134" s="320"/>
      <c r="BP134" s="319"/>
      <c r="BQ134" s="320"/>
      <c r="BR134" s="319"/>
      <c r="BS134" s="320"/>
      <c r="BT134" s="319"/>
      <c r="BU134" s="320"/>
      <c r="BV134" s="264">
        <f t="shared" si="53"/>
        <v>0</v>
      </c>
      <c r="BW134" s="264">
        <f t="shared" si="54"/>
        <v>0</v>
      </c>
    </row>
    <row r="135" spans="1:75" s="62" customFormat="1" ht="21.95" customHeight="1" thickBot="1" x14ac:dyDescent="0.25">
      <c r="A135" s="568" t="s">
        <v>3278</v>
      </c>
      <c r="B135" s="312" t="s">
        <v>3279</v>
      </c>
      <c r="C135" s="313" t="s">
        <v>3177</v>
      </c>
      <c r="D135" s="314" t="s">
        <v>3280</v>
      </c>
      <c r="E135" s="330" t="s">
        <v>3281</v>
      </c>
      <c r="F135" s="315" t="s">
        <v>3165</v>
      </c>
      <c r="G135" s="315" t="s">
        <v>3166</v>
      </c>
      <c r="H135" s="316" t="s">
        <v>1344</v>
      </c>
      <c r="I135" s="569" t="s">
        <v>1344</v>
      </c>
      <c r="J135" s="273" t="s">
        <v>3172</v>
      </c>
      <c r="K135" s="277" t="s">
        <v>53</v>
      </c>
      <c r="L135" s="321"/>
      <c r="M135" s="322"/>
      <c r="N135" s="321"/>
      <c r="O135" s="322"/>
      <c r="P135" s="321"/>
      <c r="Q135" s="322"/>
      <c r="R135" s="321"/>
      <c r="S135" s="322"/>
      <c r="T135" s="321"/>
      <c r="U135" s="322"/>
      <c r="V135" s="321"/>
      <c r="W135" s="322"/>
      <c r="X135" s="321"/>
      <c r="Y135" s="322"/>
      <c r="Z135" s="321"/>
      <c r="AA135" s="322"/>
      <c r="AB135" s="321"/>
      <c r="AC135" s="322"/>
      <c r="AD135" s="321"/>
      <c r="AE135" s="322"/>
      <c r="AF135" s="321"/>
      <c r="AG135" s="322"/>
      <c r="AH135" s="321"/>
      <c r="AI135" s="322"/>
      <c r="AJ135" s="321"/>
      <c r="AK135" s="322"/>
      <c r="AL135" s="321"/>
      <c r="AM135" s="322"/>
      <c r="AN135" s="321"/>
      <c r="AO135" s="322"/>
      <c r="AP135" s="321"/>
      <c r="AQ135" s="322"/>
      <c r="AR135" s="321"/>
      <c r="AS135" s="322"/>
      <c r="AT135" s="321"/>
      <c r="AU135" s="322"/>
      <c r="AV135" s="321"/>
      <c r="AW135" s="322"/>
      <c r="AX135" s="321"/>
      <c r="AY135" s="322"/>
      <c r="AZ135" s="321"/>
      <c r="BA135" s="322"/>
      <c r="BB135" s="321"/>
      <c r="BC135" s="322"/>
      <c r="BD135" s="321"/>
      <c r="BE135" s="322"/>
      <c r="BF135" s="321"/>
      <c r="BG135" s="322"/>
      <c r="BH135" s="321"/>
      <c r="BI135" s="322"/>
      <c r="BJ135" s="321"/>
      <c r="BK135" s="322"/>
      <c r="BL135" s="321"/>
      <c r="BM135" s="322"/>
      <c r="BN135" s="321"/>
      <c r="BO135" s="322"/>
      <c r="BP135" s="321"/>
      <c r="BQ135" s="322"/>
      <c r="BR135" s="321"/>
      <c r="BS135" s="322"/>
      <c r="BT135" s="321"/>
      <c r="BU135" s="322"/>
      <c r="BV135" s="264">
        <f t="shared" si="53"/>
        <v>0</v>
      </c>
      <c r="BW135" s="264">
        <f t="shared" si="54"/>
        <v>0</v>
      </c>
    </row>
    <row r="136" spans="1:75" s="62" customFormat="1" ht="21.95" customHeight="1" x14ac:dyDescent="0.25">
      <c r="A136" s="344" t="s">
        <v>3282</v>
      </c>
      <c r="B136" s="434" t="s">
        <v>3283</v>
      </c>
      <c r="C136" s="435">
        <v>1</v>
      </c>
      <c r="D136" s="436" t="s">
        <v>3284</v>
      </c>
      <c r="E136" s="345" t="s">
        <v>3285</v>
      </c>
      <c r="F136" s="437" t="s">
        <v>3165</v>
      </c>
      <c r="G136" s="437" t="s">
        <v>3166</v>
      </c>
      <c r="H136" s="438" t="s">
        <v>1345</v>
      </c>
      <c r="I136" s="303" t="s">
        <v>1345</v>
      </c>
      <c r="J136" s="273" t="s">
        <v>3167</v>
      </c>
      <c r="K136" s="274" t="s">
        <v>3168</v>
      </c>
      <c r="L136" s="321"/>
      <c r="M136" s="322"/>
      <c r="N136" s="321"/>
      <c r="O136" s="322"/>
      <c r="P136" s="321"/>
      <c r="Q136" s="322"/>
      <c r="R136" s="321"/>
      <c r="S136" s="322"/>
      <c r="T136" s="321"/>
      <c r="U136" s="322"/>
      <c r="V136" s="321"/>
      <c r="W136" s="322"/>
      <c r="X136" s="321"/>
      <c r="Y136" s="322"/>
      <c r="Z136" s="321"/>
      <c r="AA136" s="322"/>
      <c r="AB136" s="321"/>
      <c r="AC136" s="322"/>
      <c r="AD136" s="321"/>
      <c r="AE136" s="322"/>
      <c r="AF136" s="321"/>
      <c r="AG136" s="322"/>
      <c r="AH136" s="321"/>
      <c r="AI136" s="322"/>
      <c r="AJ136" s="321"/>
      <c r="AK136" s="322"/>
      <c r="AL136" s="321"/>
      <c r="AM136" s="322"/>
      <c r="AN136" s="321"/>
      <c r="AO136" s="322"/>
      <c r="AP136" s="321"/>
      <c r="AQ136" s="322"/>
      <c r="AR136" s="321"/>
      <c r="AS136" s="322"/>
      <c r="AT136" s="321"/>
      <c r="AU136" s="322"/>
      <c r="AV136" s="321"/>
      <c r="AW136" s="322"/>
      <c r="AX136" s="321"/>
      <c r="AY136" s="322"/>
      <c r="AZ136" s="321"/>
      <c r="BA136" s="322"/>
      <c r="BB136" s="321"/>
      <c r="BC136" s="322"/>
      <c r="BD136" s="321"/>
      <c r="BE136" s="322"/>
      <c r="BF136" s="321"/>
      <c r="BG136" s="322"/>
      <c r="BH136" s="321"/>
      <c r="BI136" s="322"/>
      <c r="BJ136" s="321"/>
      <c r="BK136" s="322"/>
      <c r="BL136" s="321"/>
      <c r="BM136" s="322"/>
      <c r="BN136" s="321"/>
      <c r="BO136" s="322"/>
      <c r="BP136" s="321"/>
      <c r="BQ136" s="322"/>
      <c r="BR136" s="321"/>
      <c r="BS136" s="322"/>
      <c r="BT136" s="321"/>
      <c r="BU136" s="322"/>
      <c r="BV136" s="264">
        <f>L136+N136+P136+R136+T136+V136+X136+Z136+AB136+AD136+AF136+AH136+AJ136+AL136+AN136+AP136+AR136+AT136+AV136+AX136+AZ136+BB136+BD136+BF136+BH136+BJ136+BL136+BN136+BP136+BR136+BT136</f>
        <v>0</v>
      </c>
      <c r="BW136" s="264">
        <f>M136+O136+Q136+S136+U136+W136+Y136+AA136+AC136+AE136+AG136+AI136+AK136+AM136+AO136+AQ136+AS136+AU136+AW136+AY136+BA136+BC136+BE136+BG136+BI136+BK136+BM136+BO136+BQ136+BS136+BU136</f>
        <v>0</v>
      </c>
    </row>
    <row r="137" spans="1:75" s="62" customFormat="1" ht="21.95" customHeight="1" x14ac:dyDescent="0.2">
      <c r="A137" s="304" t="s">
        <v>3282</v>
      </c>
      <c r="B137" s="305" t="s">
        <v>3283</v>
      </c>
      <c r="C137" s="272" t="s">
        <v>3175</v>
      </c>
      <c r="D137" s="306" t="s">
        <v>3284</v>
      </c>
      <c r="E137" s="307" t="s">
        <v>3285</v>
      </c>
      <c r="F137" s="308" t="s">
        <v>3165</v>
      </c>
      <c r="G137" s="308" t="s">
        <v>3166</v>
      </c>
      <c r="H137" s="309" t="s">
        <v>1345</v>
      </c>
      <c r="I137" s="310" t="s">
        <v>1345</v>
      </c>
      <c r="J137" s="273" t="s">
        <v>3167</v>
      </c>
      <c r="K137" s="273" t="s">
        <v>3169</v>
      </c>
      <c r="L137" s="319"/>
      <c r="M137" s="320"/>
      <c r="N137" s="319"/>
      <c r="O137" s="320"/>
      <c r="P137" s="319"/>
      <c r="Q137" s="320"/>
      <c r="R137" s="319"/>
      <c r="S137" s="320"/>
      <c r="T137" s="319"/>
      <c r="U137" s="320"/>
      <c r="V137" s="319"/>
      <c r="W137" s="320"/>
      <c r="X137" s="319"/>
      <c r="Y137" s="320"/>
      <c r="Z137" s="319"/>
      <c r="AA137" s="320"/>
      <c r="AB137" s="319"/>
      <c r="AC137" s="320"/>
      <c r="AD137" s="319"/>
      <c r="AE137" s="320"/>
      <c r="AF137" s="319"/>
      <c r="AG137" s="320"/>
      <c r="AH137" s="319"/>
      <c r="AI137" s="320"/>
      <c r="AJ137" s="319"/>
      <c r="AK137" s="320"/>
      <c r="AL137" s="319"/>
      <c r="AM137" s="320"/>
      <c r="AN137" s="319"/>
      <c r="AO137" s="320"/>
      <c r="AP137" s="319"/>
      <c r="AQ137" s="320"/>
      <c r="AR137" s="319"/>
      <c r="AS137" s="320"/>
      <c r="AT137" s="319"/>
      <c r="AU137" s="320"/>
      <c r="AV137" s="319"/>
      <c r="AW137" s="320"/>
      <c r="AX137" s="319"/>
      <c r="AY137" s="320"/>
      <c r="AZ137" s="319"/>
      <c r="BA137" s="320"/>
      <c r="BB137" s="319"/>
      <c r="BC137" s="320"/>
      <c r="BD137" s="319"/>
      <c r="BE137" s="320"/>
      <c r="BF137" s="319"/>
      <c r="BG137" s="320"/>
      <c r="BH137" s="319"/>
      <c r="BI137" s="320"/>
      <c r="BJ137" s="319"/>
      <c r="BK137" s="320"/>
      <c r="BL137" s="319"/>
      <c r="BM137" s="320"/>
      <c r="BN137" s="319"/>
      <c r="BO137" s="320"/>
      <c r="BP137" s="319"/>
      <c r="BQ137" s="320"/>
      <c r="BR137" s="319"/>
      <c r="BS137" s="320"/>
      <c r="BT137" s="319"/>
      <c r="BU137" s="320"/>
      <c r="BV137" s="264">
        <f t="shared" ref="BV137:BV140" si="55">L137+N137+P137+R137+T137+V137+X137+Z137+AB137+AD137+AF137+AH137+AJ137+AL137+AN137+AP137+AR137+AT137+AV137+AX137+AZ137+BB137+BD137+BF137+BH137+BJ137+BL137+BN137+BP137+BR137+BT137</f>
        <v>0</v>
      </c>
      <c r="BW137" s="264">
        <f t="shared" ref="BW137:BW140" si="56">M137+O137+Q137+S137+U137+W137+Y137+AA137+AC137+AE137+AG137+AI137+AK137+AM137+AO137+AQ137+AS137+AU137+AW137+AY137+BA137+BC137+BE137+BG137+BI137+BK137+BM137+BO137+BQ137+BS137+BU137</f>
        <v>0</v>
      </c>
    </row>
    <row r="138" spans="1:75" s="62" customFormat="1" ht="21.95" customHeight="1" x14ac:dyDescent="0.2">
      <c r="A138" s="304" t="s">
        <v>3282</v>
      </c>
      <c r="B138" s="305" t="s">
        <v>3283</v>
      </c>
      <c r="C138" s="311" t="s">
        <v>3175</v>
      </c>
      <c r="D138" s="306" t="s">
        <v>3284</v>
      </c>
      <c r="E138" s="307" t="s">
        <v>3285</v>
      </c>
      <c r="F138" s="308" t="s">
        <v>3165</v>
      </c>
      <c r="G138" s="308" t="s">
        <v>3166</v>
      </c>
      <c r="H138" s="309" t="s">
        <v>1345</v>
      </c>
      <c r="I138" s="310" t="s">
        <v>1345</v>
      </c>
      <c r="J138" s="273" t="s">
        <v>3167</v>
      </c>
      <c r="K138" s="275" t="s">
        <v>3170</v>
      </c>
      <c r="L138" s="319"/>
      <c r="M138" s="320"/>
      <c r="N138" s="319"/>
      <c r="O138" s="320"/>
      <c r="P138" s="319"/>
      <c r="Q138" s="320"/>
      <c r="R138" s="319"/>
      <c r="S138" s="320"/>
      <c r="T138" s="319"/>
      <c r="U138" s="320"/>
      <c r="V138" s="319"/>
      <c r="W138" s="320"/>
      <c r="X138" s="319"/>
      <c r="Y138" s="320"/>
      <c r="Z138" s="319"/>
      <c r="AA138" s="320"/>
      <c r="AB138" s="319"/>
      <c r="AC138" s="320"/>
      <c r="AD138" s="319"/>
      <c r="AE138" s="320"/>
      <c r="AF138" s="319"/>
      <c r="AG138" s="320"/>
      <c r="AH138" s="319"/>
      <c r="AI138" s="320"/>
      <c r="AJ138" s="319"/>
      <c r="AK138" s="320"/>
      <c r="AL138" s="319"/>
      <c r="AM138" s="320"/>
      <c r="AN138" s="319"/>
      <c r="AO138" s="320"/>
      <c r="AP138" s="319"/>
      <c r="AQ138" s="320"/>
      <c r="AR138" s="319"/>
      <c r="AS138" s="320"/>
      <c r="AT138" s="319"/>
      <c r="AU138" s="320"/>
      <c r="AV138" s="319"/>
      <c r="AW138" s="320"/>
      <c r="AX138" s="319"/>
      <c r="AY138" s="320"/>
      <c r="AZ138" s="319"/>
      <c r="BA138" s="320"/>
      <c r="BB138" s="319"/>
      <c r="BC138" s="320"/>
      <c r="BD138" s="319"/>
      <c r="BE138" s="320"/>
      <c r="BF138" s="319"/>
      <c r="BG138" s="320"/>
      <c r="BH138" s="319"/>
      <c r="BI138" s="320"/>
      <c r="BJ138" s="319"/>
      <c r="BK138" s="320"/>
      <c r="BL138" s="319"/>
      <c r="BM138" s="320"/>
      <c r="BN138" s="319"/>
      <c r="BO138" s="320"/>
      <c r="BP138" s="319"/>
      <c r="BQ138" s="320"/>
      <c r="BR138" s="319"/>
      <c r="BS138" s="320"/>
      <c r="BT138" s="319"/>
      <c r="BU138" s="320"/>
      <c r="BV138" s="264">
        <f t="shared" si="55"/>
        <v>0</v>
      </c>
      <c r="BW138" s="264">
        <f t="shared" si="56"/>
        <v>0</v>
      </c>
    </row>
    <row r="139" spans="1:75" s="62" customFormat="1" ht="21.95" customHeight="1" x14ac:dyDescent="0.2">
      <c r="A139" s="304" t="s">
        <v>3282</v>
      </c>
      <c r="B139" s="305" t="s">
        <v>3283</v>
      </c>
      <c r="C139" s="311" t="s">
        <v>3175</v>
      </c>
      <c r="D139" s="306" t="s">
        <v>3284</v>
      </c>
      <c r="E139" s="307" t="s">
        <v>3285</v>
      </c>
      <c r="F139" s="308" t="s">
        <v>3165</v>
      </c>
      <c r="G139" s="308" t="s">
        <v>3166</v>
      </c>
      <c r="H139" s="309" t="s">
        <v>1345</v>
      </c>
      <c r="I139" s="310" t="s">
        <v>1345</v>
      </c>
      <c r="J139" s="273" t="s">
        <v>3167</v>
      </c>
      <c r="K139" s="276" t="s">
        <v>3171</v>
      </c>
      <c r="L139" s="319"/>
      <c r="M139" s="320"/>
      <c r="N139" s="319"/>
      <c r="O139" s="320"/>
      <c r="P139" s="319"/>
      <c r="Q139" s="320"/>
      <c r="R139" s="319"/>
      <c r="S139" s="320"/>
      <c r="T139" s="319"/>
      <c r="U139" s="320"/>
      <c r="V139" s="319"/>
      <c r="W139" s="320"/>
      <c r="X139" s="319"/>
      <c r="Y139" s="320"/>
      <c r="Z139" s="319"/>
      <c r="AA139" s="320"/>
      <c r="AB139" s="319"/>
      <c r="AC139" s="320"/>
      <c r="AD139" s="319"/>
      <c r="AE139" s="320"/>
      <c r="AF139" s="319"/>
      <c r="AG139" s="320"/>
      <c r="AH139" s="319"/>
      <c r="AI139" s="320"/>
      <c r="AJ139" s="319"/>
      <c r="AK139" s="320"/>
      <c r="AL139" s="319"/>
      <c r="AM139" s="320"/>
      <c r="AN139" s="319"/>
      <c r="AO139" s="320"/>
      <c r="AP139" s="319"/>
      <c r="AQ139" s="320"/>
      <c r="AR139" s="319"/>
      <c r="AS139" s="320"/>
      <c r="AT139" s="319"/>
      <c r="AU139" s="320"/>
      <c r="AV139" s="319"/>
      <c r="AW139" s="320"/>
      <c r="AX139" s="319"/>
      <c r="AY139" s="320"/>
      <c r="AZ139" s="319"/>
      <c r="BA139" s="320"/>
      <c r="BB139" s="319"/>
      <c r="BC139" s="320"/>
      <c r="BD139" s="319"/>
      <c r="BE139" s="320"/>
      <c r="BF139" s="319"/>
      <c r="BG139" s="320"/>
      <c r="BH139" s="319"/>
      <c r="BI139" s="320"/>
      <c r="BJ139" s="319"/>
      <c r="BK139" s="320"/>
      <c r="BL139" s="319"/>
      <c r="BM139" s="320"/>
      <c r="BN139" s="319"/>
      <c r="BO139" s="320"/>
      <c r="BP139" s="319"/>
      <c r="BQ139" s="320"/>
      <c r="BR139" s="319"/>
      <c r="BS139" s="320"/>
      <c r="BT139" s="319"/>
      <c r="BU139" s="320"/>
      <c r="BV139" s="264">
        <f t="shared" si="55"/>
        <v>0</v>
      </c>
      <c r="BW139" s="264">
        <f t="shared" si="56"/>
        <v>0</v>
      </c>
    </row>
    <row r="140" spans="1:75" s="62" customFormat="1" ht="21.95" customHeight="1" thickBot="1" x14ac:dyDescent="0.25">
      <c r="A140" s="568" t="s">
        <v>3282</v>
      </c>
      <c r="B140" s="312" t="s">
        <v>3283</v>
      </c>
      <c r="C140" s="313" t="s">
        <v>3175</v>
      </c>
      <c r="D140" s="314" t="s">
        <v>3284</v>
      </c>
      <c r="E140" s="330" t="s">
        <v>3285</v>
      </c>
      <c r="F140" s="315" t="s">
        <v>3165</v>
      </c>
      <c r="G140" s="315" t="s">
        <v>3166</v>
      </c>
      <c r="H140" s="316" t="s">
        <v>1345</v>
      </c>
      <c r="I140" s="569" t="s">
        <v>1345</v>
      </c>
      <c r="J140" s="273" t="s">
        <v>3167</v>
      </c>
      <c r="K140" s="277" t="s">
        <v>53</v>
      </c>
      <c r="L140" s="321"/>
      <c r="M140" s="322"/>
      <c r="N140" s="321"/>
      <c r="O140" s="322"/>
      <c r="P140" s="321"/>
      <c r="Q140" s="322"/>
      <c r="R140" s="321"/>
      <c r="S140" s="322"/>
      <c r="T140" s="321"/>
      <c r="U140" s="322"/>
      <c r="V140" s="321"/>
      <c r="W140" s="322"/>
      <c r="X140" s="321"/>
      <c r="Y140" s="322"/>
      <c r="Z140" s="321"/>
      <c r="AA140" s="322"/>
      <c r="AB140" s="321"/>
      <c r="AC140" s="322"/>
      <c r="AD140" s="321"/>
      <c r="AE140" s="322"/>
      <c r="AF140" s="321"/>
      <c r="AG140" s="322"/>
      <c r="AH140" s="321"/>
      <c r="AI140" s="322"/>
      <c r="AJ140" s="321"/>
      <c r="AK140" s="322"/>
      <c r="AL140" s="321"/>
      <c r="AM140" s="322"/>
      <c r="AN140" s="321"/>
      <c r="AO140" s="322"/>
      <c r="AP140" s="321"/>
      <c r="AQ140" s="322"/>
      <c r="AR140" s="321"/>
      <c r="AS140" s="322"/>
      <c r="AT140" s="321"/>
      <c r="AU140" s="322"/>
      <c r="AV140" s="321"/>
      <c r="AW140" s="322"/>
      <c r="AX140" s="321"/>
      <c r="AY140" s="322"/>
      <c r="AZ140" s="321"/>
      <c r="BA140" s="322"/>
      <c r="BB140" s="321"/>
      <c r="BC140" s="322"/>
      <c r="BD140" s="321"/>
      <c r="BE140" s="322"/>
      <c r="BF140" s="321"/>
      <c r="BG140" s="322"/>
      <c r="BH140" s="321"/>
      <c r="BI140" s="322"/>
      <c r="BJ140" s="321"/>
      <c r="BK140" s="322"/>
      <c r="BL140" s="321"/>
      <c r="BM140" s="322"/>
      <c r="BN140" s="321"/>
      <c r="BO140" s="322"/>
      <c r="BP140" s="321"/>
      <c r="BQ140" s="322"/>
      <c r="BR140" s="321"/>
      <c r="BS140" s="322"/>
      <c r="BT140" s="321"/>
      <c r="BU140" s="322"/>
      <c r="BV140" s="264">
        <f t="shared" si="55"/>
        <v>0</v>
      </c>
      <c r="BW140" s="264">
        <f t="shared" si="56"/>
        <v>0</v>
      </c>
    </row>
    <row r="141" spans="1:75" s="62" customFormat="1" ht="21.95" customHeight="1" x14ac:dyDescent="0.25">
      <c r="A141" s="344" t="s">
        <v>3286</v>
      </c>
      <c r="B141" s="434" t="s">
        <v>3287</v>
      </c>
      <c r="C141" s="435">
        <v>1</v>
      </c>
      <c r="D141" s="436" t="s">
        <v>3288</v>
      </c>
      <c r="E141" s="345" t="s">
        <v>3289</v>
      </c>
      <c r="F141" s="437" t="s">
        <v>3165</v>
      </c>
      <c r="G141" s="437" t="s">
        <v>3166</v>
      </c>
      <c r="H141" s="438" t="s">
        <v>1346</v>
      </c>
      <c r="I141" s="303" t="s">
        <v>1346</v>
      </c>
      <c r="J141" s="273" t="s">
        <v>3167</v>
      </c>
      <c r="K141" s="274" t="s">
        <v>3168</v>
      </c>
      <c r="L141" s="321"/>
      <c r="M141" s="322"/>
      <c r="N141" s="321"/>
      <c r="O141" s="322"/>
      <c r="P141" s="321"/>
      <c r="Q141" s="322"/>
      <c r="R141" s="321"/>
      <c r="S141" s="322"/>
      <c r="T141" s="321"/>
      <c r="U141" s="322"/>
      <c r="V141" s="321"/>
      <c r="W141" s="322"/>
      <c r="X141" s="321"/>
      <c r="Y141" s="322"/>
      <c r="Z141" s="321"/>
      <c r="AA141" s="322"/>
      <c r="AB141" s="321"/>
      <c r="AC141" s="322"/>
      <c r="AD141" s="321"/>
      <c r="AE141" s="322"/>
      <c r="AF141" s="321"/>
      <c r="AG141" s="322"/>
      <c r="AH141" s="321"/>
      <c r="AI141" s="322"/>
      <c r="AJ141" s="321"/>
      <c r="AK141" s="322"/>
      <c r="AL141" s="321"/>
      <c r="AM141" s="322"/>
      <c r="AN141" s="321"/>
      <c r="AO141" s="322"/>
      <c r="AP141" s="321"/>
      <c r="AQ141" s="322"/>
      <c r="AR141" s="321"/>
      <c r="AS141" s="322"/>
      <c r="AT141" s="321"/>
      <c r="AU141" s="322"/>
      <c r="AV141" s="321"/>
      <c r="AW141" s="322"/>
      <c r="AX141" s="321"/>
      <c r="AY141" s="322"/>
      <c r="AZ141" s="321"/>
      <c r="BA141" s="322"/>
      <c r="BB141" s="321"/>
      <c r="BC141" s="322"/>
      <c r="BD141" s="321"/>
      <c r="BE141" s="322"/>
      <c r="BF141" s="321"/>
      <c r="BG141" s="322"/>
      <c r="BH141" s="321"/>
      <c r="BI141" s="322"/>
      <c r="BJ141" s="321"/>
      <c r="BK141" s="322"/>
      <c r="BL141" s="321"/>
      <c r="BM141" s="322"/>
      <c r="BN141" s="321"/>
      <c r="BO141" s="322"/>
      <c r="BP141" s="321"/>
      <c r="BQ141" s="322"/>
      <c r="BR141" s="321"/>
      <c r="BS141" s="322"/>
      <c r="BT141" s="321"/>
      <c r="BU141" s="322"/>
      <c r="BV141" s="264">
        <f>L141+N141+P141+R141+T141+V141+X141+Z141+AB141+AD141+AF141+AH141+AJ141+AL141+AN141+AP141+AR141+AT141+AV141+AX141+AZ141+BB141+BD141+BF141+BH141+BJ141+BL141+BN141+BP141+BR141+BT141</f>
        <v>0</v>
      </c>
      <c r="BW141" s="264">
        <f>M141+O141+Q141+S141+U141+W141+Y141+AA141+AC141+AE141+AG141+AI141+AK141+AM141+AO141+AQ141+AS141+AU141+AW141+AY141+BA141+BC141+BE141+BG141+BI141+BK141+BM141+BO141+BQ141+BS141+BU141</f>
        <v>0</v>
      </c>
    </row>
    <row r="142" spans="1:75" s="62" customFormat="1" ht="21.95" customHeight="1" x14ac:dyDescent="0.2">
      <c r="A142" s="304" t="s">
        <v>3286</v>
      </c>
      <c r="B142" s="305" t="s">
        <v>3287</v>
      </c>
      <c r="C142" s="272" t="s">
        <v>3175</v>
      </c>
      <c r="D142" s="306" t="s">
        <v>3288</v>
      </c>
      <c r="E142" s="307" t="s">
        <v>3289</v>
      </c>
      <c r="F142" s="308" t="s">
        <v>3165</v>
      </c>
      <c r="G142" s="308" t="s">
        <v>3166</v>
      </c>
      <c r="H142" s="309" t="s">
        <v>1346</v>
      </c>
      <c r="I142" s="310" t="s">
        <v>1346</v>
      </c>
      <c r="J142" s="273" t="s">
        <v>3167</v>
      </c>
      <c r="K142" s="273" t="s">
        <v>3169</v>
      </c>
      <c r="L142" s="319"/>
      <c r="M142" s="320"/>
      <c r="N142" s="319"/>
      <c r="O142" s="320"/>
      <c r="P142" s="319"/>
      <c r="Q142" s="320"/>
      <c r="R142" s="319"/>
      <c r="S142" s="320"/>
      <c r="T142" s="319"/>
      <c r="U142" s="320"/>
      <c r="V142" s="319"/>
      <c r="W142" s="320"/>
      <c r="X142" s="319"/>
      <c r="Y142" s="320"/>
      <c r="Z142" s="319"/>
      <c r="AA142" s="320"/>
      <c r="AB142" s="319"/>
      <c r="AC142" s="320"/>
      <c r="AD142" s="319"/>
      <c r="AE142" s="320"/>
      <c r="AF142" s="319"/>
      <c r="AG142" s="320"/>
      <c r="AH142" s="319"/>
      <c r="AI142" s="320"/>
      <c r="AJ142" s="319"/>
      <c r="AK142" s="320"/>
      <c r="AL142" s="319"/>
      <c r="AM142" s="320"/>
      <c r="AN142" s="319"/>
      <c r="AO142" s="320"/>
      <c r="AP142" s="319"/>
      <c r="AQ142" s="320"/>
      <c r="AR142" s="319"/>
      <c r="AS142" s="320"/>
      <c r="AT142" s="319"/>
      <c r="AU142" s="320"/>
      <c r="AV142" s="319"/>
      <c r="AW142" s="320"/>
      <c r="AX142" s="319"/>
      <c r="AY142" s="320"/>
      <c r="AZ142" s="319"/>
      <c r="BA142" s="320"/>
      <c r="BB142" s="319"/>
      <c r="BC142" s="320"/>
      <c r="BD142" s="319"/>
      <c r="BE142" s="320"/>
      <c r="BF142" s="319"/>
      <c r="BG142" s="320"/>
      <c r="BH142" s="319"/>
      <c r="BI142" s="320"/>
      <c r="BJ142" s="319"/>
      <c r="BK142" s="320"/>
      <c r="BL142" s="319"/>
      <c r="BM142" s="320"/>
      <c r="BN142" s="319"/>
      <c r="BO142" s="320"/>
      <c r="BP142" s="319"/>
      <c r="BQ142" s="320"/>
      <c r="BR142" s="319"/>
      <c r="BS142" s="320"/>
      <c r="BT142" s="319"/>
      <c r="BU142" s="320"/>
      <c r="BV142" s="264">
        <f t="shared" ref="BV142:BV145" si="57">L142+N142+P142+R142+T142+V142+X142+Z142+AB142+AD142+AF142+AH142+AJ142+AL142+AN142+AP142+AR142+AT142+AV142+AX142+AZ142+BB142+BD142+BF142+BH142+BJ142+BL142+BN142+BP142+BR142+BT142</f>
        <v>0</v>
      </c>
      <c r="BW142" s="264">
        <f t="shared" ref="BW142:BW145" si="58">M142+O142+Q142+S142+U142+W142+Y142+AA142+AC142+AE142+AG142+AI142+AK142+AM142+AO142+AQ142+AS142+AU142+AW142+AY142+BA142+BC142+BE142+BG142+BI142+BK142+BM142+BO142+BQ142+BS142+BU142</f>
        <v>0</v>
      </c>
    </row>
    <row r="143" spans="1:75" s="62" customFormat="1" ht="21.95" customHeight="1" x14ac:dyDescent="0.2">
      <c r="A143" s="304" t="s">
        <v>3286</v>
      </c>
      <c r="B143" s="305" t="s">
        <v>3287</v>
      </c>
      <c r="C143" s="311" t="s">
        <v>3175</v>
      </c>
      <c r="D143" s="306" t="s">
        <v>3288</v>
      </c>
      <c r="E143" s="307" t="s">
        <v>3289</v>
      </c>
      <c r="F143" s="308" t="s">
        <v>3165</v>
      </c>
      <c r="G143" s="308" t="s">
        <v>3166</v>
      </c>
      <c r="H143" s="309" t="s">
        <v>1346</v>
      </c>
      <c r="I143" s="310" t="s">
        <v>1346</v>
      </c>
      <c r="J143" s="273" t="s">
        <v>3167</v>
      </c>
      <c r="K143" s="275" t="s">
        <v>3170</v>
      </c>
      <c r="L143" s="319"/>
      <c r="M143" s="320"/>
      <c r="N143" s="319"/>
      <c r="O143" s="320"/>
      <c r="P143" s="319"/>
      <c r="Q143" s="320"/>
      <c r="R143" s="319"/>
      <c r="S143" s="320"/>
      <c r="T143" s="319"/>
      <c r="U143" s="320"/>
      <c r="V143" s="319"/>
      <c r="W143" s="320"/>
      <c r="X143" s="319"/>
      <c r="Y143" s="320"/>
      <c r="Z143" s="319"/>
      <c r="AA143" s="320"/>
      <c r="AB143" s="319"/>
      <c r="AC143" s="320"/>
      <c r="AD143" s="319"/>
      <c r="AE143" s="320"/>
      <c r="AF143" s="319"/>
      <c r="AG143" s="320"/>
      <c r="AH143" s="319"/>
      <c r="AI143" s="320"/>
      <c r="AJ143" s="319"/>
      <c r="AK143" s="320"/>
      <c r="AL143" s="319"/>
      <c r="AM143" s="320"/>
      <c r="AN143" s="319"/>
      <c r="AO143" s="320"/>
      <c r="AP143" s="319"/>
      <c r="AQ143" s="320"/>
      <c r="AR143" s="319"/>
      <c r="AS143" s="320"/>
      <c r="AT143" s="319"/>
      <c r="AU143" s="320"/>
      <c r="AV143" s="319"/>
      <c r="AW143" s="320"/>
      <c r="AX143" s="319"/>
      <c r="AY143" s="320"/>
      <c r="AZ143" s="319"/>
      <c r="BA143" s="320"/>
      <c r="BB143" s="319"/>
      <c r="BC143" s="320"/>
      <c r="BD143" s="319"/>
      <c r="BE143" s="320"/>
      <c r="BF143" s="319"/>
      <c r="BG143" s="320"/>
      <c r="BH143" s="319"/>
      <c r="BI143" s="320"/>
      <c r="BJ143" s="319"/>
      <c r="BK143" s="320"/>
      <c r="BL143" s="319"/>
      <c r="BM143" s="320"/>
      <c r="BN143" s="319"/>
      <c r="BO143" s="320"/>
      <c r="BP143" s="319"/>
      <c r="BQ143" s="320"/>
      <c r="BR143" s="319"/>
      <c r="BS143" s="320"/>
      <c r="BT143" s="319"/>
      <c r="BU143" s="320"/>
      <c r="BV143" s="264">
        <f t="shared" si="57"/>
        <v>0</v>
      </c>
      <c r="BW143" s="264">
        <f t="shared" si="58"/>
        <v>0</v>
      </c>
    </row>
    <row r="144" spans="1:75" s="62" customFormat="1" ht="21.95" customHeight="1" x14ac:dyDescent="0.2">
      <c r="A144" s="304" t="s">
        <v>3286</v>
      </c>
      <c r="B144" s="305" t="s">
        <v>3287</v>
      </c>
      <c r="C144" s="311" t="s">
        <v>3175</v>
      </c>
      <c r="D144" s="306" t="s">
        <v>3288</v>
      </c>
      <c r="E144" s="307" t="s">
        <v>3289</v>
      </c>
      <c r="F144" s="308" t="s">
        <v>3165</v>
      </c>
      <c r="G144" s="308" t="s">
        <v>3166</v>
      </c>
      <c r="H144" s="309" t="s">
        <v>1346</v>
      </c>
      <c r="I144" s="310" t="s">
        <v>1346</v>
      </c>
      <c r="J144" s="273" t="s">
        <v>3167</v>
      </c>
      <c r="K144" s="276" t="s">
        <v>3171</v>
      </c>
      <c r="L144" s="319"/>
      <c r="M144" s="320"/>
      <c r="N144" s="319"/>
      <c r="O144" s="320"/>
      <c r="P144" s="319"/>
      <c r="Q144" s="320"/>
      <c r="R144" s="319"/>
      <c r="S144" s="320"/>
      <c r="T144" s="319"/>
      <c r="U144" s="320"/>
      <c r="V144" s="319"/>
      <c r="W144" s="320"/>
      <c r="X144" s="319"/>
      <c r="Y144" s="320"/>
      <c r="Z144" s="319"/>
      <c r="AA144" s="320"/>
      <c r="AB144" s="319"/>
      <c r="AC144" s="320"/>
      <c r="AD144" s="319"/>
      <c r="AE144" s="320"/>
      <c r="AF144" s="319"/>
      <c r="AG144" s="320"/>
      <c r="AH144" s="319"/>
      <c r="AI144" s="320"/>
      <c r="AJ144" s="319"/>
      <c r="AK144" s="320"/>
      <c r="AL144" s="319"/>
      <c r="AM144" s="320"/>
      <c r="AN144" s="319"/>
      <c r="AO144" s="320"/>
      <c r="AP144" s="319"/>
      <c r="AQ144" s="320"/>
      <c r="AR144" s="319"/>
      <c r="AS144" s="320"/>
      <c r="AT144" s="319"/>
      <c r="AU144" s="320"/>
      <c r="AV144" s="319"/>
      <c r="AW144" s="320"/>
      <c r="AX144" s="319"/>
      <c r="AY144" s="320"/>
      <c r="AZ144" s="319"/>
      <c r="BA144" s="320"/>
      <c r="BB144" s="319"/>
      <c r="BC144" s="320"/>
      <c r="BD144" s="319"/>
      <c r="BE144" s="320"/>
      <c r="BF144" s="319"/>
      <c r="BG144" s="320"/>
      <c r="BH144" s="319"/>
      <c r="BI144" s="320"/>
      <c r="BJ144" s="319"/>
      <c r="BK144" s="320"/>
      <c r="BL144" s="319"/>
      <c r="BM144" s="320"/>
      <c r="BN144" s="319"/>
      <c r="BO144" s="320"/>
      <c r="BP144" s="319"/>
      <c r="BQ144" s="320"/>
      <c r="BR144" s="319"/>
      <c r="BS144" s="320"/>
      <c r="BT144" s="319"/>
      <c r="BU144" s="320"/>
      <c r="BV144" s="264">
        <f t="shared" si="57"/>
        <v>0</v>
      </c>
      <c r="BW144" s="264">
        <f t="shared" si="58"/>
        <v>0</v>
      </c>
    </row>
    <row r="145" spans="1:75" s="62" customFormat="1" ht="21.95" customHeight="1" thickBot="1" x14ac:dyDescent="0.25">
      <c r="A145" s="568" t="s">
        <v>3286</v>
      </c>
      <c r="B145" s="312" t="s">
        <v>3287</v>
      </c>
      <c r="C145" s="313" t="s">
        <v>3175</v>
      </c>
      <c r="D145" s="314" t="s">
        <v>3288</v>
      </c>
      <c r="E145" s="330" t="s">
        <v>3289</v>
      </c>
      <c r="F145" s="315" t="s">
        <v>3165</v>
      </c>
      <c r="G145" s="315" t="s">
        <v>3166</v>
      </c>
      <c r="H145" s="316" t="s">
        <v>1346</v>
      </c>
      <c r="I145" s="569" t="s">
        <v>1346</v>
      </c>
      <c r="J145" s="273" t="s">
        <v>3167</v>
      </c>
      <c r="K145" s="277" t="s">
        <v>53</v>
      </c>
      <c r="L145" s="321"/>
      <c r="M145" s="322"/>
      <c r="N145" s="321"/>
      <c r="O145" s="322"/>
      <c r="P145" s="321"/>
      <c r="Q145" s="322"/>
      <c r="R145" s="321"/>
      <c r="S145" s="322"/>
      <c r="T145" s="321"/>
      <c r="U145" s="322"/>
      <c r="V145" s="321"/>
      <c r="W145" s="322"/>
      <c r="X145" s="321"/>
      <c r="Y145" s="322"/>
      <c r="Z145" s="321"/>
      <c r="AA145" s="322"/>
      <c r="AB145" s="321"/>
      <c r="AC145" s="322"/>
      <c r="AD145" s="321"/>
      <c r="AE145" s="322"/>
      <c r="AF145" s="321"/>
      <c r="AG145" s="322"/>
      <c r="AH145" s="321"/>
      <c r="AI145" s="322"/>
      <c r="AJ145" s="321"/>
      <c r="AK145" s="322"/>
      <c r="AL145" s="321"/>
      <c r="AM145" s="322"/>
      <c r="AN145" s="321"/>
      <c r="AO145" s="322"/>
      <c r="AP145" s="321"/>
      <c r="AQ145" s="322"/>
      <c r="AR145" s="321"/>
      <c r="AS145" s="322"/>
      <c r="AT145" s="321"/>
      <c r="AU145" s="322"/>
      <c r="AV145" s="321"/>
      <c r="AW145" s="322"/>
      <c r="AX145" s="321"/>
      <c r="AY145" s="322"/>
      <c r="AZ145" s="321"/>
      <c r="BA145" s="322"/>
      <c r="BB145" s="321"/>
      <c r="BC145" s="322"/>
      <c r="BD145" s="321"/>
      <c r="BE145" s="322"/>
      <c r="BF145" s="321"/>
      <c r="BG145" s="322"/>
      <c r="BH145" s="321"/>
      <c r="BI145" s="322"/>
      <c r="BJ145" s="321"/>
      <c r="BK145" s="322"/>
      <c r="BL145" s="321"/>
      <c r="BM145" s="322"/>
      <c r="BN145" s="321"/>
      <c r="BO145" s="322"/>
      <c r="BP145" s="321"/>
      <c r="BQ145" s="322"/>
      <c r="BR145" s="321"/>
      <c r="BS145" s="322"/>
      <c r="BT145" s="321"/>
      <c r="BU145" s="322"/>
      <c r="BV145" s="264">
        <f t="shared" si="57"/>
        <v>0</v>
      </c>
      <c r="BW145" s="264">
        <f t="shared" si="58"/>
        <v>0</v>
      </c>
    </row>
    <row r="146" spans="1:75" s="62" customFormat="1" ht="21.95" customHeight="1" x14ac:dyDescent="0.25">
      <c r="A146" s="344" t="s">
        <v>3290</v>
      </c>
      <c r="B146" s="434" t="s">
        <v>3291</v>
      </c>
      <c r="C146" s="435">
        <v>1</v>
      </c>
      <c r="D146" s="436" t="s">
        <v>3292</v>
      </c>
      <c r="E146" s="345" t="s">
        <v>3293</v>
      </c>
      <c r="F146" s="437" t="s">
        <v>3165</v>
      </c>
      <c r="G146" s="437" t="s">
        <v>3166</v>
      </c>
      <c r="H146" s="438" t="s">
        <v>1347</v>
      </c>
      <c r="I146" s="303" t="s">
        <v>1347</v>
      </c>
      <c r="J146" s="273" t="s">
        <v>3167</v>
      </c>
      <c r="K146" s="274" t="s">
        <v>3168</v>
      </c>
      <c r="L146" s="321"/>
      <c r="M146" s="322"/>
      <c r="N146" s="321"/>
      <c r="O146" s="322"/>
      <c r="P146" s="321"/>
      <c r="Q146" s="322"/>
      <c r="R146" s="321"/>
      <c r="S146" s="322"/>
      <c r="T146" s="321"/>
      <c r="U146" s="322"/>
      <c r="V146" s="321"/>
      <c r="W146" s="322"/>
      <c r="X146" s="321"/>
      <c r="Y146" s="322"/>
      <c r="Z146" s="321"/>
      <c r="AA146" s="322"/>
      <c r="AB146" s="321"/>
      <c r="AC146" s="322"/>
      <c r="AD146" s="321"/>
      <c r="AE146" s="322"/>
      <c r="AF146" s="321"/>
      <c r="AG146" s="322"/>
      <c r="AH146" s="321"/>
      <c r="AI146" s="322"/>
      <c r="AJ146" s="321"/>
      <c r="AK146" s="322"/>
      <c r="AL146" s="321"/>
      <c r="AM146" s="322"/>
      <c r="AN146" s="321"/>
      <c r="AO146" s="322"/>
      <c r="AP146" s="321"/>
      <c r="AQ146" s="322"/>
      <c r="AR146" s="321"/>
      <c r="AS146" s="322"/>
      <c r="AT146" s="321"/>
      <c r="AU146" s="322"/>
      <c r="AV146" s="321"/>
      <c r="AW146" s="322"/>
      <c r="AX146" s="321"/>
      <c r="AY146" s="322"/>
      <c r="AZ146" s="321"/>
      <c r="BA146" s="322"/>
      <c r="BB146" s="321"/>
      <c r="BC146" s="322"/>
      <c r="BD146" s="321"/>
      <c r="BE146" s="322"/>
      <c r="BF146" s="321"/>
      <c r="BG146" s="322"/>
      <c r="BH146" s="321"/>
      <c r="BI146" s="322"/>
      <c r="BJ146" s="321"/>
      <c r="BK146" s="322"/>
      <c r="BL146" s="321"/>
      <c r="BM146" s="322"/>
      <c r="BN146" s="321"/>
      <c r="BO146" s="322"/>
      <c r="BP146" s="321"/>
      <c r="BQ146" s="322"/>
      <c r="BR146" s="321"/>
      <c r="BS146" s="322"/>
      <c r="BT146" s="321"/>
      <c r="BU146" s="322"/>
      <c r="BV146" s="264">
        <f>L146+N146+P146+R146+T146+V146+X146+Z146+AB146+AD146+AF146+AH146+AJ146+AL146+AN146+AP146+AR146+AT146+AV146+AX146+AZ146+BB146+BD146+BF146+BH146+BJ146+BL146+BN146+BP146+BR146+BT146</f>
        <v>0</v>
      </c>
      <c r="BW146" s="264">
        <f>M146+O146+Q146+S146+U146+W146+Y146+AA146+AC146+AE146+AG146+AI146+AK146+AM146+AO146+AQ146+AS146+AU146+AW146+AY146+BA146+BC146+BE146+BG146+BI146+BK146+BM146+BO146+BQ146+BS146+BU146</f>
        <v>0</v>
      </c>
    </row>
    <row r="147" spans="1:75" s="62" customFormat="1" ht="21.95" customHeight="1" x14ac:dyDescent="0.2">
      <c r="A147" s="304" t="s">
        <v>3290</v>
      </c>
      <c r="B147" s="305" t="s">
        <v>3291</v>
      </c>
      <c r="C147" s="272" t="s">
        <v>3175</v>
      </c>
      <c r="D147" s="306" t="s">
        <v>3292</v>
      </c>
      <c r="E147" s="307" t="s">
        <v>3293</v>
      </c>
      <c r="F147" s="308" t="s">
        <v>3165</v>
      </c>
      <c r="G147" s="308" t="s">
        <v>3166</v>
      </c>
      <c r="H147" s="309" t="s">
        <v>1347</v>
      </c>
      <c r="I147" s="310" t="s">
        <v>1347</v>
      </c>
      <c r="J147" s="273" t="s">
        <v>3167</v>
      </c>
      <c r="K147" s="273" t="s">
        <v>3169</v>
      </c>
      <c r="L147" s="319"/>
      <c r="M147" s="320"/>
      <c r="N147" s="319"/>
      <c r="O147" s="320"/>
      <c r="P147" s="319"/>
      <c r="Q147" s="320"/>
      <c r="R147" s="319"/>
      <c r="S147" s="320"/>
      <c r="T147" s="319"/>
      <c r="U147" s="320"/>
      <c r="V147" s="319"/>
      <c r="W147" s="320"/>
      <c r="X147" s="319"/>
      <c r="Y147" s="320"/>
      <c r="Z147" s="319"/>
      <c r="AA147" s="320"/>
      <c r="AB147" s="319"/>
      <c r="AC147" s="320"/>
      <c r="AD147" s="319"/>
      <c r="AE147" s="320"/>
      <c r="AF147" s="319"/>
      <c r="AG147" s="320"/>
      <c r="AH147" s="319"/>
      <c r="AI147" s="320"/>
      <c r="AJ147" s="319"/>
      <c r="AK147" s="320"/>
      <c r="AL147" s="319"/>
      <c r="AM147" s="320"/>
      <c r="AN147" s="319"/>
      <c r="AO147" s="320"/>
      <c r="AP147" s="319"/>
      <c r="AQ147" s="320"/>
      <c r="AR147" s="319"/>
      <c r="AS147" s="320"/>
      <c r="AT147" s="319"/>
      <c r="AU147" s="320"/>
      <c r="AV147" s="319"/>
      <c r="AW147" s="320"/>
      <c r="AX147" s="319"/>
      <c r="AY147" s="320"/>
      <c r="AZ147" s="319"/>
      <c r="BA147" s="320"/>
      <c r="BB147" s="319"/>
      <c r="BC147" s="320"/>
      <c r="BD147" s="319"/>
      <c r="BE147" s="320"/>
      <c r="BF147" s="319"/>
      <c r="BG147" s="320"/>
      <c r="BH147" s="319"/>
      <c r="BI147" s="320"/>
      <c r="BJ147" s="319"/>
      <c r="BK147" s="320"/>
      <c r="BL147" s="319"/>
      <c r="BM147" s="320"/>
      <c r="BN147" s="319"/>
      <c r="BO147" s="320"/>
      <c r="BP147" s="319"/>
      <c r="BQ147" s="320"/>
      <c r="BR147" s="319"/>
      <c r="BS147" s="320"/>
      <c r="BT147" s="319"/>
      <c r="BU147" s="320"/>
      <c r="BV147" s="264">
        <f t="shared" ref="BV147:BV150" si="59">L147+N147+P147+R147+T147+V147+X147+Z147+AB147+AD147+AF147+AH147+AJ147+AL147+AN147+AP147+AR147+AT147+AV147+AX147+AZ147+BB147+BD147+BF147+BH147+BJ147+BL147+BN147+BP147+BR147+BT147</f>
        <v>0</v>
      </c>
      <c r="BW147" s="264">
        <f t="shared" ref="BW147:BW150" si="60">M147+O147+Q147+S147+U147+W147+Y147+AA147+AC147+AE147+AG147+AI147+AK147+AM147+AO147+AQ147+AS147+AU147+AW147+AY147+BA147+BC147+BE147+BG147+BI147+BK147+BM147+BO147+BQ147+BS147+BU147</f>
        <v>0</v>
      </c>
    </row>
    <row r="148" spans="1:75" s="62" customFormat="1" ht="21.95" customHeight="1" x14ac:dyDescent="0.2">
      <c r="A148" s="304" t="s">
        <v>3290</v>
      </c>
      <c r="B148" s="305" t="s">
        <v>3291</v>
      </c>
      <c r="C148" s="311" t="s">
        <v>3175</v>
      </c>
      <c r="D148" s="306" t="s">
        <v>3292</v>
      </c>
      <c r="E148" s="307" t="s">
        <v>3293</v>
      </c>
      <c r="F148" s="308" t="s">
        <v>3165</v>
      </c>
      <c r="G148" s="308" t="s">
        <v>3166</v>
      </c>
      <c r="H148" s="309" t="s">
        <v>1347</v>
      </c>
      <c r="I148" s="310" t="s">
        <v>1347</v>
      </c>
      <c r="J148" s="273" t="s">
        <v>3167</v>
      </c>
      <c r="K148" s="275" t="s">
        <v>3170</v>
      </c>
      <c r="L148" s="319"/>
      <c r="M148" s="320"/>
      <c r="N148" s="319"/>
      <c r="O148" s="320"/>
      <c r="P148" s="319"/>
      <c r="Q148" s="320"/>
      <c r="R148" s="319"/>
      <c r="S148" s="320"/>
      <c r="T148" s="319"/>
      <c r="U148" s="320"/>
      <c r="V148" s="319"/>
      <c r="W148" s="320"/>
      <c r="X148" s="319"/>
      <c r="Y148" s="320"/>
      <c r="Z148" s="319"/>
      <c r="AA148" s="320"/>
      <c r="AB148" s="319"/>
      <c r="AC148" s="320"/>
      <c r="AD148" s="319"/>
      <c r="AE148" s="320"/>
      <c r="AF148" s="319"/>
      <c r="AG148" s="320"/>
      <c r="AH148" s="319"/>
      <c r="AI148" s="320"/>
      <c r="AJ148" s="319"/>
      <c r="AK148" s="320"/>
      <c r="AL148" s="319"/>
      <c r="AM148" s="320"/>
      <c r="AN148" s="319"/>
      <c r="AO148" s="320"/>
      <c r="AP148" s="319"/>
      <c r="AQ148" s="320"/>
      <c r="AR148" s="319"/>
      <c r="AS148" s="320"/>
      <c r="AT148" s="319"/>
      <c r="AU148" s="320"/>
      <c r="AV148" s="319"/>
      <c r="AW148" s="320"/>
      <c r="AX148" s="319"/>
      <c r="AY148" s="320"/>
      <c r="AZ148" s="319"/>
      <c r="BA148" s="320"/>
      <c r="BB148" s="319"/>
      <c r="BC148" s="320"/>
      <c r="BD148" s="319"/>
      <c r="BE148" s="320"/>
      <c r="BF148" s="319"/>
      <c r="BG148" s="320"/>
      <c r="BH148" s="319"/>
      <c r="BI148" s="320"/>
      <c r="BJ148" s="319"/>
      <c r="BK148" s="320"/>
      <c r="BL148" s="319"/>
      <c r="BM148" s="320"/>
      <c r="BN148" s="319"/>
      <c r="BO148" s="320"/>
      <c r="BP148" s="319"/>
      <c r="BQ148" s="320"/>
      <c r="BR148" s="319"/>
      <c r="BS148" s="320"/>
      <c r="BT148" s="319"/>
      <c r="BU148" s="320"/>
      <c r="BV148" s="264">
        <f t="shared" si="59"/>
        <v>0</v>
      </c>
      <c r="BW148" s="264">
        <f t="shared" si="60"/>
        <v>0</v>
      </c>
    </row>
    <row r="149" spans="1:75" s="62" customFormat="1" ht="21.95" customHeight="1" x14ac:dyDescent="0.2">
      <c r="A149" s="304" t="s">
        <v>3290</v>
      </c>
      <c r="B149" s="305" t="s">
        <v>3291</v>
      </c>
      <c r="C149" s="311" t="s">
        <v>3175</v>
      </c>
      <c r="D149" s="306" t="s">
        <v>3292</v>
      </c>
      <c r="E149" s="307" t="s">
        <v>3293</v>
      </c>
      <c r="F149" s="308" t="s">
        <v>3165</v>
      </c>
      <c r="G149" s="308" t="s">
        <v>3166</v>
      </c>
      <c r="H149" s="309" t="s">
        <v>1347</v>
      </c>
      <c r="I149" s="310" t="s">
        <v>1347</v>
      </c>
      <c r="J149" s="273" t="s">
        <v>3167</v>
      </c>
      <c r="K149" s="276" t="s">
        <v>3171</v>
      </c>
      <c r="L149" s="319"/>
      <c r="M149" s="320"/>
      <c r="N149" s="319"/>
      <c r="O149" s="320"/>
      <c r="P149" s="319"/>
      <c r="Q149" s="320"/>
      <c r="R149" s="319"/>
      <c r="S149" s="320"/>
      <c r="T149" s="319"/>
      <c r="U149" s="320"/>
      <c r="V149" s="319"/>
      <c r="W149" s="320"/>
      <c r="X149" s="319"/>
      <c r="Y149" s="320"/>
      <c r="Z149" s="319"/>
      <c r="AA149" s="320"/>
      <c r="AB149" s="319"/>
      <c r="AC149" s="320"/>
      <c r="AD149" s="319"/>
      <c r="AE149" s="320"/>
      <c r="AF149" s="319"/>
      <c r="AG149" s="320"/>
      <c r="AH149" s="319"/>
      <c r="AI149" s="320"/>
      <c r="AJ149" s="319"/>
      <c r="AK149" s="320"/>
      <c r="AL149" s="319"/>
      <c r="AM149" s="320"/>
      <c r="AN149" s="319"/>
      <c r="AO149" s="320"/>
      <c r="AP149" s="319"/>
      <c r="AQ149" s="320"/>
      <c r="AR149" s="319"/>
      <c r="AS149" s="320"/>
      <c r="AT149" s="319"/>
      <c r="AU149" s="320"/>
      <c r="AV149" s="319"/>
      <c r="AW149" s="320"/>
      <c r="AX149" s="319"/>
      <c r="AY149" s="320"/>
      <c r="AZ149" s="319"/>
      <c r="BA149" s="320"/>
      <c r="BB149" s="319"/>
      <c r="BC149" s="320"/>
      <c r="BD149" s="319"/>
      <c r="BE149" s="320"/>
      <c r="BF149" s="319"/>
      <c r="BG149" s="320"/>
      <c r="BH149" s="319"/>
      <c r="BI149" s="320"/>
      <c r="BJ149" s="319"/>
      <c r="BK149" s="320"/>
      <c r="BL149" s="319"/>
      <c r="BM149" s="320"/>
      <c r="BN149" s="319"/>
      <c r="BO149" s="320"/>
      <c r="BP149" s="319"/>
      <c r="BQ149" s="320"/>
      <c r="BR149" s="319"/>
      <c r="BS149" s="320"/>
      <c r="BT149" s="319"/>
      <c r="BU149" s="320"/>
      <c r="BV149" s="264">
        <f t="shared" si="59"/>
        <v>0</v>
      </c>
      <c r="BW149" s="264">
        <f t="shared" si="60"/>
        <v>0</v>
      </c>
    </row>
    <row r="150" spans="1:75" s="62" customFormat="1" ht="21.95" customHeight="1" thickBot="1" x14ac:dyDescent="0.25">
      <c r="A150" s="568" t="s">
        <v>3290</v>
      </c>
      <c r="B150" s="312" t="s">
        <v>3291</v>
      </c>
      <c r="C150" s="313" t="s">
        <v>3175</v>
      </c>
      <c r="D150" s="314" t="s">
        <v>3292</v>
      </c>
      <c r="E150" s="330" t="s">
        <v>3293</v>
      </c>
      <c r="F150" s="315" t="s">
        <v>3165</v>
      </c>
      <c r="G150" s="315" t="s">
        <v>3166</v>
      </c>
      <c r="H150" s="316" t="s">
        <v>1347</v>
      </c>
      <c r="I150" s="569" t="s">
        <v>1347</v>
      </c>
      <c r="J150" s="273" t="s">
        <v>3167</v>
      </c>
      <c r="K150" s="277" t="s">
        <v>53</v>
      </c>
      <c r="L150" s="321"/>
      <c r="M150" s="322"/>
      <c r="N150" s="321"/>
      <c r="O150" s="322"/>
      <c r="P150" s="321"/>
      <c r="Q150" s="322"/>
      <c r="R150" s="321"/>
      <c r="S150" s="322"/>
      <c r="T150" s="321"/>
      <c r="U150" s="322"/>
      <c r="V150" s="321"/>
      <c r="W150" s="322"/>
      <c r="X150" s="321"/>
      <c r="Y150" s="322"/>
      <c r="Z150" s="321"/>
      <c r="AA150" s="322"/>
      <c r="AB150" s="321"/>
      <c r="AC150" s="322"/>
      <c r="AD150" s="321"/>
      <c r="AE150" s="322"/>
      <c r="AF150" s="321"/>
      <c r="AG150" s="322"/>
      <c r="AH150" s="321"/>
      <c r="AI150" s="322"/>
      <c r="AJ150" s="321"/>
      <c r="AK150" s="322"/>
      <c r="AL150" s="321"/>
      <c r="AM150" s="322"/>
      <c r="AN150" s="321"/>
      <c r="AO150" s="322"/>
      <c r="AP150" s="321"/>
      <c r="AQ150" s="322"/>
      <c r="AR150" s="321"/>
      <c r="AS150" s="322"/>
      <c r="AT150" s="321"/>
      <c r="AU150" s="322"/>
      <c r="AV150" s="321"/>
      <c r="AW150" s="322"/>
      <c r="AX150" s="321"/>
      <c r="AY150" s="322"/>
      <c r="AZ150" s="321"/>
      <c r="BA150" s="322"/>
      <c r="BB150" s="321"/>
      <c r="BC150" s="322"/>
      <c r="BD150" s="321"/>
      <c r="BE150" s="322"/>
      <c r="BF150" s="321"/>
      <c r="BG150" s="322"/>
      <c r="BH150" s="321"/>
      <c r="BI150" s="322"/>
      <c r="BJ150" s="321"/>
      <c r="BK150" s="322"/>
      <c r="BL150" s="321"/>
      <c r="BM150" s="322"/>
      <c r="BN150" s="321"/>
      <c r="BO150" s="322"/>
      <c r="BP150" s="321"/>
      <c r="BQ150" s="322"/>
      <c r="BR150" s="321"/>
      <c r="BS150" s="322"/>
      <c r="BT150" s="321"/>
      <c r="BU150" s="322"/>
      <c r="BV150" s="264">
        <f t="shared" si="59"/>
        <v>0</v>
      </c>
      <c r="BW150" s="264">
        <f t="shared" si="60"/>
        <v>0</v>
      </c>
    </row>
    <row r="151" spans="1:75" s="62" customFormat="1" ht="21.95" customHeight="1" x14ac:dyDescent="0.25">
      <c r="A151" s="344" t="s">
        <v>3294</v>
      </c>
      <c r="B151" s="434" t="s">
        <v>3295</v>
      </c>
      <c r="C151" s="435">
        <v>4</v>
      </c>
      <c r="D151" s="436" t="s">
        <v>3296</v>
      </c>
      <c r="E151" s="345" t="s">
        <v>3297</v>
      </c>
      <c r="F151" s="437" t="s">
        <v>3165</v>
      </c>
      <c r="G151" s="437" t="s">
        <v>3166</v>
      </c>
      <c r="H151" s="438" t="s">
        <v>1348</v>
      </c>
      <c r="I151" s="303" t="s">
        <v>1348</v>
      </c>
      <c r="J151" s="273" t="s">
        <v>3167</v>
      </c>
      <c r="K151" s="274" t="s">
        <v>3168</v>
      </c>
      <c r="L151" s="321"/>
      <c r="M151" s="322"/>
      <c r="N151" s="321"/>
      <c r="O151" s="322"/>
      <c r="P151" s="321"/>
      <c r="Q151" s="322"/>
      <c r="R151" s="321"/>
      <c r="S151" s="322"/>
      <c r="T151" s="321"/>
      <c r="U151" s="322"/>
      <c r="V151" s="321"/>
      <c r="W151" s="322"/>
      <c r="X151" s="321"/>
      <c r="Y151" s="322"/>
      <c r="Z151" s="321"/>
      <c r="AA151" s="322"/>
      <c r="AB151" s="321"/>
      <c r="AC151" s="322"/>
      <c r="AD151" s="321"/>
      <c r="AE151" s="322"/>
      <c r="AF151" s="321"/>
      <c r="AG151" s="322"/>
      <c r="AH151" s="321"/>
      <c r="AI151" s="322"/>
      <c r="AJ151" s="321"/>
      <c r="AK151" s="322"/>
      <c r="AL151" s="321"/>
      <c r="AM151" s="322"/>
      <c r="AN151" s="321"/>
      <c r="AO151" s="322"/>
      <c r="AP151" s="321"/>
      <c r="AQ151" s="322"/>
      <c r="AR151" s="321"/>
      <c r="AS151" s="322"/>
      <c r="AT151" s="321"/>
      <c r="AU151" s="322"/>
      <c r="AV151" s="321"/>
      <c r="AW151" s="322"/>
      <c r="AX151" s="321"/>
      <c r="AY151" s="322"/>
      <c r="AZ151" s="321"/>
      <c r="BA151" s="322"/>
      <c r="BB151" s="321"/>
      <c r="BC151" s="322"/>
      <c r="BD151" s="321"/>
      <c r="BE151" s="322"/>
      <c r="BF151" s="321"/>
      <c r="BG151" s="322"/>
      <c r="BH151" s="321"/>
      <c r="BI151" s="322"/>
      <c r="BJ151" s="321"/>
      <c r="BK151" s="322"/>
      <c r="BL151" s="321"/>
      <c r="BM151" s="322"/>
      <c r="BN151" s="321"/>
      <c r="BO151" s="322"/>
      <c r="BP151" s="321"/>
      <c r="BQ151" s="322"/>
      <c r="BR151" s="321"/>
      <c r="BS151" s="322"/>
      <c r="BT151" s="321"/>
      <c r="BU151" s="322"/>
      <c r="BV151" s="264">
        <f>L151+N151+P151+R151+T151+V151+X151+Z151+AB151+AD151+AF151+AH151+AJ151+AL151+AN151+AP151+AR151+AT151+AV151+AX151+AZ151+BB151+BD151+BF151+BH151+BJ151+BL151+BN151+BP151+BR151+BT151</f>
        <v>0</v>
      </c>
      <c r="BW151" s="264">
        <f>M151+O151+Q151+S151+U151+W151+Y151+AA151+AC151+AE151+AG151+AI151+AK151+AM151+AO151+AQ151+AS151+AU151+AW151+AY151+BA151+BC151+BE151+BG151+BI151+BK151+BM151+BO151+BQ151+BS151+BU151</f>
        <v>0</v>
      </c>
    </row>
    <row r="152" spans="1:75" s="62" customFormat="1" ht="21.95" customHeight="1" x14ac:dyDescent="0.2">
      <c r="A152" s="304" t="s">
        <v>3294</v>
      </c>
      <c r="B152" s="305" t="s">
        <v>3295</v>
      </c>
      <c r="C152" s="272" t="s">
        <v>3176</v>
      </c>
      <c r="D152" s="306" t="s">
        <v>3296</v>
      </c>
      <c r="E152" s="307" t="s">
        <v>3297</v>
      </c>
      <c r="F152" s="308" t="s">
        <v>3165</v>
      </c>
      <c r="G152" s="308" t="s">
        <v>3166</v>
      </c>
      <c r="H152" s="309" t="s">
        <v>1348</v>
      </c>
      <c r="I152" s="310" t="s">
        <v>1348</v>
      </c>
      <c r="J152" s="273" t="s">
        <v>3167</v>
      </c>
      <c r="K152" s="273" t="s">
        <v>3169</v>
      </c>
      <c r="L152" s="319"/>
      <c r="M152" s="320"/>
      <c r="N152" s="319"/>
      <c r="O152" s="320"/>
      <c r="P152" s="319"/>
      <c r="Q152" s="320"/>
      <c r="R152" s="319"/>
      <c r="S152" s="320"/>
      <c r="T152" s="319"/>
      <c r="U152" s="320"/>
      <c r="V152" s="319"/>
      <c r="W152" s="320"/>
      <c r="X152" s="319"/>
      <c r="Y152" s="320"/>
      <c r="Z152" s="319"/>
      <c r="AA152" s="320"/>
      <c r="AB152" s="319"/>
      <c r="AC152" s="320"/>
      <c r="AD152" s="319"/>
      <c r="AE152" s="320"/>
      <c r="AF152" s="319"/>
      <c r="AG152" s="320"/>
      <c r="AH152" s="319"/>
      <c r="AI152" s="320"/>
      <c r="AJ152" s="319"/>
      <c r="AK152" s="320"/>
      <c r="AL152" s="319"/>
      <c r="AM152" s="320"/>
      <c r="AN152" s="319"/>
      <c r="AO152" s="320"/>
      <c r="AP152" s="319"/>
      <c r="AQ152" s="320"/>
      <c r="AR152" s="319"/>
      <c r="AS152" s="320"/>
      <c r="AT152" s="319"/>
      <c r="AU152" s="320"/>
      <c r="AV152" s="319"/>
      <c r="AW152" s="320"/>
      <c r="AX152" s="319"/>
      <c r="AY152" s="320"/>
      <c r="AZ152" s="319"/>
      <c r="BA152" s="320"/>
      <c r="BB152" s="319"/>
      <c r="BC152" s="320"/>
      <c r="BD152" s="319"/>
      <c r="BE152" s="320"/>
      <c r="BF152" s="319"/>
      <c r="BG152" s="320"/>
      <c r="BH152" s="319"/>
      <c r="BI152" s="320"/>
      <c r="BJ152" s="319"/>
      <c r="BK152" s="320"/>
      <c r="BL152" s="319"/>
      <c r="BM152" s="320"/>
      <c r="BN152" s="319"/>
      <c r="BO152" s="320"/>
      <c r="BP152" s="319"/>
      <c r="BQ152" s="320"/>
      <c r="BR152" s="319"/>
      <c r="BS152" s="320"/>
      <c r="BT152" s="319"/>
      <c r="BU152" s="320"/>
      <c r="BV152" s="264">
        <f t="shared" ref="BV152:BV155" si="61">L152+N152+P152+R152+T152+V152+X152+Z152+AB152+AD152+AF152+AH152+AJ152+AL152+AN152+AP152+AR152+AT152+AV152+AX152+AZ152+BB152+BD152+BF152+BH152+BJ152+BL152+BN152+BP152+BR152+BT152</f>
        <v>0</v>
      </c>
      <c r="BW152" s="264">
        <f t="shared" ref="BW152:BW155" si="62">M152+O152+Q152+S152+U152+W152+Y152+AA152+AC152+AE152+AG152+AI152+AK152+AM152+AO152+AQ152+AS152+AU152+AW152+AY152+BA152+BC152+BE152+BG152+BI152+BK152+BM152+BO152+BQ152+BS152+BU152</f>
        <v>0</v>
      </c>
    </row>
    <row r="153" spans="1:75" s="62" customFormat="1" ht="21.95" customHeight="1" x14ac:dyDescent="0.2">
      <c r="A153" s="304" t="s">
        <v>3294</v>
      </c>
      <c r="B153" s="305" t="s">
        <v>3295</v>
      </c>
      <c r="C153" s="311" t="s">
        <v>3176</v>
      </c>
      <c r="D153" s="306" t="s">
        <v>3296</v>
      </c>
      <c r="E153" s="307" t="s">
        <v>3297</v>
      </c>
      <c r="F153" s="308" t="s">
        <v>3165</v>
      </c>
      <c r="G153" s="308" t="s">
        <v>3166</v>
      </c>
      <c r="H153" s="309" t="s">
        <v>1348</v>
      </c>
      <c r="I153" s="310" t="s">
        <v>1348</v>
      </c>
      <c r="J153" s="273" t="s">
        <v>3167</v>
      </c>
      <c r="K153" s="275" t="s">
        <v>3170</v>
      </c>
      <c r="L153" s="319"/>
      <c r="M153" s="320"/>
      <c r="N153" s="319"/>
      <c r="O153" s="320"/>
      <c r="P153" s="319"/>
      <c r="Q153" s="320"/>
      <c r="R153" s="319"/>
      <c r="S153" s="320"/>
      <c r="T153" s="319"/>
      <c r="U153" s="320"/>
      <c r="V153" s="319"/>
      <c r="W153" s="320"/>
      <c r="X153" s="319"/>
      <c r="Y153" s="320"/>
      <c r="Z153" s="319"/>
      <c r="AA153" s="320"/>
      <c r="AB153" s="319"/>
      <c r="AC153" s="320"/>
      <c r="AD153" s="319"/>
      <c r="AE153" s="320"/>
      <c r="AF153" s="319"/>
      <c r="AG153" s="320"/>
      <c r="AH153" s="319"/>
      <c r="AI153" s="320"/>
      <c r="AJ153" s="319"/>
      <c r="AK153" s="320"/>
      <c r="AL153" s="319"/>
      <c r="AM153" s="320"/>
      <c r="AN153" s="319"/>
      <c r="AO153" s="320"/>
      <c r="AP153" s="319"/>
      <c r="AQ153" s="320"/>
      <c r="AR153" s="319"/>
      <c r="AS153" s="320"/>
      <c r="AT153" s="319"/>
      <c r="AU153" s="320"/>
      <c r="AV153" s="319"/>
      <c r="AW153" s="320"/>
      <c r="AX153" s="319"/>
      <c r="AY153" s="320"/>
      <c r="AZ153" s="319"/>
      <c r="BA153" s="320"/>
      <c r="BB153" s="319"/>
      <c r="BC153" s="320"/>
      <c r="BD153" s="319"/>
      <c r="BE153" s="320"/>
      <c r="BF153" s="319"/>
      <c r="BG153" s="320"/>
      <c r="BH153" s="319"/>
      <c r="BI153" s="320"/>
      <c r="BJ153" s="319"/>
      <c r="BK153" s="320"/>
      <c r="BL153" s="319"/>
      <c r="BM153" s="320"/>
      <c r="BN153" s="319"/>
      <c r="BO153" s="320"/>
      <c r="BP153" s="319"/>
      <c r="BQ153" s="320"/>
      <c r="BR153" s="319"/>
      <c r="BS153" s="320"/>
      <c r="BT153" s="319"/>
      <c r="BU153" s="320"/>
      <c r="BV153" s="264">
        <f t="shared" si="61"/>
        <v>0</v>
      </c>
      <c r="BW153" s="264">
        <f t="shared" si="62"/>
        <v>0</v>
      </c>
    </row>
    <row r="154" spans="1:75" s="62" customFormat="1" ht="21.95" customHeight="1" x14ac:dyDescent="0.2">
      <c r="A154" s="304" t="s">
        <v>3294</v>
      </c>
      <c r="B154" s="305" t="s">
        <v>3295</v>
      </c>
      <c r="C154" s="311" t="s">
        <v>3176</v>
      </c>
      <c r="D154" s="306" t="s">
        <v>3296</v>
      </c>
      <c r="E154" s="307" t="s">
        <v>3297</v>
      </c>
      <c r="F154" s="308" t="s">
        <v>3165</v>
      </c>
      <c r="G154" s="308" t="s">
        <v>3166</v>
      </c>
      <c r="H154" s="309" t="s">
        <v>1348</v>
      </c>
      <c r="I154" s="310" t="s">
        <v>1348</v>
      </c>
      <c r="J154" s="273" t="s">
        <v>3167</v>
      </c>
      <c r="K154" s="276" t="s">
        <v>3171</v>
      </c>
      <c r="L154" s="319"/>
      <c r="M154" s="320"/>
      <c r="N154" s="319"/>
      <c r="O154" s="320"/>
      <c r="P154" s="319"/>
      <c r="Q154" s="320"/>
      <c r="R154" s="319"/>
      <c r="S154" s="320"/>
      <c r="T154" s="319"/>
      <c r="U154" s="320"/>
      <c r="V154" s="319"/>
      <c r="W154" s="320"/>
      <c r="X154" s="319"/>
      <c r="Y154" s="320"/>
      <c r="Z154" s="319"/>
      <c r="AA154" s="320"/>
      <c r="AB154" s="319"/>
      <c r="AC154" s="320"/>
      <c r="AD154" s="319"/>
      <c r="AE154" s="320"/>
      <c r="AF154" s="319"/>
      <c r="AG154" s="320"/>
      <c r="AH154" s="319"/>
      <c r="AI154" s="320"/>
      <c r="AJ154" s="319"/>
      <c r="AK154" s="320"/>
      <c r="AL154" s="319"/>
      <c r="AM154" s="320"/>
      <c r="AN154" s="319"/>
      <c r="AO154" s="320"/>
      <c r="AP154" s="319"/>
      <c r="AQ154" s="320"/>
      <c r="AR154" s="319"/>
      <c r="AS154" s="320"/>
      <c r="AT154" s="319"/>
      <c r="AU154" s="320"/>
      <c r="AV154" s="319"/>
      <c r="AW154" s="320"/>
      <c r="AX154" s="319"/>
      <c r="AY154" s="320"/>
      <c r="AZ154" s="319"/>
      <c r="BA154" s="320"/>
      <c r="BB154" s="319"/>
      <c r="BC154" s="320"/>
      <c r="BD154" s="319"/>
      <c r="BE154" s="320"/>
      <c r="BF154" s="319"/>
      <c r="BG154" s="320"/>
      <c r="BH154" s="319"/>
      <c r="BI154" s="320"/>
      <c r="BJ154" s="319"/>
      <c r="BK154" s="320"/>
      <c r="BL154" s="319"/>
      <c r="BM154" s="320"/>
      <c r="BN154" s="319"/>
      <c r="BO154" s="320"/>
      <c r="BP154" s="319"/>
      <c r="BQ154" s="320"/>
      <c r="BR154" s="319"/>
      <c r="BS154" s="320"/>
      <c r="BT154" s="319"/>
      <c r="BU154" s="320"/>
      <c r="BV154" s="264">
        <f t="shared" si="61"/>
        <v>0</v>
      </c>
      <c r="BW154" s="264">
        <f t="shared" si="62"/>
        <v>0</v>
      </c>
    </row>
    <row r="155" spans="1:75" s="62" customFormat="1" ht="21.95" customHeight="1" thickBot="1" x14ac:dyDescent="0.25">
      <c r="A155" s="568" t="s">
        <v>3294</v>
      </c>
      <c r="B155" s="312" t="s">
        <v>3295</v>
      </c>
      <c r="C155" s="313" t="s">
        <v>3176</v>
      </c>
      <c r="D155" s="314" t="s">
        <v>3296</v>
      </c>
      <c r="E155" s="330" t="s">
        <v>3297</v>
      </c>
      <c r="F155" s="315" t="s">
        <v>3165</v>
      </c>
      <c r="G155" s="315" t="s">
        <v>3166</v>
      </c>
      <c r="H155" s="316" t="s">
        <v>1348</v>
      </c>
      <c r="I155" s="569" t="s">
        <v>1348</v>
      </c>
      <c r="J155" s="273" t="s">
        <v>3167</v>
      </c>
      <c r="K155" s="277" t="s">
        <v>53</v>
      </c>
      <c r="L155" s="321"/>
      <c r="M155" s="322"/>
      <c r="N155" s="321"/>
      <c r="O155" s="322"/>
      <c r="P155" s="321"/>
      <c r="Q155" s="322"/>
      <c r="R155" s="321"/>
      <c r="S155" s="322"/>
      <c r="T155" s="321"/>
      <c r="U155" s="322"/>
      <c r="V155" s="321"/>
      <c r="W155" s="322"/>
      <c r="X155" s="321"/>
      <c r="Y155" s="322"/>
      <c r="Z155" s="321"/>
      <c r="AA155" s="322"/>
      <c r="AB155" s="321"/>
      <c r="AC155" s="322"/>
      <c r="AD155" s="321"/>
      <c r="AE155" s="322"/>
      <c r="AF155" s="321"/>
      <c r="AG155" s="322"/>
      <c r="AH155" s="321"/>
      <c r="AI155" s="322"/>
      <c r="AJ155" s="321"/>
      <c r="AK155" s="322"/>
      <c r="AL155" s="321"/>
      <c r="AM155" s="322"/>
      <c r="AN155" s="321"/>
      <c r="AO155" s="322"/>
      <c r="AP155" s="321"/>
      <c r="AQ155" s="322"/>
      <c r="AR155" s="321"/>
      <c r="AS155" s="322"/>
      <c r="AT155" s="321"/>
      <c r="AU155" s="322"/>
      <c r="AV155" s="321"/>
      <c r="AW155" s="322"/>
      <c r="AX155" s="321"/>
      <c r="AY155" s="322"/>
      <c r="AZ155" s="321"/>
      <c r="BA155" s="322"/>
      <c r="BB155" s="321"/>
      <c r="BC155" s="322"/>
      <c r="BD155" s="321"/>
      <c r="BE155" s="322"/>
      <c r="BF155" s="321"/>
      <c r="BG155" s="322"/>
      <c r="BH155" s="321"/>
      <c r="BI155" s="322"/>
      <c r="BJ155" s="321"/>
      <c r="BK155" s="322"/>
      <c r="BL155" s="321"/>
      <c r="BM155" s="322"/>
      <c r="BN155" s="321"/>
      <c r="BO155" s="322"/>
      <c r="BP155" s="321"/>
      <c r="BQ155" s="322"/>
      <c r="BR155" s="321"/>
      <c r="BS155" s="322"/>
      <c r="BT155" s="321"/>
      <c r="BU155" s="322"/>
      <c r="BV155" s="264">
        <f t="shared" si="61"/>
        <v>0</v>
      </c>
      <c r="BW155" s="264">
        <f t="shared" si="62"/>
        <v>0</v>
      </c>
    </row>
    <row r="156" spans="1:75" s="62" customFormat="1" ht="21.95" customHeight="1" x14ac:dyDescent="0.25">
      <c r="A156" s="344" t="s">
        <v>3298</v>
      </c>
      <c r="B156" s="434" t="s">
        <v>3299</v>
      </c>
      <c r="C156" s="435">
        <v>1</v>
      </c>
      <c r="D156" s="436" t="s">
        <v>3300</v>
      </c>
      <c r="E156" s="345" t="s">
        <v>3301</v>
      </c>
      <c r="F156" s="437" t="s">
        <v>3165</v>
      </c>
      <c r="G156" s="437" t="s">
        <v>3166</v>
      </c>
      <c r="H156" s="438" t="s">
        <v>1349</v>
      </c>
      <c r="I156" s="303" t="s">
        <v>1349</v>
      </c>
      <c r="J156" s="273" t="s">
        <v>3167</v>
      </c>
      <c r="K156" s="274" t="s">
        <v>3168</v>
      </c>
      <c r="L156" s="321"/>
      <c r="M156" s="322"/>
      <c r="N156" s="321"/>
      <c r="O156" s="322"/>
      <c r="P156" s="321"/>
      <c r="Q156" s="322"/>
      <c r="R156" s="321"/>
      <c r="S156" s="322"/>
      <c r="T156" s="321"/>
      <c r="U156" s="322"/>
      <c r="V156" s="321"/>
      <c r="W156" s="322"/>
      <c r="X156" s="321"/>
      <c r="Y156" s="322"/>
      <c r="Z156" s="321"/>
      <c r="AA156" s="322"/>
      <c r="AB156" s="321"/>
      <c r="AC156" s="322"/>
      <c r="AD156" s="321"/>
      <c r="AE156" s="322"/>
      <c r="AF156" s="321"/>
      <c r="AG156" s="322"/>
      <c r="AH156" s="321"/>
      <c r="AI156" s="322"/>
      <c r="AJ156" s="321"/>
      <c r="AK156" s="322"/>
      <c r="AL156" s="321"/>
      <c r="AM156" s="322"/>
      <c r="AN156" s="321"/>
      <c r="AO156" s="322"/>
      <c r="AP156" s="321"/>
      <c r="AQ156" s="322"/>
      <c r="AR156" s="321"/>
      <c r="AS156" s="322"/>
      <c r="AT156" s="321"/>
      <c r="AU156" s="322"/>
      <c r="AV156" s="321"/>
      <c r="AW156" s="322"/>
      <c r="AX156" s="321"/>
      <c r="AY156" s="322"/>
      <c r="AZ156" s="321"/>
      <c r="BA156" s="322"/>
      <c r="BB156" s="321"/>
      <c r="BC156" s="322"/>
      <c r="BD156" s="321"/>
      <c r="BE156" s="322"/>
      <c r="BF156" s="321"/>
      <c r="BG156" s="322"/>
      <c r="BH156" s="321"/>
      <c r="BI156" s="322"/>
      <c r="BJ156" s="321"/>
      <c r="BK156" s="322"/>
      <c r="BL156" s="321"/>
      <c r="BM156" s="322"/>
      <c r="BN156" s="321"/>
      <c r="BO156" s="322"/>
      <c r="BP156" s="321"/>
      <c r="BQ156" s="322"/>
      <c r="BR156" s="321"/>
      <c r="BS156" s="322"/>
      <c r="BT156" s="321"/>
      <c r="BU156" s="322"/>
      <c r="BV156" s="264">
        <f>L156+N156+P156+R156+T156+V156+X156+Z156+AB156+AD156+AF156+AH156+AJ156+AL156+AN156+AP156+AR156+AT156+AV156+AX156+AZ156+BB156+BD156+BF156+BH156+BJ156+BL156+BN156+BP156+BR156+BT156</f>
        <v>0</v>
      </c>
      <c r="BW156" s="264">
        <f>M156+O156+Q156+S156+U156+W156+Y156+AA156+AC156+AE156+AG156+AI156+AK156+AM156+AO156+AQ156+AS156+AU156+AW156+AY156+BA156+BC156+BE156+BG156+BI156+BK156+BM156+BO156+BQ156+BS156+BU156</f>
        <v>0</v>
      </c>
    </row>
    <row r="157" spans="1:75" s="62" customFormat="1" ht="21.95" customHeight="1" x14ac:dyDescent="0.2">
      <c r="A157" s="304" t="s">
        <v>3298</v>
      </c>
      <c r="B157" s="305" t="s">
        <v>3299</v>
      </c>
      <c r="C157" s="272" t="s">
        <v>3175</v>
      </c>
      <c r="D157" s="306" t="s">
        <v>3300</v>
      </c>
      <c r="E157" s="307" t="s">
        <v>3301</v>
      </c>
      <c r="F157" s="308" t="s">
        <v>3165</v>
      </c>
      <c r="G157" s="308" t="s">
        <v>3166</v>
      </c>
      <c r="H157" s="309" t="s">
        <v>1349</v>
      </c>
      <c r="I157" s="310" t="s">
        <v>1349</v>
      </c>
      <c r="J157" s="273" t="s">
        <v>3167</v>
      </c>
      <c r="K157" s="273" t="s">
        <v>3169</v>
      </c>
      <c r="L157" s="319"/>
      <c r="M157" s="320"/>
      <c r="N157" s="319"/>
      <c r="O157" s="320"/>
      <c r="P157" s="319"/>
      <c r="Q157" s="320"/>
      <c r="R157" s="319"/>
      <c r="S157" s="320"/>
      <c r="T157" s="319"/>
      <c r="U157" s="320"/>
      <c r="V157" s="319"/>
      <c r="W157" s="320"/>
      <c r="X157" s="319"/>
      <c r="Y157" s="320"/>
      <c r="Z157" s="319"/>
      <c r="AA157" s="320"/>
      <c r="AB157" s="319"/>
      <c r="AC157" s="320"/>
      <c r="AD157" s="319"/>
      <c r="AE157" s="320"/>
      <c r="AF157" s="319"/>
      <c r="AG157" s="320"/>
      <c r="AH157" s="319"/>
      <c r="AI157" s="320"/>
      <c r="AJ157" s="319"/>
      <c r="AK157" s="320"/>
      <c r="AL157" s="319"/>
      <c r="AM157" s="320"/>
      <c r="AN157" s="319"/>
      <c r="AO157" s="320"/>
      <c r="AP157" s="319"/>
      <c r="AQ157" s="320"/>
      <c r="AR157" s="319"/>
      <c r="AS157" s="320"/>
      <c r="AT157" s="319"/>
      <c r="AU157" s="320"/>
      <c r="AV157" s="319"/>
      <c r="AW157" s="320"/>
      <c r="AX157" s="319"/>
      <c r="AY157" s="320"/>
      <c r="AZ157" s="319"/>
      <c r="BA157" s="320"/>
      <c r="BB157" s="319"/>
      <c r="BC157" s="320"/>
      <c r="BD157" s="319"/>
      <c r="BE157" s="320"/>
      <c r="BF157" s="319"/>
      <c r="BG157" s="320"/>
      <c r="BH157" s="319"/>
      <c r="BI157" s="320"/>
      <c r="BJ157" s="319"/>
      <c r="BK157" s="320"/>
      <c r="BL157" s="319"/>
      <c r="BM157" s="320"/>
      <c r="BN157" s="319"/>
      <c r="BO157" s="320"/>
      <c r="BP157" s="319"/>
      <c r="BQ157" s="320"/>
      <c r="BR157" s="319"/>
      <c r="BS157" s="320"/>
      <c r="BT157" s="319"/>
      <c r="BU157" s="320"/>
      <c r="BV157" s="264">
        <f t="shared" ref="BV157:BV160" si="63">L157+N157+P157+R157+T157+V157+X157+Z157+AB157+AD157+AF157+AH157+AJ157+AL157+AN157+AP157+AR157+AT157+AV157+AX157+AZ157+BB157+BD157+BF157+BH157+BJ157+BL157+BN157+BP157+BR157+BT157</f>
        <v>0</v>
      </c>
      <c r="BW157" s="264">
        <f t="shared" ref="BW157:BW160" si="64">M157+O157+Q157+S157+U157+W157+Y157+AA157+AC157+AE157+AG157+AI157+AK157+AM157+AO157+AQ157+AS157+AU157+AW157+AY157+BA157+BC157+BE157+BG157+BI157+BK157+BM157+BO157+BQ157+BS157+BU157</f>
        <v>0</v>
      </c>
    </row>
    <row r="158" spans="1:75" s="62" customFormat="1" ht="21.95" customHeight="1" x14ac:dyDescent="0.2">
      <c r="A158" s="304" t="s">
        <v>3298</v>
      </c>
      <c r="B158" s="305" t="s">
        <v>3299</v>
      </c>
      <c r="C158" s="311" t="s">
        <v>3175</v>
      </c>
      <c r="D158" s="306" t="s">
        <v>3300</v>
      </c>
      <c r="E158" s="307" t="s">
        <v>3301</v>
      </c>
      <c r="F158" s="308" t="s">
        <v>3165</v>
      </c>
      <c r="G158" s="308" t="s">
        <v>3166</v>
      </c>
      <c r="H158" s="309" t="s">
        <v>1349</v>
      </c>
      <c r="I158" s="310" t="s">
        <v>1349</v>
      </c>
      <c r="J158" s="273" t="s">
        <v>3167</v>
      </c>
      <c r="K158" s="275" t="s">
        <v>3170</v>
      </c>
      <c r="L158" s="319"/>
      <c r="M158" s="320"/>
      <c r="N158" s="319"/>
      <c r="O158" s="320"/>
      <c r="P158" s="319"/>
      <c r="Q158" s="320"/>
      <c r="R158" s="319"/>
      <c r="S158" s="320"/>
      <c r="T158" s="319"/>
      <c r="U158" s="320"/>
      <c r="V158" s="319"/>
      <c r="W158" s="320"/>
      <c r="X158" s="319"/>
      <c r="Y158" s="320"/>
      <c r="Z158" s="319"/>
      <c r="AA158" s="320"/>
      <c r="AB158" s="319"/>
      <c r="AC158" s="320"/>
      <c r="AD158" s="319"/>
      <c r="AE158" s="320"/>
      <c r="AF158" s="319"/>
      <c r="AG158" s="320"/>
      <c r="AH158" s="319"/>
      <c r="AI158" s="320"/>
      <c r="AJ158" s="319"/>
      <c r="AK158" s="320"/>
      <c r="AL158" s="319"/>
      <c r="AM158" s="320"/>
      <c r="AN158" s="319"/>
      <c r="AO158" s="320"/>
      <c r="AP158" s="319"/>
      <c r="AQ158" s="320"/>
      <c r="AR158" s="319"/>
      <c r="AS158" s="320"/>
      <c r="AT158" s="319"/>
      <c r="AU158" s="320"/>
      <c r="AV158" s="319"/>
      <c r="AW158" s="320"/>
      <c r="AX158" s="319"/>
      <c r="AY158" s="320"/>
      <c r="AZ158" s="319"/>
      <c r="BA158" s="320"/>
      <c r="BB158" s="319"/>
      <c r="BC158" s="320"/>
      <c r="BD158" s="319"/>
      <c r="BE158" s="320"/>
      <c r="BF158" s="319"/>
      <c r="BG158" s="320"/>
      <c r="BH158" s="319"/>
      <c r="BI158" s="320"/>
      <c r="BJ158" s="319"/>
      <c r="BK158" s="320"/>
      <c r="BL158" s="319"/>
      <c r="BM158" s="320"/>
      <c r="BN158" s="319"/>
      <c r="BO158" s="320"/>
      <c r="BP158" s="319"/>
      <c r="BQ158" s="320"/>
      <c r="BR158" s="319"/>
      <c r="BS158" s="320"/>
      <c r="BT158" s="319"/>
      <c r="BU158" s="320"/>
      <c r="BV158" s="264">
        <f t="shared" si="63"/>
        <v>0</v>
      </c>
      <c r="BW158" s="264">
        <f t="shared" si="64"/>
        <v>0</v>
      </c>
    </row>
    <row r="159" spans="1:75" s="62" customFormat="1" ht="21.95" customHeight="1" x14ac:dyDescent="0.2">
      <c r="A159" s="304" t="s">
        <v>3298</v>
      </c>
      <c r="B159" s="305" t="s">
        <v>3299</v>
      </c>
      <c r="C159" s="311" t="s">
        <v>3175</v>
      </c>
      <c r="D159" s="306" t="s">
        <v>3300</v>
      </c>
      <c r="E159" s="307" t="s">
        <v>3301</v>
      </c>
      <c r="F159" s="308" t="s">
        <v>3165</v>
      </c>
      <c r="G159" s="308" t="s">
        <v>3166</v>
      </c>
      <c r="H159" s="309" t="s">
        <v>1349</v>
      </c>
      <c r="I159" s="310" t="s">
        <v>1349</v>
      </c>
      <c r="J159" s="273" t="s">
        <v>3167</v>
      </c>
      <c r="K159" s="276" t="s">
        <v>3171</v>
      </c>
      <c r="L159" s="319"/>
      <c r="M159" s="320"/>
      <c r="N159" s="319"/>
      <c r="O159" s="320"/>
      <c r="P159" s="319"/>
      <c r="Q159" s="320"/>
      <c r="R159" s="319"/>
      <c r="S159" s="320"/>
      <c r="T159" s="319"/>
      <c r="U159" s="320"/>
      <c r="V159" s="319"/>
      <c r="W159" s="320"/>
      <c r="X159" s="319"/>
      <c r="Y159" s="320"/>
      <c r="Z159" s="319"/>
      <c r="AA159" s="320"/>
      <c r="AB159" s="319"/>
      <c r="AC159" s="320"/>
      <c r="AD159" s="319"/>
      <c r="AE159" s="320"/>
      <c r="AF159" s="319"/>
      <c r="AG159" s="320"/>
      <c r="AH159" s="319"/>
      <c r="AI159" s="320"/>
      <c r="AJ159" s="319"/>
      <c r="AK159" s="320"/>
      <c r="AL159" s="319"/>
      <c r="AM159" s="320"/>
      <c r="AN159" s="319"/>
      <c r="AO159" s="320"/>
      <c r="AP159" s="319"/>
      <c r="AQ159" s="320"/>
      <c r="AR159" s="319"/>
      <c r="AS159" s="320"/>
      <c r="AT159" s="319"/>
      <c r="AU159" s="320"/>
      <c r="AV159" s="319"/>
      <c r="AW159" s="320"/>
      <c r="AX159" s="319"/>
      <c r="AY159" s="320"/>
      <c r="AZ159" s="319"/>
      <c r="BA159" s="320"/>
      <c r="BB159" s="319"/>
      <c r="BC159" s="320"/>
      <c r="BD159" s="319"/>
      <c r="BE159" s="320"/>
      <c r="BF159" s="319"/>
      <c r="BG159" s="320"/>
      <c r="BH159" s="319"/>
      <c r="BI159" s="320"/>
      <c r="BJ159" s="319"/>
      <c r="BK159" s="320"/>
      <c r="BL159" s="319"/>
      <c r="BM159" s="320"/>
      <c r="BN159" s="319"/>
      <c r="BO159" s="320"/>
      <c r="BP159" s="319"/>
      <c r="BQ159" s="320"/>
      <c r="BR159" s="319"/>
      <c r="BS159" s="320"/>
      <c r="BT159" s="319"/>
      <c r="BU159" s="320"/>
      <c r="BV159" s="264">
        <f t="shared" si="63"/>
        <v>0</v>
      </c>
      <c r="BW159" s="264">
        <f t="shared" si="64"/>
        <v>0</v>
      </c>
    </row>
    <row r="160" spans="1:75" s="62" customFormat="1" ht="21.95" customHeight="1" thickBot="1" x14ac:dyDescent="0.25">
      <c r="A160" s="568" t="s">
        <v>3298</v>
      </c>
      <c r="B160" s="312" t="s">
        <v>3299</v>
      </c>
      <c r="C160" s="313" t="s">
        <v>3175</v>
      </c>
      <c r="D160" s="314" t="s">
        <v>3300</v>
      </c>
      <c r="E160" s="330" t="s">
        <v>3301</v>
      </c>
      <c r="F160" s="315" t="s">
        <v>3165</v>
      </c>
      <c r="G160" s="315" t="s">
        <v>3166</v>
      </c>
      <c r="H160" s="316" t="s">
        <v>1349</v>
      </c>
      <c r="I160" s="569" t="s">
        <v>1349</v>
      </c>
      <c r="J160" s="273" t="s">
        <v>3167</v>
      </c>
      <c r="K160" s="277" t="s">
        <v>53</v>
      </c>
      <c r="L160" s="321"/>
      <c r="M160" s="322"/>
      <c r="N160" s="321"/>
      <c r="O160" s="322"/>
      <c r="P160" s="321"/>
      <c r="Q160" s="322"/>
      <c r="R160" s="321"/>
      <c r="S160" s="322"/>
      <c r="T160" s="321"/>
      <c r="U160" s="322"/>
      <c r="V160" s="321"/>
      <c r="W160" s="322"/>
      <c r="X160" s="321"/>
      <c r="Y160" s="322"/>
      <c r="Z160" s="321"/>
      <c r="AA160" s="322"/>
      <c r="AB160" s="321"/>
      <c r="AC160" s="322"/>
      <c r="AD160" s="321"/>
      <c r="AE160" s="322"/>
      <c r="AF160" s="321"/>
      <c r="AG160" s="322"/>
      <c r="AH160" s="321"/>
      <c r="AI160" s="322"/>
      <c r="AJ160" s="321"/>
      <c r="AK160" s="322"/>
      <c r="AL160" s="321"/>
      <c r="AM160" s="322"/>
      <c r="AN160" s="321"/>
      <c r="AO160" s="322"/>
      <c r="AP160" s="321"/>
      <c r="AQ160" s="322"/>
      <c r="AR160" s="321"/>
      <c r="AS160" s="322"/>
      <c r="AT160" s="321"/>
      <c r="AU160" s="322"/>
      <c r="AV160" s="321"/>
      <c r="AW160" s="322"/>
      <c r="AX160" s="321"/>
      <c r="AY160" s="322"/>
      <c r="AZ160" s="321"/>
      <c r="BA160" s="322"/>
      <c r="BB160" s="321"/>
      <c r="BC160" s="322"/>
      <c r="BD160" s="321"/>
      <c r="BE160" s="322"/>
      <c r="BF160" s="321"/>
      <c r="BG160" s="322"/>
      <c r="BH160" s="321"/>
      <c r="BI160" s="322"/>
      <c r="BJ160" s="321"/>
      <c r="BK160" s="322"/>
      <c r="BL160" s="321"/>
      <c r="BM160" s="322"/>
      <c r="BN160" s="321"/>
      <c r="BO160" s="322"/>
      <c r="BP160" s="321"/>
      <c r="BQ160" s="322"/>
      <c r="BR160" s="321"/>
      <c r="BS160" s="322"/>
      <c r="BT160" s="321"/>
      <c r="BU160" s="322"/>
      <c r="BV160" s="264">
        <f t="shared" si="63"/>
        <v>0</v>
      </c>
      <c r="BW160" s="264">
        <f t="shared" si="64"/>
        <v>0</v>
      </c>
    </row>
    <row r="161" spans="1:75" s="62" customFormat="1" ht="21.95" customHeight="1" x14ac:dyDescent="0.25">
      <c r="A161" s="344" t="s">
        <v>3302</v>
      </c>
      <c r="B161" s="434" t="s">
        <v>3303</v>
      </c>
      <c r="C161" s="435">
        <v>1</v>
      </c>
      <c r="D161" s="436" t="s">
        <v>3304</v>
      </c>
      <c r="E161" s="345" t="s">
        <v>3305</v>
      </c>
      <c r="F161" s="437" t="s">
        <v>3165</v>
      </c>
      <c r="G161" s="437" t="s">
        <v>3166</v>
      </c>
      <c r="H161" s="438" t="s">
        <v>1350</v>
      </c>
      <c r="I161" s="303" t="s">
        <v>1350</v>
      </c>
      <c r="J161" s="273" t="s">
        <v>3167</v>
      </c>
      <c r="K161" s="274" t="s">
        <v>3168</v>
      </c>
      <c r="L161" s="321"/>
      <c r="M161" s="322"/>
      <c r="N161" s="321"/>
      <c r="O161" s="322"/>
      <c r="P161" s="321"/>
      <c r="Q161" s="322"/>
      <c r="R161" s="321"/>
      <c r="S161" s="322"/>
      <c r="T161" s="321"/>
      <c r="U161" s="322"/>
      <c r="V161" s="321"/>
      <c r="W161" s="322"/>
      <c r="X161" s="321"/>
      <c r="Y161" s="322"/>
      <c r="Z161" s="321"/>
      <c r="AA161" s="322"/>
      <c r="AB161" s="321"/>
      <c r="AC161" s="322"/>
      <c r="AD161" s="321"/>
      <c r="AE161" s="322"/>
      <c r="AF161" s="321"/>
      <c r="AG161" s="322"/>
      <c r="AH161" s="321"/>
      <c r="AI161" s="322"/>
      <c r="AJ161" s="321"/>
      <c r="AK161" s="322"/>
      <c r="AL161" s="321"/>
      <c r="AM161" s="322"/>
      <c r="AN161" s="321"/>
      <c r="AO161" s="322"/>
      <c r="AP161" s="321"/>
      <c r="AQ161" s="322"/>
      <c r="AR161" s="321"/>
      <c r="AS161" s="322"/>
      <c r="AT161" s="321"/>
      <c r="AU161" s="322"/>
      <c r="AV161" s="321"/>
      <c r="AW161" s="322"/>
      <c r="AX161" s="321"/>
      <c r="AY161" s="322"/>
      <c r="AZ161" s="321"/>
      <c r="BA161" s="322"/>
      <c r="BB161" s="321"/>
      <c r="BC161" s="322"/>
      <c r="BD161" s="321"/>
      <c r="BE161" s="322"/>
      <c r="BF161" s="321"/>
      <c r="BG161" s="322"/>
      <c r="BH161" s="321"/>
      <c r="BI161" s="322"/>
      <c r="BJ161" s="321"/>
      <c r="BK161" s="322"/>
      <c r="BL161" s="321"/>
      <c r="BM161" s="322"/>
      <c r="BN161" s="321"/>
      <c r="BO161" s="322"/>
      <c r="BP161" s="321"/>
      <c r="BQ161" s="322"/>
      <c r="BR161" s="321"/>
      <c r="BS161" s="322"/>
      <c r="BT161" s="321"/>
      <c r="BU161" s="322"/>
      <c r="BV161" s="264">
        <f>L161+N161+P161+R161+T161+V161+X161+Z161+AB161+AD161+AF161+AH161+AJ161+AL161+AN161+AP161+AR161+AT161+AV161+AX161+AZ161+BB161+BD161+BF161+BH161+BJ161+BL161+BN161+BP161+BR161+BT161</f>
        <v>0</v>
      </c>
      <c r="BW161" s="264">
        <f>M161+O161+Q161+S161+U161+W161+Y161+AA161+AC161+AE161+AG161+AI161+AK161+AM161+AO161+AQ161+AS161+AU161+AW161+AY161+BA161+BC161+BE161+BG161+BI161+BK161+BM161+BO161+BQ161+BS161+BU161</f>
        <v>0</v>
      </c>
    </row>
    <row r="162" spans="1:75" s="62" customFormat="1" ht="21.95" customHeight="1" x14ac:dyDescent="0.2">
      <c r="A162" s="304" t="s">
        <v>3302</v>
      </c>
      <c r="B162" s="305" t="s">
        <v>3303</v>
      </c>
      <c r="C162" s="272" t="s">
        <v>3175</v>
      </c>
      <c r="D162" s="306" t="s">
        <v>3304</v>
      </c>
      <c r="E162" s="307" t="s">
        <v>3305</v>
      </c>
      <c r="F162" s="308" t="s">
        <v>3165</v>
      </c>
      <c r="G162" s="308" t="s">
        <v>3166</v>
      </c>
      <c r="H162" s="309" t="s">
        <v>1350</v>
      </c>
      <c r="I162" s="310" t="s">
        <v>1350</v>
      </c>
      <c r="J162" s="273" t="s">
        <v>3167</v>
      </c>
      <c r="K162" s="273" t="s">
        <v>3169</v>
      </c>
      <c r="L162" s="319"/>
      <c r="M162" s="320"/>
      <c r="N162" s="319"/>
      <c r="O162" s="320"/>
      <c r="P162" s="319"/>
      <c r="Q162" s="320"/>
      <c r="R162" s="319"/>
      <c r="S162" s="320"/>
      <c r="T162" s="319"/>
      <c r="U162" s="320"/>
      <c r="V162" s="319"/>
      <c r="W162" s="320"/>
      <c r="X162" s="319"/>
      <c r="Y162" s="320"/>
      <c r="Z162" s="319"/>
      <c r="AA162" s="320"/>
      <c r="AB162" s="319"/>
      <c r="AC162" s="320"/>
      <c r="AD162" s="319"/>
      <c r="AE162" s="320"/>
      <c r="AF162" s="319"/>
      <c r="AG162" s="320"/>
      <c r="AH162" s="319"/>
      <c r="AI162" s="320"/>
      <c r="AJ162" s="319"/>
      <c r="AK162" s="320"/>
      <c r="AL162" s="319"/>
      <c r="AM162" s="320"/>
      <c r="AN162" s="319"/>
      <c r="AO162" s="320"/>
      <c r="AP162" s="319"/>
      <c r="AQ162" s="320"/>
      <c r="AR162" s="319"/>
      <c r="AS162" s="320"/>
      <c r="AT162" s="319"/>
      <c r="AU162" s="320"/>
      <c r="AV162" s="319"/>
      <c r="AW162" s="320"/>
      <c r="AX162" s="319"/>
      <c r="AY162" s="320"/>
      <c r="AZ162" s="319"/>
      <c r="BA162" s="320"/>
      <c r="BB162" s="319"/>
      <c r="BC162" s="320"/>
      <c r="BD162" s="319"/>
      <c r="BE162" s="320"/>
      <c r="BF162" s="319"/>
      <c r="BG162" s="320"/>
      <c r="BH162" s="319"/>
      <c r="BI162" s="320"/>
      <c r="BJ162" s="319"/>
      <c r="BK162" s="320"/>
      <c r="BL162" s="319"/>
      <c r="BM162" s="320"/>
      <c r="BN162" s="319"/>
      <c r="BO162" s="320"/>
      <c r="BP162" s="319"/>
      <c r="BQ162" s="320"/>
      <c r="BR162" s="319"/>
      <c r="BS162" s="320"/>
      <c r="BT162" s="319"/>
      <c r="BU162" s="320"/>
      <c r="BV162" s="264">
        <f t="shared" ref="BV162:BV165" si="65">L162+N162+P162+R162+T162+V162+X162+Z162+AB162+AD162+AF162+AH162+AJ162+AL162+AN162+AP162+AR162+AT162+AV162+AX162+AZ162+BB162+BD162+BF162+BH162+BJ162+BL162+BN162+BP162+BR162+BT162</f>
        <v>0</v>
      </c>
      <c r="BW162" s="264">
        <f t="shared" ref="BW162:BW165" si="66">M162+O162+Q162+S162+U162+W162+Y162+AA162+AC162+AE162+AG162+AI162+AK162+AM162+AO162+AQ162+AS162+AU162+AW162+AY162+BA162+BC162+BE162+BG162+BI162+BK162+BM162+BO162+BQ162+BS162+BU162</f>
        <v>0</v>
      </c>
    </row>
    <row r="163" spans="1:75" s="62" customFormat="1" ht="21.95" customHeight="1" x14ac:dyDescent="0.2">
      <c r="A163" s="304" t="s">
        <v>3302</v>
      </c>
      <c r="B163" s="305" t="s">
        <v>3303</v>
      </c>
      <c r="C163" s="311" t="s">
        <v>3175</v>
      </c>
      <c r="D163" s="306" t="s">
        <v>3304</v>
      </c>
      <c r="E163" s="307" t="s">
        <v>3305</v>
      </c>
      <c r="F163" s="308" t="s">
        <v>3165</v>
      </c>
      <c r="G163" s="308" t="s">
        <v>3166</v>
      </c>
      <c r="H163" s="309" t="s">
        <v>1350</v>
      </c>
      <c r="I163" s="310" t="s">
        <v>1350</v>
      </c>
      <c r="J163" s="273" t="s">
        <v>3167</v>
      </c>
      <c r="K163" s="275" t="s">
        <v>3170</v>
      </c>
      <c r="L163" s="319"/>
      <c r="M163" s="320"/>
      <c r="N163" s="319"/>
      <c r="O163" s="320"/>
      <c r="P163" s="319"/>
      <c r="Q163" s="320"/>
      <c r="R163" s="319"/>
      <c r="S163" s="320"/>
      <c r="T163" s="319"/>
      <c r="U163" s="320"/>
      <c r="V163" s="319"/>
      <c r="W163" s="320"/>
      <c r="X163" s="319"/>
      <c r="Y163" s="320"/>
      <c r="Z163" s="319"/>
      <c r="AA163" s="320"/>
      <c r="AB163" s="319"/>
      <c r="AC163" s="320"/>
      <c r="AD163" s="319"/>
      <c r="AE163" s="320"/>
      <c r="AF163" s="319"/>
      <c r="AG163" s="320"/>
      <c r="AH163" s="319"/>
      <c r="AI163" s="320"/>
      <c r="AJ163" s="319"/>
      <c r="AK163" s="320"/>
      <c r="AL163" s="319"/>
      <c r="AM163" s="320"/>
      <c r="AN163" s="319"/>
      <c r="AO163" s="320"/>
      <c r="AP163" s="319"/>
      <c r="AQ163" s="320"/>
      <c r="AR163" s="319"/>
      <c r="AS163" s="320"/>
      <c r="AT163" s="319"/>
      <c r="AU163" s="320"/>
      <c r="AV163" s="319"/>
      <c r="AW163" s="320"/>
      <c r="AX163" s="319"/>
      <c r="AY163" s="320"/>
      <c r="AZ163" s="319"/>
      <c r="BA163" s="320"/>
      <c r="BB163" s="319"/>
      <c r="BC163" s="320"/>
      <c r="BD163" s="319"/>
      <c r="BE163" s="320"/>
      <c r="BF163" s="319"/>
      <c r="BG163" s="320"/>
      <c r="BH163" s="319"/>
      <c r="BI163" s="320"/>
      <c r="BJ163" s="319"/>
      <c r="BK163" s="320"/>
      <c r="BL163" s="319"/>
      <c r="BM163" s="320"/>
      <c r="BN163" s="319"/>
      <c r="BO163" s="320"/>
      <c r="BP163" s="319"/>
      <c r="BQ163" s="320"/>
      <c r="BR163" s="319"/>
      <c r="BS163" s="320"/>
      <c r="BT163" s="319"/>
      <c r="BU163" s="320"/>
      <c r="BV163" s="264">
        <f t="shared" si="65"/>
        <v>0</v>
      </c>
      <c r="BW163" s="264">
        <f t="shared" si="66"/>
        <v>0</v>
      </c>
    </row>
    <row r="164" spans="1:75" s="62" customFormat="1" ht="21.95" customHeight="1" x14ac:dyDescent="0.2">
      <c r="A164" s="304" t="s">
        <v>3302</v>
      </c>
      <c r="B164" s="305" t="s">
        <v>3303</v>
      </c>
      <c r="C164" s="311" t="s">
        <v>3175</v>
      </c>
      <c r="D164" s="306" t="s">
        <v>3304</v>
      </c>
      <c r="E164" s="307" t="s">
        <v>3305</v>
      </c>
      <c r="F164" s="308" t="s">
        <v>3165</v>
      </c>
      <c r="G164" s="308" t="s">
        <v>3166</v>
      </c>
      <c r="H164" s="309" t="s">
        <v>1350</v>
      </c>
      <c r="I164" s="310" t="s">
        <v>1350</v>
      </c>
      <c r="J164" s="273" t="s">
        <v>3167</v>
      </c>
      <c r="K164" s="276" t="s">
        <v>3171</v>
      </c>
      <c r="L164" s="319"/>
      <c r="M164" s="320"/>
      <c r="N164" s="319"/>
      <c r="O164" s="320"/>
      <c r="P164" s="319"/>
      <c r="Q164" s="320"/>
      <c r="R164" s="319"/>
      <c r="S164" s="320"/>
      <c r="T164" s="319"/>
      <c r="U164" s="320"/>
      <c r="V164" s="319"/>
      <c r="W164" s="320"/>
      <c r="X164" s="319"/>
      <c r="Y164" s="320"/>
      <c r="Z164" s="319"/>
      <c r="AA164" s="320"/>
      <c r="AB164" s="319"/>
      <c r="AC164" s="320"/>
      <c r="AD164" s="319"/>
      <c r="AE164" s="320"/>
      <c r="AF164" s="319"/>
      <c r="AG164" s="320"/>
      <c r="AH164" s="319"/>
      <c r="AI164" s="320"/>
      <c r="AJ164" s="319"/>
      <c r="AK164" s="320"/>
      <c r="AL164" s="319"/>
      <c r="AM164" s="320"/>
      <c r="AN164" s="319"/>
      <c r="AO164" s="320"/>
      <c r="AP164" s="319"/>
      <c r="AQ164" s="320"/>
      <c r="AR164" s="319"/>
      <c r="AS164" s="320"/>
      <c r="AT164" s="319"/>
      <c r="AU164" s="320"/>
      <c r="AV164" s="319"/>
      <c r="AW164" s="320"/>
      <c r="AX164" s="319"/>
      <c r="AY164" s="320"/>
      <c r="AZ164" s="319"/>
      <c r="BA164" s="320"/>
      <c r="BB164" s="319"/>
      <c r="BC164" s="320"/>
      <c r="BD164" s="319"/>
      <c r="BE164" s="320"/>
      <c r="BF164" s="319"/>
      <c r="BG164" s="320"/>
      <c r="BH164" s="319"/>
      <c r="BI164" s="320"/>
      <c r="BJ164" s="319"/>
      <c r="BK164" s="320"/>
      <c r="BL164" s="319"/>
      <c r="BM164" s="320"/>
      <c r="BN164" s="319"/>
      <c r="BO164" s="320"/>
      <c r="BP164" s="319"/>
      <c r="BQ164" s="320"/>
      <c r="BR164" s="319"/>
      <c r="BS164" s="320"/>
      <c r="BT164" s="319"/>
      <c r="BU164" s="320"/>
      <c r="BV164" s="264">
        <f t="shared" si="65"/>
        <v>0</v>
      </c>
      <c r="BW164" s="264">
        <f t="shared" si="66"/>
        <v>0</v>
      </c>
    </row>
    <row r="165" spans="1:75" s="62" customFormat="1" ht="21.95" customHeight="1" thickBot="1" x14ac:dyDescent="0.25">
      <c r="A165" s="568" t="s">
        <v>3302</v>
      </c>
      <c r="B165" s="312" t="s">
        <v>3303</v>
      </c>
      <c r="C165" s="313" t="s">
        <v>3175</v>
      </c>
      <c r="D165" s="314" t="s">
        <v>3304</v>
      </c>
      <c r="E165" s="330" t="s">
        <v>3305</v>
      </c>
      <c r="F165" s="315" t="s">
        <v>3165</v>
      </c>
      <c r="G165" s="315" t="s">
        <v>3166</v>
      </c>
      <c r="H165" s="316" t="s">
        <v>1350</v>
      </c>
      <c r="I165" s="569" t="s">
        <v>1350</v>
      </c>
      <c r="J165" s="273" t="s">
        <v>3167</v>
      </c>
      <c r="K165" s="277" t="s">
        <v>53</v>
      </c>
      <c r="L165" s="321"/>
      <c r="M165" s="322"/>
      <c r="N165" s="321"/>
      <c r="O165" s="322"/>
      <c r="P165" s="321"/>
      <c r="Q165" s="322"/>
      <c r="R165" s="321"/>
      <c r="S165" s="322"/>
      <c r="T165" s="321"/>
      <c r="U165" s="322"/>
      <c r="V165" s="321"/>
      <c r="W165" s="322"/>
      <c r="X165" s="321"/>
      <c r="Y165" s="322"/>
      <c r="Z165" s="321"/>
      <c r="AA165" s="322"/>
      <c r="AB165" s="321"/>
      <c r="AC165" s="322"/>
      <c r="AD165" s="321"/>
      <c r="AE165" s="322"/>
      <c r="AF165" s="321"/>
      <c r="AG165" s="322"/>
      <c r="AH165" s="321"/>
      <c r="AI165" s="322"/>
      <c r="AJ165" s="321"/>
      <c r="AK165" s="322"/>
      <c r="AL165" s="321"/>
      <c r="AM165" s="322"/>
      <c r="AN165" s="321"/>
      <c r="AO165" s="322"/>
      <c r="AP165" s="321"/>
      <c r="AQ165" s="322"/>
      <c r="AR165" s="321"/>
      <c r="AS165" s="322"/>
      <c r="AT165" s="321"/>
      <c r="AU165" s="322"/>
      <c r="AV165" s="321"/>
      <c r="AW165" s="322"/>
      <c r="AX165" s="321"/>
      <c r="AY165" s="322"/>
      <c r="AZ165" s="321"/>
      <c r="BA165" s="322"/>
      <c r="BB165" s="321"/>
      <c r="BC165" s="322"/>
      <c r="BD165" s="321"/>
      <c r="BE165" s="322"/>
      <c r="BF165" s="321"/>
      <c r="BG165" s="322"/>
      <c r="BH165" s="321"/>
      <c r="BI165" s="322"/>
      <c r="BJ165" s="321"/>
      <c r="BK165" s="322"/>
      <c r="BL165" s="321"/>
      <c r="BM165" s="322"/>
      <c r="BN165" s="321"/>
      <c r="BO165" s="322"/>
      <c r="BP165" s="321"/>
      <c r="BQ165" s="322"/>
      <c r="BR165" s="321"/>
      <c r="BS165" s="322"/>
      <c r="BT165" s="321"/>
      <c r="BU165" s="322"/>
      <c r="BV165" s="264">
        <f t="shared" si="65"/>
        <v>0</v>
      </c>
      <c r="BW165" s="264">
        <f t="shared" si="66"/>
        <v>0</v>
      </c>
    </row>
    <row r="166" spans="1:75" s="62" customFormat="1" ht="21.95" customHeight="1" x14ac:dyDescent="0.25">
      <c r="A166" s="344" t="s">
        <v>3306</v>
      </c>
      <c r="B166" s="434" t="s">
        <v>3307</v>
      </c>
      <c r="C166" s="435">
        <v>1</v>
      </c>
      <c r="D166" s="436" t="s">
        <v>3308</v>
      </c>
      <c r="E166" s="345" t="s">
        <v>3309</v>
      </c>
      <c r="F166" s="437" t="s">
        <v>3165</v>
      </c>
      <c r="G166" s="437" t="s">
        <v>3166</v>
      </c>
      <c r="H166" s="438" t="s">
        <v>1351</v>
      </c>
      <c r="I166" s="303" t="s">
        <v>1351</v>
      </c>
      <c r="J166" s="273" t="s">
        <v>3167</v>
      </c>
      <c r="K166" s="274" t="s">
        <v>3168</v>
      </c>
      <c r="L166" s="321"/>
      <c r="M166" s="322"/>
      <c r="N166" s="321"/>
      <c r="O166" s="322"/>
      <c r="P166" s="321"/>
      <c r="Q166" s="322"/>
      <c r="R166" s="321"/>
      <c r="S166" s="322"/>
      <c r="T166" s="321"/>
      <c r="U166" s="322"/>
      <c r="V166" s="321"/>
      <c r="W166" s="322"/>
      <c r="X166" s="321"/>
      <c r="Y166" s="322"/>
      <c r="Z166" s="321"/>
      <c r="AA166" s="322"/>
      <c r="AB166" s="321"/>
      <c r="AC166" s="322"/>
      <c r="AD166" s="321"/>
      <c r="AE166" s="322"/>
      <c r="AF166" s="321"/>
      <c r="AG166" s="322"/>
      <c r="AH166" s="321"/>
      <c r="AI166" s="322"/>
      <c r="AJ166" s="321"/>
      <c r="AK166" s="322"/>
      <c r="AL166" s="321"/>
      <c r="AM166" s="322"/>
      <c r="AN166" s="321"/>
      <c r="AO166" s="322"/>
      <c r="AP166" s="321"/>
      <c r="AQ166" s="322"/>
      <c r="AR166" s="321"/>
      <c r="AS166" s="322"/>
      <c r="AT166" s="321"/>
      <c r="AU166" s="322"/>
      <c r="AV166" s="321"/>
      <c r="AW166" s="322"/>
      <c r="AX166" s="321"/>
      <c r="AY166" s="322"/>
      <c r="AZ166" s="321"/>
      <c r="BA166" s="322"/>
      <c r="BB166" s="321"/>
      <c r="BC166" s="322"/>
      <c r="BD166" s="321"/>
      <c r="BE166" s="322"/>
      <c r="BF166" s="321"/>
      <c r="BG166" s="322"/>
      <c r="BH166" s="321"/>
      <c r="BI166" s="322"/>
      <c r="BJ166" s="321"/>
      <c r="BK166" s="322"/>
      <c r="BL166" s="321"/>
      <c r="BM166" s="322"/>
      <c r="BN166" s="321"/>
      <c r="BO166" s="322"/>
      <c r="BP166" s="321"/>
      <c r="BQ166" s="322"/>
      <c r="BR166" s="321"/>
      <c r="BS166" s="322"/>
      <c r="BT166" s="321"/>
      <c r="BU166" s="322"/>
      <c r="BV166" s="264">
        <f>L166+N166+P166+R166+T166+V166+X166+Z166+AB166+AD166+AF166+AH166+AJ166+AL166+AN166+AP166+AR166+AT166+AV166+AX166+AZ166+BB166+BD166+BF166+BH166+BJ166+BL166+BN166+BP166+BR166+BT166</f>
        <v>0</v>
      </c>
      <c r="BW166" s="264">
        <f>M166+O166+Q166+S166+U166+W166+Y166+AA166+AC166+AE166+AG166+AI166+AK166+AM166+AO166+AQ166+AS166+AU166+AW166+AY166+BA166+BC166+BE166+BG166+BI166+BK166+BM166+BO166+BQ166+BS166+BU166</f>
        <v>0</v>
      </c>
    </row>
    <row r="167" spans="1:75" s="62" customFormat="1" ht="21.95" customHeight="1" x14ac:dyDescent="0.2">
      <c r="A167" s="304" t="s">
        <v>3306</v>
      </c>
      <c r="B167" s="305" t="s">
        <v>3307</v>
      </c>
      <c r="C167" s="272" t="s">
        <v>3175</v>
      </c>
      <c r="D167" s="306" t="s">
        <v>3308</v>
      </c>
      <c r="E167" s="307" t="s">
        <v>3309</v>
      </c>
      <c r="F167" s="308" t="s">
        <v>3165</v>
      </c>
      <c r="G167" s="308" t="s">
        <v>3166</v>
      </c>
      <c r="H167" s="309" t="s">
        <v>1351</v>
      </c>
      <c r="I167" s="310" t="s">
        <v>1351</v>
      </c>
      <c r="J167" s="273" t="s">
        <v>3167</v>
      </c>
      <c r="K167" s="273" t="s">
        <v>3169</v>
      </c>
      <c r="L167" s="319"/>
      <c r="M167" s="320"/>
      <c r="N167" s="319"/>
      <c r="O167" s="320"/>
      <c r="P167" s="319"/>
      <c r="Q167" s="320"/>
      <c r="R167" s="319"/>
      <c r="S167" s="320"/>
      <c r="T167" s="319"/>
      <c r="U167" s="320"/>
      <c r="V167" s="319"/>
      <c r="W167" s="320"/>
      <c r="X167" s="319"/>
      <c r="Y167" s="320"/>
      <c r="Z167" s="319"/>
      <c r="AA167" s="320"/>
      <c r="AB167" s="319"/>
      <c r="AC167" s="320"/>
      <c r="AD167" s="319"/>
      <c r="AE167" s="320"/>
      <c r="AF167" s="319"/>
      <c r="AG167" s="320"/>
      <c r="AH167" s="319"/>
      <c r="AI167" s="320"/>
      <c r="AJ167" s="319"/>
      <c r="AK167" s="320"/>
      <c r="AL167" s="319"/>
      <c r="AM167" s="320"/>
      <c r="AN167" s="319"/>
      <c r="AO167" s="320"/>
      <c r="AP167" s="319"/>
      <c r="AQ167" s="320"/>
      <c r="AR167" s="319"/>
      <c r="AS167" s="320"/>
      <c r="AT167" s="319"/>
      <c r="AU167" s="320"/>
      <c r="AV167" s="319"/>
      <c r="AW167" s="320"/>
      <c r="AX167" s="319"/>
      <c r="AY167" s="320"/>
      <c r="AZ167" s="319"/>
      <c r="BA167" s="320"/>
      <c r="BB167" s="319"/>
      <c r="BC167" s="320"/>
      <c r="BD167" s="319"/>
      <c r="BE167" s="320"/>
      <c r="BF167" s="319"/>
      <c r="BG167" s="320"/>
      <c r="BH167" s="319"/>
      <c r="BI167" s="320"/>
      <c r="BJ167" s="319"/>
      <c r="BK167" s="320"/>
      <c r="BL167" s="319"/>
      <c r="BM167" s="320"/>
      <c r="BN167" s="319"/>
      <c r="BO167" s="320"/>
      <c r="BP167" s="319"/>
      <c r="BQ167" s="320"/>
      <c r="BR167" s="319"/>
      <c r="BS167" s="320"/>
      <c r="BT167" s="319"/>
      <c r="BU167" s="320"/>
      <c r="BV167" s="264">
        <f t="shared" ref="BV167:BV170" si="67">L167+N167+P167+R167+T167+V167+X167+Z167+AB167+AD167+AF167+AH167+AJ167+AL167+AN167+AP167+AR167+AT167+AV167+AX167+AZ167+BB167+BD167+BF167+BH167+BJ167+BL167+BN167+BP167+BR167+BT167</f>
        <v>0</v>
      </c>
      <c r="BW167" s="264">
        <f t="shared" ref="BW167:BW170" si="68">M167+O167+Q167+S167+U167+W167+Y167+AA167+AC167+AE167+AG167+AI167+AK167+AM167+AO167+AQ167+AS167+AU167+AW167+AY167+BA167+BC167+BE167+BG167+BI167+BK167+BM167+BO167+BQ167+BS167+BU167</f>
        <v>0</v>
      </c>
    </row>
    <row r="168" spans="1:75" s="62" customFormat="1" ht="21.95" customHeight="1" x14ac:dyDescent="0.2">
      <c r="A168" s="304" t="s">
        <v>3306</v>
      </c>
      <c r="B168" s="305" t="s">
        <v>3307</v>
      </c>
      <c r="C168" s="311" t="s">
        <v>3175</v>
      </c>
      <c r="D168" s="306" t="s">
        <v>3308</v>
      </c>
      <c r="E168" s="307" t="s">
        <v>3309</v>
      </c>
      <c r="F168" s="308" t="s">
        <v>3165</v>
      </c>
      <c r="G168" s="308" t="s">
        <v>3166</v>
      </c>
      <c r="H168" s="309" t="s">
        <v>1351</v>
      </c>
      <c r="I168" s="310" t="s">
        <v>1351</v>
      </c>
      <c r="J168" s="273" t="s">
        <v>3167</v>
      </c>
      <c r="K168" s="275" t="s">
        <v>3170</v>
      </c>
      <c r="L168" s="319"/>
      <c r="M168" s="320"/>
      <c r="N168" s="319"/>
      <c r="O168" s="320"/>
      <c r="P168" s="319"/>
      <c r="Q168" s="320"/>
      <c r="R168" s="319"/>
      <c r="S168" s="320"/>
      <c r="T168" s="319"/>
      <c r="U168" s="320"/>
      <c r="V168" s="319"/>
      <c r="W168" s="320"/>
      <c r="X168" s="319"/>
      <c r="Y168" s="320"/>
      <c r="Z168" s="319"/>
      <c r="AA168" s="320"/>
      <c r="AB168" s="319"/>
      <c r="AC168" s="320"/>
      <c r="AD168" s="319"/>
      <c r="AE168" s="320"/>
      <c r="AF168" s="319"/>
      <c r="AG168" s="320"/>
      <c r="AH168" s="319"/>
      <c r="AI168" s="320"/>
      <c r="AJ168" s="319"/>
      <c r="AK168" s="320"/>
      <c r="AL168" s="319"/>
      <c r="AM168" s="320"/>
      <c r="AN168" s="319"/>
      <c r="AO168" s="320"/>
      <c r="AP168" s="319"/>
      <c r="AQ168" s="320"/>
      <c r="AR168" s="319"/>
      <c r="AS168" s="320"/>
      <c r="AT168" s="319"/>
      <c r="AU168" s="320"/>
      <c r="AV168" s="319"/>
      <c r="AW168" s="320"/>
      <c r="AX168" s="319"/>
      <c r="AY168" s="320"/>
      <c r="AZ168" s="319"/>
      <c r="BA168" s="320"/>
      <c r="BB168" s="319"/>
      <c r="BC168" s="320"/>
      <c r="BD168" s="319"/>
      <c r="BE168" s="320"/>
      <c r="BF168" s="319"/>
      <c r="BG168" s="320"/>
      <c r="BH168" s="319"/>
      <c r="BI168" s="320"/>
      <c r="BJ168" s="319"/>
      <c r="BK168" s="320"/>
      <c r="BL168" s="319"/>
      <c r="BM168" s="320"/>
      <c r="BN168" s="319"/>
      <c r="BO168" s="320"/>
      <c r="BP168" s="319"/>
      <c r="BQ168" s="320"/>
      <c r="BR168" s="319"/>
      <c r="BS168" s="320"/>
      <c r="BT168" s="319"/>
      <c r="BU168" s="320"/>
      <c r="BV168" s="264">
        <f t="shared" si="67"/>
        <v>0</v>
      </c>
      <c r="BW168" s="264">
        <f t="shared" si="68"/>
        <v>0</v>
      </c>
    </row>
    <row r="169" spans="1:75" s="62" customFormat="1" ht="21.95" customHeight="1" x14ac:dyDescent="0.2">
      <c r="A169" s="304" t="s">
        <v>3306</v>
      </c>
      <c r="B169" s="305" t="s">
        <v>3307</v>
      </c>
      <c r="C169" s="311" t="s">
        <v>3175</v>
      </c>
      <c r="D169" s="306" t="s">
        <v>3308</v>
      </c>
      <c r="E169" s="307" t="s">
        <v>3309</v>
      </c>
      <c r="F169" s="308" t="s">
        <v>3165</v>
      </c>
      <c r="G169" s="308" t="s">
        <v>3166</v>
      </c>
      <c r="H169" s="309" t="s">
        <v>1351</v>
      </c>
      <c r="I169" s="310" t="s">
        <v>1351</v>
      </c>
      <c r="J169" s="273" t="s">
        <v>3167</v>
      </c>
      <c r="K169" s="276" t="s">
        <v>3171</v>
      </c>
      <c r="L169" s="319"/>
      <c r="M169" s="320"/>
      <c r="N169" s="319"/>
      <c r="O169" s="320"/>
      <c r="P169" s="319"/>
      <c r="Q169" s="320"/>
      <c r="R169" s="319"/>
      <c r="S169" s="320"/>
      <c r="T169" s="319"/>
      <c r="U169" s="320"/>
      <c r="V169" s="319"/>
      <c r="W169" s="320"/>
      <c r="X169" s="319"/>
      <c r="Y169" s="320"/>
      <c r="Z169" s="319"/>
      <c r="AA169" s="320"/>
      <c r="AB169" s="319"/>
      <c r="AC169" s="320"/>
      <c r="AD169" s="319"/>
      <c r="AE169" s="320"/>
      <c r="AF169" s="319"/>
      <c r="AG169" s="320"/>
      <c r="AH169" s="319"/>
      <c r="AI169" s="320"/>
      <c r="AJ169" s="319"/>
      <c r="AK169" s="320"/>
      <c r="AL169" s="319"/>
      <c r="AM169" s="320"/>
      <c r="AN169" s="319"/>
      <c r="AO169" s="320"/>
      <c r="AP169" s="319"/>
      <c r="AQ169" s="320"/>
      <c r="AR169" s="319"/>
      <c r="AS169" s="320"/>
      <c r="AT169" s="319"/>
      <c r="AU169" s="320"/>
      <c r="AV169" s="319"/>
      <c r="AW169" s="320"/>
      <c r="AX169" s="319"/>
      <c r="AY169" s="320"/>
      <c r="AZ169" s="319"/>
      <c r="BA169" s="320"/>
      <c r="BB169" s="319"/>
      <c r="BC169" s="320"/>
      <c r="BD169" s="319"/>
      <c r="BE169" s="320"/>
      <c r="BF169" s="319"/>
      <c r="BG169" s="320"/>
      <c r="BH169" s="319"/>
      <c r="BI169" s="320"/>
      <c r="BJ169" s="319"/>
      <c r="BK169" s="320"/>
      <c r="BL169" s="319"/>
      <c r="BM169" s="320"/>
      <c r="BN169" s="319"/>
      <c r="BO169" s="320"/>
      <c r="BP169" s="319"/>
      <c r="BQ169" s="320"/>
      <c r="BR169" s="319"/>
      <c r="BS169" s="320"/>
      <c r="BT169" s="319"/>
      <c r="BU169" s="320"/>
      <c r="BV169" s="264">
        <f t="shared" si="67"/>
        <v>0</v>
      </c>
      <c r="BW169" s="264">
        <f t="shared" si="68"/>
        <v>0</v>
      </c>
    </row>
    <row r="170" spans="1:75" s="62" customFormat="1" ht="21.95" customHeight="1" x14ac:dyDescent="0.2">
      <c r="A170" s="568" t="s">
        <v>3306</v>
      </c>
      <c r="B170" s="312" t="s">
        <v>3307</v>
      </c>
      <c r="C170" s="313" t="s">
        <v>3175</v>
      </c>
      <c r="D170" s="314" t="s">
        <v>3308</v>
      </c>
      <c r="E170" s="330" t="s">
        <v>3309</v>
      </c>
      <c r="F170" s="315" t="s">
        <v>3165</v>
      </c>
      <c r="G170" s="315" t="s">
        <v>3166</v>
      </c>
      <c r="H170" s="316" t="s">
        <v>1351</v>
      </c>
      <c r="I170" s="569" t="s">
        <v>1351</v>
      </c>
      <c r="J170" s="273" t="s">
        <v>3167</v>
      </c>
      <c r="K170" s="277" t="s">
        <v>53</v>
      </c>
      <c r="L170" s="321"/>
      <c r="M170" s="322"/>
      <c r="N170" s="321"/>
      <c r="O170" s="322"/>
      <c r="P170" s="321"/>
      <c r="Q170" s="322"/>
      <c r="R170" s="321"/>
      <c r="S170" s="322"/>
      <c r="T170" s="321"/>
      <c r="U170" s="322"/>
      <c r="V170" s="321"/>
      <c r="W170" s="322"/>
      <c r="X170" s="321"/>
      <c r="Y170" s="322"/>
      <c r="Z170" s="321"/>
      <c r="AA170" s="322"/>
      <c r="AB170" s="321"/>
      <c r="AC170" s="322"/>
      <c r="AD170" s="321"/>
      <c r="AE170" s="322"/>
      <c r="AF170" s="321"/>
      <c r="AG170" s="322"/>
      <c r="AH170" s="321"/>
      <c r="AI170" s="322"/>
      <c r="AJ170" s="321"/>
      <c r="AK170" s="322"/>
      <c r="AL170" s="321"/>
      <c r="AM170" s="322"/>
      <c r="AN170" s="321"/>
      <c r="AO170" s="322"/>
      <c r="AP170" s="321"/>
      <c r="AQ170" s="322"/>
      <c r="AR170" s="321"/>
      <c r="AS170" s="322"/>
      <c r="AT170" s="321"/>
      <c r="AU170" s="322"/>
      <c r="AV170" s="321"/>
      <c r="AW170" s="322"/>
      <c r="AX170" s="321"/>
      <c r="AY170" s="322"/>
      <c r="AZ170" s="321"/>
      <c r="BA170" s="322"/>
      <c r="BB170" s="321"/>
      <c r="BC170" s="322"/>
      <c r="BD170" s="321"/>
      <c r="BE170" s="322"/>
      <c r="BF170" s="321"/>
      <c r="BG170" s="322"/>
      <c r="BH170" s="321"/>
      <c r="BI170" s="322"/>
      <c r="BJ170" s="321"/>
      <c r="BK170" s="322"/>
      <c r="BL170" s="321"/>
      <c r="BM170" s="322"/>
      <c r="BN170" s="321"/>
      <c r="BO170" s="322"/>
      <c r="BP170" s="321"/>
      <c r="BQ170" s="322"/>
      <c r="BR170" s="321"/>
      <c r="BS170" s="322"/>
      <c r="BT170" s="321"/>
      <c r="BU170" s="322"/>
      <c r="BV170" s="264">
        <f t="shared" si="67"/>
        <v>0</v>
      </c>
      <c r="BW170" s="264">
        <f t="shared" si="68"/>
        <v>0</v>
      </c>
    </row>
    <row r="171" spans="1:75" s="62" customFormat="1" ht="21.95" customHeight="1" x14ac:dyDescent="0.2">
      <c r="A171" s="4"/>
      <c r="B171" s="4"/>
      <c r="C171" s="5"/>
      <c r="D171" s="6"/>
      <c r="E171" s="6"/>
      <c r="F171" s="6"/>
      <c r="G171" s="5"/>
      <c r="H171" s="4"/>
      <c r="I171" s="77"/>
      <c r="J171" s="4"/>
      <c r="K171" s="4"/>
      <c r="L171" s="262"/>
      <c r="M171" s="263"/>
      <c r="N171" s="262"/>
      <c r="O171" s="263"/>
      <c r="P171" s="262"/>
      <c r="Q171" s="263"/>
      <c r="R171" s="262"/>
      <c r="S171" s="263"/>
      <c r="T171" s="262"/>
      <c r="U171" s="263"/>
      <c r="V171" s="262"/>
      <c r="W171" s="263"/>
      <c r="X171" s="262"/>
      <c r="Y171" s="263"/>
      <c r="Z171" s="262"/>
      <c r="AA171" s="263"/>
      <c r="AB171" s="262"/>
      <c r="AC171" s="263"/>
      <c r="AD171" s="262"/>
      <c r="AE171" s="263"/>
      <c r="AF171" s="262"/>
      <c r="AG171" s="263"/>
      <c r="AH171" s="262"/>
      <c r="AI171" s="263"/>
      <c r="AJ171" s="262"/>
      <c r="AK171" s="263"/>
      <c r="AL171" s="262"/>
      <c r="AM171" s="263"/>
      <c r="AN171" s="262"/>
      <c r="AO171" s="263"/>
      <c r="AP171" s="262"/>
      <c r="AQ171" s="263"/>
      <c r="AR171" s="262"/>
      <c r="AS171" s="263"/>
      <c r="AT171" s="262"/>
      <c r="AU171" s="263"/>
      <c r="AV171" s="262"/>
      <c r="AW171" s="263"/>
      <c r="AX171" s="262"/>
      <c r="AY171" s="263"/>
      <c r="AZ171" s="262"/>
      <c r="BA171" s="263"/>
      <c r="BB171" s="262"/>
      <c r="BC171" s="263"/>
      <c r="BD171" s="262"/>
      <c r="BE171" s="263"/>
      <c r="BF171" s="262"/>
      <c r="BG171" s="263"/>
      <c r="BH171" s="262"/>
      <c r="BI171" s="263"/>
      <c r="BJ171" s="262"/>
      <c r="BK171" s="263"/>
      <c r="BL171" s="262"/>
      <c r="BM171" s="263"/>
      <c r="BN171" s="262"/>
      <c r="BO171" s="263"/>
      <c r="BP171" s="262"/>
      <c r="BQ171" s="263"/>
      <c r="BR171" s="262"/>
      <c r="BS171" s="263"/>
      <c r="BT171" s="262"/>
      <c r="BU171" s="263"/>
      <c r="BV171" s="264"/>
      <c r="BW171" s="264"/>
    </row>
    <row r="172" spans="1:75" s="62" customFormat="1" ht="21.95" customHeight="1" x14ac:dyDescent="0.2">
      <c r="A172" s="4"/>
      <c r="B172" s="4"/>
      <c r="C172" s="5"/>
      <c r="D172" s="6"/>
      <c r="E172" s="6"/>
      <c r="F172" s="6"/>
      <c r="G172" s="5"/>
      <c r="H172" s="4"/>
      <c r="I172" s="77"/>
      <c r="J172" s="4"/>
      <c r="K172" s="4"/>
      <c r="L172" s="262">
        <f t="shared" ref="L172:BU172" si="69">SUM(L6:L171)</f>
        <v>3</v>
      </c>
      <c r="M172" s="262">
        <f t="shared" si="69"/>
        <v>0</v>
      </c>
      <c r="N172" s="262">
        <f t="shared" si="69"/>
        <v>8</v>
      </c>
      <c r="O172" s="262">
        <f t="shared" si="69"/>
        <v>0</v>
      </c>
      <c r="P172" s="262">
        <f t="shared" si="69"/>
        <v>0</v>
      </c>
      <c r="Q172" s="262">
        <f t="shared" si="69"/>
        <v>0</v>
      </c>
      <c r="R172" s="262">
        <f t="shared" si="69"/>
        <v>0</v>
      </c>
      <c r="S172" s="262">
        <f t="shared" si="69"/>
        <v>0</v>
      </c>
      <c r="T172" s="262">
        <f t="shared" si="69"/>
        <v>0</v>
      </c>
      <c r="U172" s="262">
        <f t="shared" si="69"/>
        <v>0</v>
      </c>
      <c r="V172" s="262">
        <f t="shared" si="69"/>
        <v>3</v>
      </c>
      <c r="W172" s="262">
        <f t="shared" si="69"/>
        <v>0</v>
      </c>
      <c r="X172" s="262">
        <f t="shared" si="69"/>
        <v>15</v>
      </c>
      <c r="Y172" s="262">
        <f t="shared" si="69"/>
        <v>0</v>
      </c>
      <c r="Z172" s="262">
        <f t="shared" si="69"/>
        <v>6</v>
      </c>
      <c r="AA172" s="262">
        <f t="shared" si="69"/>
        <v>0</v>
      </c>
      <c r="AB172" s="262">
        <f t="shared" si="69"/>
        <v>11</v>
      </c>
      <c r="AC172" s="262">
        <f t="shared" si="69"/>
        <v>0</v>
      </c>
      <c r="AD172" s="262">
        <f t="shared" si="69"/>
        <v>11</v>
      </c>
      <c r="AE172" s="262">
        <f t="shared" si="69"/>
        <v>0</v>
      </c>
      <c r="AF172" s="262">
        <f t="shared" si="69"/>
        <v>0</v>
      </c>
      <c r="AG172" s="262">
        <f t="shared" si="69"/>
        <v>0</v>
      </c>
      <c r="AH172" s="262">
        <f t="shared" si="69"/>
        <v>0</v>
      </c>
      <c r="AI172" s="262">
        <f t="shared" si="69"/>
        <v>0</v>
      </c>
      <c r="AJ172" s="262">
        <f t="shared" si="69"/>
        <v>6</v>
      </c>
      <c r="AK172" s="262">
        <f t="shared" si="69"/>
        <v>0</v>
      </c>
      <c r="AL172" s="262">
        <f t="shared" si="69"/>
        <v>15</v>
      </c>
      <c r="AM172" s="262">
        <f t="shared" si="69"/>
        <v>0</v>
      </c>
      <c r="AN172" s="262">
        <f t="shared" si="69"/>
        <v>8</v>
      </c>
      <c r="AO172" s="262">
        <f t="shared" si="69"/>
        <v>0</v>
      </c>
      <c r="AP172" s="262">
        <f t="shared" si="69"/>
        <v>12</v>
      </c>
      <c r="AQ172" s="262">
        <f t="shared" si="69"/>
        <v>0</v>
      </c>
      <c r="AR172" s="262">
        <f t="shared" si="69"/>
        <v>12</v>
      </c>
      <c r="AS172" s="262">
        <f t="shared" si="69"/>
        <v>0</v>
      </c>
      <c r="AT172" s="262">
        <f t="shared" si="69"/>
        <v>0</v>
      </c>
      <c r="AU172" s="262">
        <f t="shared" si="69"/>
        <v>0</v>
      </c>
      <c r="AV172" s="262">
        <f t="shared" si="69"/>
        <v>0</v>
      </c>
      <c r="AW172" s="262">
        <f t="shared" si="69"/>
        <v>0</v>
      </c>
      <c r="AX172" s="262">
        <f t="shared" si="69"/>
        <v>3</v>
      </c>
      <c r="AY172" s="262">
        <f t="shared" si="69"/>
        <v>0</v>
      </c>
      <c r="AZ172" s="262">
        <f t="shared" si="69"/>
        <v>4</v>
      </c>
      <c r="BA172" s="262">
        <f t="shared" si="69"/>
        <v>0</v>
      </c>
      <c r="BB172" s="262">
        <f t="shared" si="69"/>
        <v>8</v>
      </c>
      <c r="BC172" s="262">
        <f t="shared" si="69"/>
        <v>0</v>
      </c>
      <c r="BD172" s="262">
        <f t="shared" si="69"/>
        <v>13</v>
      </c>
      <c r="BE172" s="262">
        <f t="shared" si="69"/>
        <v>0</v>
      </c>
      <c r="BF172" s="262">
        <f t="shared" si="69"/>
        <v>12</v>
      </c>
      <c r="BG172" s="262">
        <f t="shared" si="69"/>
        <v>0</v>
      </c>
      <c r="BH172" s="262">
        <f t="shared" si="69"/>
        <v>0</v>
      </c>
      <c r="BI172" s="262">
        <f t="shared" si="69"/>
        <v>0</v>
      </c>
      <c r="BJ172" s="262">
        <f t="shared" si="69"/>
        <v>0</v>
      </c>
      <c r="BK172" s="262">
        <f t="shared" si="69"/>
        <v>0</v>
      </c>
      <c r="BL172" s="262">
        <f t="shared" si="69"/>
        <v>9</v>
      </c>
      <c r="BM172" s="262">
        <f t="shared" si="69"/>
        <v>0</v>
      </c>
      <c r="BN172" s="262">
        <f t="shared" si="69"/>
        <v>16</v>
      </c>
      <c r="BO172" s="262">
        <f t="shared" si="69"/>
        <v>0</v>
      </c>
      <c r="BP172" s="262">
        <f t="shared" si="69"/>
        <v>11</v>
      </c>
      <c r="BQ172" s="262">
        <f t="shared" si="69"/>
        <v>0</v>
      </c>
      <c r="BR172" s="262">
        <f t="shared" si="69"/>
        <v>15</v>
      </c>
      <c r="BS172" s="262">
        <f t="shared" si="69"/>
        <v>0</v>
      </c>
      <c r="BT172" s="262">
        <f t="shared" si="69"/>
        <v>0</v>
      </c>
      <c r="BU172" s="262">
        <f t="shared" si="69"/>
        <v>0</v>
      </c>
      <c r="BV172" s="262">
        <f>SUM(BV6:BV171)</f>
        <v>201</v>
      </c>
      <c r="BW172" s="262">
        <f>SUM(BW6:BW171)</f>
        <v>0</v>
      </c>
    </row>
    <row r="173" spans="1:75" ht="21.95" customHeight="1" x14ac:dyDescent="0.25">
      <c r="A173" s="259"/>
      <c r="L173" s="262"/>
      <c r="M173" s="263"/>
      <c r="N173" s="262"/>
      <c r="O173" s="263"/>
      <c r="P173" s="262"/>
      <c r="Q173" s="263"/>
      <c r="R173" s="262"/>
      <c r="S173" s="263"/>
      <c r="T173" s="262"/>
      <c r="U173" s="263"/>
      <c r="V173" s="262"/>
      <c r="W173" s="263"/>
      <c r="X173" s="262"/>
      <c r="Y173" s="263"/>
      <c r="Z173" s="262"/>
      <c r="AA173" s="263"/>
      <c r="AB173" s="262"/>
      <c r="AC173" s="263"/>
      <c r="AD173" s="262"/>
      <c r="AE173" s="263"/>
      <c r="AF173" s="262"/>
      <c r="AG173" s="263"/>
      <c r="AH173" s="262"/>
      <c r="AI173" s="263"/>
      <c r="AJ173" s="262"/>
      <c r="AK173" s="263"/>
      <c r="AL173" s="262"/>
      <c r="AM173" s="263"/>
      <c r="AN173" s="262"/>
      <c r="AO173" s="263"/>
      <c r="AP173" s="262"/>
      <c r="AQ173" s="263"/>
      <c r="AR173" s="262"/>
      <c r="AS173" s="263"/>
      <c r="AT173" s="262"/>
      <c r="AU173" s="263"/>
      <c r="AV173" s="262"/>
      <c r="AW173" s="263"/>
      <c r="AX173" s="262"/>
      <c r="AY173" s="263"/>
      <c r="AZ173" s="262"/>
      <c r="BA173" s="263"/>
      <c r="BB173" s="262"/>
      <c r="BC173" s="263"/>
      <c r="BD173" s="262"/>
      <c r="BE173" s="263"/>
      <c r="BF173" s="262"/>
      <c r="BG173" s="263"/>
      <c r="BH173" s="262"/>
      <c r="BI173" s="263"/>
      <c r="BJ173" s="262"/>
      <c r="BK173" s="263"/>
      <c r="BL173" s="262"/>
      <c r="BM173" s="263"/>
      <c r="BN173" s="262"/>
      <c r="BO173" s="263"/>
      <c r="BP173" s="262"/>
      <c r="BQ173" s="263"/>
      <c r="BR173" s="262"/>
      <c r="BS173" s="263"/>
      <c r="BT173" s="262"/>
      <c r="BU173" s="263"/>
      <c r="BV173" s="264"/>
      <c r="BW173" s="264"/>
    </row>
    <row r="174" spans="1:75" ht="21.95" customHeight="1" x14ac:dyDescent="0.2">
      <c r="A174" s="77"/>
      <c r="B174" s="77"/>
      <c r="C174" s="258"/>
      <c r="D174" s="260"/>
      <c r="E174" s="260"/>
      <c r="F174" s="260"/>
      <c r="G174" s="258"/>
      <c r="H174" s="77"/>
      <c r="J174" s="261"/>
      <c r="K174" s="77"/>
      <c r="L174" s="262"/>
      <c r="M174" s="262"/>
      <c r="N174" s="262"/>
      <c r="O174" s="262"/>
      <c r="P174" s="262"/>
      <c r="Q174" s="262"/>
      <c r="R174" s="262"/>
      <c r="S174" s="262"/>
      <c r="T174" s="262"/>
      <c r="U174" s="262"/>
      <c r="V174" s="262"/>
      <c r="W174" s="262"/>
      <c r="X174" s="262"/>
      <c r="Y174" s="262"/>
      <c r="Z174" s="262"/>
      <c r="AA174" s="262"/>
      <c r="AB174" s="262"/>
      <c r="AC174" s="262"/>
      <c r="AD174" s="262"/>
      <c r="AE174" s="262"/>
      <c r="AF174" s="262"/>
      <c r="AG174" s="262"/>
      <c r="AH174" s="262"/>
      <c r="AI174" s="262"/>
      <c r="AJ174" s="262"/>
      <c r="AK174" s="262"/>
      <c r="AL174" s="262"/>
      <c r="AM174" s="262"/>
      <c r="AN174" s="262"/>
      <c r="AO174" s="262"/>
      <c r="AP174" s="262"/>
      <c r="AQ174" s="262"/>
      <c r="AR174" s="262"/>
      <c r="AS174" s="262"/>
      <c r="AT174" s="262"/>
      <c r="AU174" s="262"/>
      <c r="AV174" s="262"/>
      <c r="AW174" s="262"/>
      <c r="AX174" s="262"/>
      <c r="AY174" s="262"/>
      <c r="AZ174" s="262"/>
      <c r="BA174" s="262"/>
      <c r="BB174" s="262"/>
      <c r="BC174" s="262"/>
      <c r="BD174" s="262"/>
      <c r="BE174" s="262"/>
      <c r="BF174" s="262"/>
      <c r="BG174" s="262"/>
      <c r="BH174" s="262"/>
      <c r="BI174" s="262"/>
      <c r="BJ174" s="262"/>
      <c r="BK174" s="262"/>
      <c r="BL174" s="262"/>
      <c r="BM174" s="262"/>
      <c r="BN174" s="262"/>
      <c r="BO174" s="262"/>
      <c r="BP174" s="262"/>
      <c r="BQ174" s="262"/>
      <c r="BR174" s="262"/>
      <c r="BS174" s="262"/>
      <c r="BT174" s="262"/>
      <c r="BU174" s="262"/>
    </row>
  </sheetData>
  <sheetProtection autoFilter="0"/>
  <dataConsolidate/>
  <mergeCells count="36">
    <mergeCell ref="A1:F2"/>
    <mergeCell ref="G1:H1"/>
    <mergeCell ref="I1:J2"/>
    <mergeCell ref="G2:H2"/>
    <mergeCell ref="F4:G4"/>
    <mergeCell ref="BT4:BU4"/>
    <mergeCell ref="AR4:AS4"/>
    <mergeCell ref="AT4:AU4"/>
    <mergeCell ref="AV4:AW4"/>
    <mergeCell ref="AX4:AY4"/>
    <mergeCell ref="AZ4:BA4"/>
    <mergeCell ref="BD4:BE4"/>
    <mergeCell ref="BF4:BG4"/>
    <mergeCell ref="BH4:BI4"/>
    <mergeCell ref="BJ4:BK4"/>
    <mergeCell ref="BB4:BC4"/>
    <mergeCell ref="BL4:BM4"/>
    <mergeCell ref="BN4:BO4"/>
    <mergeCell ref="BP4:BQ4"/>
    <mergeCell ref="BR4:BS4"/>
    <mergeCell ref="N4:O4"/>
    <mergeCell ref="P4:Q4"/>
    <mergeCell ref="R4:S4"/>
    <mergeCell ref="T4:U4"/>
    <mergeCell ref="L4:M4"/>
    <mergeCell ref="V4:W4"/>
    <mergeCell ref="AJ4:AK4"/>
    <mergeCell ref="AL4:AM4"/>
    <mergeCell ref="AN4:AO4"/>
    <mergeCell ref="AP4:AQ4"/>
    <mergeCell ref="X4:Y4"/>
    <mergeCell ref="Z4:AA4"/>
    <mergeCell ref="AB4:AC4"/>
    <mergeCell ref="AD4:AE4"/>
    <mergeCell ref="AF4:AG4"/>
    <mergeCell ref="AH4:AI4"/>
  </mergeCells>
  <conditionalFormatting sqref="I6:I170">
    <cfRule type="expression" dxfId="403" priority="341">
      <formula>C7="CSE"</formula>
    </cfRule>
    <cfRule type="expression" dxfId="402" priority="342">
      <formula>C7="CSC"</formula>
    </cfRule>
    <cfRule type="expression" dxfId="401" priority="343">
      <formula>C7="CSE"</formula>
    </cfRule>
    <cfRule type="expression" dxfId="400" priority="344">
      <formula>C7="CSC"</formula>
    </cfRule>
  </conditionalFormatting>
  <conditionalFormatting sqref="I10">
    <cfRule type="expression" dxfId="399" priority="333">
      <formula>C10="CSE"</formula>
    </cfRule>
    <cfRule type="expression" dxfId="398" priority="334">
      <formula>C10="CSC"</formula>
    </cfRule>
    <cfRule type="expression" dxfId="397" priority="335">
      <formula>C10="CSE"</formula>
    </cfRule>
    <cfRule type="expression" dxfId="396" priority="336">
      <formula>C10="CSC"</formula>
    </cfRule>
    <cfRule type="expression" dxfId="395" priority="337">
      <formula>C10="CSE"</formula>
    </cfRule>
    <cfRule type="expression" dxfId="394" priority="338">
      <formula>C10="CSC"</formula>
    </cfRule>
    <cfRule type="expression" dxfId="393" priority="339">
      <formula>C10="CSE"</formula>
    </cfRule>
    <cfRule type="expression" dxfId="392" priority="340">
      <formula>C10="CSC"</formula>
    </cfRule>
  </conditionalFormatting>
  <conditionalFormatting sqref="I15">
    <cfRule type="expression" dxfId="391" priority="325">
      <formula>C15="CSE"</formula>
    </cfRule>
    <cfRule type="expression" dxfId="390" priority="326">
      <formula>C15="CSC"</formula>
    </cfRule>
    <cfRule type="expression" dxfId="389" priority="327">
      <formula>C15="CSE"</formula>
    </cfRule>
    <cfRule type="expression" dxfId="388" priority="328">
      <formula>C15="CSC"</formula>
    </cfRule>
    <cfRule type="expression" dxfId="387" priority="329">
      <formula>C15="CSE"</formula>
    </cfRule>
    <cfRule type="expression" dxfId="386" priority="330">
      <formula>C15="CSC"</formula>
    </cfRule>
    <cfRule type="expression" dxfId="385" priority="331">
      <formula>C15="CSE"</formula>
    </cfRule>
    <cfRule type="expression" dxfId="384" priority="332">
      <formula>C15="CSC"</formula>
    </cfRule>
  </conditionalFormatting>
  <conditionalFormatting sqref="I20">
    <cfRule type="expression" dxfId="383" priority="317">
      <formula>C20="CSE"</formula>
    </cfRule>
    <cfRule type="expression" dxfId="382" priority="318">
      <formula>C20="CSC"</formula>
    </cfRule>
    <cfRule type="expression" dxfId="381" priority="319">
      <formula>C20="CSE"</formula>
    </cfRule>
    <cfRule type="expression" dxfId="380" priority="320">
      <formula>C20="CSC"</formula>
    </cfRule>
    <cfRule type="expression" dxfId="379" priority="321">
      <formula>C20="CSE"</formula>
    </cfRule>
    <cfRule type="expression" dxfId="378" priority="322">
      <formula>C20="CSC"</formula>
    </cfRule>
    <cfRule type="expression" dxfId="377" priority="323">
      <formula>C20="CSE"</formula>
    </cfRule>
    <cfRule type="expression" dxfId="376" priority="324">
      <formula>C20="CSC"</formula>
    </cfRule>
  </conditionalFormatting>
  <conditionalFormatting sqref="I25">
    <cfRule type="expression" dxfId="375" priority="309">
      <formula>C25="CSE"</formula>
    </cfRule>
    <cfRule type="expression" dxfId="374" priority="310">
      <formula>C25="CSC"</formula>
    </cfRule>
    <cfRule type="expression" dxfId="373" priority="311">
      <formula>C25="CSE"</formula>
    </cfRule>
    <cfRule type="expression" dxfId="372" priority="312">
      <formula>C25="CSC"</formula>
    </cfRule>
    <cfRule type="expression" dxfId="371" priority="313">
      <formula>C25="CSE"</formula>
    </cfRule>
    <cfRule type="expression" dxfId="370" priority="314">
      <formula>C25="CSC"</formula>
    </cfRule>
    <cfRule type="expression" dxfId="369" priority="315">
      <formula>C25="CSE"</formula>
    </cfRule>
    <cfRule type="expression" dxfId="368" priority="316">
      <formula>C25="CSC"</formula>
    </cfRule>
  </conditionalFormatting>
  <conditionalFormatting sqref="I30">
    <cfRule type="expression" dxfId="367" priority="301">
      <formula>C30="CSE"</formula>
    </cfRule>
    <cfRule type="expression" dxfId="366" priority="302">
      <formula>C30="CSC"</formula>
    </cfRule>
    <cfRule type="expression" dxfId="365" priority="303">
      <formula>C30="CSE"</formula>
    </cfRule>
    <cfRule type="expression" dxfId="364" priority="304">
      <formula>C30="CSC"</formula>
    </cfRule>
    <cfRule type="expression" dxfId="363" priority="305">
      <formula>C30="CSE"</formula>
    </cfRule>
    <cfRule type="expression" dxfId="362" priority="306">
      <formula>C30="CSC"</formula>
    </cfRule>
    <cfRule type="expression" dxfId="361" priority="307">
      <formula>C30="CSE"</formula>
    </cfRule>
    <cfRule type="expression" dxfId="360" priority="308">
      <formula>C30="CSC"</formula>
    </cfRule>
  </conditionalFormatting>
  <conditionalFormatting sqref="I35">
    <cfRule type="expression" dxfId="359" priority="293">
      <formula>C35="CSE"</formula>
    </cfRule>
    <cfRule type="expression" dxfId="358" priority="294">
      <formula>C35="CSC"</formula>
    </cfRule>
    <cfRule type="expression" dxfId="357" priority="295">
      <formula>C35="CSE"</formula>
    </cfRule>
    <cfRule type="expression" dxfId="356" priority="296">
      <formula>C35="CSC"</formula>
    </cfRule>
    <cfRule type="expression" dxfId="355" priority="297">
      <formula>C35="CSE"</formula>
    </cfRule>
    <cfRule type="expression" dxfId="354" priority="298">
      <formula>C35="CSC"</formula>
    </cfRule>
    <cfRule type="expression" dxfId="353" priority="299">
      <formula>C35="CSE"</formula>
    </cfRule>
    <cfRule type="expression" dxfId="352" priority="300">
      <formula>C35="CSC"</formula>
    </cfRule>
  </conditionalFormatting>
  <conditionalFormatting sqref="I40">
    <cfRule type="expression" dxfId="351" priority="285">
      <formula>C40="CSE"</formula>
    </cfRule>
    <cfRule type="expression" dxfId="350" priority="286">
      <formula>C40="CSC"</formula>
    </cfRule>
    <cfRule type="expression" dxfId="349" priority="287">
      <formula>C40="CSE"</formula>
    </cfRule>
    <cfRule type="expression" dxfId="348" priority="288">
      <formula>C40="CSC"</formula>
    </cfRule>
    <cfRule type="expression" dxfId="347" priority="289">
      <formula>C40="CSE"</formula>
    </cfRule>
    <cfRule type="expression" dxfId="346" priority="290">
      <formula>C40="CSC"</formula>
    </cfRule>
    <cfRule type="expression" dxfId="345" priority="291">
      <formula>C40="CSE"</formula>
    </cfRule>
    <cfRule type="expression" dxfId="344" priority="292">
      <formula>C40="CSC"</formula>
    </cfRule>
  </conditionalFormatting>
  <conditionalFormatting sqref="I45">
    <cfRule type="expression" dxfId="343" priority="277">
      <formula>C45="CSE"</formula>
    </cfRule>
    <cfRule type="expression" dxfId="342" priority="278">
      <formula>C45="CSC"</formula>
    </cfRule>
    <cfRule type="expression" dxfId="341" priority="279">
      <formula>C45="CSE"</formula>
    </cfRule>
    <cfRule type="expression" dxfId="340" priority="280">
      <formula>C45="CSC"</formula>
    </cfRule>
    <cfRule type="expression" dxfId="339" priority="281">
      <formula>C45="CSE"</formula>
    </cfRule>
    <cfRule type="expression" dxfId="338" priority="282">
      <formula>C45="CSC"</formula>
    </cfRule>
    <cfRule type="expression" dxfId="337" priority="283">
      <formula>C45="CSE"</formula>
    </cfRule>
    <cfRule type="expression" dxfId="336" priority="284">
      <formula>C45="CSC"</formula>
    </cfRule>
  </conditionalFormatting>
  <conditionalFormatting sqref="I50">
    <cfRule type="expression" dxfId="335" priority="269">
      <formula>C50="CSE"</formula>
    </cfRule>
    <cfRule type="expression" dxfId="334" priority="270">
      <formula>C50="CSC"</formula>
    </cfRule>
    <cfRule type="expression" dxfId="333" priority="271">
      <formula>C50="CSE"</formula>
    </cfRule>
    <cfRule type="expression" dxfId="332" priority="272">
      <formula>C50="CSC"</formula>
    </cfRule>
    <cfRule type="expression" dxfId="331" priority="273">
      <formula>C50="CSE"</formula>
    </cfRule>
    <cfRule type="expression" dxfId="330" priority="274">
      <formula>C50="CSC"</formula>
    </cfRule>
    <cfRule type="expression" dxfId="329" priority="275">
      <formula>C50="CSE"</formula>
    </cfRule>
    <cfRule type="expression" dxfId="328" priority="276">
      <formula>C50="CSC"</formula>
    </cfRule>
  </conditionalFormatting>
  <conditionalFormatting sqref="I55">
    <cfRule type="expression" dxfId="327" priority="261">
      <formula>C55="CSE"</formula>
    </cfRule>
    <cfRule type="expression" dxfId="326" priority="262">
      <formula>C55="CSC"</formula>
    </cfRule>
    <cfRule type="expression" dxfId="325" priority="263">
      <formula>C55="CSE"</formula>
    </cfRule>
    <cfRule type="expression" dxfId="324" priority="264">
      <formula>C55="CSC"</formula>
    </cfRule>
    <cfRule type="expression" dxfId="323" priority="265">
      <formula>C55="CSE"</formula>
    </cfRule>
    <cfRule type="expression" dxfId="322" priority="266">
      <formula>C55="CSC"</formula>
    </cfRule>
    <cfRule type="expression" dxfId="321" priority="267">
      <formula>C55="CSE"</formula>
    </cfRule>
    <cfRule type="expression" dxfId="320" priority="268">
      <formula>C55="CSC"</formula>
    </cfRule>
  </conditionalFormatting>
  <conditionalFormatting sqref="I60">
    <cfRule type="expression" dxfId="319" priority="253">
      <formula>C60="CSE"</formula>
    </cfRule>
    <cfRule type="expression" dxfId="318" priority="254">
      <formula>C60="CSC"</formula>
    </cfRule>
    <cfRule type="expression" dxfId="317" priority="255">
      <formula>C60="CSE"</formula>
    </cfRule>
    <cfRule type="expression" dxfId="316" priority="256">
      <formula>C60="CSC"</formula>
    </cfRule>
    <cfRule type="expression" dxfId="315" priority="257">
      <formula>C60="CSE"</formula>
    </cfRule>
    <cfRule type="expression" dxfId="314" priority="258">
      <formula>C60="CSC"</formula>
    </cfRule>
    <cfRule type="expression" dxfId="313" priority="259">
      <formula>C60="CSE"</formula>
    </cfRule>
    <cfRule type="expression" dxfId="312" priority="260">
      <formula>C60="CSC"</formula>
    </cfRule>
  </conditionalFormatting>
  <conditionalFormatting sqref="I65">
    <cfRule type="expression" dxfId="311" priority="245">
      <formula>C65="CSE"</formula>
    </cfRule>
    <cfRule type="expression" dxfId="310" priority="246">
      <formula>C65="CSC"</formula>
    </cfRule>
    <cfRule type="expression" dxfId="309" priority="247">
      <formula>C65="CSE"</formula>
    </cfRule>
    <cfRule type="expression" dxfId="308" priority="248">
      <formula>C65="CSC"</formula>
    </cfRule>
    <cfRule type="expression" dxfId="307" priority="249">
      <formula>C65="CSE"</formula>
    </cfRule>
    <cfRule type="expression" dxfId="306" priority="250">
      <formula>C65="CSC"</formula>
    </cfRule>
    <cfRule type="expression" dxfId="305" priority="251">
      <formula>C65="CSE"</formula>
    </cfRule>
    <cfRule type="expression" dxfId="304" priority="252">
      <formula>C65="CSC"</formula>
    </cfRule>
  </conditionalFormatting>
  <conditionalFormatting sqref="I70">
    <cfRule type="expression" dxfId="303" priority="237">
      <formula>C70="CSE"</formula>
    </cfRule>
    <cfRule type="expression" dxfId="302" priority="238">
      <formula>C70="CSC"</formula>
    </cfRule>
    <cfRule type="expression" dxfId="301" priority="239">
      <formula>C70="CSE"</formula>
    </cfRule>
    <cfRule type="expression" dxfId="300" priority="240">
      <formula>C70="CSC"</formula>
    </cfRule>
    <cfRule type="expression" dxfId="299" priority="241">
      <formula>C70="CSE"</formula>
    </cfRule>
    <cfRule type="expression" dxfId="298" priority="242">
      <formula>C70="CSC"</formula>
    </cfRule>
    <cfRule type="expression" dxfId="297" priority="243">
      <formula>C70="CSE"</formula>
    </cfRule>
    <cfRule type="expression" dxfId="296" priority="244">
      <formula>C70="CSC"</formula>
    </cfRule>
  </conditionalFormatting>
  <conditionalFormatting sqref="I75">
    <cfRule type="expression" dxfId="295" priority="229">
      <formula>C75="CSE"</formula>
    </cfRule>
    <cfRule type="expression" dxfId="294" priority="230">
      <formula>C75="CSC"</formula>
    </cfRule>
    <cfRule type="expression" dxfId="293" priority="231">
      <formula>C75="CSE"</formula>
    </cfRule>
    <cfRule type="expression" dxfId="292" priority="232">
      <formula>C75="CSC"</formula>
    </cfRule>
    <cfRule type="expression" dxfId="291" priority="233">
      <formula>C75="CSE"</formula>
    </cfRule>
    <cfRule type="expression" dxfId="290" priority="234">
      <formula>C75="CSC"</formula>
    </cfRule>
    <cfRule type="expression" dxfId="289" priority="235">
      <formula>C75="CSE"</formula>
    </cfRule>
    <cfRule type="expression" dxfId="288" priority="236">
      <formula>C75="CSC"</formula>
    </cfRule>
  </conditionalFormatting>
  <conditionalFormatting sqref="I80">
    <cfRule type="expression" dxfId="287" priority="221">
      <formula>C80="CSE"</formula>
    </cfRule>
    <cfRule type="expression" dxfId="286" priority="222">
      <formula>C80="CSC"</formula>
    </cfRule>
    <cfRule type="expression" dxfId="285" priority="223">
      <formula>C80="CSE"</formula>
    </cfRule>
    <cfRule type="expression" dxfId="284" priority="224">
      <formula>C80="CSC"</formula>
    </cfRule>
    <cfRule type="expression" dxfId="283" priority="225">
      <formula>C80="CSE"</formula>
    </cfRule>
    <cfRule type="expression" dxfId="282" priority="226">
      <formula>C80="CSC"</formula>
    </cfRule>
    <cfRule type="expression" dxfId="281" priority="227">
      <formula>C80="CSE"</formula>
    </cfRule>
    <cfRule type="expression" dxfId="280" priority="228">
      <formula>C80="CSC"</formula>
    </cfRule>
  </conditionalFormatting>
  <conditionalFormatting sqref="I85">
    <cfRule type="expression" dxfId="279" priority="213">
      <formula>C85="CSE"</formula>
    </cfRule>
    <cfRule type="expression" dxfId="278" priority="214">
      <formula>C85="CSC"</formula>
    </cfRule>
    <cfRule type="expression" dxfId="277" priority="215">
      <formula>C85="CSE"</formula>
    </cfRule>
    <cfRule type="expression" dxfId="276" priority="216">
      <formula>C85="CSC"</formula>
    </cfRule>
    <cfRule type="expression" dxfId="275" priority="217">
      <formula>C85="CSE"</formula>
    </cfRule>
    <cfRule type="expression" dxfId="274" priority="218">
      <formula>C85="CSC"</formula>
    </cfRule>
    <cfRule type="expression" dxfId="273" priority="219">
      <formula>C85="CSE"</formula>
    </cfRule>
    <cfRule type="expression" dxfId="272" priority="220">
      <formula>C85="CSC"</formula>
    </cfRule>
  </conditionalFormatting>
  <conditionalFormatting sqref="I90">
    <cfRule type="expression" dxfId="271" priority="205">
      <formula>C90="CSE"</formula>
    </cfRule>
    <cfRule type="expression" dxfId="270" priority="206">
      <formula>C90="CSC"</formula>
    </cfRule>
    <cfRule type="expression" dxfId="269" priority="207">
      <formula>C90="CSE"</formula>
    </cfRule>
    <cfRule type="expression" dxfId="268" priority="208">
      <formula>C90="CSC"</formula>
    </cfRule>
    <cfRule type="expression" dxfId="267" priority="209">
      <formula>C90="CSE"</formula>
    </cfRule>
    <cfRule type="expression" dxfId="266" priority="210">
      <formula>C90="CSC"</formula>
    </cfRule>
    <cfRule type="expression" dxfId="265" priority="211">
      <formula>C90="CSE"</formula>
    </cfRule>
    <cfRule type="expression" dxfId="264" priority="212">
      <formula>C90="CSC"</formula>
    </cfRule>
  </conditionalFormatting>
  <conditionalFormatting sqref="I95">
    <cfRule type="expression" dxfId="263" priority="197">
      <formula>C95="CSE"</formula>
    </cfRule>
    <cfRule type="expression" dxfId="262" priority="198">
      <formula>C95="CSC"</formula>
    </cfRule>
    <cfRule type="expression" dxfId="261" priority="199">
      <formula>C95="CSE"</formula>
    </cfRule>
    <cfRule type="expression" dxfId="260" priority="200">
      <formula>C95="CSC"</formula>
    </cfRule>
    <cfRule type="expression" dxfId="259" priority="201">
      <formula>C95="CSE"</formula>
    </cfRule>
    <cfRule type="expression" dxfId="258" priority="202">
      <formula>C95="CSC"</formula>
    </cfRule>
    <cfRule type="expression" dxfId="257" priority="203">
      <formula>C95="CSE"</formula>
    </cfRule>
    <cfRule type="expression" dxfId="256" priority="204">
      <formula>C95="CSC"</formula>
    </cfRule>
  </conditionalFormatting>
  <conditionalFormatting sqref="I100">
    <cfRule type="expression" dxfId="255" priority="189">
      <formula>C100="CSE"</formula>
    </cfRule>
    <cfRule type="expression" dxfId="254" priority="190">
      <formula>C100="CSC"</formula>
    </cfRule>
    <cfRule type="expression" dxfId="253" priority="191">
      <formula>C100="CSE"</formula>
    </cfRule>
    <cfRule type="expression" dxfId="252" priority="192">
      <formula>C100="CSC"</formula>
    </cfRule>
    <cfRule type="expression" dxfId="251" priority="193">
      <formula>C100="CSE"</formula>
    </cfRule>
    <cfRule type="expression" dxfId="250" priority="194">
      <formula>C100="CSC"</formula>
    </cfRule>
    <cfRule type="expression" dxfId="249" priority="195">
      <formula>C100="CSE"</formula>
    </cfRule>
    <cfRule type="expression" dxfId="248" priority="196">
      <formula>C100="CSC"</formula>
    </cfRule>
  </conditionalFormatting>
  <conditionalFormatting sqref="I105">
    <cfRule type="expression" dxfId="247" priority="181">
      <formula>C105="CSE"</formula>
    </cfRule>
    <cfRule type="expression" dxfId="246" priority="182">
      <formula>C105="CSC"</formula>
    </cfRule>
    <cfRule type="expression" dxfId="245" priority="183">
      <formula>C105="CSE"</formula>
    </cfRule>
    <cfRule type="expression" dxfId="244" priority="184">
      <formula>C105="CSC"</formula>
    </cfRule>
    <cfRule type="expression" dxfId="243" priority="185">
      <formula>C105="CSE"</formula>
    </cfRule>
    <cfRule type="expression" dxfId="242" priority="186">
      <formula>C105="CSC"</formula>
    </cfRule>
    <cfRule type="expression" dxfId="241" priority="187">
      <formula>C105="CSE"</formula>
    </cfRule>
    <cfRule type="expression" dxfId="240" priority="188">
      <formula>C105="CSC"</formula>
    </cfRule>
  </conditionalFormatting>
  <conditionalFormatting sqref="I110">
    <cfRule type="expression" dxfId="239" priority="173">
      <formula>C110="CSE"</formula>
    </cfRule>
    <cfRule type="expression" dxfId="238" priority="174">
      <formula>C110="CSC"</formula>
    </cfRule>
    <cfRule type="expression" dxfId="237" priority="175">
      <formula>C110="CSE"</formula>
    </cfRule>
    <cfRule type="expression" dxfId="236" priority="176">
      <formula>C110="CSC"</formula>
    </cfRule>
    <cfRule type="expression" dxfId="235" priority="177">
      <formula>C110="CSE"</formula>
    </cfRule>
    <cfRule type="expression" dxfId="234" priority="178">
      <formula>C110="CSC"</formula>
    </cfRule>
    <cfRule type="expression" dxfId="233" priority="179">
      <formula>C110="CSE"</formula>
    </cfRule>
    <cfRule type="expression" dxfId="232" priority="180">
      <formula>C110="CSC"</formula>
    </cfRule>
  </conditionalFormatting>
  <conditionalFormatting sqref="I115">
    <cfRule type="expression" dxfId="231" priority="165">
      <formula>C115="CSE"</formula>
    </cfRule>
    <cfRule type="expression" dxfId="230" priority="166">
      <formula>C115="CSC"</formula>
    </cfRule>
    <cfRule type="expression" dxfId="229" priority="167">
      <formula>C115="CSE"</formula>
    </cfRule>
    <cfRule type="expression" dxfId="228" priority="168">
      <formula>C115="CSC"</formula>
    </cfRule>
    <cfRule type="expression" dxfId="227" priority="169">
      <formula>C115="CSE"</formula>
    </cfRule>
    <cfRule type="expression" dxfId="226" priority="170">
      <formula>C115="CSC"</formula>
    </cfRule>
    <cfRule type="expression" dxfId="225" priority="171">
      <formula>C115="CSE"</formula>
    </cfRule>
    <cfRule type="expression" dxfId="224" priority="172">
      <formula>C115="CSC"</formula>
    </cfRule>
  </conditionalFormatting>
  <conditionalFormatting sqref="I120">
    <cfRule type="expression" dxfId="223" priority="157">
      <formula>C120="CSE"</formula>
    </cfRule>
    <cfRule type="expression" dxfId="222" priority="158">
      <formula>C120="CSC"</formula>
    </cfRule>
    <cfRule type="expression" dxfId="221" priority="159">
      <formula>C120="CSE"</formula>
    </cfRule>
    <cfRule type="expression" dxfId="220" priority="160">
      <formula>C120="CSC"</formula>
    </cfRule>
    <cfRule type="expression" dxfId="219" priority="161">
      <formula>C120="CSE"</formula>
    </cfRule>
    <cfRule type="expression" dxfId="218" priority="162">
      <formula>C120="CSC"</formula>
    </cfRule>
    <cfRule type="expression" dxfId="217" priority="163">
      <formula>C120="CSE"</formula>
    </cfRule>
    <cfRule type="expression" dxfId="216" priority="164">
      <formula>C120="CSC"</formula>
    </cfRule>
  </conditionalFormatting>
  <conditionalFormatting sqref="I125">
    <cfRule type="expression" dxfId="215" priority="149">
      <formula>C125="CSE"</formula>
    </cfRule>
    <cfRule type="expression" dxfId="214" priority="150">
      <formula>C125="CSC"</formula>
    </cfRule>
    <cfRule type="expression" dxfId="213" priority="151">
      <formula>C125="CSE"</formula>
    </cfRule>
    <cfRule type="expression" dxfId="212" priority="152">
      <formula>C125="CSC"</formula>
    </cfRule>
    <cfRule type="expression" dxfId="211" priority="153">
      <formula>C125="CSE"</formula>
    </cfRule>
    <cfRule type="expression" dxfId="210" priority="154">
      <formula>C125="CSC"</formula>
    </cfRule>
    <cfRule type="expression" dxfId="209" priority="155">
      <formula>C125="CSE"</formula>
    </cfRule>
    <cfRule type="expression" dxfId="208" priority="156">
      <formula>C125="CSC"</formula>
    </cfRule>
  </conditionalFormatting>
  <conditionalFormatting sqref="I130">
    <cfRule type="expression" dxfId="207" priority="141">
      <formula>C130="CSE"</formula>
    </cfRule>
    <cfRule type="expression" dxfId="206" priority="142">
      <formula>C130="CSC"</formula>
    </cfRule>
    <cfRule type="expression" dxfId="205" priority="143">
      <formula>C130="CSE"</formula>
    </cfRule>
    <cfRule type="expression" dxfId="204" priority="144">
      <formula>C130="CSC"</formula>
    </cfRule>
    <cfRule type="expression" dxfId="203" priority="145">
      <formula>C130="CSE"</formula>
    </cfRule>
    <cfRule type="expression" dxfId="202" priority="146">
      <formula>C130="CSC"</formula>
    </cfRule>
    <cfRule type="expression" dxfId="201" priority="147">
      <formula>C130="CSE"</formula>
    </cfRule>
    <cfRule type="expression" dxfId="200" priority="148">
      <formula>C130="CSC"</formula>
    </cfRule>
  </conditionalFormatting>
  <conditionalFormatting sqref="I135">
    <cfRule type="expression" dxfId="199" priority="133">
      <formula>C135="CSE"</formula>
    </cfRule>
    <cfRule type="expression" dxfId="198" priority="134">
      <formula>C135="CSC"</formula>
    </cfRule>
    <cfRule type="expression" dxfId="197" priority="135">
      <formula>C135="CSE"</formula>
    </cfRule>
    <cfRule type="expression" dxfId="196" priority="136">
      <formula>C135="CSC"</formula>
    </cfRule>
    <cfRule type="expression" dxfId="195" priority="137">
      <formula>C135="CSE"</formula>
    </cfRule>
    <cfRule type="expression" dxfId="194" priority="138">
      <formula>C135="CSC"</formula>
    </cfRule>
    <cfRule type="expression" dxfId="193" priority="139">
      <formula>C135="CSE"</formula>
    </cfRule>
    <cfRule type="expression" dxfId="192" priority="140">
      <formula>C135="CSC"</formula>
    </cfRule>
  </conditionalFormatting>
  <conditionalFormatting sqref="I140">
    <cfRule type="expression" dxfId="191" priority="125">
      <formula>C140="CSE"</formula>
    </cfRule>
    <cfRule type="expression" dxfId="190" priority="126">
      <formula>C140="CSC"</formula>
    </cfRule>
    <cfRule type="expression" dxfId="189" priority="127">
      <formula>C140="CSE"</formula>
    </cfRule>
    <cfRule type="expression" dxfId="188" priority="128">
      <formula>C140="CSC"</formula>
    </cfRule>
    <cfRule type="expression" dxfId="187" priority="129">
      <formula>C140="CSE"</formula>
    </cfRule>
    <cfRule type="expression" dxfId="186" priority="130">
      <formula>C140="CSC"</formula>
    </cfRule>
    <cfRule type="expression" dxfId="185" priority="131">
      <formula>C140="CSE"</formula>
    </cfRule>
    <cfRule type="expression" dxfId="184" priority="132">
      <formula>C140="CSC"</formula>
    </cfRule>
  </conditionalFormatting>
  <conditionalFormatting sqref="I145">
    <cfRule type="expression" dxfId="183" priority="117">
      <formula>C145="CSE"</formula>
    </cfRule>
    <cfRule type="expression" dxfId="182" priority="118">
      <formula>C145="CSC"</formula>
    </cfRule>
    <cfRule type="expression" dxfId="181" priority="119">
      <formula>C145="CSE"</formula>
    </cfRule>
    <cfRule type="expression" dxfId="180" priority="120">
      <formula>C145="CSC"</formula>
    </cfRule>
    <cfRule type="expression" dxfId="179" priority="121">
      <formula>C145="CSE"</formula>
    </cfRule>
    <cfRule type="expression" dxfId="178" priority="122">
      <formula>C145="CSC"</formula>
    </cfRule>
    <cfRule type="expression" dxfId="177" priority="123">
      <formula>C145="CSE"</formula>
    </cfRule>
    <cfRule type="expression" dxfId="176" priority="124">
      <formula>C145="CSC"</formula>
    </cfRule>
  </conditionalFormatting>
  <conditionalFormatting sqref="I150">
    <cfRule type="expression" dxfId="175" priority="109">
      <formula>C150="CSE"</formula>
    </cfRule>
    <cfRule type="expression" dxfId="174" priority="110">
      <formula>C150="CSC"</formula>
    </cfRule>
    <cfRule type="expression" dxfId="173" priority="111">
      <formula>C150="CSE"</formula>
    </cfRule>
    <cfRule type="expression" dxfId="172" priority="112">
      <formula>C150="CSC"</formula>
    </cfRule>
    <cfRule type="expression" dxfId="171" priority="113">
      <formula>C150="CSE"</formula>
    </cfRule>
    <cfRule type="expression" dxfId="170" priority="114">
      <formula>C150="CSC"</formula>
    </cfRule>
    <cfRule type="expression" dxfId="169" priority="115">
      <formula>C150="CSE"</formula>
    </cfRule>
    <cfRule type="expression" dxfId="168" priority="116">
      <formula>C150="CSC"</formula>
    </cfRule>
  </conditionalFormatting>
  <conditionalFormatting sqref="I155">
    <cfRule type="expression" dxfId="167" priority="101">
      <formula>C155="CSE"</formula>
    </cfRule>
    <cfRule type="expression" dxfId="166" priority="102">
      <formula>C155="CSC"</formula>
    </cfRule>
    <cfRule type="expression" dxfId="165" priority="103">
      <formula>C155="CSE"</formula>
    </cfRule>
    <cfRule type="expression" dxfId="164" priority="104">
      <formula>C155="CSC"</formula>
    </cfRule>
    <cfRule type="expression" dxfId="163" priority="105">
      <formula>C155="CSE"</formula>
    </cfRule>
    <cfRule type="expression" dxfId="162" priority="106">
      <formula>C155="CSC"</formula>
    </cfRule>
    <cfRule type="expression" dxfId="161" priority="107">
      <formula>C155="CSE"</formula>
    </cfRule>
    <cfRule type="expression" dxfId="160" priority="108">
      <formula>C155="CSC"</formula>
    </cfRule>
  </conditionalFormatting>
  <conditionalFormatting sqref="I160">
    <cfRule type="expression" dxfId="159" priority="93">
      <formula>C160="CSE"</formula>
    </cfRule>
    <cfRule type="expression" dxfId="158" priority="94">
      <formula>C160="CSC"</formula>
    </cfRule>
    <cfRule type="expression" dxfId="157" priority="95">
      <formula>C160="CSE"</formula>
    </cfRule>
    <cfRule type="expression" dxfId="156" priority="96">
      <formula>C160="CSC"</formula>
    </cfRule>
    <cfRule type="expression" dxfId="155" priority="97">
      <formula>C160="CSE"</formula>
    </cfRule>
    <cfRule type="expression" dxfId="154" priority="98">
      <formula>C160="CSC"</formula>
    </cfRule>
    <cfRule type="expression" dxfId="153" priority="99">
      <formula>C160="CSE"</formula>
    </cfRule>
    <cfRule type="expression" dxfId="152" priority="100">
      <formula>C160="CSC"</formula>
    </cfRule>
  </conditionalFormatting>
  <conditionalFormatting sqref="I165">
    <cfRule type="expression" dxfId="151" priority="85">
      <formula>C165="CSE"</formula>
    </cfRule>
    <cfRule type="expression" dxfId="150" priority="86">
      <formula>C165="CSC"</formula>
    </cfRule>
    <cfRule type="expression" dxfId="149" priority="87">
      <formula>C165="CSE"</formula>
    </cfRule>
    <cfRule type="expression" dxfId="148" priority="88">
      <formula>C165="CSC"</formula>
    </cfRule>
    <cfRule type="expression" dxfId="147" priority="89">
      <formula>C165="CSE"</formula>
    </cfRule>
    <cfRule type="expression" dxfId="146" priority="90">
      <formula>C165="CSC"</formula>
    </cfRule>
    <cfRule type="expression" dxfId="145" priority="91">
      <formula>C165="CSE"</formula>
    </cfRule>
    <cfRule type="expression" dxfId="144" priority="92">
      <formula>C165="CSC"</formula>
    </cfRule>
  </conditionalFormatting>
  <conditionalFormatting sqref="I170">
    <cfRule type="expression" dxfId="143" priority="77">
      <formula>C170="CSE"</formula>
    </cfRule>
    <cfRule type="expression" dxfId="142" priority="78">
      <formula>C170="CSC"</formula>
    </cfRule>
    <cfRule type="expression" dxfId="141" priority="79">
      <formula>C170="CSE"</formula>
    </cfRule>
    <cfRule type="expression" dxfId="140" priority="80">
      <formula>C170="CSC"</formula>
    </cfRule>
    <cfRule type="expression" dxfId="139" priority="81">
      <formula>C170="CSE"</formula>
    </cfRule>
    <cfRule type="expression" dxfId="138" priority="82">
      <formula>C170="CSC"</formula>
    </cfRule>
    <cfRule type="expression" dxfId="137" priority="83">
      <formula>C170="CSE"</formula>
    </cfRule>
    <cfRule type="expression" dxfId="136" priority="84">
      <formula>C170="CSC"</formula>
    </cfRule>
  </conditionalFormatting>
  <conditionalFormatting sqref="I171:I172">
    <cfRule type="expression" dxfId="135" priority="120479">
      <formula>C171="CSE"</formula>
    </cfRule>
    <cfRule type="expression" dxfId="134" priority="120500">
      <formula>C171="CSC"</formula>
    </cfRule>
    <cfRule type="expression" dxfId="133" priority="120501">
      <formula>C172="CSE"</formula>
    </cfRule>
    <cfRule type="expression" dxfId="132" priority="120502">
      <formula>C172="CSC"</formula>
    </cfRule>
    <cfRule type="expression" dxfId="131" priority="164357">
      <formula>C171="CSE"</formula>
    </cfRule>
    <cfRule type="expression" dxfId="130" priority="164358">
      <formula>C171="CSC"</formula>
    </cfRule>
    <cfRule type="expression" dxfId="129" priority="164359">
      <formula>C171="CSE"</formula>
    </cfRule>
    <cfRule type="expression" dxfId="128" priority="164360">
      <formula>C171="CSC"</formula>
    </cfRule>
    <cfRule type="expression" dxfId="127" priority="164361">
      <formula>C172="CSE"</formula>
    </cfRule>
    <cfRule type="expression" dxfId="126" priority="164362">
      <formula>C172="CSC"</formula>
    </cfRule>
    <cfRule type="expression" dxfId="125" priority="164363">
      <formula>C172="CSE"</formula>
    </cfRule>
    <cfRule type="expression" dxfId="124" priority="164364">
      <formula>C172="CSC"</formula>
    </cfRule>
    <cfRule type="expression" dxfId="123" priority="164403">
      <formula>C171="CSE"</formula>
    </cfRule>
    <cfRule type="expression" dxfId="122" priority="164404">
      <formula>C171="CSC"</formula>
    </cfRule>
    <cfRule type="expression" dxfId="121" priority="164405">
      <formula>C172="CSE"</formula>
    </cfRule>
    <cfRule type="expression" dxfId="120" priority="164406">
      <formula>C172="CSC"</formula>
    </cfRule>
    <cfRule type="expression" dxfId="119" priority="166199">
      <formula>C171="CSE"</formula>
    </cfRule>
    <cfRule type="expression" dxfId="118" priority="166200">
      <formula>C171="CSC"</formula>
    </cfRule>
    <cfRule type="expression" dxfId="117" priority="166201">
      <formula>C172="CSE"</formula>
    </cfRule>
    <cfRule type="expression" dxfId="116" priority="166202">
      <formula>C172="CSC"</formula>
    </cfRule>
  </conditionalFormatting>
  <conditionalFormatting sqref="J6:J170">
    <cfRule type="cellIs" dxfId="115" priority="71" operator="equal">
      <formula>"CRECHE"</formula>
    </cfRule>
    <cfRule type="cellIs" dxfId="114" priority="72" operator="equal">
      <formula>"ADAPTADO"</formula>
    </cfRule>
  </conditionalFormatting>
  <conditionalFormatting sqref="J171:J172">
    <cfRule type="cellIs" dxfId="113" priority="120477" operator="equal">
      <formula>"CRECHE"</formula>
    </cfRule>
    <cfRule type="cellIs" dxfId="112" priority="120478" operator="equal">
      <formula>"ADAPTADO"</formula>
    </cfRule>
    <cfRule type="cellIs" dxfId="111" priority="164351" operator="equal">
      <formula>"CRECHE"</formula>
    </cfRule>
    <cfRule type="cellIs" dxfId="110" priority="164352" operator="equal">
      <formula>"ADAPTADO"</formula>
    </cfRule>
    <cfRule type="cellIs" dxfId="109" priority="164365" operator="equal">
      <formula>"CRECHE"</formula>
    </cfRule>
    <cfRule type="cellIs" dxfId="108" priority="164366" operator="equal">
      <formula>"ADAPTADO"</formula>
    </cfRule>
    <cfRule type="cellIs" dxfId="107" priority="164393" operator="equal">
      <formula>"CRECHE"</formula>
    </cfRule>
    <cfRule type="cellIs" dxfId="106" priority="164394" operator="equal">
      <formula>"ADAPTADO"</formula>
    </cfRule>
  </conditionalFormatting>
  <conditionalFormatting sqref="J6:K10">
    <cfRule type="expression" dxfId="105" priority="69">
      <formula>NOT(ISERROR(SEARCH("NORMAL",J6)))</formula>
    </cfRule>
    <cfRule type="expression" dxfId="104" priority="70">
      <formula>NOT(ISERROR(SEARCH("ADAPTADO",J6)))</formula>
    </cfRule>
  </conditionalFormatting>
  <conditionalFormatting sqref="J6:K15">
    <cfRule type="expression" dxfId="103" priority="65">
      <formula>NOT(ISERROR(SEARCH("NORMAL",J6)))</formula>
    </cfRule>
    <cfRule type="expression" dxfId="102" priority="66">
      <formula>NOT(ISERROR(SEARCH("ADAPTADO",J6)))</formula>
    </cfRule>
  </conditionalFormatting>
  <conditionalFormatting sqref="J11:K20">
    <cfRule type="expression" dxfId="101" priority="63">
      <formula>NOT(ISERROR(SEARCH("NORMAL",J11)))</formula>
    </cfRule>
    <cfRule type="expression" dxfId="100" priority="64">
      <formula>NOT(ISERROR(SEARCH("ADAPTADO",J11)))</formula>
    </cfRule>
  </conditionalFormatting>
  <conditionalFormatting sqref="J16:K25">
    <cfRule type="expression" dxfId="99" priority="61">
      <formula>NOT(ISERROR(SEARCH("NORMAL",J16)))</formula>
    </cfRule>
    <cfRule type="expression" dxfId="98" priority="62">
      <formula>NOT(ISERROR(SEARCH("ADAPTADO",J16)))</formula>
    </cfRule>
  </conditionalFormatting>
  <conditionalFormatting sqref="J21:K30">
    <cfRule type="expression" dxfId="97" priority="59">
      <formula>NOT(ISERROR(SEARCH("NORMAL",J21)))</formula>
    </cfRule>
    <cfRule type="expression" dxfId="96" priority="60">
      <formula>NOT(ISERROR(SEARCH("ADAPTADO",J21)))</formula>
    </cfRule>
  </conditionalFormatting>
  <conditionalFormatting sqref="J26:K35">
    <cfRule type="expression" dxfId="95" priority="57">
      <formula>NOT(ISERROR(SEARCH("NORMAL",J26)))</formula>
    </cfRule>
    <cfRule type="expression" dxfId="94" priority="58">
      <formula>NOT(ISERROR(SEARCH("ADAPTADO",J26)))</formula>
    </cfRule>
  </conditionalFormatting>
  <conditionalFormatting sqref="J31:K40">
    <cfRule type="expression" dxfId="93" priority="55">
      <formula>NOT(ISERROR(SEARCH("NORMAL",J31)))</formula>
    </cfRule>
    <cfRule type="expression" dxfId="92" priority="56">
      <formula>NOT(ISERROR(SEARCH("ADAPTADO",J31)))</formula>
    </cfRule>
  </conditionalFormatting>
  <conditionalFormatting sqref="J36:K45">
    <cfRule type="expression" dxfId="91" priority="53">
      <formula>NOT(ISERROR(SEARCH("NORMAL",J36)))</formula>
    </cfRule>
    <cfRule type="expression" dxfId="90" priority="54">
      <formula>NOT(ISERROR(SEARCH("ADAPTADO",J36)))</formula>
    </cfRule>
  </conditionalFormatting>
  <conditionalFormatting sqref="J41:K50">
    <cfRule type="expression" dxfId="89" priority="51">
      <formula>NOT(ISERROR(SEARCH("NORMAL",J41)))</formula>
    </cfRule>
    <cfRule type="expression" dxfId="88" priority="52">
      <formula>NOT(ISERROR(SEARCH("ADAPTADO",J41)))</formula>
    </cfRule>
  </conditionalFormatting>
  <conditionalFormatting sqref="J46:K55">
    <cfRule type="expression" dxfId="87" priority="49">
      <formula>NOT(ISERROR(SEARCH("NORMAL",J46)))</formula>
    </cfRule>
    <cfRule type="expression" dxfId="86" priority="50">
      <formula>NOT(ISERROR(SEARCH("ADAPTADO",J46)))</formula>
    </cfRule>
  </conditionalFormatting>
  <conditionalFormatting sqref="J51:K60">
    <cfRule type="expression" dxfId="85" priority="47">
      <formula>NOT(ISERROR(SEARCH("NORMAL",J51)))</formula>
    </cfRule>
    <cfRule type="expression" dxfId="84" priority="48">
      <formula>NOT(ISERROR(SEARCH("ADAPTADO",J51)))</formula>
    </cfRule>
  </conditionalFormatting>
  <conditionalFormatting sqref="J56:K65">
    <cfRule type="expression" dxfId="83" priority="45">
      <formula>NOT(ISERROR(SEARCH("NORMAL",J56)))</formula>
    </cfRule>
    <cfRule type="expression" dxfId="82" priority="46">
      <formula>NOT(ISERROR(SEARCH("ADAPTADO",J56)))</formula>
    </cfRule>
  </conditionalFormatting>
  <conditionalFormatting sqref="J61:K70">
    <cfRule type="expression" dxfId="81" priority="43">
      <formula>NOT(ISERROR(SEARCH("NORMAL",J61)))</formula>
    </cfRule>
    <cfRule type="expression" dxfId="80" priority="44">
      <formula>NOT(ISERROR(SEARCH("ADAPTADO",J61)))</formula>
    </cfRule>
  </conditionalFormatting>
  <conditionalFormatting sqref="J66:K75">
    <cfRule type="expression" dxfId="79" priority="41">
      <formula>NOT(ISERROR(SEARCH("NORMAL",J66)))</formula>
    </cfRule>
    <cfRule type="expression" dxfId="78" priority="42">
      <formula>NOT(ISERROR(SEARCH("ADAPTADO",J66)))</formula>
    </cfRule>
  </conditionalFormatting>
  <conditionalFormatting sqref="J71:K80">
    <cfRule type="expression" dxfId="77" priority="39">
      <formula>NOT(ISERROR(SEARCH("NORMAL",J71)))</formula>
    </cfRule>
    <cfRule type="expression" dxfId="76" priority="40">
      <formula>NOT(ISERROR(SEARCH("ADAPTADO",J71)))</formula>
    </cfRule>
  </conditionalFormatting>
  <conditionalFormatting sqref="J76:K85">
    <cfRule type="expression" dxfId="75" priority="37">
      <formula>NOT(ISERROR(SEARCH("NORMAL",J76)))</formula>
    </cfRule>
    <cfRule type="expression" dxfId="74" priority="38">
      <formula>NOT(ISERROR(SEARCH("ADAPTADO",J76)))</formula>
    </cfRule>
  </conditionalFormatting>
  <conditionalFormatting sqref="J81:K90">
    <cfRule type="expression" dxfId="73" priority="35">
      <formula>NOT(ISERROR(SEARCH("NORMAL",J81)))</formula>
    </cfRule>
    <cfRule type="expression" dxfId="72" priority="36">
      <formula>NOT(ISERROR(SEARCH("ADAPTADO",J81)))</formula>
    </cfRule>
  </conditionalFormatting>
  <conditionalFormatting sqref="J86:K95">
    <cfRule type="expression" dxfId="71" priority="33">
      <formula>NOT(ISERROR(SEARCH("NORMAL",J86)))</formula>
    </cfRule>
    <cfRule type="expression" dxfId="70" priority="34">
      <formula>NOT(ISERROR(SEARCH("ADAPTADO",J86)))</formula>
    </cfRule>
  </conditionalFormatting>
  <conditionalFormatting sqref="J91:K100">
    <cfRule type="expression" dxfId="69" priority="31">
      <formula>NOT(ISERROR(SEARCH("NORMAL",J91)))</formula>
    </cfRule>
    <cfRule type="expression" dxfId="68" priority="32">
      <formula>NOT(ISERROR(SEARCH("ADAPTADO",J91)))</formula>
    </cfRule>
  </conditionalFormatting>
  <conditionalFormatting sqref="J96:K105">
    <cfRule type="expression" dxfId="67" priority="29">
      <formula>NOT(ISERROR(SEARCH("NORMAL",J96)))</formula>
    </cfRule>
    <cfRule type="expression" dxfId="66" priority="30">
      <formula>NOT(ISERROR(SEARCH("ADAPTADO",J96)))</formula>
    </cfRule>
  </conditionalFormatting>
  <conditionalFormatting sqref="J101:K110">
    <cfRule type="expression" dxfId="65" priority="27">
      <formula>NOT(ISERROR(SEARCH("NORMAL",J101)))</formula>
    </cfRule>
    <cfRule type="expression" dxfId="64" priority="28">
      <formula>NOT(ISERROR(SEARCH("ADAPTADO",J101)))</formula>
    </cfRule>
  </conditionalFormatting>
  <conditionalFormatting sqref="J106:K115">
    <cfRule type="expression" dxfId="63" priority="25">
      <formula>NOT(ISERROR(SEARCH("NORMAL",J106)))</formula>
    </cfRule>
    <cfRule type="expression" dxfId="62" priority="26">
      <formula>NOT(ISERROR(SEARCH("ADAPTADO",J106)))</formula>
    </cfRule>
  </conditionalFormatting>
  <conditionalFormatting sqref="J111:K120">
    <cfRule type="expression" dxfId="61" priority="23">
      <formula>NOT(ISERROR(SEARCH("NORMAL",J111)))</formula>
    </cfRule>
    <cfRule type="expression" dxfId="60" priority="24">
      <formula>NOT(ISERROR(SEARCH("ADAPTADO",J111)))</formula>
    </cfRule>
  </conditionalFormatting>
  <conditionalFormatting sqref="J116:K125">
    <cfRule type="expression" dxfId="59" priority="21">
      <formula>NOT(ISERROR(SEARCH("NORMAL",J116)))</formula>
    </cfRule>
    <cfRule type="expression" dxfId="58" priority="22">
      <formula>NOT(ISERROR(SEARCH("ADAPTADO",J116)))</formula>
    </cfRule>
  </conditionalFormatting>
  <conditionalFormatting sqref="J121:K130">
    <cfRule type="expression" dxfId="57" priority="19">
      <formula>NOT(ISERROR(SEARCH("NORMAL",J121)))</formula>
    </cfRule>
    <cfRule type="expression" dxfId="56" priority="20">
      <formula>NOT(ISERROR(SEARCH("ADAPTADO",J121)))</formula>
    </cfRule>
  </conditionalFormatting>
  <conditionalFormatting sqref="J126:K135">
    <cfRule type="expression" dxfId="55" priority="17">
      <formula>NOT(ISERROR(SEARCH("NORMAL",J126)))</formula>
    </cfRule>
    <cfRule type="expression" dxfId="54" priority="18">
      <formula>NOT(ISERROR(SEARCH("ADAPTADO",J126)))</formula>
    </cfRule>
  </conditionalFormatting>
  <conditionalFormatting sqref="J131:K140">
    <cfRule type="expression" dxfId="53" priority="15">
      <formula>NOT(ISERROR(SEARCH("NORMAL",J131)))</formula>
    </cfRule>
    <cfRule type="expression" dxfId="52" priority="16">
      <formula>NOT(ISERROR(SEARCH("ADAPTADO",J131)))</formula>
    </cfRule>
  </conditionalFormatting>
  <conditionalFormatting sqref="J136:K145">
    <cfRule type="expression" dxfId="51" priority="13">
      <formula>NOT(ISERROR(SEARCH("NORMAL",J136)))</formula>
    </cfRule>
    <cfRule type="expression" dxfId="50" priority="14">
      <formula>NOT(ISERROR(SEARCH("ADAPTADO",J136)))</formula>
    </cfRule>
  </conditionalFormatting>
  <conditionalFormatting sqref="J141:K150">
    <cfRule type="expression" dxfId="49" priority="11">
      <formula>NOT(ISERROR(SEARCH("NORMAL",J141)))</formula>
    </cfRule>
    <cfRule type="expression" dxfId="48" priority="12">
      <formula>NOT(ISERROR(SEARCH("ADAPTADO",J141)))</formula>
    </cfRule>
  </conditionalFormatting>
  <conditionalFormatting sqref="J146:K155">
    <cfRule type="expression" dxfId="47" priority="9">
      <formula>NOT(ISERROR(SEARCH("NORMAL",J146)))</formula>
    </cfRule>
    <cfRule type="expression" dxfId="46" priority="10">
      <formula>NOT(ISERROR(SEARCH("ADAPTADO",J146)))</formula>
    </cfRule>
  </conditionalFormatting>
  <conditionalFormatting sqref="J151:K160">
    <cfRule type="expression" dxfId="45" priority="7">
      <formula>NOT(ISERROR(SEARCH("NORMAL",J151)))</formula>
    </cfRule>
    <cfRule type="expression" dxfId="44" priority="8">
      <formula>NOT(ISERROR(SEARCH("ADAPTADO",J151)))</formula>
    </cfRule>
  </conditionalFormatting>
  <conditionalFormatting sqref="J156:K165">
    <cfRule type="expression" dxfId="43" priority="5">
      <formula>NOT(ISERROR(SEARCH("NORMAL",J156)))</formula>
    </cfRule>
    <cfRule type="expression" dxfId="42" priority="6">
      <formula>NOT(ISERROR(SEARCH("ADAPTADO",J156)))</formula>
    </cfRule>
  </conditionalFormatting>
  <conditionalFormatting sqref="J161:K170">
    <cfRule type="expression" dxfId="41" priority="3">
      <formula>NOT(ISERROR(SEARCH("NORMAL",J161)))</formula>
    </cfRule>
    <cfRule type="expression" dxfId="40" priority="4">
      <formula>NOT(ISERROR(SEARCH("ADAPTADO",J161)))</formula>
    </cfRule>
  </conditionalFormatting>
  <conditionalFormatting sqref="J166:K170">
    <cfRule type="expression" dxfId="39" priority="1">
      <formula>NOT(ISERROR(SEARCH("NORMAL",J166)))</formula>
    </cfRule>
    <cfRule type="expression" dxfId="38" priority="2">
      <formula>NOT(ISERROR(SEARCH("ADAPTADO",J166)))</formula>
    </cfRule>
  </conditionalFormatting>
  <conditionalFormatting sqref="J171:K172">
    <cfRule type="expression" dxfId="37" priority="120471" stopIfTrue="1">
      <formula>NOT(ISERROR(SEARCH("NORMAL",J171)))</formula>
    </cfRule>
    <cfRule type="expression" dxfId="36" priority="120472" stopIfTrue="1">
      <formula>NOT(ISERROR(SEARCH("ADAPTADO",J171)))</formula>
    </cfRule>
    <cfRule type="expression" dxfId="35" priority="164347">
      <formula>NOT(ISERROR(SEARCH("NORMAL",J171)))</formula>
    </cfRule>
    <cfRule type="expression" dxfId="34" priority="164348">
      <formula>NOT(ISERROR(SEARCH("ADAPTADO",J171)))</formula>
    </cfRule>
    <cfRule type="expression" dxfId="33" priority="164349">
      <formula>NOT(ISERROR(SEARCH("NORMAL",J171)))</formula>
    </cfRule>
    <cfRule type="expression" dxfId="32" priority="164350">
      <formula>NOT(ISERROR(SEARCH("ADAPTADO",J171)))</formula>
    </cfRule>
    <cfRule type="expression" dxfId="31" priority="164391" stopIfTrue="1">
      <formula>NOT(ISERROR(SEARCH("NORMAL",J171)))</formula>
    </cfRule>
    <cfRule type="expression" dxfId="30" priority="164392" stopIfTrue="1">
      <formula>NOT(ISERROR(SEARCH("ADAPTADO",J171)))</formula>
    </cfRule>
    <cfRule type="expression" dxfId="29" priority="166240" stopIfTrue="1">
      <formula>NOT(ISERROR(SEARCH("NORMAL",J171)))</formula>
    </cfRule>
    <cfRule type="expression" dxfId="28" priority="166241" stopIfTrue="1">
      <formula>NOT(ISERROR(SEARCH("ADAPTADO",J171)))</formula>
    </cfRule>
  </conditionalFormatting>
  <conditionalFormatting sqref="L6:BU6 L10:BU11 L15:BU16 L20:BU21 L25:BU26 L30:BU31 L35:BU36 L40:BU41 L45:BU46 L50:BU51 L55:BU56 L60:BU61 L65:BU66 L70:BU71 L75:BU76 L80:BU81 L85:BU86 L90:BU91 L95:BU96 L100:BU101 L105:BU106 L110:BU111 L115:BU116 L120:BU121 L125:BU126 L130:BU131 L135:BU136 L140:BU141 L145:BU146 L150:BU151 L155:BU156 L160:BU161 L165:BU166 L170:BU170">
    <cfRule type="cellIs" dxfId="27" priority="59063" operator="lessThan">
      <formula>0</formula>
    </cfRule>
    <cfRule type="cellIs" dxfId="26" priority="59064" operator="greaterThan">
      <formula>0</formula>
    </cfRule>
  </conditionalFormatting>
  <conditionalFormatting sqref="L171:BU171">
    <cfRule type="cellIs" dxfId="25" priority="164389" operator="lessThan">
      <formula>0</formula>
    </cfRule>
    <cfRule type="cellIs" dxfId="24" priority="164390" operator="greaterThan">
      <formula>0</formula>
    </cfRule>
  </conditionalFormatting>
  <printOptions horizontalCentered="1"/>
  <pageMargins left="0" right="0" top="0.35416666666666669" bottom="0.39374999999999999" header="0.51180555555555551" footer="0.51180555555555551"/>
  <pageSetup paperSize="9" firstPageNumber="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6"/>
  <dimension ref="A1:U139"/>
  <sheetViews>
    <sheetView workbookViewId="0">
      <selection activeCell="D11" sqref="D11:N11"/>
    </sheetView>
  </sheetViews>
  <sheetFormatPr defaultColWidth="9" defaultRowHeight="12.75" x14ac:dyDescent="0.2"/>
  <cols>
    <col min="1" max="1" width="20.85546875" customWidth="1"/>
    <col min="2" max="2" width="10.85546875" customWidth="1"/>
    <col min="3" max="3" width="12" customWidth="1"/>
    <col min="4" max="4" width="79.140625" bestFit="1" customWidth="1"/>
    <col min="5" max="5" width="24.7109375" customWidth="1"/>
    <col min="6" max="6" width="18.5703125" customWidth="1"/>
    <col min="7" max="8" width="15.42578125" customWidth="1"/>
    <col min="9" max="9" width="32.85546875" customWidth="1"/>
    <col min="10" max="10" width="36.5703125" customWidth="1"/>
    <col min="11" max="11" width="14.42578125" customWidth="1"/>
    <col min="12" max="12" width="10.7109375" bestFit="1" customWidth="1"/>
    <col min="14" max="15" width="10.7109375" bestFit="1" customWidth="1"/>
  </cols>
  <sheetData>
    <row r="1" spans="1:21" ht="24" thickBot="1" x14ac:dyDescent="0.4">
      <c r="A1" s="237" t="s">
        <v>164</v>
      </c>
      <c r="B1" s="238"/>
      <c r="C1" s="238"/>
      <c r="D1" s="238"/>
      <c r="E1" t="s">
        <v>294</v>
      </c>
      <c r="F1" s="354" t="str">
        <f>IFERROR(VLOOKUP(D4,APELIDOS!A:B,2,FALSE),D4)</f>
        <v>MARLI PEREIRA DA SILVA</v>
      </c>
      <c r="G1" s="238"/>
      <c r="H1" s="238"/>
      <c r="I1" s="238"/>
      <c r="J1" s="238"/>
      <c r="K1" s="238"/>
      <c r="L1" s="239"/>
    </row>
    <row r="2" spans="1:21" ht="42.75" customHeight="1" thickBot="1" x14ac:dyDescent="0.25">
      <c r="A2" s="653" t="s">
        <v>0</v>
      </c>
      <c r="B2" s="654"/>
      <c r="C2" s="234" t="str">
        <f>UPPER(MID('APONTAMENTO CREDENCIAMENTO'!C7,1,2))</f>
        <v>FB</v>
      </c>
      <c r="D2" s="653" t="str">
        <f>UPPER('APONTAMENTO CREDENCIAMENTO'!A1)</f>
        <v>FREGUESIA / BRASILÂNDIA</v>
      </c>
      <c r="E2" s="655"/>
      <c r="F2" s="655"/>
      <c r="G2" s="656"/>
      <c r="H2" s="243"/>
      <c r="I2" s="235" t="s">
        <v>161</v>
      </c>
      <c r="J2" s="236" t="s">
        <v>162</v>
      </c>
      <c r="K2" s="241"/>
      <c r="L2" s="242"/>
      <c r="N2" s="652" t="s">
        <v>1</v>
      </c>
      <c r="O2" s="652"/>
      <c r="P2" s="230" t="s">
        <v>2</v>
      </c>
      <c r="Q2" s="643" t="s">
        <v>3</v>
      </c>
      <c r="R2" s="643"/>
      <c r="S2" s="643"/>
      <c r="T2" s="643"/>
      <c r="U2" s="643"/>
    </row>
    <row r="3" spans="1:21" ht="20.25" customHeight="1" thickBot="1" x14ac:dyDescent="0.3">
      <c r="A3" s="222" t="s">
        <v>4</v>
      </c>
      <c r="B3" s="339" t="s">
        <v>3256</v>
      </c>
      <c r="C3" s="338"/>
      <c r="D3" s="223" t="s">
        <v>5</v>
      </c>
      <c r="E3" s="644" t="s">
        <v>163</v>
      </c>
      <c r="F3" s="645"/>
      <c r="G3" s="646"/>
      <c r="H3" s="649" t="s">
        <v>169</v>
      </c>
      <c r="I3" s="661" t="str">
        <f>N3</f>
        <v>01/04/2026</v>
      </c>
      <c r="J3" s="663" t="str">
        <f>O3</f>
        <v>30/04/2026</v>
      </c>
      <c r="K3" s="670" t="s">
        <v>168</v>
      </c>
      <c r="L3" s="671"/>
      <c r="N3" s="1" t="str">
        <f>'APONTAMENTO CREDENCIAMENTO'!F5</f>
        <v>01/04/2026</v>
      </c>
      <c r="O3" s="1" t="str">
        <f>'APONTAMENTO CREDENCIAMENTO'!G5</f>
        <v>30/04/2026</v>
      </c>
      <c r="P3" s="231"/>
      <c r="Q3" s="2"/>
      <c r="R3" s="2"/>
      <c r="S3" s="2"/>
      <c r="T3" s="2"/>
      <c r="U3" s="2"/>
    </row>
    <row r="4" spans="1:21" ht="22.5" customHeight="1" x14ac:dyDescent="0.25">
      <c r="A4" s="220" t="s">
        <v>6</v>
      </c>
      <c r="B4" s="221" t="str">
        <f>I3</f>
        <v>01/04/2026</v>
      </c>
      <c r="C4" s="221" t="str">
        <f>J3</f>
        <v>30/04/2026</v>
      </c>
      <c r="D4" s="667" t="str">
        <f>D10</f>
        <v>MARLI PEREIRA DA SILVA</v>
      </c>
      <c r="E4" s="649" t="str">
        <f>UPPER(TEXT(B4,"MMMM"))</f>
        <v>ABRIL</v>
      </c>
      <c r="F4" s="657"/>
      <c r="G4" s="658"/>
      <c r="H4" s="650"/>
      <c r="I4" s="662"/>
      <c r="J4" s="664"/>
      <c r="K4" s="670"/>
      <c r="L4" s="671"/>
      <c r="P4" s="231"/>
      <c r="Q4" s="3"/>
      <c r="R4" s="3"/>
      <c r="S4" s="3"/>
      <c r="T4" s="3"/>
      <c r="U4" s="3"/>
    </row>
    <row r="5" spans="1:21" ht="24.75" customHeight="1" x14ac:dyDescent="0.2">
      <c r="A5" s="218" t="s">
        <v>7</v>
      </c>
      <c r="B5" s="647">
        <v>45868</v>
      </c>
      <c r="C5" s="647"/>
      <c r="D5" s="668"/>
      <c r="E5" s="650"/>
      <c r="F5" s="659"/>
      <c r="G5" s="660"/>
      <c r="H5" s="650"/>
      <c r="I5" s="662"/>
      <c r="J5" s="664"/>
      <c r="K5" s="670"/>
      <c r="L5" s="671"/>
      <c r="P5" s="231"/>
      <c r="Q5" s="3"/>
      <c r="R5" s="3"/>
      <c r="S5" s="3"/>
      <c r="T5" s="3"/>
      <c r="U5" s="3"/>
    </row>
    <row r="6" spans="1:21" ht="21.75" customHeight="1" x14ac:dyDescent="0.2">
      <c r="A6" s="218" t="s">
        <v>8</v>
      </c>
      <c r="B6" s="648" t="s">
        <v>167</v>
      </c>
      <c r="C6" s="648"/>
      <c r="D6" s="668"/>
      <c r="E6" s="650"/>
      <c r="F6" s="659"/>
      <c r="G6" s="660"/>
      <c r="H6" s="650"/>
      <c r="I6" s="662"/>
      <c r="J6" s="664"/>
      <c r="K6" s="670"/>
      <c r="L6" s="671"/>
      <c r="P6" s="231"/>
      <c r="Q6" s="3"/>
      <c r="R6" t="s">
        <v>165</v>
      </c>
      <c r="S6" s="3"/>
      <c r="T6" s="3"/>
      <c r="U6" s="3"/>
    </row>
    <row r="7" spans="1:21" ht="17.25" customHeight="1" x14ac:dyDescent="0.2">
      <c r="A7" s="218" t="s">
        <v>9</v>
      </c>
      <c r="B7" s="651">
        <f>IF(N10="C",'VALORES TABELA'!B17,IF(N10="N",'VALORES TABELA'!B18,0))</f>
        <v>0</v>
      </c>
      <c r="C7" s="651"/>
      <c r="D7" s="668"/>
      <c r="E7" s="650"/>
      <c r="F7" s="659"/>
      <c r="G7" s="660"/>
      <c r="H7" s="650"/>
      <c r="I7" s="662"/>
      <c r="J7" s="664"/>
      <c r="K7" s="670"/>
      <c r="L7" s="671"/>
      <c r="R7" s="232"/>
    </row>
    <row r="8" spans="1:21" ht="18" customHeight="1" x14ac:dyDescent="0.2">
      <c r="A8" s="665" t="s">
        <v>10</v>
      </c>
      <c r="B8" s="666"/>
      <c r="C8" s="666"/>
      <c r="D8" s="669"/>
      <c r="E8" s="650"/>
      <c r="F8" s="659"/>
      <c r="G8" s="660"/>
      <c r="H8" s="650"/>
      <c r="I8" s="662"/>
      <c r="J8" s="664"/>
      <c r="K8" s="670"/>
      <c r="L8" s="671"/>
    </row>
    <row r="9" spans="1:21" ht="33" customHeight="1" x14ac:dyDescent="0.25">
      <c r="A9" s="224" t="s">
        <v>166</v>
      </c>
      <c r="B9" s="224" t="s">
        <v>166</v>
      </c>
      <c r="C9" s="225" t="s">
        <v>11</v>
      </c>
      <c r="D9" s="226" t="str">
        <f>VLOOKUP($C9,'APONTAMENTO CREDENCIAMENTO'!$A:$J,8,0)</f>
        <v>EMPRESA</v>
      </c>
      <c r="E9" s="226" t="str">
        <f>VLOOKUP($C9,'APONTAMENTO CREDENCIAMENTO'!$A:$J,9,0)</f>
        <v>NOME CONDUTOR</v>
      </c>
      <c r="F9" s="227" t="str">
        <f>VLOOKUP($C9,'APONTAMENTO CREDENCIAMENTO'!$A:$P,15,0)</f>
        <v>SEI</v>
      </c>
      <c r="G9" s="228" t="str">
        <f>VLOOKUP($C9,'APONTAMENTO CREDENCIAMENTO'!$A:$P,4,0)</f>
        <v>CONTRATO</v>
      </c>
      <c r="H9" s="244" t="s">
        <v>170</v>
      </c>
      <c r="I9" s="212" t="s">
        <v>42</v>
      </c>
      <c r="J9" s="229"/>
      <c r="K9" s="240" t="str">
        <f>VLOOKUP($C9,'APONTAMENTO CREDENCIAMENTO'!$A:$J,6,0)</f>
        <v>PERÍODO</v>
      </c>
      <c r="L9" s="240"/>
      <c r="M9" s="219" t="str">
        <f t="shared" ref="M9:M10" si="0">MID(D9,1,3)</f>
        <v>EMP</v>
      </c>
      <c r="N9" t="str">
        <f>VLOOKUP($C9,'APONTAMENTO CREDENCIAMENTO'!$A:$P,16,0)</f>
        <v>Tipo Optante</v>
      </c>
    </row>
    <row r="10" spans="1:21" ht="31.5" customHeight="1" x14ac:dyDescent="0.25">
      <c r="A10" s="233">
        <v>1</v>
      </c>
      <c r="B10" s="233">
        <v>1</v>
      </c>
      <c r="C10" s="269" t="s">
        <v>3254</v>
      </c>
      <c r="D10" s="226" t="str">
        <f>VLOOKUP($C10,'APONTAMENTO CREDENCIAMENTO'!$A:$J,8,0)</f>
        <v>MARLI PEREIRA DA SILVA</v>
      </c>
      <c r="E10" s="226" t="str">
        <f>VLOOKUP($C10,'APONTAMENTO CREDENCIAMENTO'!$A:$J,9,0)</f>
        <v>MARLI PEREIRA DA SILVA</v>
      </c>
      <c r="F10" s="227" t="str">
        <f>VLOOKUP($C10,'APONTAMENTO CREDENCIAMENTO'!$A:$P,15,0)</f>
        <v>6020.2024/0058937-5</v>
      </c>
      <c r="G10" s="228" t="str">
        <f>VLOOKUP($C10,'APONTAMENTO CREDENCIAMENTO'!$A:$P,4,0)</f>
        <v>2024/0058937</v>
      </c>
      <c r="H10" s="228" t="str">
        <f>VLOOKUP($C10,'APONTAMENTO CREDENCIAMENTO'!$A:$P,5,0)</f>
        <v>ELQ7434</v>
      </c>
      <c r="I10" s="228" t="str">
        <f>IF(VLOOKUP($C10,'APONTAMENTO CREDENCIAMENTO'!$A:$J,10,0)="NORMAL","NORMAL","ADAPTADO")</f>
        <v>ADAPTADO</v>
      </c>
      <c r="J10" s="229" t="e">
        <f>VLOOKUP($C10,'APONTAMENTO CREDENCIAMENTO'!$A:$T,142,0)</f>
        <v>#REF!</v>
      </c>
      <c r="K10" s="240" t="str">
        <f>VLOOKUP($C10,'APONTAMENTO CREDENCIAMENTO'!$A:$J,6,0)</f>
        <v>01/04/2026</v>
      </c>
      <c r="L10" s="240" t="str">
        <f>VLOOKUP($C10,'APONTAMENTO CREDENCIAMENTO'!$A:$J,7,0)</f>
        <v>30/04/2026</v>
      </c>
      <c r="M10" s="219" t="str">
        <f t="shared" si="0"/>
        <v>MAR</v>
      </c>
      <c r="N10">
        <f>VLOOKUP($C10,'APONTAMENTO CREDENCIAMENTO'!$A:$P,16,0)</f>
        <v>0</v>
      </c>
    </row>
    <row r="11" spans="1:21" ht="15" x14ac:dyDescent="0.25">
      <c r="D11" s="226"/>
      <c r="E11" s="226"/>
      <c r="F11" s="227"/>
      <c r="G11" s="228"/>
      <c r="H11" s="228"/>
      <c r="I11" s="228"/>
      <c r="J11" s="229"/>
      <c r="K11" s="240"/>
      <c r="L11" s="240"/>
      <c r="M11" s="219"/>
    </row>
    <row r="12" spans="1:21" ht="15" x14ac:dyDescent="0.25">
      <c r="D12" s="226"/>
      <c r="E12" s="226"/>
      <c r="F12" s="227"/>
      <c r="G12" s="228"/>
      <c r="H12" s="228"/>
      <c r="I12" s="228"/>
      <c r="J12" s="229"/>
      <c r="K12" s="240"/>
      <c r="L12" s="240"/>
      <c r="M12" s="219"/>
    </row>
    <row r="13" spans="1:21" ht="15" x14ac:dyDescent="0.25">
      <c r="D13" s="226"/>
      <c r="E13" s="226"/>
      <c r="F13" s="227"/>
      <c r="G13" s="228"/>
      <c r="H13" s="228"/>
      <c r="I13" s="228"/>
      <c r="J13" s="229"/>
      <c r="K13" s="240"/>
      <c r="L13" s="240"/>
      <c r="M13" s="219"/>
    </row>
    <row r="14" spans="1:21" ht="15" x14ac:dyDescent="0.25">
      <c r="D14" s="226"/>
      <c r="E14" s="226"/>
      <c r="F14" s="227"/>
      <c r="G14" s="228"/>
      <c r="H14" s="228"/>
      <c r="I14" s="228"/>
      <c r="J14" s="229"/>
      <c r="K14" s="240"/>
      <c r="L14" s="240"/>
      <c r="M14" s="219"/>
    </row>
    <row r="15" spans="1:21" ht="15" x14ac:dyDescent="0.25">
      <c r="D15" s="226"/>
      <c r="E15" s="226"/>
      <c r="F15" s="227"/>
      <c r="G15" s="228"/>
      <c r="H15" s="228"/>
      <c r="I15" s="228"/>
      <c r="J15" s="229"/>
      <c r="K15" s="240"/>
      <c r="L15" s="240"/>
      <c r="M15" s="219"/>
    </row>
    <row r="16" spans="1:21" ht="15" x14ac:dyDescent="0.25">
      <c r="D16" s="226"/>
      <c r="E16" s="226"/>
      <c r="F16" s="227"/>
      <c r="G16" s="228"/>
      <c r="H16" s="228"/>
      <c r="I16" s="228"/>
      <c r="J16" s="229"/>
      <c r="K16" s="240"/>
      <c r="L16" s="240"/>
      <c r="M16" s="219"/>
    </row>
    <row r="17" spans="4:13" ht="15" x14ac:dyDescent="0.25">
      <c r="D17" s="226"/>
      <c r="E17" s="226"/>
      <c r="F17" s="227"/>
      <c r="G17" s="228"/>
      <c r="H17" s="228"/>
      <c r="I17" s="228"/>
      <c r="J17" s="229"/>
      <c r="K17" s="240"/>
      <c r="L17" s="240"/>
      <c r="M17" s="219"/>
    </row>
    <row r="18" spans="4:13" ht="15" x14ac:dyDescent="0.25">
      <c r="D18" s="226"/>
      <c r="E18" s="226"/>
      <c r="F18" s="227"/>
      <c r="G18" s="228"/>
      <c r="H18" s="228"/>
      <c r="I18" s="228"/>
      <c r="J18" s="229"/>
      <c r="K18" s="240"/>
      <c r="L18" s="240"/>
      <c r="M18" s="219"/>
    </row>
    <row r="19" spans="4:13" ht="15" x14ac:dyDescent="0.25">
      <c r="D19" s="226"/>
      <c r="E19" s="226"/>
      <c r="F19" s="227"/>
      <c r="G19" s="228"/>
      <c r="H19" s="228"/>
      <c r="I19" s="228"/>
      <c r="J19" s="229"/>
      <c r="K19" s="240"/>
      <c r="L19" s="240"/>
      <c r="M19" s="219"/>
    </row>
    <row r="20" spans="4:13" ht="15" x14ac:dyDescent="0.25">
      <c r="D20" s="226"/>
      <c r="E20" s="226"/>
      <c r="F20" s="227"/>
      <c r="G20" s="228"/>
      <c r="H20" s="228"/>
      <c r="I20" s="228"/>
      <c r="J20" s="229"/>
      <c r="K20" s="240"/>
      <c r="L20" s="240"/>
      <c r="M20" s="219"/>
    </row>
    <row r="21" spans="4:13" ht="15" x14ac:dyDescent="0.25">
      <c r="D21" s="226"/>
      <c r="E21" s="226"/>
      <c r="F21" s="227"/>
      <c r="G21" s="228"/>
      <c r="H21" s="228"/>
      <c r="I21" s="228"/>
      <c r="J21" s="229"/>
      <c r="K21" s="240"/>
      <c r="L21" s="240"/>
      <c r="M21" s="219"/>
    </row>
    <row r="22" spans="4:13" ht="15" x14ac:dyDescent="0.25">
      <c r="D22" s="226"/>
      <c r="E22" s="226"/>
      <c r="F22" s="227"/>
      <c r="G22" s="228"/>
      <c r="H22" s="228"/>
      <c r="I22" s="228"/>
      <c r="J22" s="229"/>
      <c r="K22" s="240"/>
      <c r="L22" s="240"/>
      <c r="M22" s="219"/>
    </row>
    <row r="23" spans="4:13" ht="15" x14ac:dyDescent="0.25">
      <c r="D23" s="226"/>
      <c r="E23" s="226"/>
      <c r="F23" s="227"/>
      <c r="G23" s="228"/>
      <c r="H23" s="228"/>
      <c r="I23" s="228"/>
      <c r="J23" s="229"/>
      <c r="K23" s="240"/>
      <c r="L23" s="240"/>
      <c r="M23" s="219"/>
    </row>
    <row r="24" spans="4:13" ht="15" x14ac:dyDescent="0.25">
      <c r="D24" s="226"/>
      <c r="E24" s="226"/>
      <c r="F24" s="227"/>
      <c r="G24" s="228"/>
      <c r="H24" s="228"/>
      <c r="I24" s="228"/>
      <c r="J24" s="229"/>
      <c r="K24" s="240"/>
      <c r="L24" s="240"/>
      <c r="M24" s="219"/>
    </row>
    <row r="25" spans="4:13" ht="15" x14ac:dyDescent="0.25">
      <c r="D25" s="226"/>
      <c r="E25" s="226"/>
      <c r="F25" s="227"/>
      <c r="G25" s="228"/>
      <c r="H25" s="228"/>
      <c r="I25" s="228"/>
      <c r="J25" s="229"/>
      <c r="K25" s="240"/>
      <c r="L25" s="240"/>
      <c r="M25" s="219"/>
    </row>
    <row r="26" spans="4:13" ht="15" x14ac:dyDescent="0.25">
      <c r="D26" s="226"/>
      <c r="E26" s="226"/>
      <c r="F26" s="227"/>
      <c r="G26" s="228"/>
      <c r="H26" s="228"/>
      <c r="I26" s="228"/>
      <c r="J26" s="229"/>
      <c r="K26" s="240"/>
      <c r="L26" s="240"/>
      <c r="M26" s="219"/>
    </row>
    <row r="27" spans="4:13" ht="15" x14ac:dyDescent="0.25">
      <c r="D27" s="226"/>
      <c r="E27" s="226"/>
      <c r="F27" s="227"/>
      <c r="G27" s="228"/>
      <c r="H27" s="228"/>
      <c r="I27" s="228"/>
      <c r="J27" s="229"/>
      <c r="K27" s="240"/>
      <c r="L27" s="240"/>
      <c r="M27" s="219"/>
    </row>
    <row r="28" spans="4:13" ht="15" x14ac:dyDescent="0.25">
      <c r="D28" s="226"/>
      <c r="E28" s="226"/>
      <c r="F28" s="227"/>
      <c r="G28" s="228"/>
      <c r="H28" s="228"/>
      <c r="I28" s="228"/>
      <c r="J28" s="229"/>
      <c r="K28" s="240"/>
      <c r="L28" s="240"/>
      <c r="M28" s="219"/>
    </row>
    <row r="29" spans="4:13" ht="15" x14ac:dyDescent="0.25">
      <c r="D29" s="226"/>
      <c r="E29" s="226"/>
      <c r="F29" s="227"/>
      <c r="G29" s="228"/>
      <c r="H29" s="228"/>
      <c r="I29" s="228"/>
      <c r="J29" s="229"/>
      <c r="K29" s="240"/>
      <c r="L29" s="240"/>
      <c r="M29" s="219"/>
    </row>
    <row r="30" spans="4:13" ht="15" x14ac:dyDescent="0.25">
      <c r="D30" s="226"/>
      <c r="E30" s="226"/>
      <c r="F30" s="227"/>
      <c r="G30" s="228"/>
      <c r="H30" s="228"/>
      <c r="I30" s="228"/>
      <c r="J30" s="229"/>
      <c r="K30" s="240"/>
      <c r="L30" s="240"/>
      <c r="M30" s="219"/>
    </row>
    <row r="31" spans="4:13" ht="15" x14ac:dyDescent="0.25">
      <c r="D31" s="226"/>
      <c r="E31" s="226"/>
      <c r="F31" s="227"/>
      <c r="G31" s="228"/>
      <c r="H31" s="228"/>
      <c r="I31" s="228"/>
      <c r="J31" s="229"/>
      <c r="K31" s="240"/>
      <c r="L31" s="240"/>
      <c r="M31" s="219"/>
    </row>
    <row r="32" spans="4:13" ht="15" x14ac:dyDescent="0.25">
      <c r="D32" s="226"/>
      <c r="E32" s="226"/>
      <c r="F32" s="227"/>
      <c r="G32" s="228"/>
      <c r="H32" s="228"/>
      <c r="I32" s="228"/>
      <c r="J32" s="229"/>
      <c r="K32" s="240"/>
      <c r="L32" s="240"/>
      <c r="M32" s="219"/>
    </row>
    <row r="33" spans="4:13" ht="15" x14ac:dyDescent="0.25">
      <c r="D33" s="226"/>
      <c r="E33" s="226"/>
      <c r="F33" s="227"/>
      <c r="G33" s="228"/>
      <c r="H33" s="228"/>
      <c r="I33" s="228"/>
      <c r="J33" s="229"/>
      <c r="K33" s="240"/>
      <c r="L33" s="240"/>
      <c r="M33" s="219"/>
    </row>
    <row r="34" spans="4:13" ht="15" x14ac:dyDescent="0.25">
      <c r="D34" s="226"/>
      <c r="E34" s="226"/>
      <c r="F34" s="227"/>
      <c r="G34" s="228"/>
      <c r="H34" s="228"/>
      <c r="I34" s="228"/>
      <c r="J34" s="229"/>
      <c r="K34" s="240"/>
      <c r="L34" s="240"/>
      <c r="M34" s="219"/>
    </row>
    <row r="35" spans="4:13" ht="15" x14ac:dyDescent="0.25">
      <c r="D35" s="226"/>
      <c r="E35" s="226"/>
      <c r="F35" s="227"/>
      <c r="G35" s="228"/>
      <c r="H35" s="228"/>
      <c r="I35" s="228"/>
      <c r="J35" s="229"/>
      <c r="K35" s="240"/>
      <c r="L35" s="240"/>
      <c r="M35" s="219"/>
    </row>
    <row r="36" spans="4:13" ht="15" x14ac:dyDescent="0.25">
      <c r="D36" s="226"/>
      <c r="E36" s="226"/>
      <c r="F36" s="227"/>
      <c r="G36" s="228"/>
      <c r="H36" s="228"/>
      <c r="I36" s="228"/>
      <c r="J36" s="229"/>
      <c r="K36" s="240"/>
      <c r="L36" s="240"/>
      <c r="M36" s="219"/>
    </row>
    <row r="37" spans="4:13" ht="15" x14ac:dyDescent="0.25">
      <c r="D37" s="226"/>
      <c r="E37" s="226"/>
      <c r="F37" s="227"/>
      <c r="G37" s="228"/>
      <c r="H37" s="228"/>
      <c r="I37" s="228"/>
      <c r="J37" s="229"/>
      <c r="K37" s="240"/>
      <c r="L37" s="240"/>
      <c r="M37" s="219"/>
    </row>
    <row r="38" spans="4:13" ht="15" x14ac:dyDescent="0.25">
      <c r="D38" s="226"/>
      <c r="E38" s="226"/>
      <c r="F38" s="227"/>
      <c r="G38" s="228"/>
      <c r="H38" s="228"/>
      <c r="I38" s="228"/>
      <c r="J38" s="229"/>
      <c r="K38" s="240"/>
      <c r="L38" s="240"/>
      <c r="M38" s="219"/>
    </row>
    <row r="39" spans="4:13" ht="15" x14ac:dyDescent="0.25">
      <c r="D39" s="226"/>
      <c r="E39" s="226"/>
      <c r="F39" s="227"/>
      <c r="G39" s="228"/>
      <c r="H39" s="228"/>
      <c r="I39" s="228"/>
      <c r="J39" s="229"/>
      <c r="K39" s="240"/>
      <c r="L39" s="240"/>
      <c r="M39" s="219"/>
    </row>
    <row r="40" spans="4:13" ht="15" x14ac:dyDescent="0.25">
      <c r="D40" s="226"/>
      <c r="E40" s="226"/>
      <c r="F40" s="227"/>
      <c r="G40" s="228"/>
      <c r="H40" s="228"/>
      <c r="I40" s="228"/>
      <c r="J40" s="229"/>
      <c r="K40" s="240"/>
      <c r="L40" s="240"/>
      <c r="M40" s="219"/>
    </row>
    <row r="41" spans="4:13" ht="15" x14ac:dyDescent="0.25">
      <c r="D41" s="226"/>
      <c r="E41" s="226"/>
      <c r="F41" s="227"/>
      <c r="G41" s="228"/>
      <c r="H41" s="228"/>
      <c r="I41" s="228"/>
      <c r="J41" s="229"/>
      <c r="K41" s="240"/>
      <c r="L41" s="240"/>
      <c r="M41" s="219"/>
    </row>
    <row r="42" spans="4:13" ht="15" x14ac:dyDescent="0.25">
      <c r="D42" s="226"/>
      <c r="E42" s="226"/>
      <c r="F42" s="227"/>
      <c r="G42" s="228"/>
      <c r="H42" s="228"/>
      <c r="I42" s="228"/>
      <c r="J42" s="229"/>
      <c r="K42" s="240"/>
      <c r="L42" s="240"/>
      <c r="M42" s="219"/>
    </row>
    <row r="43" spans="4:13" ht="15" x14ac:dyDescent="0.25">
      <c r="D43" s="226"/>
      <c r="E43" s="226"/>
      <c r="F43" s="227"/>
      <c r="G43" s="228"/>
      <c r="H43" s="228"/>
      <c r="I43" s="228"/>
      <c r="J43" s="229"/>
      <c r="K43" s="240"/>
      <c r="L43" s="240"/>
      <c r="M43" s="219"/>
    </row>
    <row r="44" spans="4:13" ht="15" x14ac:dyDescent="0.25">
      <c r="D44" s="226"/>
      <c r="E44" s="226"/>
      <c r="F44" s="227"/>
      <c r="G44" s="228"/>
      <c r="H44" s="228"/>
      <c r="I44" s="228"/>
      <c r="J44" s="229"/>
      <c r="K44" s="240"/>
      <c r="L44" s="240"/>
      <c r="M44" s="219"/>
    </row>
    <row r="45" spans="4:13" ht="15" x14ac:dyDescent="0.25">
      <c r="D45" s="226"/>
      <c r="E45" s="226"/>
      <c r="F45" s="227"/>
      <c r="G45" s="228"/>
      <c r="H45" s="228"/>
      <c r="I45" s="228"/>
      <c r="J45" s="229"/>
      <c r="K45" s="240"/>
      <c r="L45" s="240"/>
      <c r="M45" s="219"/>
    </row>
    <row r="46" spans="4:13" ht="15" x14ac:dyDescent="0.25">
      <c r="D46" s="226"/>
      <c r="E46" s="226"/>
      <c r="F46" s="227"/>
      <c r="G46" s="228"/>
      <c r="H46" s="228"/>
      <c r="I46" s="228"/>
      <c r="J46" s="229"/>
      <c r="K46" s="240"/>
      <c r="L46" s="240"/>
      <c r="M46" s="219"/>
    </row>
    <row r="47" spans="4:13" ht="15" x14ac:dyDescent="0.25">
      <c r="D47" s="226"/>
      <c r="E47" s="226"/>
      <c r="F47" s="227"/>
      <c r="G47" s="228"/>
      <c r="H47" s="228"/>
      <c r="I47" s="228"/>
      <c r="J47" s="229"/>
      <c r="K47" s="240"/>
      <c r="L47" s="240"/>
      <c r="M47" s="219"/>
    </row>
    <row r="48" spans="4:13" ht="15" x14ac:dyDescent="0.25">
      <c r="D48" s="226"/>
      <c r="E48" s="226"/>
      <c r="F48" s="227"/>
      <c r="G48" s="228"/>
      <c r="H48" s="228"/>
      <c r="I48" s="228"/>
      <c r="J48" s="229"/>
      <c r="K48" s="240"/>
      <c r="L48" s="240"/>
      <c r="M48" s="219"/>
    </row>
    <row r="49" spans="4:13" ht="15" x14ac:dyDescent="0.25">
      <c r="D49" s="226"/>
      <c r="E49" s="226"/>
      <c r="F49" s="227"/>
      <c r="G49" s="228"/>
      <c r="H49" s="228"/>
      <c r="I49" s="228"/>
      <c r="J49" s="229"/>
      <c r="K49" s="240"/>
      <c r="L49" s="240"/>
      <c r="M49" s="219"/>
    </row>
    <row r="50" spans="4:13" ht="15" x14ac:dyDescent="0.25">
      <c r="D50" s="226"/>
      <c r="E50" s="226"/>
      <c r="F50" s="227"/>
      <c r="G50" s="228"/>
      <c r="H50" s="228"/>
      <c r="I50" s="228"/>
      <c r="J50" s="229"/>
      <c r="K50" s="240"/>
      <c r="L50" s="240"/>
      <c r="M50" s="219"/>
    </row>
    <row r="51" spans="4:13" ht="15" x14ac:dyDescent="0.25">
      <c r="D51" s="226"/>
      <c r="E51" s="226"/>
      <c r="F51" s="227"/>
      <c r="G51" s="228"/>
      <c r="H51" s="228"/>
      <c r="I51" s="228"/>
      <c r="J51" s="229"/>
      <c r="K51" s="240"/>
      <c r="L51" s="240"/>
      <c r="M51" s="219"/>
    </row>
    <row r="52" spans="4:13" ht="15" x14ac:dyDescent="0.25">
      <c r="D52" s="226"/>
      <c r="E52" s="226"/>
      <c r="F52" s="227"/>
      <c r="G52" s="228"/>
      <c r="H52" s="228"/>
      <c r="I52" s="228"/>
      <c r="J52" s="229"/>
      <c r="K52" s="240"/>
      <c r="L52" s="240"/>
      <c r="M52" s="219"/>
    </row>
    <row r="53" spans="4:13" ht="15" x14ac:dyDescent="0.25">
      <c r="D53" s="226"/>
      <c r="E53" s="226"/>
      <c r="F53" s="227"/>
      <c r="G53" s="228"/>
      <c r="H53" s="228"/>
      <c r="I53" s="228"/>
      <c r="J53" s="229"/>
      <c r="K53" s="240"/>
      <c r="L53" s="240"/>
      <c r="M53" s="219"/>
    </row>
    <row r="54" spans="4:13" ht="15" x14ac:dyDescent="0.25">
      <c r="D54" s="226"/>
      <c r="E54" s="226"/>
      <c r="F54" s="227"/>
      <c r="G54" s="228"/>
      <c r="H54" s="228"/>
      <c r="I54" s="228"/>
      <c r="J54" s="229"/>
      <c r="K54" s="240"/>
      <c r="L54" s="240"/>
      <c r="M54" s="219"/>
    </row>
    <row r="55" spans="4:13" ht="15" x14ac:dyDescent="0.25">
      <c r="D55" s="226"/>
      <c r="E55" s="226"/>
      <c r="F55" s="227"/>
      <c r="G55" s="228"/>
      <c r="H55" s="228"/>
      <c r="I55" s="228"/>
      <c r="J55" s="229"/>
      <c r="K55" s="240"/>
      <c r="L55" s="240"/>
      <c r="M55" s="219"/>
    </row>
    <row r="56" spans="4:13" ht="15" x14ac:dyDescent="0.25">
      <c r="D56" s="226"/>
      <c r="E56" s="226"/>
      <c r="F56" s="227"/>
      <c r="G56" s="228"/>
      <c r="H56" s="228"/>
      <c r="I56" s="228"/>
      <c r="J56" s="229"/>
      <c r="K56" s="240"/>
      <c r="L56" s="240"/>
      <c r="M56" s="219"/>
    </row>
    <row r="57" spans="4:13" ht="15" x14ac:dyDescent="0.25">
      <c r="D57" s="226"/>
      <c r="E57" s="226"/>
      <c r="F57" s="227"/>
      <c r="G57" s="228"/>
      <c r="H57" s="228"/>
      <c r="I57" s="228"/>
      <c r="J57" s="229"/>
      <c r="K57" s="240"/>
      <c r="L57" s="240"/>
      <c r="M57" s="219"/>
    </row>
    <row r="58" spans="4:13" ht="15" x14ac:dyDescent="0.25">
      <c r="D58" s="226"/>
      <c r="E58" s="226"/>
      <c r="F58" s="227"/>
      <c r="G58" s="228"/>
      <c r="H58" s="228"/>
      <c r="I58" s="228"/>
      <c r="J58" s="229"/>
      <c r="K58" s="240"/>
      <c r="L58" s="240"/>
      <c r="M58" s="219"/>
    </row>
    <row r="59" spans="4:13" ht="15" x14ac:dyDescent="0.25">
      <c r="D59" s="226"/>
      <c r="E59" s="226"/>
      <c r="F59" s="227"/>
      <c r="G59" s="228"/>
      <c r="H59" s="228"/>
      <c r="I59" s="228"/>
      <c r="J59" s="229"/>
      <c r="K59" s="240"/>
      <c r="L59" s="240"/>
      <c r="M59" s="219"/>
    </row>
    <row r="60" spans="4:13" ht="15" x14ac:dyDescent="0.25">
      <c r="D60" s="226"/>
      <c r="E60" s="226"/>
      <c r="F60" s="227"/>
      <c r="G60" s="228"/>
      <c r="H60" s="228"/>
      <c r="I60" s="228"/>
      <c r="J60" s="229"/>
      <c r="K60" s="240"/>
      <c r="L60" s="240"/>
      <c r="M60" s="219"/>
    </row>
    <row r="61" spans="4:13" ht="15" x14ac:dyDescent="0.25">
      <c r="D61" s="226"/>
      <c r="E61" s="226"/>
      <c r="F61" s="227"/>
      <c r="G61" s="228"/>
      <c r="H61" s="228"/>
      <c r="I61" s="228"/>
      <c r="J61" s="229"/>
      <c r="K61" s="240"/>
      <c r="L61" s="240"/>
      <c r="M61" s="219"/>
    </row>
    <row r="62" spans="4:13" ht="15" x14ac:dyDescent="0.25">
      <c r="D62" s="226"/>
      <c r="E62" s="226"/>
      <c r="F62" s="227"/>
      <c r="G62" s="228"/>
      <c r="H62" s="228"/>
      <c r="I62" s="228"/>
      <c r="J62" s="229"/>
      <c r="K62" s="240"/>
      <c r="L62" s="240"/>
      <c r="M62" s="219"/>
    </row>
    <row r="63" spans="4:13" ht="15" x14ac:dyDescent="0.25">
      <c r="D63" s="226"/>
      <c r="E63" s="226"/>
      <c r="F63" s="227"/>
      <c r="G63" s="228"/>
      <c r="H63" s="228"/>
      <c r="I63" s="228"/>
      <c r="J63" s="229"/>
      <c r="K63" s="240"/>
      <c r="L63" s="240"/>
      <c r="M63" s="219"/>
    </row>
    <row r="64" spans="4:13" ht="15" x14ac:dyDescent="0.25">
      <c r="D64" s="226"/>
      <c r="E64" s="226"/>
      <c r="F64" s="227"/>
      <c r="G64" s="228"/>
      <c r="H64" s="228"/>
      <c r="I64" s="228"/>
      <c r="J64" s="229"/>
      <c r="K64" s="240"/>
      <c r="L64" s="240"/>
      <c r="M64" s="219"/>
    </row>
    <row r="65" spans="4:13" ht="15" x14ac:dyDescent="0.25">
      <c r="D65" s="226"/>
      <c r="E65" s="226"/>
      <c r="F65" s="227"/>
      <c r="G65" s="228"/>
      <c r="H65" s="228"/>
      <c r="I65" s="228"/>
      <c r="J65" s="229"/>
      <c r="K65" s="240"/>
      <c r="L65" s="240"/>
      <c r="M65" s="219"/>
    </row>
    <row r="66" spans="4:13" ht="15" x14ac:dyDescent="0.25">
      <c r="D66" s="226"/>
      <c r="E66" s="226"/>
      <c r="F66" s="227"/>
      <c r="G66" s="228"/>
      <c r="H66" s="228"/>
      <c r="I66" s="228"/>
      <c r="J66" s="229"/>
      <c r="K66" s="240"/>
      <c r="L66" s="240"/>
      <c r="M66" s="219"/>
    </row>
    <row r="67" spans="4:13" ht="15" x14ac:dyDescent="0.25">
      <c r="D67" s="226"/>
      <c r="E67" s="226"/>
      <c r="F67" s="227"/>
      <c r="G67" s="228"/>
      <c r="H67" s="228"/>
      <c r="I67" s="228"/>
      <c r="J67" s="229"/>
      <c r="K67" s="240"/>
      <c r="L67" s="240"/>
      <c r="M67" s="219"/>
    </row>
    <row r="68" spans="4:13" ht="15" x14ac:dyDescent="0.25">
      <c r="D68" s="226"/>
      <c r="E68" s="226"/>
      <c r="F68" s="227"/>
      <c r="G68" s="228"/>
      <c r="H68" s="228"/>
      <c r="I68" s="228"/>
      <c r="J68" s="229"/>
      <c r="K68" s="240"/>
      <c r="L68" s="240"/>
      <c r="M68" s="219"/>
    </row>
    <row r="69" spans="4:13" ht="15" x14ac:dyDescent="0.25">
      <c r="D69" s="226"/>
      <c r="E69" s="226"/>
      <c r="F69" s="227"/>
      <c r="G69" s="228"/>
      <c r="H69" s="228"/>
      <c r="I69" s="228"/>
      <c r="J69" s="229"/>
      <c r="K69" s="240"/>
      <c r="L69" s="240"/>
      <c r="M69" s="219"/>
    </row>
    <row r="70" spans="4:13" ht="15" x14ac:dyDescent="0.25">
      <c r="D70" s="226"/>
      <c r="E70" s="226"/>
      <c r="F70" s="227"/>
      <c r="G70" s="228"/>
      <c r="H70" s="228"/>
      <c r="I70" s="228"/>
      <c r="J70" s="229"/>
      <c r="K70" s="240"/>
      <c r="L70" s="240"/>
      <c r="M70" s="219"/>
    </row>
    <row r="71" spans="4:13" ht="15" x14ac:dyDescent="0.25">
      <c r="D71" s="226"/>
      <c r="E71" s="226"/>
      <c r="F71" s="227"/>
      <c r="G71" s="228"/>
      <c r="H71" s="228"/>
      <c r="I71" s="228"/>
      <c r="J71" s="229"/>
      <c r="K71" s="240"/>
      <c r="L71" s="240"/>
      <c r="M71" s="219"/>
    </row>
    <row r="72" spans="4:13" ht="15" x14ac:dyDescent="0.25">
      <c r="D72" s="226"/>
      <c r="E72" s="226"/>
      <c r="F72" s="227"/>
      <c r="G72" s="228"/>
      <c r="H72" s="228"/>
      <c r="I72" s="228"/>
      <c r="J72" s="229"/>
      <c r="K72" s="240"/>
      <c r="L72" s="240"/>
      <c r="M72" s="219"/>
    </row>
    <row r="73" spans="4:13" ht="15" x14ac:dyDescent="0.25">
      <c r="D73" s="226"/>
      <c r="E73" s="226"/>
      <c r="F73" s="227"/>
      <c r="G73" s="228"/>
      <c r="H73" s="228"/>
      <c r="I73" s="228"/>
      <c r="J73" s="229"/>
      <c r="K73" s="240"/>
      <c r="L73" s="240"/>
      <c r="M73" s="219"/>
    </row>
    <row r="74" spans="4:13" ht="15" x14ac:dyDescent="0.25">
      <c r="D74" s="226"/>
      <c r="E74" s="226"/>
      <c r="F74" s="227"/>
      <c r="G74" s="228"/>
      <c r="H74" s="228"/>
      <c r="I74" s="228"/>
      <c r="J74" s="229"/>
      <c r="K74" s="240"/>
      <c r="L74" s="240"/>
      <c r="M74" s="219"/>
    </row>
    <row r="75" spans="4:13" ht="15" x14ac:dyDescent="0.25">
      <c r="D75" s="226"/>
      <c r="E75" s="226"/>
      <c r="F75" s="227"/>
      <c r="G75" s="228"/>
      <c r="H75" s="228"/>
      <c r="I75" s="228"/>
      <c r="J75" s="229"/>
      <c r="K75" s="240"/>
      <c r="L75" s="240"/>
      <c r="M75" s="219"/>
    </row>
    <row r="76" spans="4:13" ht="15" x14ac:dyDescent="0.25">
      <c r="D76" s="226"/>
      <c r="E76" s="226"/>
      <c r="F76" s="227"/>
      <c r="G76" s="228"/>
      <c r="H76" s="228"/>
      <c r="I76" s="228"/>
      <c r="J76" s="229"/>
      <c r="K76" s="240"/>
      <c r="L76" s="240"/>
      <c r="M76" s="219"/>
    </row>
    <row r="77" spans="4:13" ht="15" x14ac:dyDescent="0.25">
      <c r="D77" s="226"/>
      <c r="E77" s="226"/>
      <c r="F77" s="227"/>
      <c r="G77" s="228"/>
      <c r="H77" s="228"/>
      <c r="I77" s="228"/>
      <c r="J77" s="229"/>
      <c r="K77" s="240"/>
      <c r="L77" s="240"/>
      <c r="M77" s="219"/>
    </row>
    <row r="78" spans="4:13" ht="15" x14ac:dyDescent="0.25">
      <c r="D78" s="226"/>
      <c r="E78" s="226"/>
      <c r="F78" s="227"/>
      <c r="G78" s="228"/>
      <c r="H78" s="228"/>
      <c r="I78" s="228"/>
      <c r="J78" s="229"/>
      <c r="K78" s="240"/>
      <c r="L78" s="240"/>
      <c r="M78" s="219"/>
    </row>
    <row r="79" spans="4:13" ht="15" x14ac:dyDescent="0.25">
      <c r="D79" s="226"/>
      <c r="E79" s="226"/>
      <c r="F79" s="227"/>
      <c r="G79" s="228"/>
      <c r="H79" s="228"/>
      <c r="I79" s="228"/>
      <c r="J79" s="229"/>
      <c r="K79" s="240"/>
      <c r="L79" s="240"/>
      <c r="M79" s="219"/>
    </row>
    <row r="80" spans="4:13" ht="15" x14ac:dyDescent="0.25">
      <c r="D80" s="226"/>
      <c r="E80" s="226"/>
      <c r="F80" s="227"/>
      <c r="G80" s="228"/>
      <c r="H80" s="228"/>
      <c r="I80" s="228"/>
      <c r="J80" s="229"/>
      <c r="K80" s="240"/>
      <c r="L80" s="240"/>
      <c r="M80" s="219"/>
    </row>
    <row r="81" spans="4:13" ht="15" x14ac:dyDescent="0.25">
      <c r="D81" s="226"/>
      <c r="E81" s="226"/>
      <c r="F81" s="227"/>
      <c r="G81" s="228"/>
      <c r="H81" s="228"/>
      <c r="I81" s="228"/>
      <c r="J81" s="229"/>
      <c r="K81" s="240"/>
      <c r="L81" s="240"/>
      <c r="M81" s="219"/>
    </row>
    <row r="82" spans="4:13" ht="15" x14ac:dyDescent="0.25">
      <c r="D82" s="226"/>
      <c r="E82" s="226"/>
      <c r="F82" s="227"/>
      <c r="G82" s="228"/>
      <c r="H82" s="228"/>
      <c r="I82" s="228"/>
      <c r="J82" s="229"/>
      <c r="K82" s="240"/>
      <c r="L82" s="240"/>
      <c r="M82" s="219"/>
    </row>
    <row r="83" spans="4:13" ht="15" x14ac:dyDescent="0.25">
      <c r="D83" s="226"/>
      <c r="E83" s="226"/>
      <c r="F83" s="227"/>
      <c r="G83" s="228"/>
      <c r="H83" s="228"/>
      <c r="I83" s="228"/>
      <c r="J83" s="229"/>
      <c r="K83" s="240"/>
      <c r="L83" s="240"/>
      <c r="M83" s="219"/>
    </row>
    <row r="84" spans="4:13" ht="15" x14ac:dyDescent="0.25">
      <c r="D84" s="226"/>
      <c r="E84" s="226"/>
      <c r="F84" s="227"/>
      <c r="G84" s="228"/>
      <c r="H84" s="228"/>
      <c r="I84" s="228"/>
      <c r="J84" s="229"/>
      <c r="K84" s="240"/>
      <c r="L84" s="240"/>
      <c r="M84" s="219"/>
    </row>
    <row r="85" spans="4:13" ht="15" x14ac:dyDescent="0.25">
      <c r="D85" s="226"/>
      <c r="E85" s="226"/>
      <c r="F85" s="227"/>
      <c r="G85" s="228"/>
      <c r="H85" s="228"/>
      <c r="I85" s="228"/>
      <c r="J85" s="229"/>
      <c r="K85" s="240"/>
      <c r="L85" s="240"/>
      <c r="M85" s="219"/>
    </row>
    <row r="86" spans="4:13" ht="15" x14ac:dyDescent="0.25">
      <c r="D86" s="226"/>
      <c r="E86" s="226"/>
      <c r="F86" s="227"/>
      <c r="G86" s="228"/>
      <c r="H86" s="228"/>
      <c r="I86" s="228"/>
      <c r="J86" s="229"/>
      <c r="K86" s="240"/>
      <c r="L86" s="240"/>
      <c r="M86" s="219"/>
    </row>
    <row r="87" spans="4:13" ht="15" x14ac:dyDescent="0.25">
      <c r="D87" s="226"/>
      <c r="E87" s="226"/>
      <c r="F87" s="227"/>
      <c r="G87" s="228"/>
      <c r="H87" s="228"/>
      <c r="I87" s="228"/>
      <c r="J87" s="229"/>
      <c r="K87" s="240"/>
      <c r="L87" s="240"/>
      <c r="M87" s="219"/>
    </row>
    <row r="88" spans="4:13" ht="15" x14ac:dyDescent="0.25">
      <c r="D88" s="226"/>
      <c r="E88" s="226"/>
      <c r="F88" s="227"/>
      <c r="G88" s="228"/>
      <c r="H88" s="228"/>
      <c r="I88" s="228"/>
      <c r="J88" s="229"/>
      <c r="K88" s="240"/>
      <c r="L88" s="240"/>
      <c r="M88" s="219"/>
    </row>
    <row r="89" spans="4:13" ht="15" x14ac:dyDescent="0.25">
      <c r="D89" s="226"/>
      <c r="E89" s="226"/>
      <c r="F89" s="227"/>
      <c r="G89" s="228"/>
      <c r="H89" s="228"/>
      <c r="I89" s="228"/>
      <c r="J89" s="229"/>
      <c r="K89" s="240"/>
      <c r="L89" s="240"/>
      <c r="M89" s="219"/>
    </row>
    <row r="90" spans="4:13" ht="15" x14ac:dyDescent="0.25">
      <c r="D90" s="226"/>
      <c r="E90" s="226"/>
      <c r="F90" s="227"/>
      <c r="G90" s="228"/>
      <c r="H90" s="228"/>
      <c r="I90" s="228"/>
      <c r="J90" s="229"/>
      <c r="K90" s="240"/>
      <c r="L90" s="240"/>
      <c r="M90" s="219"/>
    </row>
    <row r="91" spans="4:13" ht="15" x14ac:dyDescent="0.25">
      <c r="D91" s="226"/>
      <c r="E91" s="226"/>
      <c r="F91" s="227"/>
      <c r="G91" s="228"/>
      <c r="H91" s="228"/>
      <c r="I91" s="228"/>
      <c r="J91" s="229"/>
      <c r="K91" s="240"/>
      <c r="L91" s="240"/>
      <c r="M91" s="219"/>
    </row>
    <row r="92" spans="4:13" ht="15" x14ac:dyDescent="0.25">
      <c r="D92" s="226"/>
      <c r="E92" s="226"/>
      <c r="F92" s="227"/>
      <c r="G92" s="228"/>
      <c r="H92" s="228"/>
      <c r="I92" s="228"/>
      <c r="J92" s="229"/>
      <c r="K92" s="240"/>
      <c r="L92" s="240"/>
      <c r="M92" s="219"/>
    </row>
    <row r="93" spans="4:13" ht="15" x14ac:dyDescent="0.25">
      <c r="D93" s="226"/>
      <c r="E93" s="226"/>
      <c r="F93" s="227"/>
      <c r="G93" s="228"/>
      <c r="H93" s="228"/>
      <c r="I93" s="228"/>
      <c r="J93" s="229"/>
      <c r="K93" s="240"/>
      <c r="L93" s="240"/>
      <c r="M93" s="219"/>
    </row>
    <row r="94" spans="4:13" ht="15" x14ac:dyDescent="0.25">
      <c r="D94" s="226"/>
      <c r="E94" s="226"/>
      <c r="F94" s="227"/>
      <c r="G94" s="228"/>
      <c r="H94" s="228"/>
      <c r="I94" s="228"/>
      <c r="J94" s="229"/>
      <c r="K94" s="240"/>
      <c r="L94" s="240"/>
      <c r="M94" s="219"/>
    </row>
    <row r="95" spans="4:13" ht="15" x14ac:dyDescent="0.25">
      <c r="D95" s="226"/>
      <c r="E95" s="226"/>
      <c r="F95" s="227"/>
      <c r="G95" s="228"/>
      <c r="H95" s="228"/>
      <c r="I95" s="228"/>
      <c r="J95" s="229"/>
      <c r="K95" s="240"/>
      <c r="L95" s="240"/>
      <c r="M95" s="219"/>
    </row>
    <row r="96" spans="4:13" ht="15" x14ac:dyDescent="0.25">
      <c r="D96" s="226"/>
      <c r="E96" s="226"/>
      <c r="F96" s="227"/>
      <c r="G96" s="228"/>
      <c r="H96" s="228"/>
      <c r="I96" s="228"/>
      <c r="J96" s="229"/>
      <c r="K96" s="240"/>
      <c r="L96" s="240"/>
      <c r="M96" s="219"/>
    </row>
    <row r="97" spans="4:13" ht="15" x14ac:dyDescent="0.25">
      <c r="D97" s="226"/>
      <c r="E97" s="226"/>
      <c r="F97" s="227"/>
      <c r="G97" s="228"/>
      <c r="H97" s="228"/>
      <c r="I97" s="228"/>
      <c r="J97" s="229"/>
      <c r="K97" s="240"/>
      <c r="L97" s="240"/>
      <c r="M97" s="219"/>
    </row>
    <row r="98" spans="4:13" ht="15" x14ac:dyDescent="0.25">
      <c r="D98" s="226"/>
      <c r="E98" s="226"/>
      <c r="F98" s="227"/>
      <c r="G98" s="228"/>
      <c r="H98" s="228"/>
      <c r="I98" s="228"/>
      <c r="J98" s="229"/>
      <c r="K98" s="240"/>
      <c r="L98" s="240"/>
      <c r="M98" s="219"/>
    </row>
    <row r="99" spans="4:13" ht="15" x14ac:dyDescent="0.25">
      <c r="D99" s="226"/>
      <c r="E99" s="226"/>
      <c r="F99" s="227"/>
      <c r="G99" s="228"/>
      <c r="H99" s="228"/>
      <c r="I99" s="228"/>
      <c r="J99" s="229"/>
      <c r="K99" s="240"/>
      <c r="L99" s="240"/>
      <c r="M99" s="219"/>
    </row>
    <row r="100" spans="4:13" ht="15" x14ac:dyDescent="0.25">
      <c r="D100" s="226"/>
      <c r="E100" s="226"/>
      <c r="F100" s="227"/>
      <c r="G100" s="228"/>
      <c r="H100" s="228"/>
      <c r="I100" s="228"/>
      <c r="J100" s="229"/>
      <c r="K100" s="240"/>
      <c r="L100" s="240"/>
      <c r="M100" s="219"/>
    </row>
    <row r="101" spans="4:13" ht="15" x14ac:dyDescent="0.25">
      <c r="D101" s="226"/>
      <c r="E101" s="226"/>
      <c r="F101" s="227"/>
      <c r="G101" s="228"/>
      <c r="H101" s="228"/>
      <c r="I101" s="228"/>
      <c r="J101" s="229"/>
      <c r="K101" s="240"/>
      <c r="L101" s="240"/>
      <c r="M101" s="219"/>
    </row>
    <row r="102" spans="4:13" ht="15" x14ac:dyDescent="0.25">
      <c r="D102" s="226"/>
      <c r="E102" s="226"/>
      <c r="F102" s="227"/>
      <c r="G102" s="228"/>
      <c r="H102" s="228"/>
      <c r="I102" s="228"/>
      <c r="J102" s="229"/>
      <c r="K102" s="240"/>
      <c r="L102" s="240"/>
      <c r="M102" s="219"/>
    </row>
    <row r="103" spans="4:13" ht="15" x14ac:dyDescent="0.25">
      <c r="D103" s="226"/>
      <c r="E103" s="226"/>
      <c r="F103" s="227"/>
      <c r="G103" s="228"/>
      <c r="H103" s="228"/>
      <c r="I103" s="228"/>
      <c r="J103" s="229"/>
      <c r="K103" s="240"/>
      <c r="L103" s="240"/>
      <c r="M103" s="219"/>
    </row>
    <row r="104" spans="4:13" ht="15" x14ac:dyDescent="0.25">
      <c r="D104" s="226"/>
      <c r="E104" s="226"/>
      <c r="F104" s="227"/>
      <c r="G104" s="228"/>
      <c r="H104" s="228"/>
      <c r="I104" s="228"/>
      <c r="J104" s="229"/>
      <c r="K104" s="240"/>
      <c r="L104" s="240"/>
      <c r="M104" s="219"/>
    </row>
    <row r="105" spans="4:13" ht="15" x14ac:dyDescent="0.25">
      <c r="D105" s="226"/>
      <c r="E105" s="226"/>
      <c r="F105" s="227"/>
      <c r="G105" s="228"/>
      <c r="H105" s="228"/>
      <c r="I105" s="228"/>
      <c r="J105" s="229"/>
      <c r="K105" s="240"/>
      <c r="L105" s="240"/>
      <c r="M105" s="219"/>
    </row>
    <row r="106" spans="4:13" ht="15" x14ac:dyDescent="0.25">
      <c r="D106" s="226"/>
      <c r="E106" s="226"/>
      <c r="F106" s="227"/>
      <c r="G106" s="228"/>
      <c r="H106" s="228"/>
      <c r="I106" s="228"/>
      <c r="J106" s="229"/>
      <c r="K106" s="240"/>
      <c r="L106" s="240"/>
      <c r="M106" s="219"/>
    </row>
    <row r="107" spans="4:13" ht="15" x14ac:dyDescent="0.25">
      <c r="D107" s="226"/>
      <c r="E107" s="226"/>
      <c r="F107" s="227"/>
      <c r="G107" s="228"/>
      <c r="H107" s="228"/>
      <c r="I107" s="228"/>
      <c r="J107" s="229"/>
      <c r="K107" s="240"/>
      <c r="L107" s="240"/>
      <c r="M107" s="219"/>
    </row>
    <row r="108" spans="4:13" ht="15" x14ac:dyDescent="0.25">
      <c r="D108" s="226"/>
      <c r="E108" s="226"/>
      <c r="F108" s="227"/>
      <c r="G108" s="228"/>
      <c r="H108" s="228"/>
      <c r="I108" s="228"/>
      <c r="J108" s="229"/>
      <c r="K108" s="240"/>
      <c r="L108" s="240"/>
      <c r="M108" s="219"/>
    </row>
    <row r="109" spans="4:13" ht="15" x14ac:dyDescent="0.25">
      <c r="D109" s="226"/>
      <c r="E109" s="226"/>
      <c r="F109" s="227"/>
      <c r="G109" s="228"/>
      <c r="H109" s="228"/>
      <c r="I109" s="228"/>
      <c r="J109" s="229"/>
      <c r="K109" s="240"/>
      <c r="L109" s="240"/>
      <c r="M109" s="219"/>
    </row>
    <row r="110" spans="4:13" ht="15" x14ac:dyDescent="0.25">
      <c r="D110" s="226"/>
      <c r="E110" s="226"/>
      <c r="F110" s="227"/>
      <c r="G110" s="228"/>
      <c r="H110" s="228"/>
      <c r="I110" s="228"/>
      <c r="J110" s="229"/>
      <c r="K110" s="240"/>
      <c r="L110" s="240"/>
      <c r="M110" s="219"/>
    </row>
    <row r="111" spans="4:13" ht="15" x14ac:dyDescent="0.25">
      <c r="D111" s="226"/>
      <c r="E111" s="226"/>
      <c r="F111" s="227"/>
      <c r="G111" s="228"/>
      <c r="H111" s="228"/>
      <c r="I111" s="228"/>
      <c r="J111" s="229"/>
      <c r="K111" s="240"/>
      <c r="L111" s="240"/>
      <c r="M111" s="219"/>
    </row>
    <row r="112" spans="4:13" ht="15" x14ac:dyDescent="0.25">
      <c r="D112" s="226"/>
      <c r="E112" s="226"/>
      <c r="F112" s="227"/>
      <c r="G112" s="228"/>
      <c r="H112" s="228"/>
      <c r="I112" s="228"/>
      <c r="J112" s="229"/>
      <c r="K112" s="240"/>
      <c r="L112" s="240"/>
      <c r="M112" s="219"/>
    </row>
    <row r="113" spans="4:13" ht="15" x14ac:dyDescent="0.25">
      <c r="D113" s="226"/>
      <c r="E113" s="226"/>
      <c r="F113" s="227"/>
      <c r="G113" s="228"/>
      <c r="H113" s="228"/>
      <c r="I113" s="228"/>
      <c r="J113" s="229"/>
      <c r="K113" s="240"/>
      <c r="L113" s="240"/>
      <c r="M113" s="219"/>
    </row>
    <row r="114" spans="4:13" ht="15" x14ac:dyDescent="0.25">
      <c r="D114" s="226"/>
      <c r="E114" s="226"/>
      <c r="F114" s="227"/>
      <c r="G114" s="228"/>
      <c r="H114" s="228"/>
      <c r="I114" s="228"/>
      <c r="J114" s="229"/>
      <c r="K114" s="240"/>
      <c r="L114" s="240"/>
      <c r="M114" s="219"/>
    </row>
    <row r="115" spans="4:13" ht="15" x14ac:dyDescent="0.25">
      <c r="D115" s="226"/>
      <c r="E115" s="226"/>
      <c r="F115" s="227"/>
      <c r="G115" s="228"/>
      <c r="H115" s="228"/>
      <c r="I115" s="228"/>
      <c r="J115" s="229"/>
      <c r="K115" s="240"/>
      <c r="L115" s="240"/>
      <c r="M115" s="219"/>
    </row>
    <row r="116" spans="4:13" ht="15" x14ac:dyDescent="0.25">
      <c r="D116" s="226"/>
      <c r="E116" s="226"/>
      <c r="F116" s="227"/>
      <c r="G116" s="228"/>
      <c r="H116" s="228"/>
      <c r="I116" s="228"/>
      <c r="J116" s="229"/>
      <c r="K116" s="240"/>
      <c r="L116" s="240"/>
      <c r="M116" s="219"/>
    </row>
    <row r="117" spans="4:13" ht="15" x14ac:dyDescent="0.25">
      <c r="D117" s="226"/>
      <c r="E117" s="226"/>
      <c r="F117" s="227"/>
      <c r="G117" s="228"/>
      <c r="H117" s="228"/>
      <c r="I117" s="228"/>
      <c r="J117" s="229"/>
      <c r="K117" s="240"/>
      <c r="L117" s="240"/>
      <c r="M117" s="219"/>
    </row>
    <row r="118" spans="4:13" ht="15" x14ac:dyDescent="0.25">
      <c r="D118" s="226"/>
      <c r="E118" s="226"/>
      <c r="F118" s="227"/>
      <c r="G118" s="228"/>
      <c r="H118" s="228"/>
      <c r="I118" s="228"/>
      <c r="J118" s="229"/>
      <c r="K118" s="240"/>
      <c r="L118" s="240"/>
      <c r="M118" s="219"/>
    </row>
    <row r="119" spans="4:13" ht="15" x14ac:dyDescent="0.25">
      <c r="D119" s="226"/>
      <c r="E119" s="226"/>
      <c r="F119" s="227"/>
      <c r="G119" s="228"/>
      <c r="H119" s="228"/>
      <c r="I119" s="228"/>
      <c r="J119" s="229"/>
      <c r="K119" s="240"/>
      <c r="L119" s="240"/>
      <c r="M119" s="219"/>
    </row>
    <row r="120" spans="4:13" ht="15" x14ac:dyDescent="0.25">
      <c r="D120" s="226"/>
      <c r="E120" s="226"/>
      <c r="F120" s="227"/>
      <c r="G120" s="228"/>
      <c r="H120" s="228"/>
      <c r="I120" s="228"/>
      <c r="J120" s="229"/>
      <c r="K120" s="240"/>
      <c r="L120" s="240"/>
      <c r="M120" s="219"/>
    </row>
    <row r="121" spans="4:13" ht="15" x14ac:dyDescent="0.25">
      <c r="D121" s="226"/>
      <c r="E121" s="226"/>
      <c r="F121" s="227"/>
      <c r="G121" s="228"/>
      <c r="H121" s="228"/>
      <c r="I121" s="228"/>
      <c r="J121" s="229"/>
      <c r="K121" s="240"/>
      <c r="L121" s="240"/>
      <c r="M121" s="219"/>
    </row>
    <row r="122" spans="4:13" ht="15" x14ac:dyDescent="0.25">
      <c r="D122" s="226"/>
      <c r="E122" s="226"/>
      <c r="F122" s="227"/>
      <c r="G122" s="228"/>
      <c r="H122" s="228"/>
      <c r="I122" s="228"/>
      <c r="J122" s="229"/>
      <c r="K122" s="240"/>
      <c r="L122" s="240"/>
      <c r="M122" s="219"/>
    </row>
    <row r="123" spans="4:13" ht="15" x14ac:dyDescent="0.25">
      <c r="D123" s="226"/>
      <c r="E123" s="226"/>
      <c r="F123" s="227"/>
      <c r="G123" s="228"/>
      <c r="H123" s="228"/>
      <c r="I123" s="228"/>
      <c r="J123" s="229"/>
      <c r="K123" s="240"/>
      <c r="L123" s="240"/>
      <c r="M123" s="219"/>
    </row>
    <row r="124" spans="4:13" ht="15" x14ac:dyDescent="0.25">
      <c r="D124" s="226"/>
      <c r="E124" s="226"/>
      <c r="F124" s="227"/>
      <c r="G124" s="228"/>
      <c r="H124" s="228"/>
      <c r="I124" s="228"/>
      <c r="J124" s="229"/>
      <c r="K124" s="240"/>
      <c r="L124" s="240"/>
      <c r="M124" s="219"/>
    </row>
    <row r="125" spans="4:13" ht="15" x14ac:dyDescent="0.25">
      <c r="D125" s="226"/>
      <c r="E125" s="226"/>
      <c r="F125" s="227"/>
      <c r="G125" s="228"/>
      <c r="H125" s="228"/>
      <c r="I125" s="228"/>
      <c r="J125" s="229"/>
      <c r="K125" s="240"/>
      <c r="L125" s="240"/>
      <c r="M125" s="219"/>
    </row>
    <row r="126" spans="4:13" ht="15" x14ac:dyDescent="0.25">
      <c r="D126" s="226"/>
      <c r="E126" s="226"/>
      <c r="F126" s="227"/>
      <c r="G126" s="228"/>
      <c r="H126" s="228"/>
      <c r="I126" s="228"/>
      <c r="J126" s="229"/>
      <c r="K126" s="240"/>
      <c r="L126" s="240"/>
      <c r="M126" s="219"/>
    </row>
    <row r="127" spans="4:13" ht="15" x14ac:dyDescent="0.25">
      <c r="D127" s="226"/>
      <c r="E127" s="226"/>
      <c r="F127" s="227"/>
      <c r="G127" s="228"/>
      <c r="H127" s="228"/>
      <c r="I127" s="228"/>
      <c r="J127" s="229"/>
      <c r="K127" s="240"/>
      <c r="L127" s="240"/>
      <c r="M127" s="219"/>
    </row>
    <row r="128" spans="4:13" ht="15" x14ac:dyDescent="0.25">
      <c r="D128" s="226"/>
      <c r="E128" s="226"/>
      <c r="F128" s="227"/>
      <c r="G128" s="228"/>
      <c r="H128" s="228"/>
      <c r="I128" s="228"/>
      <c r="J128" s="229"/>
      <c r="K128" s="240"/>
      <c r="L128" s="240"/>
      <c r="M128" s="219"/>
    </row>
    <row r="129" spans="4:13" ht="15" x14ac:dyDescent="0.25">
      <c r="D129" s="226"/>
      <c r="E129" s="226"/>
      <c r="F129" s="227"/>
      <c r="G129" s="228"/>
      <c r="H129" s="228"/>
      <c r="I129" s="228"/>
      <c r="J129" s="229"/>
      <c r="K129" s="240"/>
      <c r="L129" s="240"/>
      <c r="M129" s="219"/>
    </row>
    <row r="130" spans="4:13" ht="15" x14ac:dyDescent="0.25">
      <c r="D130" s="226"/>
      <c r="E130" s="226"/>
      <c r="F130" s="227"/>
      <c r="G130" s="228"/>
      <c r="H130" s="228"/>
      <c r="I130" s="228"/>
      <c r="J130" s="229"/>
      <c r="K130" s="240"/>
      <c r="L130" s="240"/>
      <c r="M130" s="219"/>
    </row>
    <row r="131" spans="4:13" ht="15" x14ac:dyDescent="0.25">
      <c r="D131" s="226"/>
      <c r="E131" s="226"/>
      <c r="F131" s="227"/>
      <c r="G131" s="228"/>
      <c r="H131" s="228"/>
      <c r="I131" s="228"/>
      <c r="J131" s="229"/>
      <c r="K131" s="240"/>
      <c r="L131" s="240"/>
      <c r="M131" s="219"/>
    </row>
    <row r="132" spans="4:13" ht="15" x14ac:dyDescent="0.25">
      <c r="D132" s="226"/>
      <c r="E132" s="226"/>
      <c r="F132" s="227"/>
      <c r="G132" s="228"/>
      <c r="H132" s="228"/>
      <c r="I132" s="228"/>
      <c r="J132" s="229"/>
      <c r="K132" s="240"/>
      <c r="L132" s="240"/>
      <c r="M132" s="219"/>
    </row>
    <row r="133" spans="4:13" ht="15" x14ac:dyDescent="0.25">
      <c r="D133" s="226"/>
      <c r="E133" s="226"/>
      <c r="F133" s="227"/>
      <c r="G133" s="228"/>
      <c r="H133" s="228"/>
      <c r="I133" s="228"/>
      <c r="J133" s="229"/>
      <c r="K133" s="240"/>
      <c r="L133" s="240"/>
      <c r="M133" s="219"/>
    </row>
    <row r="134" spans="4:13" ht="15" x14ac:dyDescent="0.25">
      <c r="D134" s="226"/>
      <c r="E134" s="226"/>
      <c r="F134" s="227"/>
      <c r="G134" s="228"/>
      <c r="H134" s="228"/>
      <c r="I134" s="228"/>
      <c r="J134" s="229"/>
      <c r="K134" s="240"/>
      <c r="L134" s="240"/>
      <c r="M134" s="219"/>
    </row>
    <row r="135" spans="4:13" ht="15" x14ac:dyDescent="0.25">
      <c r="D135" s="226"/>
      <c r="E135" s="226"/>
      <c r="F135" s="227"/>
      <c r="G135" s="228"/>
      <c r="H135" s="228"/>
      <c r="I135" s="228"/>
      <c r="J135" s="229"/>
      <c r="K135" s="240"/>
      <c r="L135" s="240"/>
      <c r="M135" s="219"/>
    </row>
    <row r="136" spans="4:13" ht="15" x14ac:dyDescent="0.25">
      <c r="D136" s="226"/>
      <c r="E136" s="226"/>
      <c r="F136" s="227"/>
      <c r="G136" s="228"/>
      <c r="H136" s="228"/>
      <c r="I136" s="228"/>
      <c r="J136" s="229"/>
      <c r="K136" s="240"/>
      <c r="L136" s="240"/>
      <c r="M136" s="219"/>
    </row>
    <row r="137" spans="4:13" ht="15" x14ac:dyDescent="0.25">
      <c r="D137" s="226"/>
      <c r="E137" s="226"/>
      <c r="F137" s="227"/>
      <c r="G137" s="228"/>
      <c r="H137" s="228"/>
      <c r="I137" s="228"/>
      <c r="J137" s="229"/>
      <c r="K137" s="240"/>
      <c r="L137" s="240"/>
      <c r="M137" s="219"/>
    </row>
    <row r="138" spans="4:13" ht="15" x14ac:dyDescent="0.25">
      <c r="D138" s="226"/>
      <c r="E138" s="226"/>
      <c r="F138" s="227"/>
      <c r="G138" s="228"/>
      <c r="H138" s="228"/>
      <c r="I138" s="228"/>
      <c r="J138" s="229"/>
      <c r="K138" s="240"/>
      <c r="L138" s="240"/>
      <c r="M138" s="219"/>
    </row>
    <row r="139" spans="4:13" ht="15" x14ac:dyDescent="0.25">
      <c r="D139" s="226"/>
      <c r="E139" s="226"/>
      <c r="F139" s="227"/>
      <c r="G139" s="228"/>
      <c r="H139" s="228"/>
      <c r="I139" s="228"/>
      <c r="J139" s="229"/>
      <c r="K139" s="240"/>
      <c r="L139" s="240"/>
      <c r="M139" s="219"/>
    </row>
  </sheetData>
  <sheetProtection formatCells="0" formatColumns="0" formatRows="0" selectLockedCells="1"/>
  <mergeCells count="15">
    <mergeCell ref="Q2:U2"/>
    <mergeCell ref="E3:G3"/>
    <mergeCell ref="B5:C5"/>
    <mergeCell ref="B6:C6"/>
    <mergeCell ref="H3:H8"/>
    <mergeCell ref="B7:C7"/>
    <mergeCell ref="N2:O2"/>
    <mergeCell ref="A2:B2"/>
    <mergeCell ref="D2:G2"/>
    <mergeCell ref="E4:G8"/>
    <mergeCell ref="I3:I8"/>
    <mergeCell ref="J3:J8"/>
    <mergeCell ref="A8:C8"/>
    <mergeCell ref="D4:D8"/>
    <mergeCell ref="K3:L8"/>
  </mergeCells>
  <conditionalFormatting sqref="C10">
    <cfRule type="duplicateValues" dxfId="23" priority="1"/>
    <cfRule type="duplicateValues" dxfId="22" priority="2"/>
  </conditionalFormatting>
  <pageMargins left="0.51180555555555551" right="0.51180555555555551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3">
    <tabColor indexed="26"/>
    <pageSetUpPr fitToPage="1"/>
  </sheetPr>
  <dimension ref="A1:AT59"/>
  <sheetViews>
    <sheetView showGridLines="0" topLeftCell="A5" zoomScale="117" zoomScaleNormal="117" workbookViewId="0">
      <selection activeCell="H22" sqref="H22:I22"/>
    </sheetView>
  </sheetViews>
  <sheetFormatPr defaultColWidth="9.140625" defaultRowHeight="12.75" x14ac:dyDescent="0.2"/>
  <cols>
    <col min="1" max="1" width="10" style="48" customWidth="1"/>
    <col min="2" max="4" width="9.140625" style="48" customWidth="1"/>
    <col min="5" max="5" width="14" style="48" customWidth="1"/>
    <col min="6" max="6" width="14.140625" style="48" customWidth="1"/>
    <col min="7" max="7" width="17.42578125" style="48" customWidth="1"/>
    <col min="8" max="8" width="10.7109375" style="48" bestFit="1" customWidth="1"/>
    <col min="9" max="9" width="16.85546875" style="48" bestFit="1" customWidth="1"/>
    <col min="10" max="12" width="9.140625" style="48" customWidth="1"/>
    <col min="13" max="13" width="11.7109375" style="48" customWidth="1"/>
    <col min="14" max="21" width="9.140625" style="48"/>
    <col min="22" max="22" width="0" style="48" hidden="1" customWidth="1"/>
    <col min="23" max="27" width="9.140625" style="48"/>
    <col min="28" max="31" width="0" style="48" hidden="1" customWidth="1"/>
    <col min="32" max="16384" width="9.140625" style="48"/>
  </cols>
  <sheetData>
    <row r="1" spans="1:46" s="10" customFormat="1" x14ac:dyDescent="0.2">
      <c r="J1" s="33"/>
      <c r="K1" s="33"/>
      <c r="L1" s="33"/>
      <c r="M1" s="33"/>
      <c r="N1" s="33"/>
      <c r="O1" s="33"/>
      <c r="P1" s="33"/>
      <c r="Q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</row>
    <row r="2" spans="1:46" s="10" customFormat="1" ht="25.5" customHeight="1" x14ac:dyDescent="0.25">
      <c r="A2" s="37"/>
      <c r="B2" s="37"/>
      <c r="C2" s="37"/>
      <c r="D2" s="37"/>
      <c r="E2" s="626"/>
      <c r="F2" s="626"/>
      <c r="G2" s="626"/>
      <c r="H2" s="626"/>
      <c r="I2" s="626"/>
      <c r="J2" s="33"/>
      <c r="K2" s="33"/>
      <c r="L2" s="33"/>
      <c r="M2" s="33"/>
      <c r="N2" s="627"/>
      <c r="O2" s="627"/>
      <c r="P2" s="627"/>
      <c r="Q2" s="627"/>
      <c r="R2" s="627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</row>
    <row r="3" spans="1:46" s="10" customFormat="1" ht="17.25" customHeight="1" x14ac:dyDescent="0.25">
      <c r="A3" s="37"/>
      <c r="B3" s="37"/>
      <c r="C3" s="37"/>
      <c r="D3" s="37"/>
      <c r="E3" s="628"/>
      <c r="F3" s="628"/>
      <c r="G3" s="628"/>
      <c r="H3" s="628"/>
      <c r="I3" s="628"/>
      <c r="J3" s="33"/>
      <c r="K3" s="33"/>
      <c r="L3" s="33"/>
      <c r="M3" s="33"/>
      <c r="N3" s="627"/>
      <c r="O3" s="627"/>
      <c r="P3" s="49"/>
      <c r="Q3" s="50"/>
      <c r="R3" s="95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</row>
    <row r="4" spans="1:46" s="10" customFormat="1" ht="37.5" customHeight="1" x14ac:dyDescent="0.25">
      <c r="A4" s="37"/>
      <c r="B4" s="37"/>
      <c r="C4" s="37"/>
      <c r="D4" s="37"/>
      <c r="E4" s="629"/>
      <c r="F4" s="629"/>
      <c r="G4" s="629"/>
      <c r="H4" s="629"/>
      <c r="I4" s="629"/>
      <c r="J4" s="33"/>
      <c r="K4" s="33"/>
      <c r="L4" s="33"/>
      <c r="M4" s="33"/>
      <c r="N4" s="51"/>
      <c r="O4" s="49"/>
      <c r="P4" s="49"/>
      <c r="Q4" s="50"/>
      <c r="R4" s="49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</row>
    <row r="5" spans="1:46" s="10" customFormat="1" ht="9" customHeight="1" x14ac:dyDescent="0.25">
      <c r="A5" s="37"/>
      <c r="B5" s="37"/>
      <c r="C5" s="37"/>
      <c r="D5" s="37"/>
      <c r="E5" s="37"/>
      <c r="F5" s="96"/>
      <c r="G5" s="96"/>
      <c r="H5" s="96"/>
      <c r="I5" s="96"/>
      <c r="J5" s="33"/>
      <c r="K5" s="33"/>
      <c r="L5" s="33"/>
      <c r="M5" s="33"/>
      <c r="N5" s="51"/>
      <c r="O5" s="49"/>
      <c r="P5" s="49"/>
      <c r="Q5" s="50"/>
      <c r="R5" s="49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</row>
    <row r="6" spans="1:46" s="10" customFormat="1" ht="9" customHeight="1" x14ac:dyDescent="0.25">
      <c r="A6" s="37"/>
      <c r="B6" s="37"/>
      <c r="C6" s="37"/>
      <c r="D6" s="37"/>
      <c r="E6" s="37"/>
      <c r="F6" s="96"/>
      <c r="G6" s="96"/>
      <c r="H6" s="96"/>
      <c r="I6" s="96"/>
      <c r="J6" s="33"/>
      <c r="K6" s="33"/>
      <c r="L6" s="33"/>
      <c r="M6" s="33"/>
      <c r="N6" s="51"/>
      <c r="O6" s="49"/>
      <c r="P6" s="49"/>
      <c r="Q6" s="50"/>
      <c r="R6" s="49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</row>
    <row r="7" spans="1:46" s="10" customFormat="1" x14ac:dyDescent="0.2">
      <c r="A7" s="33"/>
      <c r="B7" s="33"/>
      <c r="C7" s="33"/>
      <c r="D7" s="33"/>
      <c r="E7" s="33"/>
      <c r="F7" s="33"/>
      <c r="G7" s="33"/>
      <c r="H7" s="33"/>
      <c r="I7" s="33"/>
    </row>
    <row r="8" spans="1:46" s="10" customFormat="1" x14ac:dyDescent="0.2">
      <c r="A8" s="33"/>
      <c r="B8" s="52"/>
      <c r="C8" s="33"/>
      <c r="D8" s="33"/>
      <c r="E8" s="33"/>
      <c r="F8" s="33"/>
      <c r="G8" s="33"/>
      <c r="H8" s="33"/>
      <c r="I8" s="33"/>
    </row>
    <row r="9" spans="1:46" s="10" customFormat="1" ht="15.75" x14ac:dyDescent="0.25">
      <c r="A9" s="33"/>
      <c r="B9" s="672" t="s">
        <v>62</v>
      </c>
      <c r="C9" s="672"/>
      <c r="D9" s="672"/>
      <c r="E9" s="672"/>
      <c r="F9" s="672"/>
      <c r="G9" s="672"/>
      <c r="H9" s="672"/>
      <c r="I9" s="672"/>
    </row>
    <row r="10" spans="1:46" s="10" customFormat="1" ht="12.75" customHeight="1" x14ac:dyDescent="0.2">
      <c r="A10" s="673" t="s">
        <v>63</v>
      </c>
      <c r="B10" s="673"/>
      <c r="C10" s="365"/>
      <c r="D10" s="673" t="s">
        <v>64</v>
      </c>
      <c r="E10" s="673"/>
      <c r="F10" s="364" t="s">
        <v>65</v>
      </c>
      <c r="G10" s="401" t="s">
        <v>66</v>
      </c>
      <c r="H10" s="364" t="s">
        <v>67</v>
      </c>
      <c r="I10" s="364" t="s">
        <v>68</v>
      </c>
    </row>
    <row r="11" spans="1:46" s="10" customFormat="1" ht="12.75" customHeight="1" x14ac:dyDescent="0.2">
      <c r="A11" s="403" t="str">
        <f>'BASE C'!B3</f>
        <v>2024/0058937</v>
      </c>
      <c r="B11" s="402"/>
      <c r="C11" s="129"/>
      <c r="D11" s="674"/>
      <c r="E11" s="674"/>
      <c r="F11" s="130">
        <f>'EMPRESA C'!G16</f>
        <v>0</v>
      </c>
      <c r="G11" s="130" t="e">
        <f>'EMPRESA C'!H16+'EMPRESA C'!I16+'EMPRESA C'!J16+'EMPRESA C'!K16+'EMPRESA C'!L16+'EMPRESA C'!M16</f>
        <v>#REF!</v>
      </c>
      <c r="H11" s="131" t="str">
        <f>'BASE C'!E4</f>
        <v>ABRIL</v>
      </c>
      <c r="I11" s="132" t="str">
        <f>'BASE C'!D2</f>
        <v>FREGUESIA / BRASILÂNDIA</v>
      </c>
    </row>
    <row r="12" spans="1:46" s="10" customFormat="1" ht="12.75" customHeight="1" x14ac:dyDescent="0.2">
      <c r="A12" s="675" t="s">
        <v>69</v>
      </c>
      <c r="B12" s="675"/>
      <c r="C12" s="675"/>
      <c r="D12" s="675"/>
      <c r="E12" s="675"/>
      <c r="F12" s="676" t="s">
        <v>70</v>
      </c>
      <c r="G12" s="676"/>
      <c r="H12" s="676" t="s">
        <v>6</v>
      </c>
      <c r="I12" s="676"/>
    </row>
    <row r="13" spans="1:46" s="10" customFormat="1" ht="12.75" customHeight="1" x14ac:dyDescent="0.2">
      <c r="A13" s="677" t="str">
        <f>'BASE C'!D4</f>
        <v>MARLI PEREIRA DA SILVA</v>
      </c>
      <c r="B13" s="678"/>
      <c r="C13" s="678"/>
      <c r="D13" s="678"/>
      <c r="E13" s="679"/>
      <c r="F13" s="686" t="str">
        <f>VLOOKUP(A11,ProcRel1!E2:G5000,3,FALSE)</f>
        <v>809.179.258-15</v>
      </c>
      <c r="G13" s="686"/>
      <c r="H13" s="318" t="str">
        <f>'BASE C'!B4</f>
        <v>01/04/2026</v>
      </c>
      <c r="I13" s="318" t="str">
        <f>'BASE C'!C4</f>
        <v>30/04/2026</v>
      </c>
    </row>
    <row r="14" spans="1:46" s="10" customFormat="1" ht="12.75" customHeight="1" x14ac:dyDescent="0.2">
      <c r="A14" s="680"/>
      <c r="B14" s="681"/>
      <c r="C14" s="681"/>
      <c r="D14" s="681"/>
      <c r="E14" s="682"/>
      <c r="F14" s="676" t="s">
        <v>71</v>
      </c>
      <c r="G14" s="676"/>
      <c r="H14" s="676" t="s">
        <v>72</v>
      </c>
      <c r="I14" s="676"/>
    </row>
    <row r="15" spans="1:46" s="10" customFormat="1" ht="12.75" customHeight="1" x14ac:dyDescent="0.2">
      <c r="A15" s="683"/>
      <c r="B15" s="684"/>
      <c r="C15" s="684"/>
      <c r="D15" s="684"/>
      <c r="E15" s="685"/>
      <c r="F15" s="687" t="str">
        <f>VLOOKUP(A11,'APONTAMENTO CREDENCIAMENTO'!D1:T4031,12,FALSE)</f>
        <v>6020.2024/0058937-5</v>
      </c>
      <c r="G15" s="687"/>
      <c r="H15" s="688">
        <f>'VALORES TABELA'!B37</f>
        <v>46171</v>
      </c>
      <c r="I15" s="688"/>
    </row>
    <row r="16" spans="1:46" s="10" customFormat="1" ht="9.9499999999999993" customHeight="1" x14ac:dyDescent="0.2">
      <c r="A16" s="133"/>
      <c r="B16" s="133"/>
      <c r="C16" s="133"/>
      <c r="D16" s="133"/>
      <c r="E16" s="133"/>
      <c r="F16" s="133"/>
      <c r="G16" s="133"/>
      <c r="H16" s="133"/>
      <c r="I16" s="133"/>
    </row>
    <row r="17" spans="1:13" s="10" customFormat="1" ht="9.9499999999999993" customHeight="1" x14ac:dyDescent="0.2">
      <c r="A17" s="64"/>
      <c r="B17" s="65" t="s">
        <v>73</v>
      </c>
      <c r="C17" s="65"/>
      <c r="D17" s="65"/>
      <c r="E17" s="65"/>
      <c r="F17" s="65"/>
      <c r="G17" s="65"/>
      <c r="H17" s="65"/>
      <c r="I17" s="65"/>
    </row>
    <row r="18" spans="1:13" s="10" customFormat="1" ht="9.9499999999999993" customHeight="1" x14ac:dyDescent="0.2">
      <c r="A18" s="64"/>
      <c r="B18" s="64"/>
      <c r="C18" s="64"/>
      <c r="D18" s="64"/>
      <c r="E18" s="64"/>
      <c r="F18" s="64"/>
      <c r="G18" s="64"/>
      <c r="H18" s="64"/>
      <c r="I18" s="64"/>
    </row>
    <row r="19" spans="1:13" s="10" customFormat="1" ht="15" customHeight="1" x14ac:dyDescent="0.2">
      <c r="A19" s="676" t="s">
        <v>74</v>
      </c>
      <c r="B19" s="676"/>
      <c r="C19" s="676"/>
      <c r="D19" s="676"/>
      <c r="E19" s="676"/>
      <c r="F19" s="676"/>
      <c r="G19" s="676"/>
      <c r="H19" s="676" t="s">
        <v>75</v>
      </c>
      <c r="I19" s="676"/>
    </row>
    <row r="20" spans="1:13" s="10" customFormat="1" ht="15" customHeight="1" x14ac:dyDescent="0.2">
      <c r="A20" s="404" t="s">
        <v>76</v>
      </c>
      <c r="B20" s="689" t="str">
        <f>'EMPRESA C'!N13</f>
        <v>Contratos Especiais (Valor fixo)</v>
      </c>
      <c r="C20" s="690"/>
      <c r="D20" s="690"/>
      <c r="E20" s="690"/>
      <c r="F20" s="690"/>
      <c r="G20" s="690"/>
      <c r="H20" s="691" t="e">
        <f>'EMPRESA C'!N16</f>
        <v>#REF!</v>
      </c>
      <c r="I20" s="691"/>
    </row>
    <row r="21" spans="1:13" s="10" customFormat="1" ht="15" customHeight="1" x14ac:dyDescent="0.2">
      <c r="A21" s="404" t="s">
        <v>77</v>
      </c>
      <c r="B21" s="689" t="e">
        <f>'EMPRESA C'!O13</f>
        <v>#REF!</v>
      </c>
      <c r="C21" s="690"/>
      <c r="D21" s="690"/>
      <c r="E21" s="690"/>
      <c r="F21" s="690"/>
      <c r="G21" s="690"/>
      <c r="H21" s="691" t="e">
        <f>'EMPRESA C'!O16</f>
        <v>#REF!</v>
      </c>
      <c r="I21" s="691"/>
    </row>
    <row r="22" spans="1:13" s="10" customFormat="1" ht="15" customHeight="1" x14ac:dyDescent="0.2">
      <c r="A22" s="404" t="s">
        <v>78</v>
      </c>
      <c r="B22" s="134" t="e">
        <f>'EMPRESA C'!P13</f>
        <v>#REF!</v>
      </c>
      <c r="C22" s="135"/>
      <c r="D22" s="135"/>
      <c r="E22" s="135"/>
      <c r="F22" s="136"/>
      <c r="G22" s="137"/>
      <c r="H22" s="692" t="e">
        <f>'EMPRESA C'!P16</f>
        <v>#REF!</v>
      </c>
      <c r="I22" s="693"/>
      <c r="K22" s="53"/>
    </row>
    <row r="23" spans="1:13" s="10" customFormat="1" ht="15" customHeight="1" x14ac:dyDescent="0.2">
      <c r="A23" s="405" t="s">
        <v>79</v>
      </c>
      <c r="B23" s="134" t="e">
        <f>'APONTAMENTO CREDENCIAMENTO'!#REF!</f>
        <v>#REF!</v>
      </c>
      <c r="C23" s="135"/>
      <c r="D23" s="135"/>
      <c r="E23" s="135"/>
      <c r="F23" s="136"/>
      <c r="G23" s="137"/>
      <c r="H23" s="692" t="e">
        <f>'EMPRESA C'!Q16</f>
        <v>#REF!</v>
      </c>
      <c r="I23" s="693"/>
      <c r="K23" s="53"/>
    </row>
    <row r="24" spans="1:13" s="10" customFormat="1" ht="15" customHeight="1" x14ac:dyDescent="0.2">
      <c r="A24" s="404" t="s">
        <v>80</v>
      </c>
      <c r="B24" s="134" t="e">
        <f>'EMPRESA C'!R13</f>
        <v>#REF!</v>
      </c>
      <c r="C24" s="135"/>
      <c r="D24" s="135"/>
      <c r="E24" s="135"/>
      <c r="F24" s="136"/>
      <c r="G24" s="137"/>
      <c r="H24" s="692" t="e">
        <f>'EMPRESA C'!R16</f>
        <v>#REF!</v>
      </c>
      <c r="I24" s="693"/>
      <c r="K24" s="53"/>
    </row>
    <row r="25" spans="1:13" s="10" customFormat="1" ht="15" customHeight="1" x14ac:dyDescent="0.2">
      <c r="A25" s="404" t="s">
        <v>81</v>
      </c>
      <c r="B25" s="138" t="s">
        <v>53</v>
      </c>
      <c r="C25" s="135"/>
      <c r="D25" s="135"/>
      <c r="E25" s="135"/>
      <c r="F25" s="136"/>
      <c r="G25" s="137"/>
      <c r="H25" s="692" t="e">
        <f>'EMPRESA C'!S16</f>
        <v>#REF!</v>
      </c>
      <c r="I25" s="693"/>
      <c r="K25" s="53"/>
    </row>
    <row r="26" spans="1:13" s="10" customFormat="1" ht="15" customHeight="1" x14ac:dyDescent="0.2">
      <c r="A26" s="404" t="s">
        <v>82</v>
      </c>
      <c r="B26" s="138" t="e">
        <f>'APONTAMENTO CREDENCIAMENTO'!#REF!</f>
        <v>#REF!</v>
      </c>
      <c r="C26" s="135"/>
      <c r="D26" s="135"/>
      <c r="E26" s="135"/>
      <c r="F26" s="136"/>
      <c r="G26" s="139"/>
      <c r="H26" s="691" t="e">
        <f>'EMPRESA C'!T16</f>
        <v>#REF!</v>
      </c>
      <c r="I26" s="691"/>
      <c r="K26" s="53"/>
    </row>
    <row r="27" spans="1:13" s="10" customFormat="1" ht="15" customHeight="1" x14ac:dyDescent="0.2">
      <c r="A27" s="405" t="s">
        <v>83</v>
      </c>
      <c r="B27" s="134" t="e">
        <f>'APONTAMENTO CREDENCIAMENTO'!#REF!</f>
        <v>#REF!</v>
      </c>
      <c r="C27" s="135"/>
      <c r="D27" s="135"/>
      <c r="E27" s="135"/>
      <c r="F27" s="136"/>
      <c r="G27" s="139"/>
      <c r="H27" s="691" t="e">
        <f>'EMPRESA C'!U16</f>
        <v>#REF!</v>
      </c>
      <c r="I27" s="691"/>
      <c r="K27" s="53"/>
    </row>
    <row r="28" spans="1:13" s="10" customFormat="1" ht="15" customHeight="1" x14ac:dyDescent="0.2">
      <c r="A28" s="404" t="s">
        <v>84</v>
      </c>
      <c r="B28" s="689" t="str">
        <f>'EMPRESA C'!V13</f>
        <v>Ajuste negativo</v>
      </c>
      <c r="C28" s="690"/>
      <c r="D28" s="690"/>
      <c r="E28" s="690"/>
      <c r="F28" s="690"/>
      <c r="G28" s="690"/>
      <c r="H28" s="691" t="e">
        <f>'EMPRESA C'!V16</f>
        <v>#REF!</v>
      </c>
      <c r="I28" s="691"/>
    </row>
    <row r="29" spans="1:13" s="10" customFormat="1" ht="15" customHeight="1" x14ac:dyDescent="0.2">
      <c r="A29" s="404" t="s">
        <v>85</v>
      </c>
      <c r="B29" s="134" t="str">
        <f>'EMPRESA C'!W13</f>
        <v>Desconto faltas</v>
      </c>
      <c r="C29" s="135"/>
      <c r="D29" s="135"/>
      <c r="E29" s="135"/>
      <c r="F29" s="136"/>
      <c r="G29" s="139"/>
      <c r="H29" s="692" t="e">
        <f>'EMPRESA C'!W16</f>
        <v>#REF!</v>
      </c>
      <c r="I29" s="693"/>
      <c r="K29" s="53"/>
    </row>
    <row r="30" spans="1:13" s="10" customFormat="1" ht="15" customHeight="1" x14ac:dyDescent="0.2">
      <c r="A30" s="404" t="s">
        <v>86</v>
      </c>
      <c r="B30" s="689" t="e">
        <f>'APONTAMENTO CREDENCIAMENTO'!#REF!</f>
        <v>#REF!</v>
      </c>
      <c r="C30" s="690"/>
      <c r="D30" s="690"/>
      <c r="E30" s="690"/>
      <c r="F30" s="690"/>
      <c r="G30" s="690"/>
      <c r="H30" s="691" t="e">
        <f>'EMPRESA C'!X16</f>
        <v>#REF!</v>
      </c>
      <c r="I30" s="691"/>
      <c r="M30" s="53"/>
    </row>
    <row r="31" spans="1:13" s="10" customFormat="1" ht="15" customHeight="1" x14ac:dyDescent="0.2">
      <c r="A31" s="404" t="s">
        <v>87</v>
      </c>
      <c r="B31" s="690" t="s">
        <v>88</v>
      </c>
      <c r="C31" s="690"/>
      <c r="D31" s="690"/>
      <c r="E31" s="690"/>
      <c r="F31" s="690"/>
      <c r="G31" s="690"/>
      <c r="H31" s="691" t="e">
        <f>'EMPRESA C'!Y16</f>
        <v>#REF!</v>
      </c>
      <c r="I31" s="691"/>
      <c r="M31" s="53"/>
    </row>
    <row r="32" spans="1:13" s="10" customFormat="1" ht="15" customHeight="1" x14ac:dyDescent="0.2">
      <c r="A32" s="404" t="s">
        <v>89</v>
      </c>
      <c r="B32" s="694" t="s">
        <v>90</v>
      </c>
      <c r="C32" s="694"/>
      <c r="D32" s="694"/>
      <c r="E32" s="694"/>
      <c r="F32" s="694"/>
      <c r="G32" s="694"/>
      <c r="H32" s="695" t="e">
        <f>'EMPRESA C'!Z16</f>
        <v>#REF!</v>
      </c>
      <c r="I32" s="695"/>
      <c r="L32" s="53"/>
    </row>
    <row r="33" spans="1:12" s="10" customFormat="1" ht="15" customHeight="1" x14ac:dyDescent="0.2">
      <c r="A33" s="404" t="s">
        <v>91</v>
      </c>
      <c r="B33" s="690" t="s">
        <v>92</v>
      </c>
      <c r="C33" s="690"/>
      <c r="D33" s="690"/>
      <c r="E33" s="690"/>
      <c r="F33" s="690"/>
      <c r="G33" s="690"/>
      <c r="H33" s="691" t="e">
        <f>'EMPRESA C'!AB16</f>
        <v>#REF!</v>
      </c>
      <c r="I33" s="691"/>
    </row>
    <row r="34" spans="1:12" s="10" customFormat="1" x14ac:dyDescent="0.2">
      <c r="A34" s="404" t="s">
        <v>93</v>
      </c>
      <c r="B34" s="709" t="s">
        <v>94</v>
      </c>
      <c r="C34" s="709"/>
      <c r="D34" s="709"/>
      <c r="E34" s="709"/>
      <c r="F34" s="709"/>
      <c r="G34" s="709"/>
      <c r="H34" s="710" t="e">
        <f>H32-H33</f>
        <v>#REF!</v>
      </c>
      <c r="I34" s="710"/>
    </row>
    <row r="35" spans="1:12" s="10" customFormat="1" x14ac:dyDescent="0.2">
      <c r="A35" s="700" t="s">
        <v>95</v>
      </c>
      <c r="B35" s="701" t="e">
        <f>VLOOKUP(A11,'APONTAMENTO CREDENCIAMENTO'!D1:T4031,138,FALSE)</f>
        <v>#REF!</v>
      </c>
      <c r="C35" s="701"/>
      <c r="D35" s="701"/>
      <c r="E35" s="701"/>
      <c r="F35" s="701"/>
      <c r="G35" s="701"/>
      <c r="H35" s="701"/>
      <c r="I35" s="701"/>
    </row>
    <row r="36" spans="1:12" s="10" customFormat="1" x14ac:dyDescent="0.2">
      <c r="A36" s="700"/>
      <c r="B36" s="701"/>
      <c r="C36" s="701"/>
      <c r="D36" s="701"/>
      <c r="E36" s="701"/>
      <c r="F36" s="701"/>
      <c r="G36" s="701"/>
      <c r="H36" s="701"/>
      <c r="I36" s="701"/>
    </row>
    <row r="37" spans="1:12" s="10" customFormat="1" ht="20.100000000000001" customHeight="1" x14ac:dyDescent="0.2">
      <c r="A37" s="700" t="s">
        <v>96</v>
      </c>
      <c r="B37" s="702" t="e">
        <f>VLOOKUP(A11,'APONTAMENTO CREDENCIAMENTO'!D1:T4031,139,FALSE)</f>
        <v>#REF!</v>
      </c>
      <c r="C37" s="703"/>
      <c r="D37" s="703"/>
      <c r="E37" s="703"/>
      <c r="F37" s="703"/>
      <c r="G37" s="703"/>
      <c r="H37" s="703"/>
      <c r="I37" s="704"/>
    </row>
    <row r="38" spans="1:12" s="10" customFormat="1" ht="20.100000000000001" customHeight="1" x14ac:dyDescent="0.2">
      <c r="A38" s="700"/>
      <c r="B38" s="705"/>
      <c r="C38" s="706"/>
      <c r="D38" s="706"/>
      <c r="E38" s="706"/>
      <c r="F38" s="706"/>
      <c r="G38" s="706"/>
      <c r="H38" s="706"/>
      <c r="I38" s="707"/>
    </row>
    <row r="39" spans="1:12" s="10" customFormat="1" ht="20.100000000000001" customHeight="1" x14ac:dyDescent="0.2">
      <c r="A39" s="33"/>
      <c r="B39" s="708" t="s">
        <v>97</v>
      </c>
      <c r="C39" s="708"/>
      <c r="D39" s="708"/>
      <c r="E39" s="708"/>
      <c r="F39" s="708"/>
      <c r="G39" s="708"/>
      <c r="H39" s="708"/>
      <c r="I39" s="708"/>
    </row>
    <row r="40" spans="1:12" s="10" customFormat="1" x14ac:dyDescent="0.2">
      <c r="A40" s="33"/>
      <c r="B40" s="708"/>
      <c r="C40" s="708"/>
      <c r="D40" s="708"/>
      <c r="E40" s="708"/>
      <c r="F40" s="708"/>
      <c r="G40" s="708"/>
      <c r="H40" s="708"/>
      <c r="I40" s="708"/>
    </row>
    <row r="41" spans="1:12" s="10" customFormat="1" ht="12.75" customHeight="1" x14ac:dyDescent="0.2">
      <c r="A41" s="33"/>
      <c r="B41" s="708"/>
      <c r="C41" s="708"/>
      <c r="D41" s="708"/>
      <c r="E41" s="708"/>
      <c r="F41" s="708"/>
      <c r="G41" s="708"/>
      <c r="H41" s="708"/>
      <c r="I41" s="708"/>
    </row>
    <row r="42" spans="1:12" s="10" customFormat="1" ht="20.100000000000001" customHeight="1" x14ac:dyDescent="0.2">
      <c r="A42" s="33"/>
      <c r="B42" s="66"/>
      <c r="C42" s="66"/>
      <c r="D42" s="66"/>
      <c r="E42" s="66"/>
      <c r="F42" s="66"/>
      <c r="G42" s="66"/>
      <c r="H42" s="66"/>
      <c r="I42" s="66"/>
      <c r="L42"/>
    </row>
    <row r="43" spans="1:12" s="10" customFormat="1" x14ac:dyDescent="0.2">
      <c r="A43" s="33"/>
      <c r="B43" s="589" t="s">
        <v>98</v>
      </c>
      <c r="C43" s="589"/>
      <c r="D43" s="589"/>
      <c r="E43" s="589"/>
      <c r="F43" s="589"/>
      <c r="G43" s="589"/>
      <c r="H43" s="589"/>
      <c r="I43" s="589"/>
    </row>
    <row r="44" spans="1:12" s="10" customFormat="1" ht="20.100000000000001" customHeight="1" x14ac:dyDescent="0.2">
      <c r="A44" s="33"/>
      <c r="B44" s="94"/>
      <c r="C44" s="94"/>
      <c r="D44" s="94"/>
      <c r="E44" s="94"/>
      <c r="F44" s="94"/>
      <c r="G44" s="94"/>
      <c r="H44" s="94"/>
      <c r="I44" s="94"/>
    </row>
    <row r="45" spans="1:12" ht="15" customHeight="1" x14ac:dyDescent="0.2">
      <c r="A45" s="696" t="s">
        <v>99</v>
      </c>
      <c r="B45" s="697"/>
      <c r="C45" s="697"/>
      <c r="D45" s="697"/>
      <c r="E45" s="698"/>
      <c r="F45" s="698"/>
      <c r="G45" s="698"/>
      <c r="H45" s="698"/>
      <c r="I45" s="699"/>
    </row>
    <row r="46" spans="1:12" ht="12.75" customHeight="1" x14ac:dyDescent="0.2">
      <c r="A46" s="594" t="s">
        <v>142</v>
      </c>
      <c r="B46" s="595"/>
      <c r="C46" s="595"/>
      <c r="D46" s="595"/>
      <c r="E46" s="595"/>
      <c r="F46" s="595"/>
      <c r="G46" s="595"/>
      <c r="H46" s="595"/>
      <c r="I46" s="596"/>
    </row>
    <row r="47" spans="1:12" ht="12.75" customHeight="1" x14ac:dyDescent="0.2">
      <c r="A47" s="200" t="s">
        <v>143</v>
      </c>
      <c r="B47" s="67"/>
      <c r="C47" s="67"/>
      <c r="D47" s="67"/>
      <c r="E47" s="67"/>
      <c r="F47" s="67"/>
      <c r="G47" s="67"/>
      <c r="H47" s="67"/>
      <c r="I47" s="68"/>
    </row>
    <row r="48" spans="1:12" ht="12.75" customHeight="1" x14ac:dyDescent="0.2">
      <c r="A48" s="197" t="s">
        <v>144</v>
      </c>
      <c r="B48" s="70"/>
      <c r="C48" s="70"/>
      <c r="D48" s="70"/>
      <c r="E48" s="70"/>
      <c r="F48" s="70"/>
      <c r="G48" s="70"/>
      <c r="H48" s="70"/>
      <c r="I48" s="198"/>
    </row>
    <row r="49" spans="1:9" ht="12.75" customHeight="1" x14ac:dyDescent="0.2">
      <c r="A49" s="363" t="s">
        <v>301</v>
      </c>
      <c r="B49" s="70"/>
      <c r="C49" s="70"/>
      <c r="D49" s="70"/>
      <c r="E49" s="70"/>
      <c r="F49" s="70"/>
      <c r="G49" s="199">
        <f>$H$13+1-1</f>
        <v>46113</v>
      </c>
      <c r="H49" s="254"/>
      <c r="I49" s="75"/>
    </row>
    <row r="50" spans="1:9" ht="12.75" customHeight="1" x14ac:dyDescent="0.2">
      <c r="A50" s="406" t="s">
        <v>302</v>
      </c>
      <c r="B50" s="70"/>
      <c r="C50" s="70"/>
      <c r="D50" s="70"/>
      <c r="E50" s="70"/>
      <c r="F50" s="70"/>
      <c r="G50" s="70"/>
      <c r="H50" s="70"/>
      <c r="I50" s="74">
        <f>G49</f>
        <v>46113</v>
      </c>
    </row>
    <row r="51" spans="1:9" ht="12.75" customHeight="1" x14ac:dyDescent="0.2">
      <c r="A51" s="363" t="s">
        <v>303</v>
      </c>
      <c r="B51" s="70"/>
      <c r="C51" s="70"/>
      <c r="D51" s="70"/>
      <c r="E51" s="70"/>
      <c r="F51" s="70"/>
      <c r="G51" s="199">
        <f>G49</f>
        <v>46113</v>
      </c>
      <c r="H51" s="70"/>
      <c r="I51" s="75"/>
    </row>
    <row r="52" spans="1:9" ht="12.75" customHeight="1" x14ac:dyDescent="0.2">
      <c r="A52" s="363" t="s">
        <v>295</v>
      </c>
      <c r="B52" s="70"/>
      <c r="C52" s="70"/>
      <c r="D52" s="70"/>
      <c r="E52" s="70"/>
      <c r="F52" s="70"/>
      <c r="G52" s="70"/>
      <c r="H52" s="70"/>
      <c r="I52" s="75"/>
    </row>
    <row r="53" spans="1:9" ht="15.75" x14ac:dyDescent="0.2">
      <c r="A53" s="597" t="s">
        <v>100</v>
      </c>
      <c r="B53" s="598"/>
      <c r="C53" s="598"/>
      <c r="D53" s="598"/>
      <c r="E53" s="598"/>
      <c r="F53" s="598"/>
      <c r="G53" s="598"/>
      <c r="H53" s="598"/>
      <c r="I53" s="599"/>
    </row>
    <row r="54" spans="1:9" x14ac:dyDescent="0.2">
      <c r="A54" s="69"/>
      <c r="B54" s="70" t="s">
        <v>101</v>
      </c>
      <c r="C54" s="70"/>
      <c r="D54" s="70"/>
      <c r="E54" s="70" t="s">
        <v>102</v>
      </c>
      <c r="F54" s="70"/>
      <c r="G54" s="70"/>
      <c r="H54" s="70"/>
      <c r="I54" s="75"/>
    </row>
    <row r="55" spans="1:9" x14ac:dyDescent="0.2">
      <c r="A55" s="69"/>
      <c r="B55" s="70" t="s">
        <v>103</v>
      </c>
      <c r="C55" s="70"/>
      <c r="D55" s="70"/>
      <c r="E55" s="71" t="s">
        <v>104</v>
      </c>
      <c r="F55" s="70"/>
      <c r="G55" s="70"/>
      <c r="H55" s="70"/>
      <c r="I55" s="75"/>
    </row>
    <row r="56" spans="1:9" x14ac:dyDescent="0.2">
      <c r="A56" s="600" t="s">
        <v>105</v>
      </c>
      <c r="B56" s="601"/>
      <c r="C56" s="601"/>
      <c r="D56" s="601"/>
      <c r="E56" s="601"/>
      <c r="F56" s="601"/>
      <c r="G56" s="601"/>
      <c r="H56" s="601"/>
      <c r="I56" s="602"/>
    </row>
    <row r="57" spans="1:9" x14ac:dyDescent="0.2">
      <c r="A57" s="91"/>
      <c r="B57" s="70" t="s">
        <v>106</v>
      </c>
      <c r="C57" s="92"/>
      <c r="D57" s="92"/>
      <c r="E57" s="201" t="s">
        <v>107</v>
      </c>
      <c r="F57" s="92"/>
      <c r="G57" s="92"/>
      <c r="H57" s="92"/>
      <c r="I57" s="93"/>
    </row>
    <row r="58" spans="1:9" x14ac:dyDescent="0.2">
      <c r="A58" s="576" t="s">
        <v>108</v>
      </c>
      <c r="B58" s="577"/>
      <c r="C58" s="577"/>
      <c r="D58" s="577"/>
      <c r="E58" s="577"/>
      <c r="F58" s="577"/>
      <c r="G58" s="577"/>
      <c r="H58" s="577"/>
      <c r="I58" s="578"/>
    </row>
    <row r="59" spans="1:9" x14ac:dyDescent="0.2">
      <c r="A59" s="142"/>
      <c r="B59" s="140" t="s">
        <v>109</v>
      </c>
      <c r="C59" s="140"/>
      <c r="D59" s="140"/>
      <c r="E59" s="140"/>
      <c r="F59" s="140"/>
      <c r="G59" s="140"/>
      <c r="H59" s="140"/>
      <c r="I59" s="141"/>
    </row>
  </sheetData>
  <sheetProtection formatCells="0" formatColumns="0" formatRows="0" selectLockedCells="1"/>
  <mergeCells count="54">
    <mergeCell ref="A45:I45"/>
    <mergeCell ref="A53:I53"/>
    <mergeCell ref="A56:I56"/>
    <mergeCell ref="A58:I58"/>
    <mergeCell ref="H25:I25"/>
    <mergeCell ref="A35:A36"/>
    <mergeCell ref="B35:I36"/>
    <mergeCell ref="A37:A38"/>
    <mergeCell ref="B37:I38"/>
    <mergeCell ref="B39:I41"/>
    <mergeCell ref="B43:I43"/>
    <mergeCell ref="B33:G33"/>
    <mergeCell ref="H33:I33"/>
    <mergeCell ref="B34:G34"/>
    <mergeCell ref="H34:I34"/>
    <mergeCell ref="H29:I29"/>
    <mergeCell ref="H30:I30"/>
    <mergeCell ref="B31:G31"/>
    <mergeCell ref="H31:I31"/>
    <mergeCell ref="B32:G32"/>
    <mergeCell ref="H32:I32"/>
    <mergeCell ref="B30:G30"/>
    <mergeCell ref="F15:G15"/>
    <mergeCell ref="H15:I15"/>
    <mergeCell ref="F12:G12"/>
    <mergeCell ref="B28:G28"/>
    <mergeCell ref="H28:I28"/>
    <mergeCell ref="A19:G19"/>
    <mergeCell ref="H19:I19"/>
    <mergeCell ref="B20:G20"/>
    <mergeCell ref="H20:I20"/>
    <mergeCell ref="B21:G21"/>
    <mergeCell ref="H21:I21"/>
    <mergeCell ref="H22:I22"/>
    <mergeCell ref="H23:I23"/>
    <mergeCell ref="H24:I24"/>
    <mergeCell ref="H26:I26"/>
    <mergeCell ref="H27:I27"/>
    <mergeCell ref="A46:I46"/>
    <mergeCell ref="B9:I9"/>
    <mergeCell ref="E2:I2"/>
    <mergeCell ref="N2:R2"/>
    <mergeCell ref="E3:I3"/>
    <mergeCell ref="N3:O3"/>
    <mergeCell ref="E4:I4"/>
    <mergeCell ref="A10:B10"/>
    <mergeCell ref="D10:E10"/>
    <mergeCell ref="D11:E11"/>
    <mergeCell ref="A12:E12"/>
    <mergeCell ref="H12:I12"/>
    <mergeCell ref="A13:E15"/>
    <mergeCell ref="F13:G13"/>
    <mergeCell ref="F14:G14"/>
    <mergeCell ref="H14:I14"/>
  </mergeCells>
  <conditionalFormatting sqref="C35:I36 B35:B37 B39:I40">
    <cfRule type="cellIs" dxfId="21" priority="1" stopIfTrue="1" operator="equal">
      <formula>0</formula>
    </cfRule>
  </conditionalFormatting>
  <hyperlinks>
    <hyperlink ref="E55" r:id="rId1" xr:uid="{00000000-0004-0000-0400-000000000000}"/>
    <hyperlink ref="E57" r:id="rId2" xr:uid="{00000000-0004-0000-0400-000001000000}"/>
  </hyperlinks>
  <printOptions horizontalCentered="1"/>
  <pageMargins left="0.23622047244094491" right="0.23622047244094491" top="0.74803149606299213" bottom="0.74803149606299213" header="0.51181102362204722" footer="0.51181102362204722"/>
  <pageSetup paperSize="9" scale="88" firstPageNumber="0" orientation="portrait" horizontalDpi="300" verticalDpi="300" r:id="rId3"/>
  <headerFooter alignWithMargins="0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4">
    <tabColor rgb="FFFF0000"/>
  </sheetPr>
  <dimension ref="A1:P120"/>
  <sheetViews>
    <sheetView showGridLines="0" zoomScale="80" zoomScaleNormal="80" workbookViewId="0">
      <selection activeCell="C4" sqref="C4:C36"/>
    </sheetView>
  </sheetViews>
  <sheetFormatPr defaultColWidth="9.140625" defaultRowHeight="20.25" customHeight="1" outlineLevelCol="1" x14ac:dyDescent="0.2"/>
  <cols>
    <col min="1" max="1" width="26" style="332" customWidth="1" outlineLevel="1"/>
    <col min="2" max="2" width="23.42578125" style="332" customWidth="1" outlineLevel="1"/>
    <col min="3" max="3" width="40" style="332" customWidth="1" outlineLevel="1"/>
    <col min="4" max="4" width="15.28515625" style="349" bestFit="1" customWidth="1" outlineLevel="1"/>
    <col min="5" max="5" width="16.5703125" style="350" customWidth="1" outlineLevel="1"/>
    <col min="6" max="6" width="18.140625" style="350" customWidth="1" outlineLevel="1"/>
    <col min="7" max="7" width="15.42578125" style="350" customWidth="1" outlineLevel="1"/>
    <col min="8" max="8" width="14.28515625" style="350" bestFit="1" customWidth="1" outlineLevel="1"/>
    <col min="9" max="9" width="15.28515625" style="350" bestFit="1" customWidth="1"/>
    <col min="10" max="10" width="21.28515625" style="350" customWidth="1"/>
    <col min="11" max="11" width="14.28515625" style="350" bestFit="1" customWidth="1"/>
    <col min="12" max="12" width="2.28515625" style="332" customWidth="1"/>
    <col min="13" max="16384" width="9.140625" style="332"/>
  </cols>
  <sheetData>
    <row r="1" spans="1:16" ht="20.25" customHeight="1" x14ac:dyDescent="0.2">
      <c r="A1" s="717" t="s">
        <v>4</v>
      </c>
      <c r="B1" s="331"/>
      <c r="C1" s="717" t="s">
        <v>251</v>
      </c>
      <c r="D1" s="713" t="s">
        <v>118</v>
      </c>
      <c r="E1" s="713" t="s">
        <v>250</v>
      </c>
      <c r="F1" s="713" t="s">
        <v>249</v>
      </c>
      <c r="G1" s="713" t="s">
        <v>3081</v>
      </c>
      <c r="H1" s="715" t="s">
        <v>248</v>
      </c>
      <c r="I1" s="711" t="s">
        <v>247</v>
      </c>
      <c r="J1" s="711" t="s">
        <v>246</v>
      </c>
      <c r="K1" s="711" t="s">
        <v>245</v>
      </c>
    </row>
    <row r="2" spans="1:16" ht="29.25" customHeight="1" x14ac:dyDescent="0.2">
      <c r="A2" s="718"/>
      <c r="B2" s="333" t="s">
        <v>156</v>
      </c>
      <c r="C2" s="718"/>
      <c r="D2" s="714"/>
      <c r="E2" s="714"/>
      <c r="F2" s="714"/>
      <c r="G2" s="714"/>
      <c r="H2" s="716"/>
      <c r="I2" s="712"/>
      <c r="J2" s="712"/>
      <c r="K2" s="712"/>
    </row>
    <row r="3" spans="1:16" s="336" customFormat="1" ht="15.75" customHeight="1" x14ac:dyDescent="0.2">
      <c r="A3" s="334"/>
      <c r="B3" s="334"/>
      <c r="C3" s="335"/>
      <c r="D3" s="346"/>
      <c r="E3" s="346"/>
      <c r="F3" s="346"/>
      <c r="G3" s="346"/>
      <c r="H3" s="346"/>
      <c r="I3" s="347">
        <f>IF(C3=C2,(D3+D2)*'VALORES TABELA'!$B$50-E2,D3*'VALORES TABELA'!$B$50)</f>
        <v>0</v>
      </c>
      <c r="J3" s="348">
        <f>IF(($G3-E3)&lt;='VALORES TABELA'!$A$56,0,IF(($G3-$E3)&lt;='VALORES TABELA'!$A$57,($G3-$E3)*'VALORES TABELA'!$B$57-'VALORES TABELA'!$C$57,IF(($G3-$E3)&lt;='VALORES TABELA'!$A$58,($G3-$E3)*'VALORES TABELA'!$B$58-'VALORES TABELA'!$C$58,IF(($G3-$E3)&lt;='VALORES TABELA'!$A$59,($G3-$E3)*'VALORES TABELA'!$B$59-'VALORES TABELA'!$C$59,($G3-$E3)*'VALORES TABELA'!$B$60-'VALORES TABELA'!$C$60))))</f>
        <v>0</v>
      </c>
      <c r="K3" s="348">
        <f>IF(($I3-$E3)&lt;='VALORES TABELA'!$A$56,0,IF(($I3-$E3)&lt;='VALORES TABELA'!$A$57,($I3-$E3)*'VALORES TABELA'!$B$57-'VALORES TABELA'!$C$57,IF(($I3-$E3)&lt;='VALORES TABELA'!$A$58,($I3-$E3)*'VALORES TABELA'!$B$58-'VALORES TABELA'!$C$58,IF(($I3-$E3)&lt;='VALORES TABELA'!$A$59,($I3-$E3)*'VALORES TABELA'!$B$59-'VALORES TABELA'!$C$59,($I3-$E3)*'VALORES TABELA'!$B$60-'VALORES TABELA'!$C$60))))-J2</f>
        <v>0</v>
      </c>
      <c r="O3" s="332"/>
      <c r="P3" s="332"/>
    </row>
    <row r="4" spans="1:16" ht="20.25" customHeight="1" x14ac:dyDescent="0.2">
      <c r="A4" s="337" t="s">
        <v>3180</v>
      </c>
      <c r="B4" s="332" t="s">
        <v>3310</v>
      </c>
      <c r="C4" s="351" t="s">
        <v>3343</v>
      </c>
      <c r="D4" s="349" t="e">
        <f>SUMIF('APONTAMENTO CREDENCIAMENTO'!$D$5:$D$4033,$A4,'APONTAMENTO CREDENCIAMENTO'!#REF!)</f>
        <v>#REF!</v>
      </c>
      <c r="E4" s="350" t="e">
        <f>IF(D4=0,0,IF(D4*0.2*0.11&gt;607.2,607.2,IF(D4&lt;42377.92,D4*0.2*0.11,IF(D4*0.2*0.11&gt;932.31,932.31))))</f>
        <v>#REF!</v>
      </c>
      <c r="F4" s="350" t="e">
        <f>$D4*'VALORES TABELA'!$B$45*'VALORES TABELA'!$B$46</f>
        <v>#REF!</v>
      </c>
      <c r="G4" s="350" t="e">
        <f t="shared" ref="G4" si="0">D4*60%</f>
        <v>#REF!</v>
      </c>
      <c r="H4" s="350" t="e">
        <f>_xlfn.LET(_xlpm.base,G4,_xlpm.bruto,E4+G4,_xlpm.ir_normal,IF(_xlpm.base&lt;='VALORES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4" s="350" t="e">
        <f>IF($C4=$C3,($D4+$D3)*'VALORES TABELA'!$B$50-$E3,$D4*'VALORES TABELA'!$B$50)</f>
        <v>#REF!</v>
      </c>
      <c r="J4" s="350" t="e">
        <f>IF(($G4-E4)&lt;='VALORES TABELA'!$A$56,0,IF(($G4-$E4)&lt;='VALORES TABELA'!$A$57,($G4-$E4)*'VALORES TABELA'!$B$57-'VALORES TABELA'!$C$57,IF(($G4-$E4)&lt;='VALORES TABELA'!$A$58,($G4-$E4)*'VALORES TABELA'!$B$58-'VALORES TABELA'!$C$58,IF(($G4-$E4)&lt;='VALORES TABELA'!$A$59,($G4-$E4)*'VALORES TABELA'!$B$59-'VALORES TABELA'!$C$59,($G4-$E4)*'VALORES TABELA'!$B$60-'VALORES TABELA'!$C$60))))</f>
        <v>#REF!</v>
      </c>
      <c r="K4" s="350" t="e">
        <f>IF(($I4-$E4)&lt;='VALORES TABELA'!$A$56,0,IF(($I4-$E4)&lt;='VALORES TABELA'!$A$57,($I4-$E4)*'VALORES TABELA'!$B$57-'VALORES TABELA'!$C$57,IF(($I4-$E4)&lt;='VALORES TABELA'!$A$58,($I4-$E4)*'VALORES TABELA'!$B$58-'VALORES TABELA'!$C$58,IF(($I4-$E4)&lt;='VALORES TABELA'!$A$59,($I4-$E4)*'VALORES TABELA'!$B$59-'VALORES TABELA'!$C$59,($I4-$E4)*'VALORES TABELA'!$B$60-'VALORES TABELA'!$C$60))))-J3</f>
        <v>#REF!</v>
      </c>
    </row>
    <row r="5" spans="1:16" ht="20.25" customHeight="1" x14ac:dyDescent="0.2">
      <c r="A5" t="s">
        <v>3184</v>
      </c>
      <c r="B5" t="s">
        <v>3311</v>
      </c>
      <c r="C5" t="s">
        <v>3344</v>
      </c>
      <c r="D5" s="349" t="e">
        <f>SUMIF('APONTAMENTO CREDENCIAMENTO'!$D$5:$D$4033,$A5,'APONTAMENTO CREDENCIAMENTO'!#REF!)</f>
        <v>#REF!</v>
      </c>
      <c r="E5" s="350" t="e">
        <f t="shared" ref="E5:E36" si="1">IF(D5=0,0,IF(D5*0.2*0.11&gt;607.2,607.2,IF(D5&lt;42377.92,D5*0.2*0.11,IF(D5*0.2*0.11&gt;932.31,932.31))))</f>
        <v>#REF!</v>
      </c>
      <c r="F5" s="350" t="e">
        <f>$D5*'VALORES TABELA'!$B$45*'VALORES TABELA'!$B$46</f>
        <v>#REF!</v>
      </c>
      <c r="G5" s="350" t="e">
        <f t="shared" ref="G5:G36" si="2">D5*60%</f>
        <v>#REF!</v>
      </c>
      <c r="H5" s="350" t="e">
        <f>_xlfn.LET(_xlpm.base,G5,_xlpm.bruto,E5+G5,_xlpm.ir_normal,IF(_xlpm.base&lt;='VALORES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5" s="350" t="e">
        <f>IF($C5=$C4,($D5+$D4)*'VALORES TABELA'!$B$50-$E4,$D5*'VALORES TABELA'!$B$50)</f>
        <v>#REF!</v>
      </c>
      <c r="J5" s="350" t="e">
        <f>IF(($G5-E5)&lt;='VALORES TABELA'!$A$56,0,IF(($G5-$E5)&lt;='VALORES TABELA'!$A$57,($G5-$E5)*'VALORES TABELA'!$B$57-'VALORES TABELA'!$C$57,IF(($G5-$E5)&lt;='VALORES TABELA'!$A$58,($G5-$E5)*'VALORES TABELA'!$B$58-'VALORES TABELA'!$C$58,IF(($G5-$E5)&lt;='VALORES TABELA'!$A$59,($G5-$E5)*'VALORES TABELA'!$B$59-'VALORES TABELA'!$C$59,($G5-$E5)*'VALORES TABELA'!$B$60-'VALORES TABELA'!$C$60))))</f>
        <v>#REF!</v>
      </c>
      <c r="K5" s="350" t="e">
        <f>IF(($I5-$E5)&lt;='VALORES TABELA'!$A$56,0,IF(($I5-$E5)&lt;='VALORES TABELA'!$A$57,($I5-$E5)*'VALORES TABELA'!$B$57-'VALORES TABELA'!$C$57,IF(($I5-$E5)&lt;='VALORES TABELA'!$A$58,($I5-$E5)*'VALORES TABELA'!$B$58-'VALORES TABELA'!$C$58,IF(($I5-$E5)&lt;='VALORES TABELA'!$A$59,($I5-$E5)*'VALORES TABELA'!$B$59-'VALORES TABELA'!$C$59,($I5-$E5)*'VALORES TABELA'!$B$60-'VALORES TABELA'!$C$60))))-J4</f>
        <v>#REF!</v>
      </c>
    </row>
    <row r="6" spans="1:16" ht="20.25" customHeight="1" x14ac:dyDescent="0.2">
      <c r="A6" t="s">
        <v>3188</v>
      </c>
      <c r="B6" t="s">
        <v>3312</v>
      </c>
      <c r="C6" t="s">
        <v>3345</v>
      </c>
      <c r="D6" s="349" t="e">
        <f>SUMIF('APONTAMENTO CREDENCIAMENTO'!$D$5:$D$4033,$A6,'APONTAMENTO CREDENCIAMENTO'!#REF!)</f>
        <v>#REF!</v>
      </c>
      <c r="E6" s="350" t="e">
        <f t="shared" si="1"/>
        <v>#REF!</v>
      </c>
      <c r="F6" s="350" t="e">
        <f>$D6*'VALORES TABELA'!$B$45*'VALORES TABELA'!$B$46</f>
        <v>#REF!</v>
      </c>
      <c r="G6" s="350" t="e">
        <f t="shared" si="2"/>
        <v>#REF!</v>
      </c>
      <c r="H6" s="350" t="e">
        <f>_xlfn.LET(_xlpm.base,G6,_xlpm.bruto,E6+G6,_xlpm.ir_normal,IF(_xlpm.base&lt;='VALORES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6" s="350" t="e">
        <f>IF($C6=$C5,($D6+$D5)*'VALORES TABELA'!$B$50-$E5,$D6*'VALORES TABELA'!$B$50)</f>
        <v>#REF!</v>
      </c>
      <c r="J6" s="350" t="e">
        <f>IF(($G6-E6)&lt;='VALORES TABELA'!$A$56,0,IF(($G6-$E6)&lt;='VALORES TABELA'!$A$57,($G6-$E6)*'VALORES TABELA'!$B$57-'VALORES TABELA'!$C$57,IF(($G6-$E6)&lt;='VALORES TABELA'!$A$58,($G6-$E6)*'VALORES TABELA'!$B$58-'VALORES TABELA'!$C$58,IF(($G6-$E6)&lt;='VALORES TABELA'!$A$59,($G6-$E6)*'VALORES TABELA'!$B$59-'VALORES TABELA'!$C$59,($G6-$E6)*'VALORES TABELA'!$B$60-'VALORES TABELA'!$C$60))))</f>
        <v>#REF!</v>
      </c>
      <c r="K6" s="350" t="e">
        <f>IF(($I6-$E6)&lt;='VALORES TABELA'!$A$56,0,IF(($I6-$E6)&lt;='VALORES TABELA'!$A$57,($I6-$E6)*'VALORES TABELA'!$B$57-'VALORES TABELA'!$C$57,IF(($I6-$E6)&lt;='VALORES TABELA'!$A$58,($I6-$E6)*'VALORES TABELA'!$B$58-'VALORES TABELA'!$C$58,IF(($I6-$E6)&lt;='VALORES TABELA'!$A$59,($I6-$E6)*'VALORES TABELA'!$B$59-'VALORES TABELA'!$C$59,($I6-$E6)*'VALORES TABELA'!$B$60-'VALORES TABELA'!$C$60))))-J5</f>
        <v>#REF!</v>
      </c>
    </row>
    <row r="7" spans="1:16" ht="20.25" customHeight="1" x14ac:dyDescent="0.2">
      <c r="A7" t="s">
        <v>3192</v>
      </c>
      <c r="B7" t="s">
        <v>3313</v>
      </c>
      <c r="C7" t="s">
        <v>3346</v>
      </c>
      <c r="D7" s="349" t="e">
        <f>SUMIF('APONTAMENTO CREDENCIAMENTO'!$D$5:$D$4033,$A7,'APONTAMENTO CREDENCIAMENTO'!#REF!)</f>
        <v>#REF!</v>
      </c>
      <c r="E7" s="350" t="e">
        <f t="shared" si="1"/>
        <v>#REF!</v>
      </c>
      <c r="F7" s="350" t="e">
        <f>$D7*'VALORES TABELA'!$B$45*'VALORES TABELA'!$B$46</f>
        <v>#REF!</v>
      </c>
      <c r="G7" s="350" t="e">
        <f t="shared" si="2"/>
        <v>#REF!</v>
      </c>
      <c r="H7" s="350" t="e">
        <f>_xlfn.LET(_xlpm.base,G7,_xlpm.bruto,E7+G7,_xlpm.ir_normal,IF(_xlpm.base&lt;='VALORES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7" s="350" t="e">
        <f>IF($C7=$C6,($D7+$D6)*'VALORES TABELA'!$B$50-$E6,$D7*'VALORES TABELA'!$B$50)</f>
        <v>#REF!</v>
      </c>
      <c r="J7" s="350" t="e">
        <f>IF(($G7-E7)&lt;='VALORES TABELA'!$A$56,0,IF(($G7-$E7)&lt;='VALORES TABELA'!$A$57,($G7-$E7)*'VALORES TABELA'!$B$57-'VALORES TABELA'!$C$57,IF(($G7-$E7)&lt;='VALORES TABELA'!$A$58,($G7-$E7)*'VALORES TABELA'!$B$58-'VALORES TABELA'!$C$58,IF(($G7-$E7)&lt;='VALORES TABELA'!$A$59,($G7-$E7)*'VALORES TABELA'!$B$59-'VALORES TABELA'!$C$59,($G7-$E7)*'VALORES TABELA'!$B$60-'VALORES TABELA'!$C$60))))</f>
        <v>#REF!</v>
      </c>
      <c r="K7" s="350" t="e">
        <f>IF(($I7-$E7)&lt;='VALORES TABELA'!$A$56,0,IF(($I7-$E7)&lt;='VALORES TABELA'!$A$57,($I7-$E7)*'VALORES TABELA'!$B$57-'VALORES TABELA'!$C$57,IF(($I7-$E7)&lt;='VALORES TABELA'!$A$58,($I7-$E7)*'VALORES TABELA'!$B$58-'VALORES TABELA'!$C$58,IF(($I7-$E7)&lt;='VALORES TABELA'!$A$59,($I7-$E7)*'VALORES TABELA'!$B$59-'VALORES TABELA'!$C$59,($I7-$E7)*'VALORES TABELA'!$B$60-'VALORES TABELA'!$C$60))))-J6</f>
        <v>#REF!</v>
      </c>
    </row>
    <row r="8" spans="1:16" ht="20.25" customHeight="1" x14ac:dyDescent="0.2">
      <c r="A8" t="s">
        <v>3196</v>
      </c>
      <c r="B8" t="s">
        <v>3314</v>
      </c>
      <c r="C8" t="s">
        <v>3347</v>
      </c>
      <c r="D8" s="349" t="e">
        <f>SUMIF('APONTAMENTO CREDENCIAMENTO'!$D$5:$D$4033,$A8,'APONTAMENTO CREDENCIAMENTO'!#REF!)</f>
        <v>#REF!</v>
      </c>
      <c r="E8" s="350" t="e">
        <f t="shared" si="1"/>
        <v>#REF!</v>
      </c>
      <c r="F8" s="350" t="e">
        <f>$D8*'VALORES TABELA'!$B$45*'VALORES TABELA'!$B$46</f>
        <v>#REF!</v>
      </c>
      <c r="G8" s="350" t="e">
        <f t="shared" si="2"/>
        <v>#REF!</v>
      </c>
      <c r="H8" s="350" t="e">
        <f>_xlfn.LET(_xlpm.base,G8,_xlpm.bruto,E8+G8,_xlpm.ir_normal,IF(_xlpm.base&lt;='VALORES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8" s="350" t="e">
        <f>IF($C8=$C7,($D8+$D7)*'VALORES TABELA'!$B$50-$E7,$D8*'VALORES TABELA'!$B$50)</f>
        <v>#REF!</v>
      </c>
      <c r="J8" s="350" t="e">
        <f>IF(($G8-E8)&lt;='VALORES TABELA'!$A$56,0,IF(($G8-$E8)&lt;='VALORES TABELA'!$A$57,($G8-$E8)*'VALORES TABELA'!$B$57-'VALORES TABELA'!$C$57,IF(($G8-$E8)&lt;='VALORES TABELA'!$A$58,($G8-$E8)*'VALORES TABELA'!$B$58-'VALORES TABELA'!$C$58,IF(($G8-$E8)&lt;='VALORES TABELA'!$A$59,($G8-$E8)*'VALORES TABELA'!$B$59-'VALORES TABELA'!$C$59,($G8-$E8)*'VALORES TABELA'!$B$60-'VALORES TABELA'!$C$60))))</f>
        <v>#REF!</v>
      </c>
      <c r="K8" s="350" t="e">
        <f>IF(($I8-$E8)&lt;='VALORES TABELA'!$A$56,0,IF(($I8-$E8)&lt;='VALORES TABELA'!$A$57,($I8-$E8)*'VALORES TABELA'!$B$57-'VALORES TABELA'!$C$57,IF(($I8-$E8)&lt;='VALORES TABELA'!$A$58,($I8-$E8)*'VALORES TABELA'!$B$58-'VALORES TABELA'!$C$58,IF(($I8-$E8)&lt;='VALORES TABELA'!$A$59,($I8-$E8)*'VALORES TABELA'!$B$59-'VALORES TABELA'!$C$59,($I8-$E8)*'VALORES TABELA'!$B$60-'VALORES TABELA'!$C$60))))-J7</f>
        <v>#REF!</v>
      </c>
    </row>
    <row r="9" spans="1:16" ht="20.25" customHeight="1" x14ac:dyDescent="0.2">
      <c r="A9" t="s">
        <v>3200</v>
      </c>
      <c r="B9" t="s">
        <v>3315</v>
      </c>
      <c r="C9" t="s">
        <v>3348</v>
      </c>
      <c r="D9" s="349" t="e">
        <f>SUMIF('APONTAMENTO CREDENCIAMENTO'!$D$5:$D$4033,$A9,'APONTAMENTO CREDENCIAMENTO'!#REF!)</f>
        <v>#REF!</v>
      </c>
      <c r="E9" s="350" t="e">
        <f t="shared" si="1"/>
        <v>#REF!</v>
      </c>
      <c r="F9" s="350" t="e">
        <f>$D9*'VALORES TABELA'!$B$45*'VALORES TABELA'!$B$46</f>
        <v>#REF!</v>
      </c>
      <c r="G9" s="350" t="e">
        <f t="shared" si="2"/>
        <v>#REF!</v>
      </c>
      <c r="H9" s="350" t="e">
        <f>_xlfn.LET(_xlpm.base,G9,_xlpm.bruto,E9+G9,_xlpm.ir_normal,IF(_xlpm.base&lt;='VALORES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9" s="350" t="e">
        <f>IF($C9=$C8,($D9+$D8)*'VALORES TABELA'!$B$50-$E8,$D9*'VALORES TABELA'!$B$50)</f>
        <v>#REF!</v>
      </c>
      <c r="J9" s="350" t="e">
        <f>IF(($G9-E9)&lt;='VALORES TABELA'!$A$56,0,IF(($G9-$E9)&lt;='VALORES TABELA'!$A$57,($G9-$E9)*'VALORES TABELA'!$B$57-'VALORES TABELA'!$C$57,IF(($G9-$E9)&lt;='VALORES TABELA'!$A$58,($G9-$E9)*'VALORES TABELA'!$B$58-'VALORES TABELA'!$C$58,IF(($G9-$E9)&lt;='VALORES TABELA'!$A$59,($G9-$E9)*'VALORES TABELA'!$B$59-'VALORES TABELA'!$C$59,($G9-$E9)*'VALORES TABELA'!$B$60-'VALORES TABELA'!$C$60))))</f>
        <v>#REF!</v>
      </c>
      <c r="K9" s="350" t="e">
        <f>IF(($I9-$E9)&lt;='VALORES TABELA'!$A$56,0,IF(($I9-$E9)&lt;='VALORES TABELA'!$A$57,($I9-$E9)*'VALORES TABELA'!$B$57-'VALORES TABELA'!$C$57,IF(($I9-$E9)&lt;='VALORES TABELA'!$A$58,($I9-$E9)*'VALORES TABELA'!$B$58-'VALORES TABELA'!$C$58,IF(($I9-$E9)&lt;='VALORES TABELA'!$A$59,($I9-$E9)*'VALORES TABELA'!$B$59-'VALORES TABELA'!$C$59,($I9-$E9)*'VALORES TABELA'!$B$60-'VALORES TABELA'!$C$60))))-J8</f>
        <v>#REF!</v>
      </c>
    </row>
    <row r="10" spans="1:16" ht="20.25" customHeight="1" x14ac:dyDescent="0.2">
      <c r="A10" t="s">
        <v>3204</v>
      </c>
      <c r="B10" t="s">
        <v>3316</v>
      </c>
      <c r="C10" t="s">
        <v>3349</v>
      </c>
      <c r="D10" s="349" t="e">
        <f>SUMIF('APONTAMENTO CREDENCIAMENTO'!$D$5:$D$4033,$A10,'APONTAMENTO CREDENCIAMENTO'!#REF!)</f>
        <v>#REF!</v>
      </c>
      <c r="E10" s="350" t="e">
        <f t="shared" si="1"/>
        <v>#REF!</v>
      </c>
      <c r="F10" s="350" t="e">
        <f>$D10*'VALORES TABELA'!$B$45*'VALORES TABELA'!$B$46</f>
        <v>#REF!</v>
      </c>
      <c r="G10" s="350" t="e">
        <f t="shared" si="2"/>
        <v>#REF!</v>
      </c>
      <c r="H10" s="350" t="e">
        <f>_xlfn.LET(_xlpm.base,G10,_xlpm.bruto,E10+G10,_xlpm.ir_normal,IF(_xlpm.base&lt;='VALORES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10" s="350" t="e">
        <f>IF($C10=$C9,($D10+$D9)*'VALORES TABELA'!$B$50-$E9,$D10*'VALORES TABELA'!$B$50)</f>
        <v>#REF!</v>
      </c>
      <c r="J10" s="350" t="e">
        <f>IF(($G10-E10)&lt;='VALORES TABELA'!$A$56,0,IF(($G10-$E10)&lt;='VALORES TABELA'!$A$57,($G10-$E10)*'VALORES TABELA'!$B$57-'VALORES TABELA'!$C$57,IF(($G10-$E10)&lt;='VALORES TABELA'!$A$58,($G10-$E10)*'VALORES TABELA'!$B$58-'VALORES TABELA'!$C$58,IF(($G10-$E10)&lt;='VALORES TABELA'!$A$59,($G10-$E10)*'VALORES TABELA'!$B$59-'VALORES TABELA'!$C$59,($G10-$E10)*'VALORES TABELA'!$B$60-'VALORES TABELA'!$C$60))))</f>
        <v>#REF!</v>
      </c>
      <c r="K10" s="350" t="e">
        <f>IF(($I10-$E10)&lt;='VALORES TABELA'!$A$56,0,IF(($I10-$E10)&lt;='VALORES TABELA'!$A$57,($I10-$E10)*'VALORES TABELA'!$B$57-'VALORES TABELA'!$C$57,IF(($I10-$E10)&lt;='VALORES TABELA'!$A$58,($I10-$E10)*'VALORES TABELA'!$B$58-'VALORES TABELA'!$C$58,IF(($I10-$E10)&lt;='VALORES TABELA'!$A$59,($I10-$E10)*'VALORES TABELA'!$B$59-'VALORES TABELA'!$C$59,($I10-$E10)*'VALORES TABELA'!$B$60-'VALORES TABELA'!$C$60))))-J9</f>
        <v>#REF!</v>
      </c>
    </row>
    <row r="11" spans="1:16" ht="20.25" customHeight="1" x14ac:dyDescent="0.2">
      <c r="A11" t="s">
        <v>3208</v>
      </c>
      <c r="B11" t="s">
        <v>3317</v>
      </c>
      <c r="C11" t="s">
        <v>3350</v>
      </c>
      <c r="D11" s="349" t="e">
        <f>SUMIF('APONTAMENTO CREDENCIAMENTO'!$D$5:$D$4033,$A11,'APONTAMENTO CREDENCIAMENTO'!#REF!)</f>
        <v>#REF!</v>
      </c>
      <c r="E11" s="350" t="e">
        <f t="shared" si="1"/>
        <v>#REF!</v>
      </c>
      <c r="F11" s="350" t="e">
        <f>$D11*'VALORES TABELA'!$B$45*'VALORES TABELA'!$B$46</f>
        <v>#REF!</v>
      </c>
      <c r="G11" s="350" t="e">
        <f t="shared" si="2"/>
        <v>#REF!</v>
      </c>
      <c r="H11" s="350" t="e">
        <f>_xlfn.LET(_xlpm.base,G11,_xlpm.bruto,E11+G11,_xlpm.ir_normal,IF(_xlpm.base&lt;='VALORES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11" s="350" t="e">
        <f>IF($C11=$C10,($D11+$D10)*'VALORES TABELA'!$B$50-$E10,$D11*'VALORES TABELA'!$B$50)</f>
        <v>#REF!</v>
      </c>
      <c r="J11" s="350" t="e">
        <f>IF(($G11-E11)&lt;='VALORES TABELA'!$A$56,0,IF(($G11-$E11)&lt;='VALORES TABELA'!$A$57,($G11-$E11)*'VALORES TABELA'!$B$57-'VALORES TABELA'!$C$57,IF(($G11-$E11)&lt;='VALORES TABELA'!$A$58,($G11-$E11)*'VALORES TABELA'!$B$58-'VALORES TABELA'!$C$58,IF(($G11-$E11)&lt;='VALORES TABELA'!$A$59,($G11-$E11)*'VALORES TABELA'!$B$59-'VALORES TABELA'!$C$59,($G11-$E11)*'VALORES TABELA'!$B$60-'VALORES TABELA'!$C$60))))</f>
        <v>#REF!</v>
      </c>
      <c r="K11" s="350" t="e">
        <f>IF(($I11-$E11)&lt;='VALORES TABELA'!$A$56,0,IF(($I11-$E11)&lt;='VALORES TABELA'!$A$57,($I11-$E11)*'VALORES TABELA'!$B$57-'VALORES TABELA'!$C$57,IF(($I11-$E11)&lt;='VALORES TABELA'!$A$58,($I11-$E11)*'VALORES TABELA'!$B$58-'VALORES TABELA'!$C$58,IF(($I11-$E11)&lt;='VALORES TABELA'!$A$59,($I11-$E11)*'VALORES TABELA'!$B$59-'VALORES TABELA'!$C$59,($I11-$E11)*'VALORES TABELA'!$B$60-'VALORES TABELA'!$C$60))))-J10</f>
        <v>#REF!</v>
      </c>
    </row>
    <row r="12" spans="1:16" ht="20.25" customHeight="1" x14ac:dyDescent="0.2">
      <c r="A12" t="s">
        <v>3212</v>
      </c>
      <c r="B12" t="s">
        <v>3318</v>
      </c>
      <c r="C12" t="s">
        <v>3351</v>
      </c>
      <c r="D12" s="349" t="e">
        <f>SUMIF('APONTAMENTO CREDENCIAMENTO'!$D$5:$D$4033,$A12,'APONTAMENTO CREDENCIAMENTO'!#REF!)</f>
        <v>#REF!</v>
      </c>
      <c r="E12" s="350" t="e">
        <f t="shared" si="1"/>
        <v>#REF!</v>
      </c>
      <c r="F12" s="350" t="e">
        <f>$D12*'VALORES TABELA'!$B$45*'VALORES TABELA'!$B$46</f>
        <v>#REF!</v>
      </c>
      <c r="G12" s="350" t="e">
        <f t="shared" si="2"/>
        <v>#REF!</v>
      </c>
      <c r="H12" s="350" t="e">
        <f>_xlfn.LET(_xlpm.base,G12,_xlpm.bruto,E12+G12,_xlpm.ir_normal,IF(_xlpm.base&lt;='VALORES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12" s="350" t="e">
        <f>IF($C12=$C11,($D12+$D11)*'VALORES TABELA'!$B$50-$E11,$D12*'VALORES TABELA'!$B$50)</f>
        <v>#REF!</v>
      </c>
      <c r="J12" s="350" t="e">
        <f>IF(($G12-E12)&lt;='VALORES TABELA'!$A$56,0,IF(($G12-$E12)&lt;='VALORES TABELA'!$A$57,($G12-$E12)*'VALORES TABELA'!$B$57-'VALORES TABELA'!$C$57,IF(($G12-$E12)&lt;='VALORES TABELA'!$A$58,($G12-$E12)*'VALORES TABELA'!$B$58-'VALORES TABELA'!$C$58,IF(($G12-$E12)&lt;='VALORES TABELA'!$A$59,($G12-$E12)*'VALORES TABELA'!$B$59-'VALORES TABELA'!$C$59,($G12-$E12)*'VALORES TABELA'!$B$60-'VALORES TABELA'!$C$60))))</f>
        <v>#REF!</v>
      </c>
      <c r="K12" s="350" t="e">
        <f>IF(($I12-$E12)&lt;='VALORES TABELA'!$A$56,0,IF(($I12-$E12)&lt;='VALORES TABELA'!$A$57,($I12-$E12)*'VALORES TABELA'!$B$57-'VALORES TABELA'!$C$57,IF(($I12-$E12)&lt;='VALORES TABELA'!$A$58,($I12-$E12)*'VALORES TABELA'!$B$58-'VALORES TABELA'!$C$58,IF(($I12-$E12)&lt;='VALORES TABELA'!$A$59,($I12-$E12)*'VALORES TABELA'!$B$59-'VALORES TABELA'!$C$59,($I12-$E12)*'VALORES TABELA'!$B$60-'VALORES TABELA'!$C$60))))-J11</f>
        <v>#REF!</v>
      </c>
    </row>
    <row r="13" spans="1:16" ht="20.25" customHeight="1" x14ac:dyDescent="0.2">
      <c r="A13" t="s">
        <v>3216</v>
      </c>
      <c r="B13" t="s">
        <v>3319</v>
      </c>
      <c r="C13" t="s">
        <v>3352</v>
      </c>
      <c r="D13" s="349" t="e">
        <f>SUMIF('APONTAMENTO CREDENCIAMENTO'!$D$5:$D$4033,$A13,'APONTAMENTO CREDENCIAMENTO'!#REF!)</f>
        <v>#REF!</v>
      </c>
      <c r="E13" s="350" t="e">
        <f t="shared" si="1"/>
        <v>#REF!</v>
      </c>
      <c r="F13" s="350" t="e">
        <f>$D13*'VALORES TABELA'!$B$45*'VALORES TABELA'!$B$46</f>
        <v>#REF!</v>
      </c>
      <c r="G13" s="350" t="e">
        <f t="shared" si="2"/>
        <v>#REF!</v>
      </c>
      <c r="H13" s="350" t="e">
        <f>_xlfn.LET(_xlpm.base,G13,_xlpm.bruto,E13+G13,_xlpm.ir_normal,IF(_xlpm.base&lt;='VALORES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13" s="350" t="e">
        <f>IF($C13=$C12,($D13+$D12)*'VALORES TABELA'!$B$50-$E12,$D13*'VALORES TABELA'!$B$50)</f>
        <v>#REF!</v>
      </c>
      <c r="J13" s="350" t="e">
        <f>IF(($G13-E13)&lt;='VALORES TABELA'!$A$56,0,IF(($G13-$E13)&lt;='VALORES TABELA'!$A$57,($G13-$E13)*'VALORES TABELA'!$B$57-'VALORES TABELA'!$C$57,IF(($G13-$E13)&lt;='VALORES TABELA'!$A$58,($G13-$E13)*'VALORES TABELA'!$B$58-'VALORES TABELA'!$C$58,IF(($G13-$E13)&lt;='VALORES TABELA'!$A$59,($G13-$E13)*'VALORES TABELA'!$B$59-'VALORES TABELA'!$C$59,($G13-$E13)*'VALORES TABELA'!$B$60-'VALORES TABELA'!$C$60))))</f>
        <v>#REF!</v>
      </c>
      <c r="K13" s="350" t="e">
        <f>IF(($I13-$E13)&lt;='VALORES TABELA'!$A$56,0,IF(($I13-$E13)&lt;='VALORES TABELA'!$A$57,($I13-$E13)*'VALORES TABELA'!$B$57-'VALORES TABELA'!$C$57,IF(($I13-$E13)&lt;='VALORES TABELA'!$A$58,($I13-$E13)*'VALORES TABELA'!$B$58-'VALORES TABELA'!$C$58,IF(($I13-$E13)&lt;='VALORES TABELA'!$A$59,($I13-$E13)*'VALORES TABELA'!$B$59-'VALORES TABELA'!$C$59,($I13-$E13)*'VALORES TABELA'!$B$60-'VALORES TABELA'!$C$60))))-J12</f>
        <v>#REF!</v>
      </c>
    </row>
    <row r="14" spans="1:16" ht="20.25" customHeight="1" x14ac:dyDescent="0.2">
      <c r="A14" t="s">
        <v>3220</v>
      </c>
      <c r="B14" t="s">
        <v>3320</v>
      </c>
      <c r="C14" t="s">
        <v>3353</v>
      </c>
      <c r="D14" s="349" t="e">
        <f>SUMIF('APONTAMENTO CREDENCIAMENTO'!$D$5:$D$4033,$A14,'APONTAMENTO CREDENCIAMENTO'!#REF!)</f>
        <v>#REF!</v>
      </c>
      <c r="E14" s="350" t="e">
        <f t="shared" si="1"/>
        <v>#REF!</v>
      </c>
      <c r="F14" s="350" t="e">
        <f>$D14*'VALORES TABELA'!$B$45*'VALORES TABELA'!$B$46</f>
        <v>#REF!</v>
      </c>
      <c r="G14" s="350" t="e">
        <f t="shared" si="2"/>
        <v>#REF!</v>
      </c>
      <c r="H14" s="350" t="e">
        <f>_xlfn.LET(_xlpm.base,G14,_xlpm.bruto,E14+G14,_xlpm.ir_normal,IF(_xlpm.base&lt;='VALORES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14" s="350" t="e">
        <f>IF($C14=$C13,($D14+$D13)*'VALORES TABELA'!$B$50-$E13,$D14*'VALORES TABELA'!$B$50)</f>
        <v>#REF!</v>
      </c>
      <c r="J14" s="350" t="e">
        <f>IF(($G14-E14)&lt;='VALORES TABELA'!$A$56,0,IF(($G14-$E14)&lt;='VALORES TABELA'!$A$57,($G14-$E14)*'VALORES TABELA'!$B$57-'VALORES TABELA'!$C$57,IF(($G14-$E14)&lt;='VALORES TABELA'!$A$58,($G14-$E14)*'VALORES TABELA'!$B$58-'VALORES TABELA'!$C$58,IF(($G14-$E14)&lt;='VALORES TABELA'!$A$59,($G14-$E14)*'VALORES TABELA'!$B$59-'VALORES TABELA'!$C$59,($G14-$E14)*'VALORES TABELA'!$B$60-'VALORES TABELA'!$C$60))))</f>
        <v>#REF!</v>
      </c>
      <c r="K14" s="350" t="e">
        <f>IF(($I14-$E14)&lt;='VALORES TABELA'!$A$56,0,IF(($I14-$E14)&lt;='VALORES TABELA'!$A$57,($I14-$E14)*'VALORES TABELA'!$B$57-'VALORES TABELA'!$C$57,IF(($I14-$E14)&lt;='VALORES TABELA'!$A$58,($I14-$E14)*'VALORES TABELA'!$B$58-'VALORES TABELA'!$C$58,IF(($I14-$E14)&lt;='VALORES TABELA'!$A$59,($I14-$E14)*'VALORES TABELA'!$B$59-'VALORES TABELA'!$C$59,($I14-$E14)*'VALORES TABELA'!$B$60-'VALORES TABELA'!$C$60))))-J13</f>
        <v>#REF!</v>
      </c>
    </row>
    <row r="15" spans="1:16" ht="20.25" customHeight="1" x14ac:dyDescent="0.2">
      <c r="A15" t="s">
        <v>3224</v>
      </c>
      <c r="B15" t="s">
        <v>3321</v>
      </c>
      <c r="C15" t="s">
        <v>3354</v>
      </c>
      <c r="D15" s="349" t="e">
        <f>SUMIF('APONTAMENTO CREDENCIAMENTO'!$D$5:$D$4033,$A15,'APONTAMENTO CREDENCIAMENTO'!#REF!)</f>
        <v>#REF!</v>
      </c>
      <c r="E15" s="350" t="e">
        <f t="shared" si="1"/>
        <v>#REF!</v>
      </c>
      <c r="F15" s="350" t="e">
        <f>$D15*'VALORES TABELA'!$B$45*'VALORES TABELA'!$B$46</f>
        <v>#REF!</v>
      </c>
      <c r="G15" s="350" t="e">
        <f t="shared" si="2"/>
        <v>#REF!</v>
      </c>
      <c r="H15" s="350" t="e">
        <f>_xlfn.LET(_xlpm.base,G15,_xlpm.bruto,E15+G15,_xlpm.ir_normal,IF(_xlpm.base&lt;='VALORES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15" s="350" t="e">
        <f>IF($C15=$C14,($D15+$D14)*'VALORES TABELA'!$B$50-$E14,$D15*'VALORES TABELA'!$B$50)</f>
        <v>#REF!</v>
      </c>
      <c r="J15" s="350" t="e">
        <f>IF(($G15-E15)&lt;='VALORES TABELA'!$A$56,0,IF(($G15-$E15)&lt;='VALORES TABELA'!$A$57,($G15-$E15)*'VALORES TABELA'!$B$57-'VALORES TABELA'!$C$57,IF(($G15-$E15)&lt;='VALORES TABELA'!$A$58,($G15-$E15)*'VALORES TABELA'!$B$58-'VALORES TABELA'!$C$58,IF(($G15-$E15)&lt;='VALORES TABELA'!$A$59,($G15-$E15)*'VALORES TABELA'!$B$59-'VALORES TABELA'!$C$59,($G15-$E15)*'VALORES TABELA'!$B$60-'VALORES TABELA'!$C$60))))</f>
        <v>#REF!</v>
      </c>
      <c r="K15" s="350" t="e">
        <f>IF(($I15-$E15)&lt;='VALORES TABELA'!$A$56,0,IF(($I15-$E15)&lt;='VALORES TABELA'!$A$57,($I15-$E15)*'VALORES TABELA'!$B$57-'VALORES TABELA'!$C$57,IF(($I15-$E15)&lt;='VALORES TABELA'!$A$58,($I15-$E15)*'VALORES TABELA'!$B$58-'VALORES TABELA'!$C$58,IF(($I15-$E15)&lt;='VALORES TABELA'!$A$59,($I15-$E15)*'VALORES TABELA'!$B$59-'VALORES TABELA'!$C$59,($I15-$E15)*'VALORES TABELA'!$B$60-'VALORES TABELA'!$C$60))))-J14</f>
        <v>#REF!</v>
      </c>
    </row>
    <row r="16" spans="1:16" ht="20.25" customHeight="1" x14ac:dyDescent="0.2">
      <c r="A16" t="s">
        <v>3228</v>
      </c>
      <c r="B16" t="s">
        <v>3322</v>
      </c>
      <c r="C16" t="s">
        <v>3355</v>
      </c>
      <c r="D16" s="349" t="e">
        <f>SUMIF('APONTAMENTO CREDENCIAMENTO'!$D$5:$D$4033,$A16,'APONTAMENTO CREDENCIAMENTO'!#REF!)</f>
        <v>#REF!</v>
      </c>
      <c r="E16" s="350" t="e">
        <f t="shared" si="1"/>
        <v>#REF!</v>
      </c>
      <c r="F16" s="350" t="e">
        <f>$D16*'VALORES TABELA'!$B$45*'VALORES TABELA'!$B$46</f>
        <v>#REF!</v>
      </c>
      <c r="G16" s="350" t="e">
        <f t="shared" si="2"/>
        <v>#REF!</v>
      </c>
      <c r="H16" s="350" t="e">
        <f>_xlfn.LET(_xlpm.base,G16,_xlpm.bruto,E16+G16,_xlpm.ir_normal,IF(_xlpm.base&lt;='VALORES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16" s="350" t="e">
        <f>IF($C16=$C15,($D16+$D15)*'VALORES TABELA'!$B$50-$E15,$D16*'VALORES TABELA'!$B$50)</f>
        <v>#REF!</v>
      </c>
      <c r="J16" s="350" t="e">
        <f>IF(($G16-E16)&lt;='VALORES TABELA'!$A$56,0,IF(($G16-$E16)&lt;='VALORES TABELA'!$A$57,($G16-$E16)*'VALORES TABELA'!$B$57-'VALORES TABELA'!$C$57,IF(($G16-$E16)&lt;='VALORES TABELA'!$A$58,($G16-$E16)*'VALORES TABELA'!$B$58-'VALORES TABELA'!$C$58,IF(($G16-$E16)&lt;='VALORES TABELA'!$A$59,($G16-$E16)*'VALORES TABELA'!$B$59-'VALORES TABELA'!$C$59,($G16-$E16)*'VALORES TABELA'!$B$60-'VALORES TABELA'!$C$60))))</f>
        <v>#REF!</v>
      </c>
      <c r="K16" s="350" t="e">
        <f>IF(($I16-$E16)&lt;='VALORES TABELA'!$A$56,0,IF(($I16-$E16)&lt;='VALORES TABELA'!$A$57,($I16-$E16)*'VALORES TABELA'!$B$57-'VALORES TABELA'!$C$57,IF(($I16-$E16)&lt;='VALORES TABELA'!$A$58,($I16-$E16)*'VALORES TABELA'!$B$58-'VALORES TABELA'!$C$58,IF(($I16-$E16)&lt;='VALORES TABELA'!$A$59,($I16-$E16)*'VALORES TABELA'!$B$59-'VALORES TABELA'!$C$59,($I16-$E16)*'VALORES TABELA'!$B$60-'VALORES TABELA'!$C$60))))-J15</f>
        <v>#REF!</v>
      </c>
    </row>
    <row r="17" spans="1:11" ht="20.25" customHeight="1" x14ac:dyDescent="0.2">
      <c r="A17" t="s">
        <v>3232</v>
      </c>
      <c r="B17" t="s">
        <v>3323</v>
      </c>
      <c r="C17" t="s">
        <v>3356</v>
      </c>
      <c r="D17" s="349" t="e">
        <f>SUMIF('APONTAMENTO CREDENCIAMENTO'!$D$5:$D$4033,$A17,'APONTAMENTO CREDENCIAMENTO'!#REF!)</f>
        <v>#REF!</v>
      </c>
      <c r="E17" s="350" t="e">
        <f t="shared" si="1"/>
        <v>#REF!</v>
      </c>
      <c r="F17" s="350" t="e">
        <f>$D17*'VALORES TABELA'!$B$45*'VALORES TABELA'!$B$46</f>
        <v>#REF!</v>
      </c>
      <c r="G17" s="350" t="e">
        <f t="shared" si="2"/>
        <v>#REF!</v>
      </c>
      <c r="H17" s="350" t="e">
        <f>_xlfn.LET(_xlpm.base,G17,_xlpm.bruto,E17+G17,_xlpm.ir_normal,IF(_xlpm.base&lt;='VALORES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17" s="350" t="e">
        <f>IF($C17=$C16,($D17+$D16)*'VALORES TABELA'!$B$50-$E16,$D17*'VALORES TABELA'!$B$50)</f>
        <v>#REF!</v>
      </c>
      <c r="J17" s="350" t="e">
        <f>IF(($G17-E17)&lt;='VALORES TABELA'!$A$56,0,IF(($G17-$E17)&lt;='VALORES TABELA'!$A$57,($G17-$E17)*'VALORES TABELA'!$B$57-'VALORES TABELA'!$C$57,IF(($G17-$E17)&lt;='VALORES TABELA'!$A$58,($G17-$E17)*'VALORES TABELA'!$B$58-'VALORES TABELA'!$C$58,IF(($G17-$E17)&lt;='VALORES TABELA'!$A$59,($G17-$E17)*'VALORES TABELA'!$B$59-'VALORES TABELA'!$C$59,($G17-$E17)*'VALORES TABELA'!$B$60-'VALORES TABELA'!$C$60))))</f>
        <v>#REF!</v>
      </c>
      <c r="K17" s="350" t="e">
        <f>IF(($I17-$E17)&lt;='VALORES TABELA'!$A$56,0,IF(($I17-$E17)&lt;='VALORES TABELA'!$A$57,($I17-$E17)*'VALORES TABELA'!$B$57-'VALORES TABELA'!$C$57,IF(($I17-$E17)&lt;='VALORES TABELA'!$A$58,($I17-$E17)*'VALORES TABELA'!$B$58-'VALORES TABELA'!$C$58,IF(($I17-$E17)&lt;='VALORES TABELA'!$A$59,($I17-$E17)*'VALORES TABELA'!$B$59-'VALORES TABELA'!$C$59,($I17-$E17)*'VALORES TABELA'!$B$60-'VALORES TABELA'!$C$60))))-J16</f>
        <v>#REF!</v>
      </c>
    </row>
    <row r="18" spans="1:11" ht="20.25" customHeight="1" x14ac:dyDescent="0.2">
      <c r="A18" t="s">
        <v>3236</v>
      </c>
      <c r="B18" t="s">
        <v>3324</v>
      </c>
      <c r="C18" t="s">
        <v>3357</v>
      </c>
      <c r="D18" s="349" t="e">
        <f>SUMIF('APONTAMENTO CREDENCIAMENTO'!$D$5:$D$4033,$A18,'APONTAMENTO CREDENCIAMENTO'!#REF!)</f>
        <v>#REF!</v>
      </c>
      <c r="E18" s="350" t="e">
        <f t="shared" si="1"/>
        <v>#REF!</v>
      </c>
      <c r="F18" s="350" t="e">
        <f>$D18*'VALORES TABELA'!$B$45*'VALORES TABELA'!$B$46</f>
        <v>#REF!</v>
      </c>
      <c r="G18" s="350" t="e">
        <f t="shared" si="2"/>
        <v>#REF!</v>
      </c>
      <c r="H18" s="350" t="e">
        <f>_xlfn.LET(_xlpm.base,G18,_xlpm.bruto,E18+G18,_xlpm.ir_normal,IF(_xlpm.base&lt;='VALORES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18" s="350" t="e">
        <f>IF($C18=$C17,($D18+$D17)*'VALORES TABELA'!$B$50-$E17,$D18*'VALORES TABELA'!$B$50)</f>
        <v>#REF!</v>
      </c>
      <c r="J18" s="350" t="e">
        <f>IF(($G18-E18)&lt;='VALORES TABELA'!$A$56,0,IF(($G18-$E18)&lt;='VALORES TABELA'!$A$57,($G18-$E18)*'VALORES TABELA'!$B$57-'VALORES TABELA'!$C$57,IF(($G18-$E18)&lt;='VALORES TABELA'!$A$58,($G18-$E18)*'VALORES TABELA'!$B$58-'VALORES TABELA'!$C$58,IF(($G18-$E18)&lt;='VALORES TABELA'!$A$59,($G18-$E18)*'VALORES TABELA'!$B$59-'VALORES TABELA'!$C$59,($G18-$E18)*'VALORES TABELA'!$B$60-'VALORES TABELA'!$C$60))))</f>
        <v>#REF!</v>
      </c>
      <c r="K18" s="350" t="e">
        <f>IF(($I18-$E18)&lt;='VALORES TABELA'!$A$56,0,IF(($I18-$E18)&lt;='VALORES TABELA'!$A$57,($I18-$E18)*'VALORES TABELA'!$B$57-'VALORES TABELA'!$C$57,IF(($I18-$E18)&lt;='VALORES TABELA'!$A$58,($I18-$E18)*'VALORES TABELA'!$B$58-'VALORES TABELA'!$C$58,IF(($I18-$E18)&lt;='VALORES TABELA'!$A$59,($I18-$E18)*'VALORES TABELA'!$B$59-'VALORES TABELA'!$C$59,($I18-$E18)*'VALORES TABELA'!$B$60-'VALORES TABELA'!$C$60))))-J17</f>
        <v>#REF!</v>
      </c>
    </row>
    <row r="19" spans="1:11" ht="20.25" customHeight="1" x14ac:dyDescent="0.2">
      <c r="A19" t="s">
        <v>3240</v>
      </c>
      <c r="B19" t="s">
        <v>3325</v>
      </c>
      <c r="C19" t="s">
        <v>3358</v>
      </c>
      <c r="D19" s="349" t="e">
        <f>SUMIF('APONTAMENTO CREDENCIAMENTO'!$D$5:$D$4033,$A19,'APONTAMENTO CREDENCIAMENTO'!#REF!)</f>
        <v>#REF!</v>
      </c>
      <c r="E19" s="350" t="e">
        <f t="shared" si="1"/>
        <v>#REF!</v>
      </c>
      <c r="F19" s="350" t="e">
        <f>$D19*'VALORES TABELA'!$B$45*'VALORES TABELA'!$B$46</f>
        <v>#REF!</v>
      </c>
      <c r="G19" s="350" t="e">
        <f t="shared" si="2"/>
        <v>#REF!</v>
      </c>
      <c r="H19" s="350" t="e">
        <f>_xlfn.LET(_xlpm.base,G19,_xlpm.bruto,E19+G19,_xlpm.ir_normal,IF(_xlpm.base&lt;='VALORES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19" s="350" t="e">
        <f>IF($C19=$C18,($D19+$D18)*'VALORES TABELA'!$B$50-$E18,$D19*'VALORES TABELA'!$B$50)</f>
        <v>#REF!</v>
      </c>
      <c r="J19" s="350" t="e">
        <f>IF(($G19-E19)&lt;='VALORES TABELA'!$A$56,0,IF(($G19-$E19)&lt;='VALORES TABELA'!$A$57,($G19-$E19)*'VALORES TABELA'!$B$57-'VALORES TABELA'!$C$57,IF(($G19-$E19)&lt;='VALORES TABELA'!$A$58,($G19-$E19)*'VALORES TABELA'!$B$58-'VALORES TABELA'!$C$58,IF(($G19-$E19)&lt;='VALORES TABELA'!$A$59,($G19-$E19)*'VALORES TABELA'!$B$59-'VALORES TABELA'!$C$59,($G19-$E19)*'VALORES TABELA'!$B$60-'VALORES TABELA'!$C$60))))</f>
        <v>#REF!</v>
      </c>
      <c r="K19" s="350" t="e">
        <f>IF(($I19-$E19)&lt;='VALORES TABELA'!$A$56,0,IF(($I19-$E19)&lt;='VALORES TABELA'!$A$57,($I19-$E19)*'VALORES TABELA'!$B$57-'VALORES TABELA'!$C$57,IF(($I19-$E19)&lt;='VALORES TABELA'!$A$58,($I19-$E19)*'VALORES TABELA'!$B$58-'VALORES TABELA'!$C$58,IF(($I19-$E19)&lt;='VALORES TABELA'!$A$59,($I19-$E19)*'VALORES TABELA'!$B$59-'VALORES TABELA'!$C$59,($I19-$E19)*'VALORES TABELA'!$B$60-'VALORES TABELA'!$C$60))))-J18</f>
        <v>#REF!</v>
      </c>
    </row>
    <row r="20" spans="1:11" ht="20.25" customHeight="1" x14ac:dyDescent="0.2">
      <c r="A20" t="s">
        <v>3244</v>
      </c>
      <c r="B20" t="s">
        <v>3326</v>
      </c>
      <c r="C20" t="s">
        <v>3359</v>
      </c>
      <c r="D20" s="349" t="e">
        <f>SUMIF('APONTAMENTO CREDENCIAMENTO'!$D$5:$D$4033,$A20,'APONTAMENTO CREDENCIAMENTO'!#REF!)</f>
        <v>#REF!</v>
      </c>
      <c r="E20" s="350" t="e">
        <f t="shared" si="1"/>
        <v>#REF!</v>
      </c>
      <c r="F20" s="350" t="e">
        <f>$D20*'VALORES TABELA'!$B$45*'VALORES TABELA'!$B$46</f>
        <v>#REF!</v>
      </c>
      <c r="G20" s="350" t="e">
        <f t="shared" si="2"/>
        <v>#REF!</v>
      </c>
      <c r="H20" s="350" t="e">
        <f>_xlfn.LET(_xlpm.base,G20,_xlpm.bruto,E20+G20,_xlpm.ir_normal,IF(_xlpm.base&lt;='VALORES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20" s="350" t="e">
        <f>IF($C20=$C19,($D20+$D19)*'VALORES TABELA'!$B$50-$E19,$D20*'VALORES TABELA'!$B$50)</f>
        <v>#REF!</v>
      </c>
      <c r="J20" s="350" t="e">
        <f>IF(($G20-E20)&lt;='VALORES TABELA'!$A$56,0,IF(($G20-$E20)&lt;='VALORES TABELA'!$A$57,($G20-$E20)*'VALORES TABELA'!$B$57-'VALORES TABELA'!$C$57,IF(($G20-$E20)&lt;='VALORES TABELA'!$A$58,($G20-$E20)*'VALORES TABELA'!$B$58-'VALORES TABELA'!$C$58,IF(($G20-$E20)&lt;='VALORES TABELA'!$A$59,($G20-$E20)*'VALORES TABELA'!$B$59-'VALORES TABELA'!$C$59,($G20-$E20)*'VALORES TABELA'!$B$60-'VALORES TABELA'!$C$60))))</f>
        <v>#REF!</v>
      </c>
      <c r="K20" s="350" t="e">
        <f>IF(($I20-$E20)&lt;='VALORES TABELA'!$A$56,0,IF(($I20-$E20)&lt;='VALORES TABELA'!$A$57,($I20-$E20)*'VALORES TABELA'!$B$57-'VALORES TABELA'!$C$57,IF(($I20-$E20)&lt;='VALORES TABELA'!$A$58,($I20-$E20)*'VALORES TABELA'!$B$58-'VALORES TABELA'!$C$58,IF(($I20-$E20)&lt;='VALORES TABELA'!$A$59,($I20-$E20)*'VALORES TABELA'!$B$59-'VALORES TABELA'!$C$59,($I20-$E20)*'VALORES TABELA'!$B$60-'VALORES TABELA'!$C$60))))-J19</f>
        <v>#REF!</v>
      </c>
    </row>
    <row r="21" spans="1:11" ht="20.25" customHeight="1" x14ac:dyDescent="0.2">
      <c r="A21" t="s">
        <v>3248</v>
      </c>
      <c r="B21" t="s">
        <v>3327</v>
      </c>
      <c r="C21" t="s">
        <v>3360</v>
      </c>
      <c r="D21" s="349" t="e">
        <f>SUMIF('APONTAMENTO CREDENCIAMENTO'!$D$5:$D$4033,$A21,'APONTAMENTO CREDENCIAMENTO'!#REF!)</f>
        <v>#REF!</v>
      </c>
      <c r="E21" s="350" t="e">
        <f t="shared" si="1"/>
        <v>#REF!</v>
      </c>
      <c r="F21" s="350" t="e">
        <f>$D21*'VALORES TABELA'!$B$45*'VALORES TABELA'!$B$46</f>
        <v>#REF!</v>
      </c>
      <c r="G21" s="350" t="e">
        <f t="shared" si="2"/>
        <v>#REF!</v>
      </c>
      <c r="H21" s="350" t="e">
        <f>_xlfn.LET(_xlpm.base,G21,_xlpm.bruto,E21+G21,_xlpm.ir_normal,IF(_xlpm.base&lt;='VALORES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21" s="350" t="e">
        <f>IF($C21=$C20,($D21+$D20)*'VALORES TABELA'!$B$50-$E20,$D21*'VALORES TABELA'!$B$50)</f>
        <v>#REF!</v>
      </c>
      <c r="J21" s="350" t="e">
        <f>IF(($G21-E21)&lt;='VALORES TABELA'!$A$56,0,IF(($G21-$E21)&lt;='VALORES TABELA'!$A$57,($G21-$E21)*'VALORES TABELA'!$B$57-'VALORES TABELA'!$C$57,IF(($G21-$E21)&lt;='VALORES TABELA'!$A$58,($G21-$E21)*'VALORES TABELA'!$B$58-'VALORES TABELA'!$C$58,IF(($G21-$E21)&lt;='VALORES TABELA'!$A$59,($G21-$E21)*'VALORES TABELA'!$B$59-'VALORES TABELA'!$C$59,($G21-$E21)*'VALORES TABELA'!$B$60-'VALORES TABELA'!$C$60))))</f>
        <v>#REF!</v>
      </c>
      <c r="K21" s="350" t="e">
        <f>IF(($I21-$E21)&lt;='VALORES TABELA'!$A$56,0,IF(($I21-$E21)&lt;='VALORES TABELA'!$A$57,($I21-$E21)*'VALORES TABELA'!$B$57-'VALORES TABELA'!$C$57,IF(($I21-$E21)&lt;='VALORES TABELA'!$A$58,($I21-$E21)*'VALORES TABELA'!$B$58-'VALORES TABELA'!$C$58,IF(($I21-$E21)&lt;='VALORES TABELA'!$A$59,($I21-$E21)*'VALORES TABELA'!$B$59-'VALORES TABELA'!$C$59,($I21-$E21)*'VALORES TABELA'!$B$60-'VALORES TABELA'!$C$60))))-J20</f>
        <v>#REF!</v>
      </c>
    </row>
    <row r="22" spans="1:11" ht="20.25" customHeight="1" x14ac:dyDescent="0.2">
      <c r="A22" t="s">
        <v>3252</v>
      </c>
      <c r="B22" t="s">
        <v>3328</v>
      </c>
      <c r="C22" t="s">
        <v>3361</v>
      </c>
      <c r="D22" s="349" t="e">
        <f>SUMIF('APONTAMENTO CREDENCIAMENTO'!$D$5:$D$4033,$A22,'APONTAMENTO CREDENCIAMENTO'!#REF!)</f>
        <v>#REF!</v>
      </c>
      <c r="E22" s="350" t="e">
        <f t="shared" si="1"/>
        <v>#REF!</v>
      </c>
      <c r="F22" s="350" t="e">
        <f>$D22*'VALORES TABELA'!$B$45*'VALORES TABELA'!$B$46</f>
        <v>#REF!</v>
      </c>
      <c r="G22" s="350" t="e">
        <f t="shared" si="2"/>
        <v>#REF!</v>
      </c>
      <c r="H22" s="350" t="e">
        <f>_xlfn.LET(_xlpm.base,G22,_xlpm.bruto,E22+G22,_xlpm.ir_normal,IF(_xlpm.base&lt;='VALORES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22" s="350" t="e">
        <f>IF($C22=$C21,($D22+$D21)*'VALORES TABELA'!$B$50-$E21,$D22*'VALORES TABELA'!$B$50)</f>
        <v>#REF!</v>
      </c>
      <c r="J22" s="350" t="e">
        <f>IF(($G22-E22)&lt;='VALORES TABELA'!$A$56,0,IF(($G22-$E22)&lt;='VALORES TABELA'!$A$57,($G22-$E22)*'VALORES TABELA'!$B$57-'VALORES TABELA'!$C$57,IF(($G22-$E22)&lt;='VALORES TABELA'!$A$58,($G22-$E22)*'VALORES TABELA'!$B$58-'VALORES TABELA'!$C$58,IF(($G22-$E22)&lt;='VALORES TABELA'!$A$59,($G22-$E22)*'VALORES TABELA'!$B$59-'VALORES TABELA'!$C$59,($G22-$E22)*'VALORES TABELA'!$B$60-'VALORES TABELA'!$C$60))))</f>
        <v>#REF!</v>
      </c>
      <c r="K22" s="350" t="e">
        <f>IF(($I22-$E22)&lt;='VALORES TABELA'!$A$56,0,IF(($I22-$E22)&lt;='VALORES TABELA'!$A$57,($I22-$E22)*'VALORES TABELA'!$B$57-'VALORES TABELA'!$C$57,IF(($I22-$E22)&lt;='VALORES TABELA'!$A$58,($I22-$E22)*'VALORES TABELA'!$B$58-'VALORES TABELA'!$C$58,IF(($I22-$E22)&lt;='VALORES TABELA'!$A$59,($I22-$E22)*'VALORES TABELA'!$B$59-'VALORES TABELA'!$C$59,($I22-$E22)*'VALORES TABELA'!$B$60-'VALORES TABELA'!$C$60))))-J21</f>
        <v>#REF!</v>
      </c>
    </row>
    <row r="23" spans="1:11" ht="20.25" customHeight="1" x14ac:dyDescent="0.2">
      <c r="A23" t="s">
        <v>3256</v>
      </c>
      <c r="B23" t="s">
        <v>3329</v>
      </c>
      <c r="C23" t="s">
        <v>3362</v>
      </c>
      <c r="D23" s="349" t="e">
        <f>SUMIF('APONTAMENTO CREDENCIAMENTO'!$D$5:$D$4033,$A23,'APONTAMENTO CREDENCIAMENTO'!#REF!)</f>
        <v>#REF!</v>
      </c>
      <c r="E23" s="350" t="e">
        <f t="shared" si="1"/>
        <v>#REF!</v>
      </c>
      <c r="F23" s="350" t="e">
        <f>$D23*'VALORES TABELA'!$B$45*'VALORES TABELA'!$B$46</f>
        <v>#REF!</v>
      </c>
      <c r="G23" s="350" t="e">
        <f t="shared" si="2"/>
        <v>#REF!</v>
      </c>
      <c r="H23" s="350" t="e">
        <f>_xlfn.LET(_xlpm.base,G23,_xlpm.bruto,E23+G23,_xlpm.ir_normal,IF(_xlpm.base&lt;='VALORES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23" s="350" t="e">
        <f>IF($C23=$C22,($D23+$D22)*'VALORES TABELA'!$B$50-$E22,$D23*'VALORES TABELA'!$B$50)</f>
        <v>#REF!</v>
      </c>
      <c r="J23" s="350" t="e">
        <f>IF(($G23-E23)&lt;='VALORES TABELA'!$A$56,0,IF(($G23-$E23)&lt;='VALORES TABELA'!$A$57,($G23-$E23)*'VALORES TABELA'!$B$57-'VALORES TABELA'!$C$57,IF(($G23-$E23)&lt;='VALORES TABELA'!$A$58,($G23-$E23)*'VALORES TABELA'!$B$58-'VALORES TABELA'!$C$58,IF(($G23-$E23)&lt;='VALORES TABELA'!$A$59,($G23-$E23)*'VALORES TABELA'!$B$59-'VALORES TABELA'!$C$59,($G23-$E23)*'VALORES TABELA'!$B$60-'VALORES TABELA'!$C$60))))</f>
        <v>#REF!</v>
      </c>
      <c r="K23" s="350" t="e">
        <f>IF(($I23-$E23)&lt;='VALORES TABELA'!$A$56,0,IF(($I23-$E23)&lt;='VALORES TABELA'!$A$57,($I23-$E23)*'VALORES TABELA'!$B$57-'VALORES TABELA'!$C$57,IF(($I23-$E23)&lt;='VALORES TABELA'!$A$58,($I23-$E23)*'VALORES TABELA'!$B$58-'VALORES TABELA'!$C$58,IF(($I23-$E23)&lt;='VALORES TABELA'!$A$59,($I23-$E23)*'VALORES TABELA'!$B$59-'VALORES TABELA'!$C$59,($I23-$E23)*'VALORES TABELA'!$B$60-'VALORES TABELA'!$C$60))))-J22</f>
        <v>#REF!</v>
      </c>
    </row>
    <row r="24" spans="1:11" ht="20.25" customHeight="1" x14ac:dyDescent="0.2">
      <c r="A24" t="s">
        <v>3260</v>
      </c>
      <c r="B24" t="s">
        <v>3330</v>
      </c>
      <c r="C24" t="s">
        <v>3363</v>
      </c>
      <c r="D24" s="349" t="e">
        <f>SUMIF('APONTAMENTO CREDENCIAMENTO'!$D$5:$D$4033,$A24,'APONTAMENTO CREDENCIAMENTO'!#REF!)</f>
        <v>#REF!</v>
      </c>
      <c r="E24" s="350" t="e">
        <f t="shared" si="1"/>
        <v>#REF!</v>
      </c>
      <c r="F24" s="350" t="e">
        <f>$D24*'VALORES TABELA'!$B$45*'VALORES TABELA'!$B$46</f>
        <v>#REF!</v>
      </c>
      <c r="G24" s="350" t="e">
        <f t="shared" si="2"/>
        <v>#REF!</v>
      </c>
      <c r="H24" s="350" t="e">
        <f>_xlfn.LET(_xlpm.base,G24,_xlpm.bruto,E24+G24,_xlpm.ir_normal,IF(_xlpm.base&lt;='VALORES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24" s="350" t="e">
        <f>IF($C24=$C23,($D24+$D23)*'VALORES TABELA'!$B$50-$E23,$D24*'VALORES TABELA'!$B$50)</f>
        <v>#REF!</v>
      </c>
      <c r="J24" s="350" t="e">
        <f>IF(($G24-E24)&lt;='VALORES TABELA'!$A$56,0,IF(($G24-$E24)&lt;='VALORES TABELA'!$A$57,($G24-$E24)*'VALORES TABELA'!$B$57-'VALORES TABELA'!$C$57,IF(($G24-$E24)&lt;='VALORES TABELA'!$A$58,($G24-$E24)*'VALORES TABELA'!$B$58-'VALORES TABELA'!$C$58,IF(($G24-$E24)&lt;='VALORES TABELA'!$A$59,($G24-$E24)*'VALORES TABELA'!$B$59-'VALORES TABELA'!$C$59,($G24-$E24)*'VALORES TABELA'!$B$60-'VALORES TABELA'!$C$60))))</f>
        <v>#REF!</v>
      </c>
      <c r="K24" s="350" t="e">
        <f>IF(($I24-$E24)&lt;='VALORES TABELA'!$A$56,0,IF(($I24-$E24)&lt;='VALORES TABELA'!$A$57,($I24-$E24)*'VALORES TABELA'!$B$57-'VALORES TABELA'!$C$57,IF(($I24-$E24)&lt;='VALORES TABELA'!$A$58,($I24-$E24)*'VALORES TABELA'!$B$58-'VALORES TABELA'!$C$58,IF(($I24-$E24)&lt;='VALORES TABELA'!$A$59,($I24-$E24)*'VALORES TABELA'!$B$59-'VALORES TABELA'!$C$59,($I24-$E24)*'VALORES TABELA'!$B$60-'VALORES TABELA'!$C$60))))-J23</f>
        <v>#REF!</v>
      </c>
    </row>
    <row r="25" spans="1:11" ht="20.25" customHeight="1" x14ac:dyDescent="0.2">
      <c r="A25" t="s">
        <v>3264</v>
      </c>
      <c r="B25" t="s">
        <v>3331</v>
      </c>
      <c r="C25" t="s">
        <v>3364</v>
      </c>
      <c r="D25" s="349" t="e">
        <f>SUMIF('APONTAMENTO CREDENCIAMENTO'!$D$5:$D$4033,$A25,'APONTAMENTO CREDENCIAMENTO'!#REF!)</f>
        <v>#REF!</v>
      </c>
      <c r="E25" s="350" t="e">
        <f t="shared" si="1"/>
        <v>#REF!</v>
      </c>
      <c r="F25" s="350" t="e">
        <f>$D25*'VALORES TABELA'!$B$45*'VALORES TABELA'!$B$46</f>
        <v>#REF!</v>
      </c>
      <c r="G25" s="350" t="e">
        <f t="shared" si="2"/>
        <v>#REF!</v>
      </c>
      <c r="H25" s="350" t="e">
        <f>_xlfn.LET(_xlpm.base,G25,_xlpm.bruto,E25+G25,_xlpm.ir_normal,IF(_xlpm.base&lt;='VALORES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25" s="350" t="e">
        <f>IF($C25=$C24,($D25+$D24)*'VALORES TABELA'!$B$50-$E24,$D25*'VALORES TABELA'!$B$50)</f>
        <v>#REF!</v>
      </c>
      <c r="J25" s="350" t="e">
        <f>IF(($G25-E25)&lt;='VALORES TABELA'!$A$56,0,IF(($G25-$E25)&lt;='VALORES TABELA'!$A$57,($G25-$E25)*'VALORES TABELA'!$B$57-'VALORES TABELA'!$C$57,IF(($G25-$E25)&lt;='VALORES TABELA'!$A$58,($G25-$E25)*'VALORES TABELA'!$B$58-'VALORES TABELA'!$C$58,IF(($G25-$E25)&lt;='VALORES TABELA'!$A$59,($G25-$E25)*'VALORES TABELA'!$B$59-'VALORES TABELA'!$C$59,($G25-$E25)*'VALORES TABELA'!$B$60-'VALORES TABELA'!$C$60))))</f>
        <v>#REF!</v>
      </c>
      <c r="K25" s="350" t="e">
        <f>IF(($I25-$E25)&lt;='VALORES TABELA'!$A$56,0,IF(($I25-$E25)&lt;='VALORES TABELA'!$A$57,($I25-$E25)*'VALORES TABELA'!$B$57-'VALORES TABELA'!$C$57,IF(($I25-$E25)&lt;='VALORES TABELA'!$A$58,($I25-$E25)*'VALORES TABELA'!$B$58-'VALORES TABELA'!$C$58,IF(($I25-$E25)&lt;='VALORES TABELA'!$A$59,($I25-$E25)*'VALORES TABELA'!$B$59-'VALORES TABELA'!$C$59,($I25-$E25)*'VALORES TABELA'!$B$60-'VALORES TABELA'!$C$60))))-J24</f>
        <v>#REF!</v>
      </c>
    </row>
    <row r="26" spans="1:11" ht="20.25" customHeight="1" x14ac:dyDescent="0.2">
      <c r="A26" t="s">
        <v>3268</v>
      </c>
      <c r="B26" t="s">
        <v>3332</v>
      </c>
      <c r="C26" t="s">
        <v>3365</v>
      </c>
      <c r="D26" s="349" t="e">
        <f>SUMIF('APONTAMENTO CREDENCIAMENTO'!$D$5:$D$4033,$A26,'APONTAMENTO CREDENCIAMENTO'!#REF!)</f>
        <v>#REF!</v>
      </c>
      <c r="E26" s="350" t="e">
        <f t="shared" si="1"/>
        <v>#REF!</v>
      </c>
      <c r="F26" s="350" t="e">
        <f>$D26*'VALORES TABELA'!$B$45*'VALORES TABELA'!$B$46</f>
        <v>#REF!</v>
      </c>
      <c r="G26" s="350" t="e">
        <f t="shared" si="2"/>
        <v>#REF!</v>
      </c>
      <c r="H26" s="350" t="e">
        <f>_xlfn.LET(_xlpm.base,G26,_xlpm.bruto,E26+G26,_xlpm.ir_normal,IF(_xlpm.base&lt;='VALORES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26" s="350" t="e">
        <f>IF($C26=$C25,($D26+$D25)*'VALORES TABELA'!$B$50-$E25,$D26*'VALORES TABELA'!$B$50)</f>
        <v>#REF!</v>
      </c>
      <c r="J26" s="350" t="e">
        <f>IF(($G26-E26)&lt;='VALORES TABELA'!$A$56,0,IF(($G26-$E26)&lt;='VALORES TABELA'!$A$57,($G26-$E26)*'VALORES TABELA'!$B$57-'VALORES TABELA'!$C$57,IF(($G26-$E26)&lt;='VALORES TABELA'!$A$58,($G26-$E26)*'VALORES TABELA'!$B$58-'VALORES TABELA'!$C$58,IF(($G26-$E26)&lt;='VALORES TABELA'!$A$59,($G26-$E26)*'VALORES TABELA'!$B$59-'VALORES TABELA'!$C$59,($G26-$E26)*'VALORES TABELA'!$B$60-'VALORES TABELA'!$C$60))))</f>
        <v>#REF!</v>
      </c>
      <c r="K26" s="350" t="e">
        <f>IF(($I26-$E26)&lt;='VALORES TABELA'!$A$56,0,IF(($I26-$E26)&lt;='VALORES TABELA'!$A$57,($I26-$E26)*'VALORES TABELA'!$B$57-'VALORES TABELA'!$C$57,IF(($I26-$E26)&lt;='VALORES TABELA'!$A$58,($I26-$E26)*'VALORES TABELA'!$B$58-'VALORES TABELA'!$C$58,IF(($I26-$E26)&lt;='VALORES TABELA'!$A$59,($I26-$E26)*'VALORES TABELA'!$B$59-'VALORES TABELA'!$C$59,($I26-$E26)*'VALORES TABELA'!$B$60-'VALORES TABELA'!$C$60))))-J25</f>
        <v>#REF!</v>
      </c>
    </row>
    <row r="27" spans="1:11" ht="20.25" customHeight="1" x14ac:dyDescent="0.2">
      <c r="A27" t="s">
        <v>3272</v>
      </c>
      <c r="B27" t="s">
        <v>3333</v>
      </c>
      <c r="C27" t="s">
        <v>3366</v>
      </c>
      <c r="D27" s="349" t="e">
        <f>SUMIF('APONTAMENTO CREDENCIAMENTO'!$D$5:$D$4033,$A27,'APONTAMENTO CREDENCIAMENTO'!#REF!)</f>
        <v>#REF!</v>
      </c>
      <c r="E27" s="350" t="e">
        <f t="shared" si="1"/>
        <v>#REF!</v>
      </c>
      <c r="F27" s="350" t="e">
        <f>$D27*'VALORES TABELA'!$B$45*'VALORES TABELA'!$B$46</f>
        <v>#REF!</v>
      </c>
      <c r="G27" s="350" t="e">
        <f t="shared" si="2"/>
        <v>#REF!</v>
      </c>
      <c r="H27" s="350" t="e">
        <f>_xlfn.LET(_xlpm.base,G27,_xlpm.bruto,E27+G27,_xlpm.ir_normal,IF(_xlpm.base&lt;='VALORES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27" s="350" t="e">
        <f>IF($C27=$C26,($D27+$D26)*'VALORES TABELA'!$B$50-$E26,$D27*'VALORES TABELA'!$B$50)</f>
        <v>#REF!</v>
      </c>
      <c r="J27" s="350" t="e">
        <f>IF(($G27-E27)&lt;='VALORES TABELA'!$A$56,0,IF(($G27-$E27)&lt;='VALORES TABELA'!$A$57,($G27-$E27)*'VALORES TABELA'!$B$57-'VALORES TABELA'!$C$57,IF(($G27-$E27)&lt;='VALORES TABELA'!$A$58,($G27-$E27)*'VALORES TABELA'!$B$58-'VALORES TABELA'!$C$58,IF(($G27-$E27)&lt;='VALORES TABELA'!$A$59,($G27-$E27)*'VALORES TABELA'!$B$59-'VALORES TABELA'!$C$59,($G27-$E27)*'VALORES TABELA'!$B$60-'VALORES TABELA'!$C$60))))</f>
        <v>#REF!</v>
      </c>
      <c r="K27" s="350" t="e">
        <f>IF(($I27-$E27)&lt;='VALORES TABELA'!$A$56,0,IF(($I27-$E27)&lt;='VALORES TABELA'!$A$57,($I27-$E27)*'VALORES TABELA'!$B$57-'VALORES TABELA'!$C$57,IF(($I27-$E27)&lt;='VALORES TABELA'!$A$58,($I27-$E27)*'VALORES TABELA'!$B$58-'VALORES TABELA'!$C$58,IF(($I27-$E27)&lt;='VALORES TABELA'!$A$59,($I27-$E27)*'VALORES TABELA'!$B$59-'VALORES TABELA'!$C$59,($I27-$E27)*'VALORES TABELA'!$B$60-'VALORES TABELA'!$C$60))))-J26</f>
        <v>#REF!</v>
      </c>
    </row>
    <row r="28" spans="1:11" ht="20.25" customHeight="1" x14ac:dyDescent="0.2">
      <c r="A28" t="s">
        <v>3276</v>
      </c>
      <c r="B28" t="s">
        <v>3334</v>
      </c>
      <c r="C28" t="s">
        <v>3367</v>
      </c>
      <c r="D28" s="349" t="e">
        <f>SUMIF('APONTAMENTO CREDENCIAMENTO'!$D$5:$D$4033,$A28,'APONTAMENTO CREDENCIAMENTO'!#REF!)</f>
        <v>#REF!</v>
      </c>
      <c r="E28" s="350" t="e">
        <f t="shared" si="1"/>
        <v>#REF!</v>
      </c>
      <c r="F28" s="350" t="e">
        <f>$D28*'VALORES TABELA'!$B$45*'VALORES TABELA'!$B$46</f>
        <v>#REF!</v>
      </c>
      <c r="G28" s="350" t="e">
        <f t="shared" si="2"/>
        <v>#REF!</v>
      </c>
      <c r="H28" s="350" t="e">
        <f>_xlfn.LET(_xlpm.base,G28,_xlpm.bruto,E28+G28,_xlpm.ir_normal,IF(_xlpm.base&lt;='VALORES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28" s="350" t="e">
        <f>IF($C28=$C27,($D28+$D27)*'VALORES TABELA'!$B$50-$E27,$D28*'VALORES TABELA'!$B$50)</f>
        <v>#REF!</v>
      </c>
      <c r="J28" s="350" t="e">
        <f>IF(($G28-E28)&lt;='VALORES TABELA'!$A$56,0,IF(($G28-$E28)&lt;='VALORES TABELA'!$A$57,($G28-$E28)*'VALORES TABELA'!$B$57-'VALORES TABELA'!$C$57,IF(($G28-$E28)&lt;='VALORES TABELA'!$A$58,($G28-$E28)*'VALORES TABELA'!$B$58-'VALORES TABELA'!$C$58,IF(($G28-$E28)&lt;='VALORES TABELA'!$A$59,($G28-$E28)*'VALORES TABELA'!$B$59-'VALORES TABELA'!$C$59,($G28-$E28)*'VALORES TABELA'!$B$60-'VALORES TABELA'!$C$60))))</f>
        <v>#REF!</v>
      </c>
      <c r="K28" s="350" t="e">
        <f>IF(($I28-$E28)&lt;='VALORES TABELA'!$A$56,0,IF(($I28-$E28)&lt;='VALORES TABELA'!$A$57,($I28-$E28)*'VALORES TABELA'!$B$57-'VALORES TABELA'!$C$57,IF(($I28-$E28)&lt;='VALORES TABELA'!$A$58,($I28-$E28)*'VALORES TABELA'!$B$58-'VALORES TABELA'!$C$58,IF(($I28-$E28)&lt;='VALORES TABELA'!$A$59,($I28-$E28)*'VALORES TABELA'!$B$59-'VALORES TABELA'!$C$59,($I28-$E28)*'VALORES TABELA'!$B$60-'VALORES TABELA'!$C$60))))-J27</f>
        <v>#REF!</v>
      </c>
    </row>
    <row r="29" spans="1:11" ht="20.25" customHeight="1" x14ac:dyDescent="0.2">
      <c r="A29" t="s">
        <v>3280</v>
      </c>
      <c r="B29" t="s">
        <v>3335</v>
      </c>
      <c r="C29" t="s">
        <v>3368</v>
      </c>
      <c r="D29" s="349" t="e">
        <f>SUMIF('APONTAMENTO CREDENCIAMENTO'!$D$5:$D$4033,$A29,'APONTAMENTO CREDENCIAMENTO'!#REF!)</f>
        <v>#REF!</v>
      </c>
      <c r="E29" s="350" t="e">
        <f t="shared" si="1"/>
        <v>#REF!</v>
      </c>
      <c r="F29" s="350" t="e">
        <f>$D29*'VALORES TABELA'!$B$45*'VALORES TABELA'!$B$46</f>
        <v>#REF!</v>
      </c>
      <c r="G29" s="350" t="e">
        <f t="shared" si="2"/>
        <v>#REF!</v>
      </c>
      <c r="H29" s="350" t="e">
        <f>_xlfn.LET(_xlpm.base,G29,_xlpm.bruto,E29+G29,_xlpm.ir_normal,IF(_xlpm.base&lt;='VALORES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29" s="350" t="e">
        <f>IF($C29=$C28,($D29+$D28)*'VALORES TABELA'!$B$50-$E28,$D29*'VALORES TABELA'!$B$50)</f>
        <v>#REF!</v>
      </c>
      <c r="J29" s="350" t="e">
        <f>IF(($G29-E29)&lt;='VALORES TABELA'!$A$56,0,IF(($G29-$E29)&lt;='VALORES TABELA'!$A$57,($G29-$E29)*'VALORES TABELA'!$B$57-'VALORES TABELA'!$C$57,IF(($G29-$E29)&lt;='VALORES TABELA'!$A$58,($G29-$E29)*'VALORES TABELA'!$B$58-'VALORES TABELA'!$C$58,IF(($G29-$E29)&lt;='VALORES TABELA'!$A$59,($G29-$E29)*'VALORES TABELA'!$B$59-'VALORES TABELA'!$C$59,($G29-$E29)*'VALORES TABELA'!$B$60-'VALORES TABELA'!$C$60))))</f>
        <v>#REF!</v>
      </c>
      <c r="K29" s="350" t="e">
        <f>IF(($I29-$E29)&lt;='VALORES TABELA'!$A$56,0,IF(($I29-$E29)&lt;='VALORES TABELA'!$A$57,($I29-$E29)*'VALORES TABELA'!$B$57-'VALORES TABELA'!$C$57,IF(($I29-$E29)&lt;='VALORES TABELA'!$A$58,($I29-$E29)*'VALORES TABELA'!$B$58-'VALORES TABELA'!$C$58,IF(($I29-$E29)&lt;='VALORES TABELA'!$A$59,($I29-$E29)*'VALORES TABELA'!$B$59-'VALORES TABELA'!$C$59,($I29-$E29)*'VALORES TABELA'!$B$60-'VALORES TABELA'!$C$60))))-J28</f>
        <v>#REF!</v>
      </c>
    </row>
    <row r="30" spans="1:11" ht="20.25" customHeight="1" x14ac:dyDescent="0.2">
      <c r="A30" t="s">
        <v>3284</v>
      </c>
      <c r="B30" t="s">
        <v>3336</v>
      </c>
      <c r="C30" t="s">
        <v>3369</v>
      </c>
      <c r="D30" s="349" t="e">
        <f>SUMIF('APONTAMENTO CREDENCIAMENTO'!$D$5:$D$4033,$A30,'APONTAMENTO CREDENCIAMENTO'!#REF!)</f>
        <v>#REF!</v>
      </c>
      <c r="E30" s="350" t="e">
        <f t="shared" si="1"/>
        <v>#REF!</v>
      </c>
      <c r="F30" s="350" t="e">
        <f>$D30*'VALORES TABELA'!$B$45*'VALORES TABELA'!$B$46</f>
        <v>#REF!</v>
      </c>
      <c r="G30" s="350" t="e">
        <f t="shared" si="2"/>
        <v>#REF!</v>
      </c>
      <c r="H30" s="350" t="e">
        <f>_xlfn.LET(_xlpm.base,G30,_xlpm.bruto,E30+G30,_xlpm.ir_normal,IF(_xlpm.base&lt;='VALORES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30" s="350" t="e">
        <f>IF($C30=$C29,($D30+$D29)*'VALORES TABELA'!$B$50-$E29,$D30*'VALORES TABELA'!$B$50)</f>
        <v>#REF!</v>
      </c>
      <c r="J30" s="350" t="e">
        <f>IF(($G30-E30)&lt;='VALORES TABELA'!$A$56,0,IF(($G30-$E30)&lt;='VALORES TABELA'!$A$57,($G30-$E30)*'VALORES TABELA'!$B$57-'VALORES TABELA'!$C$57,IF(($G30-$E30)&lt;='VALORES TABELA'!$A$58,($G30-$E30)*'VALORES TABELA'!$B$58-'VALORES TABELA'!$C$58,IF(($G30-$E30)&lt;='VALORES TABELA'!$A$59,($G30-$E30)*'VALORES TABELA'!$B$59-'VALORES TABELA'!$C$59,($G30-$E30)*'VALORES TABELA'!$B$60-'VALORES TABELA'!$C$60))))</f>
        <v>#REF!</v>
      </c>
      <c r="K30" s="350" t="e">
        <f>IF(($I30-$E30)&lt;='VALORES TABELA'!$A$56,0,IF(($I30-$E30)&lt;='VALORES TABELA'!$A$57,($I30-$E30)*'VALORES TABELA'!$B$57-'VALORES TABELA'!$C$57,IF(($I30-$E30)&lt;='VALORES TABELA'!$A$58,($I30-$E30)*'VALORES TABELA'!$B$58-'VALORES TABELA'!$C$58,IF(($I30-$E30)&lt;='VALORES TABELA'!$A$59,($I30-$E30)*'VALORES TABELA'!$B$59-'VALORES TABELA'!$C$59,($I30-$E30)*'VALORES TABELA'!$B$60-'VALORES TABELA'!$C$60))))-J29</f>
        <v>#REF!</v>
      </c>
    </row>
    <row r="31" spans="1:11" ht="20.25" customHeight="1" x14ac:dyDescent="0.2">
      <c r="A31" t="s">
        <v>3288</v>
      </c>
      <c r="B31" t="s">
        <v>3337</v>
      </c>
      <c r="C31" t="s">
        <v>3370</v>
      </c>
      <c r="D31" s="349" t="e">
        <f>SUMIF('APONTAMENTO CREDENCIAMENTO'!$D$5:$D$4033,$A31,'APONTAMENTO CREDENCIAMENTO'!#REF!)</f>
        <v>#REF!</v>
      </c>
      <c r="E31" s="350" t="e">
        <f t="shared" si="1"/>
        <v>#REF!</v>
      </c>
      <c r="F31" s="350" t="e">
        <f>$D31*'VALORES TABELA'!$B$45*'VALORES TABELA'!$B$46</f>
        <v>#REF!</v>
      </c>
      <c r="G31" s="350" t="e">
        <f t="shared" si="2"/>
        <v>#REF!</v>
      </c>
      <c r="H31" s="350" t="e">
        <f>_xlfn.LET(_xlpm.base,G31,_xlpm.bruto,E31+G31,_xlpm.ir_normal,IF(_xlpm.base&lt;='VALORES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31" s="350" t="e">
        <f>IF($C31=$C30,($D31+$D30)*'VALORES TABELA'!$B$50-$E30,$D31*'VALORES TABELA'!$B$50)</f>
        <v>#REF!</v>
      </c>
      <c r="J31" s="350" t="e">
        <f>IF(($G31-E31)&lt;='VALORES TABELA'!$A$56,0,IF(($G31-$E31)&lt;='VALORES TABELA'!$A$57,($G31-$E31)*'VALORES TABELA'!$B$57-'VALORES TABELA'!$C$57,IF(($G31-$E31)&lt;='VALORES TABELA'!$A$58,($G31-$E31)*'VALORES TABELA'!$B$58-'VALORES TABELA'!$C$58,IF(($G31-$E31)&lt;='VALORES TABELA'!$A$59,($G31-$E31)*'VALORES TABELA'!$B$59-'VALORES TABELA'!$C$59,($G31-$E31)*'VALORES TABELA'!$B$60-'VALORES TABELA'!$C$60))))</f>
        <v>#REF!</v>
      </c>
      <c r="K31" s="350" t="e">
        <f>IF(($I31-$E31)&lt;='VALORES TABELA'!$A$56,0,IF(($I31-$E31)&lt;='VALORES TABELA'!$A$57,($I31-$E31)*'VALORES TABELA'!$B$57-'VALORES TABELA'!$C$57,IF(($I31-$E31)&lt;='VALORES TABELA'!$A$58,($I31-$E31)*'VALORES TABELA'!$B$58-'VALORES TABELA'!$C$58,IF(($I31-$E31)&lt;='VALORES TABELA'!$A$59,($I31-$E31)*'VALORES TABELA'!$B$59-'VALORES TABELA'!$C$59,($I31-$E31)*'VALORES TABELA'!$B$60-'VALORES TABELA'!$C$60))))-J30</f>
        <v>#REF!</v>
      </c>
    </row>
    <row r="32" spans="1:11" ht="20.25" customHeight="1" x14ac:dyDescent="0.2">
      <c r="A32" t="s">
        <v>3292</v>
      </c>
      <c r="B32" t="s">
        <v>3338</v>
      </c>
      <c r="C32" t="s">
        <v>3371</v>
      </c>
      <c r="D32" s="349" t="e">
        <f>SUMIF('APONTAMENTO CREDENCIAMENTO'!$D$5:$D$4033,$A32,'APONTAMENTO CREDENCIAMENTO'!#REF!)</f>
        <v>#REF!</v>
      </c>
      <c r="E32" s="350" t="e">
        <f t="shared" si="1"/>
        <v>#REF!</v>
      </c>
      <c r="F32" s="350" t="e">
        <f>$D32*'VALORES TABELA'!$B$45*'VALORES TABELA'!$B$46</f>
        <v>#REF!</v>
      </c>
      <c r="G32" s="350" t="e">
        <f t="shared" si="2"/>
        <v>#REF!</v>
      </c>
      <c r="H32" s="350" t="e">
        <f>_xlfn.LET(_xlpm.base,G32,_xlpm.bruto,E32+G32,_xlpm.ir_normal,IF(_xlpm.base&lt;='VALORES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32" s="350" t="e">
        <f>IF($C32=$C31,($D32+$D31)*'VALORES TABELA'!$B$50-$E31,$D32*'VALORES TABELA'!$B$50)</f>
        <v>#REF!</v>
      </c>
      <c r="J32" s="350" t="e">
        <f>IF(($G32-E32)&lt;='VALORES TABELA'!$A$56,0,IF(($G32-$E32)&lt;='VALORES TABELA'!$A$57,($G32-$E32)*'VALORES TABELA'!$B$57-'VALORES TABELA'!$C$57,IF(($G32-$E32)&lt;='VALORES TABELA'!$A$58,($G32-$E32)*'VALORES TABELA'!$B$58-'VALORES TABELA'!$C$58,IF(($G32-$E32)&lt;='VALORES TABELA'!$A$59,($G32-$E32)*'VALORES TABELA'!$B$59-'VALORES TABELA'!$C$59,($G32-$E32)*'VALORES TABELA'!$B$60-'VALORES TABELA'!$C$60))))</f>
        <v>#REF!</v>
      </c>
      <c r="K32" s="350" t="e">
        <f>IF(($I32-$E32)&lt;='VALORES TABELA'!$A$56,0,IF(($I32-$E32)&lt;='VALORES TABELA'!$A$57,($I32-$E32)*'VALORES TABELA'!$B$57-'VALORES TABELA'!$C$57,IF(($I32-$E32)&lt;='VALORES TABELA'!$A$58,($I32-$E32)*'VALORES TABELA'!$B$58-'VALORES TABELA'!$C$58,IF(($I32-$E32)&lt;='VALORES TABELA'!$A$59,($I32-$E32)*'VALORES TABELA'!$B$59-'VALORES TABELA'!$C$59,($I32-$E32)*'VALORES TABELA'!$B$60-'VALORES TABELA'!$C$60))))-J31</f>
        <v>#REF!</v>
      </c>
    </row>
    <row r="33" spans="1:11" ht="20.25" customHeight="1" x14ac:dyDescent="0.2">
      <c r="A33" t="s">
        <v>3296</v>
      </c>
      <c r="B33" t="s">
        <v>3339</v>
      </c>
      <c r="C33" t="s">
        <v>3372</v>
      </c>
      <c r="D33" s="349" t="e">
        <f>SUMIF('APONTAMENTO CREDENCIAMENTO'!$D$5:$D$4033,$A33,'APONTAMENTO CREDENCIAMENTO'!#REF!)</f>
        <v>#REF!</v>
      </c>
      <c r="E33" s="350" t="e">
        <f t="shared" si="1"/>
        <v>#REF!</v>
      </c>
      <c r="F33" s="350" t="e">
        <f>$D33*'VALORES TABELA'!$B$45*'VALORES TABELA'!$B$46</f>
        <v>#REF!</v>
      </c>
      <c r="G33" s="350" t="e">
        <f t="shared" si="2"/>
        <v>#REF!</v>
      </c>
      <c r="H33" s="350" t="e">
        <f>_xlfn.LET(_xlpm.base,G33,_xlpm.bruto,E33+G33,_xlpm.ir_normal,IF(_xlpm.base&lt;='VALORES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33" s="350" t="e">
        <f>IF($C33=$C32,($D33+$D32)*'VALORES TABELA'!$B$50-$E32,$D33*'VALORES TABELA'!$B$50)</f>
        <v>#REF!</v>
      </c>
      <c r="J33" s="350" t="e">
        <f>IF(($G33-E33)&lt;='VALORES TABELA'!$A$56,0,IF(($G33-$E33)&lt;='VALORES TABELA'!$A$57,($G33-$E33)*'VALORES TABELA'!$B$57-'VALORES TABELA'!$C$57,IF(($G33-$E33)&lt;='VALORES TABELA'!$A$58,($G33-$E33)*'VALORES TABELA'!$B$58-'VALORES TABELA'!$C$58,IF(($G33-$E33)&lt;='VALORES TABELA'!$A$59,($G33-$E33)*'VALORES TABELA'!$B$59-'VALORES TABELA'!$C$59,($G33-$E33)*'VALORES TABELA'!$B$60-'VALORES TABELA'!$C$60))))</f>
        <v>#REF!</v>
      </c>
      <c r="K33" s="350" t="e">
        <f>IF(($I33-$E33)&lt;='VALORES TABELA'!$A$56,0,IF(($I33-$E33)&lt;='VALORES TABELA'!$A$57,($I33-$E33)*'VALORES TABELA'!$B$57-'VALORES TABELA'!$C$57,IF(($I33-$E33)&lt;='VALORES TABELA'!$A$58,($I33-$E33)*'VALORES TABELA'!$B$58-'VALORES TABELA'!$C$58,IF(($I33-$E33)&lt;='VALORES TABELA'!$A$59,($I33-$E33)*'VALORES TABELA'!$B$59-'VALORES TABELA'!$C$59,($I33-$E33)*'VALORES TABELA'!$B$60-'VALORES TABELA'!$C$60))))-J32</f>
        <v>#REF!</v>
      </c>
    </row>
    <row r="34" spans="1:11" ht="20.25" customHeight="1" x14ac:dyDescent="0.2">
      <c r="A34" t="s">
        <v>3300</v>
      </c>
      <c r="B34" t="s">
        <v>3340</v>
      </c>
      <c r="C34" t="s">
        <v>3373</v>
      </c>
      <c r="D34" s="349" t="e">
        <f>SUMIF('APONTAMENTO CREDENCIAMENTO'!$D$5:$D$4033,$A34,'APONTAMENTO CREDENCIAMENTO'!#REF!)</f>
        <v>#REF!</v>
      </c>
      <c r="E34" s="350" t="e">
        <f t="shared" si="1"/>
        <v>#REF!</v>
      </c>
      <c r="F34" s="350" t="e">
        <f>$D34*'VALORES TABELA'!$B$45*'VALORES TABELA'!$B$46</f>
        <v>#REF!</v>
      </c>
      <c r="G34" s="350" t="e">
        <f t="shared" si="2"/>
        <v>#REF!</v>
      </c>
      <c r="H34" s="350" t="e">
        <f>_xlfn.LET(_xlpm.base,G34,_xlpm.bruto,E34+G34,_xlpm.ir_normal,IF(_xlpm.base&lt;='VALORES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34" s="350" t="e">
        <f>IF($C34=$C33,($D34+$D33)*'VALORES TABELA'!$B$50-$E33,$D34*'VALORES TABELA'!$B$50)</f>
        <v>#REF!</v>
      </c>
      <c r="J34" s="350" t="e">
        <f>IF(($G34-E34)&lt;='VALORES TABELA'!$A$56,0,IF(($G34-$E34)&lt;='VALORES TABELA'!$A$57,($G34-$E34)*'VALORES TABELA'!$B$57-'VALORES TABELA'!$C$57,IF(($G34-$E34)&lt;='VALORES TABELA'!$A$58,($G34-$E34)*'VALORES TABELA'!$B$58-'VALORES TABELA'!$C$58,IF(($G34-$E34)&lt;='VALORES TABELA'!$A$59,($G34-$E34)*'VALORES TABELA'!$B$59-'VALORES TABELA'!$C$59,($G34-$E34)*'VALORES TABELA'!$B$60-'VALORES TABELA'!$C$60))))</f>
        <v>#REF!</v>
      </c>
      <c r="K34" s="350" t="e">
        <f>IF(($I34-$E34)&lt;='VALORES TABELA'!$A$56,0,IF(($I34-$E34)&lt;='VALORES TABELA'!$A$57,($I34-$E34)*'VALORES TABELA'!$B$57-'VALORES TABELA'!$C$57,IF(($I34-$E34)&lt;='VALORES TABELA'!$A$58,($I34-$E34)*'VALORES TABELA'!$B$58-'VALORES TABELA'!$C$58,IF(($I34-$E34)&lt;='VALORES TABELA'!$A$59,($I34-$E34)*'VALORES TABELA'!$B$59-'VALORES TABELA'!$C$59,($I34-$E34)*'VALORES TABELA'!$B$60-'VALORES TABELA'!$C$60))))-J33</f>
        <v>#REF!</v>
      </c>
    </row>
    <row r="35" spans="1:11" ht="20.25" customHeight="1" x14ac:dyDescent="0.2">
      <c r="A35" t="s">
        <v>3304</v>
      </c>
      <c r="B35" t="s">
        <v>3341</v>
      </c>
      <c r="C35" t="s">
        <v>3374</v>
      </c>
      <c r="D35" s="349" t="e">
        <f>SUMIF('APONTAMENTO CREDENCIAMENTO'!$D$5:$D$4033,$A35,'APONTAMENTO CREDENCIAMENTO'!#REF!)</f>
        <v>#REF!</v>
      </c>
      <c r="E35" s="350" t="e">
        <f t="shared" si="1"/>
        <v>#REF!</v>
      </c>
      <c r="F35" s="350" t="e">
        <f>$D35*'VALORES TABELA'!$B$45*'VALORES TABELA'!$B$46</f>
        <v>#REF!</v>
      </c>
      <c r="G35" s="350" t="e">
        <f t="shared" si="2"/>
        <v>#REF!</v>
      </c>
      <c r="H35" s="350" t="e">
        <f>_xlfn.LET(_xlpm.base,G35,_xlpm.bruto,E35+G35,_xlpm.ir_normal,IF(_xlpm.base&lt;='VALORES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35" s="350" t="e">
        <f>IF($C35=$C34,($D35+$D34)*'VALORES TABELA'!$B$50-$E34,$D35*'VALORES TABELA'!$B$50)</f>
        <v>#REF!</v>
      </c>
      <c r="J35" s="350" t="e">
        <f>IF(($G35-E35)&lt;='VALORES TABELA'!$A$56,0,IF(($G35-$E35)&lt;='VALORES TABELA'!$A$57,($G35-$E35)*'VALORES TABELA'!$B$57-'VALORES TABELA'!$C$57,IF(($G35-$E35)&lt;='VALORES TABELA'!$A$58,($G35-$E35)*'VALORES TABELA'!$B$58-'VALORES TABELA'!$C$58,IF(($G35-$E35)&lt;='VALORES TABELA'!$A$59,($G35-$E35)*'VALORES TABELA'!$B$59-'VALORES TABELA'!$C$59,($G35-$E35)*'VALORES TABELA'!$B$60-'VALORES TABELA'!$C$60))))</f>
        <v>#REF!</v>
      </c>
      <c r="K35" s="350" t="e">
        <f>IF(($I35-$E35)&lt;='VALORES TABELA'!$A$56,0,IF(($I35-$E35)&lt;='VALORES TABELA'!$A$57,($I35-$E35)*'VALORES TABELA'!$B$57-'VALORES TABELA'!$C$57,IF(($I35-$E35)&lt;='VALORES TABELA'!$A$58,($I35-$E35)*'VALORES TABELA'!$B$58-'VALORES TABELA'!$C$58,IF(($I35-$E35)&lt;='VALORES TABELA'!$A$59,($I35-$E35)*'VALORES TABELA'!$B$59-'VALORES TABELA'!$C$59,($I35-$E35)*'VALORES TABELA'!$B$60-'VALORES TABELA'!$C$60))))-J34</f>
        <v>#REF!</v>
      </c>
    </row>
    <row r="36" spans="1:11" ht="20.25" customHeight="1" x14ac:dyDescent="0.2">
      <c r="A36" t="s">
        <v>3308</v>
      </c>
      <c r="B36" t="s">
        <v>3342</v>
      </c>
      <c r="C36" t="s">
        <v>3375</v>
      </c>
      <c r="D36" s="349" t="e">
        <f>SUMIF('APONTAMENTO CREDENCIAMENTO'!$D$5:$D$4033,$A36,'APONTAMENTO CREDENCIAMENTO'!#REF!)</f>
        <v>#REF!</v>
      </c>
      <c r="E36" s="350" t="e">
        <f t="shared" si="1"/>
        <v>#REF!</v>
      </c>
      <c r="F36" s="350" t="e">
        <f>$D36*'VALORES TABELA'!$B$45*'VALORES TABELA'!$B$46</f>
        <v>#REF!</v>
      </c>
      <c r="G36" s="350" t="e">
        <f t="shared" si="2"/>
        <v>#REF!</v>
      </c>
      <c r="H36" s="350" t="e">
        <f>_xlfn.LET(_xlpm.base,G36,_xlpm.bruto,E36+G36,_xlpm.ir_normal,IF(_xlpm.base&lt;='VALORES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36" s="350" t="e">
        <f>IF($C36=$C35,($D36+$D35)*'VALORES TABELA'!$B$50-$E35,$D36*'VALORES TABELA'!$B$50)</f>
        <v>#REF!</v>
      </c>
      <c r="J36" s="350" t="e">
        <f>IF(($G36-E36)&lt;='VALORES TABELA'!$A$56,0,IF(($G36-$E36)&lt;='VALORES TABELA'!$A$57,($G36-$E36)*'VALORES TABELA'!$B$57-'VALORES TABELA'!$C$57,IF(($G36-$E36)&lt;='VALORES TABELA'!$A$58,($G36-$E36)*'VALORES TABELA'!$B$58-'VALORES TABELA'!$C$58,IF(($G36-$E36)&lt;='VALORES TABELA'!$A$59,($G36-$E36)*'VALORES TABELA'!$B$59-'VALORES TABELA'!$C$59,($G36-$E36)*'VALORES TABELA'!$B$60-'VALORES TABELA'!$C$60))))</f>
        <v>#REF!</v>
      </c>
      <c r="K36" s="350" t="e">
        <f>IF(($I36-$E36)&lt;='VALORES TABELA'!$A$56,0,IF(($I36-$E36)&lt;='VALORES TABELA'!$A$57,($I36-$E36)*'VALORES TABELA'!$B$57-'VALORES TABELA'!$C$57,IF(($I36-$E36)&lt;='VALORES TABELA'!$A$58,($I36-$E36)*'VALORES TABELA'!$B$58-'VALORES TABELA'!$C$58,IF(($I36-$E36)&lt;='VALORES TABELA'!$A$59,($I36-$E36)*'VALORES TABELA'!$B$59-'VALORES TABELA'!$C$59,($I36-$E36)*'VALORES TABELA'!$B$60-'VALORES TABELA'!$C$60))))-J35</f>
        <v>#REF!</v>
      </c>
    </row>
    <row r="37" spans="1:11" ht="20.25" customHeight="1" x14ac:dyDescent="0.2">
      <c r="A37"/>
      <c r="B37"/>
      <c r="C37"/>
    </row>
    <row r="38" spans="1:11" ht="20.25" customHeight="1" x14ac:dyDescent="0.2">
      <c r="A38"/>
      <c r="B38"/>
      <c r="C38"/>
    </row>
    <row r="39" spans="1:11" ht="20.25" customHeight="1" x14ac:dyDescent="0.2">
      <c r="A39"/>
      <c r="B39"/>
      <c r="C39"/>
    </row>
    <row r="40" spans="1:11" ht="20.25" customHeight="1" x14ac:dyDescent="0.2">
      <c r="A40"/>
      <c r="B40"/>
      <c r="C40"/>
    </row>
    <row r="41" spans="1:11" ht="20.25" customHeight="1" x14ac:dyDescent="0.2">
      <c r="A41"/>
      <c r="B41"/>
      <c r="C41"/>
    </row>
    <row r="42" spans="1:11" ht="20.25" customHeight="1" x14ac:dyDescent="0.2">
      <c r="A42"/>
      <c r="B42"/>
      <c r="C42"/>
    </row>
    <row r="43" spans="1:11" ht="20.25" customHeight="1" x14ac:dyDescent="0.2">
      <c r="A43"/>
      <c r="B43"/>
      <c r="C43"/>
    </row>
    <row r="44" spans="1:11" ht="20.25" customHeight="1" x14ac:dyDescent="0.2">
      <c r="A44"/>
      <c r="B44"/>
      <c r="C44"/>
    </row>
    <row r="45" spans="1:11" ht="20.25" customHeight="1" x14ac:dyDescent="0.2">
      <c r="A45"/>
      <c r="B45"/>
      <c r="C45"/>
    </row>
    <row r="46" spans="1:11" ht="20.25" customHeight="1" x14ac:dyDescent="0.2">
      <c r="A46"/>
      <c r="B46"/>
      <c r="C46"/>
    </row>
    <row r="47" spans="1:11" ht="20.25" customHeight="1" x14ac:dyDescent="0.2">
      <c r="A47"/>
      <c r="B47"/>
      <c r="C47"/>
    </row>
    <row r="48" spans="1:11" ht="20.25" customHeight="1" x14ac:dyDescent="0.2">
      <c r="A48"/>
      <c r="B48"/>
      <c r="C48"/>
    </row>
    <row r="49" spans="1:3" ht="20.25" customHeight="1" x14ac:dyDescent="0.2">
      <c r="A49"/>
      <c r="B49"/>
      <c r="C49"/>
    </row>
    <row r="50" spans="1:3" ht="20.25" customHeight="1" x14ac:dyDescent="0.2">
      <c r="A50"/>
      <c r="B50"/>
      <c r="C50"/>
    </row>
    <row r="51" spans="1:3" ht="20.25" customHeight="1" x14ac:dyDescent="0.2">
      <c r="A51"/>
      <c r="B51"/>
      <c r="C51"/>
    </row>
    <row r="52" spans="1:3" ht="20.25" customHeight="1" x14ac:dyDescent="0.2">
      <c r="A52"/>
      <c r="B52"/>
      <c r="C52"/>
    </row>
    <row r="53" spans="1:3" ht="20.25" customHeight="1" x14ac:dyDescent="0.2">
      <c r="A53"/>
      <c r="B53"/>
      <c r="C53"/>
    </row>
    <row r="54" spans="1:3" ht="20.25" customHeight="1" x14ac:dyDescent="0.2">
      <c r="A54"/>
      <c r="B54"/>
      <c r="C54"/>
    </row>
    <row r="55" spans="1:3" ht="20.25" customHeight="1" x14ac:dyDescent="0.2">
      <c r="A55"/>
      <c r="B55"/>
      <c r="C55"/>
    </row>
    <row r="56" spans="1:3" ht="20.25" customHeight="1" x14ac:dyDescent="0.2">
      <c r="A56"/>
      <c r="B56"/>
      <c r="C56"/>
    </row>
    <row r="57" spans="1:3" ht="20.25" customHeight="1" x14ac:dyDescent="0.2">
      <c r="A57"/>
      <c r="B57"/>
      <c r="C57"/>
    </row>
    <row r="58" spans="1:3" ht="20.25" customHeight="1" x14ac:dyDescent="0.2">
      <c r="A58"/>
      <c r="B58"/>
      <c r="C58"/>
    </row>
    <row r="59" spans="1:3" ht="20.25" customHeight="1" x14ac:dyDescent="0.2">
      <c r="A59"/>
      <c r="B59"/>
      <c r="C59"/>
    </row>
    <row r="60" spans="1:3" ht="20.25" customHeight="1" x14ac:dyDescent="0.2">
      <c r="A60"/>
      <c r="B60"/>
      <c r="C60"/>
    </row>
    <row r="61" spans="1:3" ht="20.25" customHeight="1" x14ac:dyDescent="0.2">
      <c r="A61"/>
      <c r="B61"/>
      <c r="C61"/>
    </row>
    <row r="62" spans="1:3" ht="20.25" customHeight="1" x14ac:dyDescent="0.2">
      <c r="A62"/>
      <c r="B62"/>
      <c r="C62"/>
    </row>
    <row r="63" spans="1:3" ht="20.25" customHeight="1" x14ac:dyDescent="0.2">
      <c r="A63"/>
      <c r="B63"/>
      <c r="C63"/>
    </row>
    <row r="64" spans="1:3" ht="20.25" customHeight="1" x14ac:dyDescent="0.2">
      <c r="A64"/>
      <c r="B64"/>
      <c r="C64"/>
    </row>
    <row r="65" spans="1:3" ht="20.25" customHeight="1" x14ac:dyDescent="0.2">
      <c r="A65"/>
      <c r="B65"/>
      <c r="C65"/>
    </row>
    <row r="66" spans="1:3" ht="20.25" customHeight="1" x14ac:dyDescent="0.2">
      <c r="A66"/>
      <c r="B66"/>
      <c r="C66"/>
    </row>
    <row r="67" spans="1:3" ht="20.25" customHeight="1" x14ac:dyDescent="0.2">
      <c r="A67"/>
      <c r="B67"/>
      <c r="C67"/>
    </row>
    <row r="68" spans="1:3" ht="20.25" customHeight="1" x14ac:dyDescent="0.2">
      <c r="A68"/>
      <c r="B68"/>
      <c r="C68"/>
    </row>
    <row r="69" spans="1:3" ht="20.25" customHeight="1" x14ac:dyDescent="0.2">
      <c r="A69"/>
      <c r="B69"/>
      <c r="C69"/>
    </row>
    <row r="70" spans="1:3" ht="20.25" customHeight="1" x14ac:dyDescent="0.2">
      <c r="A70"/>
      <c r="B70"/>
      <c r="C70"/>
    </row>
    <row r="71" spans="1:3" ht="20.25" customHeight="1" x14ac:dyDescent="0.2">
      <c r="A71"/>
      <c r="B71"/>
      <c r="C71"/>
    </row>
    <row r="72" spans="1:3" ht="20.25" customHeight="1" x14ac:dyDescent="0.2">
      <c r="A72"/>
      <c r="B72"/>
      <c r="C72"/>
    </row>
    <row r="73" spans="1:3" ht="20.25" customHeight="1" x14ac:dyDescent="0.2">
      <c r="A73"/>
      <c r="B73"/>
      <c r="C73"/>
    </row>
    <row r="74" spans="1:3" ht="20.25" customHeight="1" x14ac:dyDescent="0.2">
      <c r="A74"/>
      <c r="B74"/>
      <c r="C74"/>
    </row>
    <row r="75" spans="1:3" ht="20.25" customHeight="1" x14ac:dyDescent="0.2">
      <c r="A75"/>
      <c r="B75"/>
      <c r="C75"/>
    </row>
    <row r="76" spans="1:3" ht="20.25" customHeight="1" x14ac:dyDescent="0.2">
      <c r="A76"/>
      <c r="B76"/>
      <c r="C76"/>
    </row>
    <row r="77" spans="1:3" ht="20.25" customHeight="1" x14ac:dyDescent="0.2">
      <c r="A77"/>
      <c r="B77"/>
      <c r="C77"/>
    </row>
    <row r="78" spans="1:3" ht="20.25" customHeight="1" x14ac:dyDescent="0.2">
      <c r="A78"/>
      <c r="B78"/>
      <c r="C78"/>
    </row>
    <row r="79" spans="1:3" ht="20.25" customHeight="1" x14ac:dyDescent="0.2">
      <c r="A79"/>
      <c r="B79"/>
      <c r="C79"/>
    </row>
    <row r="80" spans="1:3" ht="20.25" customHeight="1" x14ac:dyDescent="0.2">
      <c r="A80"/>
      <c r="B80"/>
      <c r="C80"/>
    </row>
    <row r="81" spans="1:3" ht="20.25" customHeight="1" x14ac:dyDescent="0.2">
      <c r="A81"/>
      <c r="B81"/>
      <c r="C81"/>
    </row>
    <row r="82" spans="1:3" ht="20.25" customHeight="1" x14ac:dyDescent="0.2">
      <c r="A82"/>
      <c r="B82"/>
      <c r="C82"/>
    </row>
    <row r="83" spans="1:3" ht="20.25" customHeight="1" x14ac:dyDescent="0.2">
      <c r="A83"/>
      <c r="B83"/>
      <c r="C83"/>
    </row>
    <row r="84" spans="1:3" ht="20.25" customHeight="1" x14ac:dyDescent="0.2">
      <c r="A84"/>
      <c r="B84"/>
      <c r="C84"/>
    </row>
    <row r="85" spans="1:3" ht="20.25" customHeight="1" x14ac:dyDescent="0.2">
      <c r="A85"/>
      <c r="B85"/>
      <c r="C85"/>
    </row>
    <row r="86" spans="1:3" ht="20.25" customHeight="1" x14ac:dyDescent="0.2">
      <c r="A86"/>
      <c r="B86"/>
      <c r="C86"/>
    </row>
    <row r="87" spans="1:3" ht="20.25" customHeight="1" x14ac:dyDescent="0.2">
      <c r="A87"/>
      <c r="B87"/>
      <c r="C87"/>
    </row>
    <row r="88" spans="1:3" ht="20.25" customHeight="1" x14ac:dyDescent="0.2">
      <c r="A88"/>
      <c r="B88"/>
      <c r="C88"/>
    </row>
    <row r="89" spans="1:3" ht="20.25" customHeight="1" x14ac:dyDescent="0.2">
      <c r="A89"/>
      <c r="B89"/>
      <c r="C89"/>
    </row>
    <row r="90" spans="1:3" ht="20.25" customHeight="1" x14ac:dyDescent="0.2">
      <c r="A90"/>
      <c r="B90"/>
      <c r="C90"/>
    </row>
    <row r="91" spans="1:3" ht="20.25" customHeight="1" x14ac:dyDescent="0.2">
      <c r="A91"/>
      <c r="B91"/>
      <c r="C91"/>
    </row>
    <row r="92" spans="1:3" ht="20.25" customHeight="1" x14ac:dyDescent="0.2">
      <c r="A92"/>
      <c r="B92"/>
      <c r="C92"/>
    </row>
    <row r="93" spans="1:3" ht="20.25" customHeight="1" x14ac:dyDescent="0.2">
      <c r="A93"/>
      <c r="B93"/>
      <c r="C93"/>
    </row>
    <row r="94" spans="1:3" ht="20.25" customHeight="1" x14ac:dyDescent="0.2">
      <c r="A94"/>
      <c r="B94"/>
      <c r="C94"/>
    </row>
    <row r="95" spans="1:3" ht="20.25" customHeight="1" x14ac:dyDescent="0.2">
      <c r="A95"/>
      <c r="B95"/>
      <c r="C95"/>
    </row>
    <row r="96" spans="1:3" ht="20.25" customHeight="1" x14ac:dyDescent="0.2">
      <c r="A96"/>
      <c r="B96"/>
      <c r="C96"/>
    </row>
    <row r="97" spans="1:3" ht="20.25" customHeight="1" x14ac:dyDescent="0.2">
      <c r="A97"/>
      <c r="B97"/>
      <c r="C97"/>
    </row>
    <row r="98" spans="1:3" ht="20.25" customHeight="1" x14ac:dyDescent="0.2">
      <c r="A98"/>
      <c r="B98"/>
      <c r="C98"/>
    </row>
    <row r="99" spans="1:3" ht="20.25" customHeight="1" x14ac:dyDescent="0.2">
      <c r="A99"/>
      <c r="B99"/>
      <c r="C99"/>
    </row>
    <row r="100" spans="1:3" ht="20.25" customHeight="1" x14ac:dyDescent="0.2">
      <c r="A100"/>
      <c r="B100"/>
      <c r="C100"/>
    </row>
    <row r="101" spans="1:3" ht="20.25" customHeight="1" x14ac:dyDescent="0.2">
      <c r="A101"/>
      <c r="B101"/>
      <c r="C101"/>
    </row>
    <row r="102" spans="1:3" ht="20.25" customHeight="1" x14ac:dyDescent="0.2">
      <c r="A102"/>
      <c r="B102"/>
      <c r="C102"/>
    </row>
    <row r="103" spans="1:3" ht="20.25" customHeight="1" x14ac:dyDescent="0.2">
      <c r="A103"/>
      <c r="B103"/>
      <c r="C103"/>
    </row>
    <row r="104" spans="1:3" ht="20.25" customHeight="1" x14ac:dyDescent="0.2">
      <c r="A104"/>
      <c r="B104"/>
      <c r="C104"/>
    </row>
    <row r="105" spans="1:3" ht="20.25" customHeight="1" x14ac:dyDescent="0.2">
      <c r="A105"/>
      <c r="B105"/>
      <c r="C105"/>
    </row>
    <row r="106" spans="1:3" ht="20.25" customHeight="1" x14ac:dyDescent="0.2">
      <c r="A106"/>
      <c r="B106"/>
      <c r="C106"/>
    </row>
    <row r="107" spans="1:3" ht="20.25" customHeight="1" x14ac:dyDescent="0.2">
      <c r="A107"/>
      <c r="B107"/>
      <c r="C107"/>
    </row>
    <row r="108" spans="1:3" ht="20.25" customHeight="1" x14ac:dyDescent="0.2">
      <c r="A108"/>
      <c r="B108"/>
      <c r="C108"/>
    </row>
    <row r="109" spans="1:3" ht="20.25" customHeight="1" x14ac:dyDescent="0.2">
      <c r="A109"/>
      <c r="B109"/>
      <c r="C109"/>
    </row>
    <row r="110" spans="1:3" ht="20.25" customHeight="1" x14ac:dyDescent="0.2">
      <c r="A110"/>
      <c r="B110"/>
      <c r="C110"/>
    </row>
    <row r="111" spans="1:3" ht="20.25" customHeight="1" x14ac:dyDescent="0.2">
      <c r="A111"/>
      <c r="B111"/>
      <c r="C111"/>
    </row>
    <row r="112" spans="1:3" ht="20.25" customHeight="1" x14ac:dyDescent="0.2">
      <c r="A112"/>
      <c r="B112"/>
      <c r="C112"/>
    </row>
    <row r="113" spans="1:3" ht="20.25" customHeight="1" x14ac:dyDescent="0.2">
      <c r="A113"/>
      <c r="B113"/>
      <c r="C113"/>
    </row>
    <row r="114" spans="1:3" ht="20.25" customHeight="1" x14ac:dyDescent="0.2">
      <c r="A114"/>
      <c r="B114"/>
      <c r="C114"/>
    </row>
    <row r="115" spans="1:3" ht="20.25" customHeight="1" x14ac:dyDescent="0.2">
      <c r="A115"/>
      <c r="B115"/>
      <c r="C115"/>
    </row>
    <row r="116" spans="1:3" ht="20.25" customHeight="1" x14ac:dyDescent="0.2">
      <c r="A116"/>
      <c r="B116"/>
      <c r="C116"/>
    </row>
    <row r="117" spans="1:3" ht="20.25" customHeight="1" x14ac:dyDescent="0.2">
      <c r="A117"/>
      <c r="B117"/>
      <c r="C117"/>
    </row>
    <row r="118" spans="1:3" ht="20.25" customHeight="1" x14ac:dyDescent="0.2">
      <c r="A118"/>
      <c r="B118"/>
      <c r="C118"/>
    </row>
    <row r="119" spans="1:3" ht="20.25" customHeight="1" x14ac:dyDescent="0.2">
      <c r="A119"/>
      <c r="B119"/>
      <c r="C119"/>
    </row>
    <row r="120" spans="1:3" ht="20.25" customHeight="1" x14ac:dyDescent="0.2">
      <c r="A120"/>
      <c r="B120"/>
      <c r="C120"/>
    </row>
  </sheetData>
  <sheetProtection formatCells="0" formatColumns="0" formatRows="0" autoFilter="0"/>
  <mergeCells count="10">
    <mergeCell ref="C1:C2"/>
    <mergeCell ref="D1:D2"/>
    <mergeCell ref="E1:E2"/>
    <mergeCell ref="F1:F2"/>
    <mergeCell ref="A1:A2"/>
    <mergeCell ref="K1:K2"/>
    <mergeCell ref="G1:G2"/>
    <mergeCell ref="H1:H2"/>
    <mergeCell ref="I1:I2"/>
    <mergeCell ref="J1:J2"/>
  </mergeCells>
  <conditionalFormatting sqref="A1:B3">
    <cfRule type="duplicateValues" dxfId="20" priority="129860"/>
  </conditionalFormatting>
  <conditionalFormatting sqref="A121:B1048576 A1:A3 B1:B4">
    <cfRule type="duplicateValues" dxfId="19" priority="129863"/>
  </conditionalFormatting>
  <printOptions horizontalCentered="1"/>
  <pageMargins left="0" right="0" top="0.39370078740157483" bottom="0.39370078740157483" header="0" footer="0"/>
  <pageSetup paperSize="37" scale="60" orientation="landscape" r:id="rId1"/>
  <headerFooter>
    <oddFooter>&amp;CPágina 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1">
    <pageSetUpPr fitToPage="1"/>
  </sheetPr>
  <dimension ref="A1:AT62"/>
  <sheetViews>
    <sheetView workbookViewId="0">
      <selection activeCell="I31" sqref="I31"/>
    </sheetView>
  </sheetViews>
  <sheetFormatPr defaultColWidth="9.140625" defaultRowHeight="12.75" x14ac:dyDescent="0.2"/>
  <cols>
    <col min="1" max="2" width="9.140625" style="48"/>
    <col min="3" max="3" width="14.42578125" style="48" customWidth="1"/>
    <col min="4" max="4" width="9.140625" style="48"/>
    <col min="5" max="5" width="14.42578125" style="48" customWidth="1"/>
    <col min="6" max="6" width="14.140625" style="48" customWidth="1"/>
    <col min="7" max="7" width="17.42578125" style="48" customWidth="1"/>
    <col min="8" max="8" width="10.7109375" style="48" bestFit="1" customWidth="1"/>
    <col min="9" max="9" width="25.28515625" style="48" customWidth="1"/>
    <col min="10" max="12" width="9.140625" style="48"/>
    <col min="13" max="13" width="11.7109375" style="48" customWidth="1"/>
    <col min="14" max="21" width="9.140625" style="48"/>
    <col min="22" max="22" width="0" style="48" hidden="1" customWidth="1"/>
    <col min="23" max="27" width="9.140625" style="48"/>
    <col min="28" max="31" width="0" style="48" hidden="1" customWidth="1"/>
    <col min="32" max="16384" width="9.140625" style="48"/>
  </cols>
  <sheetData>
    <row r="1" spans="1:46" s="10" customFormat="1" x14ac:dyDescent="0.2">
      <c r="J1" s="33"/>
      <c r="K1" s="33"/>
      <c r="L1" s="33"/>
      <c r="M1" s="33"/>
      <c r="N1" s="33"/>
      <c r="O1" s="33"/>
      <c r="P1" s="33"/>
      <c r="Q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</row>
    <row r="2" spans="1:46" s="10" customFormat="1" ht="6.75" customHeight="1" x14ac:dyDescent="0.25">
      <c r="A2" s="37"/>
      <c r="B2" s="37"/>
      <c r="C2" s="37"/>
      <c r="D2" s="37"/>
      <c r="E2" s="626"/>
      <c r="F2" s="626"/>
      <c r="G2" s="626"/>
      <c r="H2" s="626"/>
      <c r="I2" s="626"/>
      <c r="J2" s="33"/>
      <c r="K2" s="33"/>
      <c r="L2" s="33"/>
      <c r="M2" s="33"/>
      <c r="N2" s="627"/>
      <c r="O2" s="627"/>
      <c r="P2" s="627"/>
      <c r="Q2" s="627"/>
      <c r="R2" s="627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</row>
    <row r="3" spans="1:46" s="10" customFormat="1" ht="17.25" customHeight="1" x14ac:dyDescent="0.25">
      <c r="A3" s="37"/>
      <c r="B3" s="37"/>
      <c r="C3" s="37"/>
      <c r="D3" s="37"/>
      <c r="E3" s="628"/>
      <c r="F3" s="628"/>
      <c r="G3" s="628"/>
      <c r="H3" s="628"/>
      <c r="I3" s="628"/>
      <c r="J3" s="33"/>
      <c r="K3" s="33"/>
      <c r="L3" s="33"/>
      <c r="M3" s="33"/>
      <c r="N3" s="627"/>
      <c r="O3" s="627"/>
      <c r="P3" s="49"/>
      <c r="Q3" s="50"/>
      <c r="R3" s="95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</row>
    <row r="4" spans="1:46" s="10" customFormat="1" ht="37.5" customHeight="1" x14ac:dyDescent="0.25">
      <c r="A4" s="37"/>
      <c r="B4" s="37"/>
      <c r="C4" s="37"/>
      <c r="D4" s="37"/>
      <c r="E4" s="629"/>
      <c r="F4" s="629"/>
      <c r="G4" s="629"/>
      <c r="H4" s="629"/>
      <c r="I4" s="629"/>
      <c r="J4" s="33"/>
      <c r="K4" s="33"/>
      <c r="L4" s="33"/>
      <c r="M4" s="33"/>
      <c r="N4" s="51"/>
      <c r="O4" s="49"/>
      <c r="P4" s="49"/>
      <c r="Q4" s="50"/>
      <c r="R4" s="49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</row>
    <row r="5" spans="1:46" s="10" customFormat="1" ht="9" customHeight="1" x14ac:dyDescent="0.25">
      <c r="A5" s="37"/>
      <c r="B5" s="37"/>
      <c r="C5" s="37"/>
      <c r="D5" s="37"/>
      <c r="E5" s="37"/>
      <c r="F5" s="96"/>
      <c r="G5" s="96"/>
      <c r="H5" s="96"/>
      <c r="I5" s="96"/>
      <c r="J5" s="33"/>
      <c r="K5" s="33"/>
      <c r="L5" s="33"/>
      <c r="M5" s="33"/>
      <c r="N5" s="51"/>
      <c r="O5" s="49"/>
      <c r="P5" s="49"/>
      <c r="Q5" s="50"/>
      <c r="R5" s="49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</row>
    <row r="6" spans="1:46" s="10" customFormat="1" ht="9" customHeight="1" x14ac:dyDescent="0.25">
      <c r="A6" s="37"/>
      <c r="B6" s="37"/>
      <c r="C6" s="37"/>
      <c r="D6" s="37"/>
      <c r="E6" s="37"/>
      <c r="F6" s="96"/>
      <c r="G6" s="96"/>
      <c r="H6" s="96"/>
      <c r="I6" s="96"/>
      <c r="J6" s="33"/>
      <c r="K6" s="33"/>
      <c r="L6" s="33"/>
      <c r="M6" s="33"/>
      <c r="N6" s="51"/>
      <c r="O6" s="49"/>
      <c r="P6" s="49"/>
      <c r="Q6" s="50"/>
      <c r="R6" s="49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</row>
    <row r="7" spans="1:46" s="10" customFormat="1" x14ac:dyDescent="0.2">
      <c r="A7" s="33"/>
      <c r="B7" s="33"/>
      <c r="C7" s="33"/>
      <c r="D7" s="33"/>
      <c r="E7" s="33"/>
      <c r="F7" s="33"/>
      <c r="G7" s="33"/>
      <c r="H7" s="33"/>
      <c r="I7" s="33"/>
    </row>
    <row r="8" spans="1:46" s="10" customFormat="1" x14ac:dyDescent="0.2">
      <c r="A8" s="33"/>
      <c r="B8" s="52"/>
      <c r="C8" s="33"/>
      <c r="D8" s="33"/>
      <c r="E8" s="33"/>
      <c r="F8" s="33"/>
      <c r="G8" s="33"/>
      <c r="H8" s="33"/>
      <c r="I8" s="33"/>
    </row>
    <row r="9" spans="1:46" s="10" customFormat="1" ht="16.5" thickBot="1" x14ac:dyDescent="0.3">
      <c r="A9" s="33"/>
      <c r="B9" s="625" t="s">
        <v>62</v>
      </c>
      <c r="C9" s="625"/>
      <c r="D9" s="625"/>
      <c r="E9" s="625"/>
      <c r="F9" s="625"/>
      <c r="G9" s="625"/>
      <c r="H9" s="625"/>
      <c r="I9" s="625"/>
    </row>
    <row r="10" spans="1:46" s="10" customFormat="1" ht="12.75" customHeight="1" thickBot="1" x14ac:dyDescent="0.25">
      <c r="A10" s="620" t="s">
        <v>63</v>
      </c>
      <c r="B10" s="621"/>
      <c r="C10" s="381" t="s">
        <v>11</v>
      </c>
      <c r="D10" s="621" t="s">
        <v>279</v>
      </c>
      <c r="E10" s="621"/>
      <c r="F10" s="380" t="s">
        <v>280</v>
      </c>
      <c r="G10" s="382" t="s">
        <v>278</v>
      </c>
      <c r="H10" s="380" t="s">
        <v>67</v>
      </c>
      <c r="I10" s="383" t="s">
        <v>68</v>
      </c>
    </row>
    <row r="11" spans="1:46" s="10" customFormat="1" ht="12.75" customHeight="1" x14ac:dyDescent="0.2">
      <c r="A11" s="373" t="str">
        <f>'BASE C'!B3</f>
        <v>2024/0058937</v>
      </c>
      <c r="B11" s="374"/>
      <c r="C11" s="375" t="str">
        <f>VLOOKUP(A11,ProcRel!A1:C5000,3,0)</f>
        <v>007.659-00</v>
      </c>
      <c r="D11" s="622" t="str">
        <f>VLOOKUP(A11,'APONTAMENTO CREDENCIAMENTO'!$D$6:$D$4033,1,FALSE)</f>
        <v>2024/0058937</v>
      </c>
      <c r="E11" s="622"/>
      <c r="F11" s="376">
        <f>SUMIF('APONTAMENTO CREDENCIAMENTO'!D$5:D$5136,A11,'APONTAMENTO CREDENCIAMENTO'!N$5:N$5136)</f>
        <v>0</v>
      </c>
      <c r="G11" s="377" t="e">
        <f>'EMPRESA C'!H16+'EMPRESA C'!I16+'EMPRESA C'!J16+'EMPRESA C'!K16+'EMPRESA C'!L16+'EMPRESA C'!M16</f>
        <v>#REF!</v>
      </c>
      <c r="H11" s="378" t="str">
        <f>'BASE C'!E4</f>
        <v>ABRIL</v>
      </c>
      <c r="I11" s="379" t="str">
        <f>'BASE C'!D2</f>
        <v>FREGUESIA / BRASILÂNDIA</v>
      </c>
    </row>
    <row r="12" spans="1:46" s="10" customFormat="1" ht="12.75" customHeight="1" x14ac:dyDescent="0.2">
      <c r="A12" s="623" t="s">
        <v>69</v>
      </c>
      <c r="B12" s="624"/>
      <c r="C12" s="624"/>
      <c r="D12" s="624"/>
      <c r="E12" s="624"/>
      <c r="F12" s="603" t="s">
        <v>251</v>
      </c>
      <c r="G12" s="603"/>
      <c r="H12" s="603" t="s">
        <v>6</v>
      </c>
      <c r="I12" s="604"/>
    </row>
    <row r="13" spans="1:46" s="10" customFormat="1" ht="12.75" customHeight="1" thickBot="1" x14ac:dyDescent="0.25">
      <c r="A13" s="605" t="str">
        <f>VLOOKUP(A11,'APONTAMENTO CREDENCIAMENTO'!D1:J5136,6,FALSE)</f>
        <v>MARLI PEREIRA DA SILVA</v>
      </c>
      <c r="B13" s="606"/>
      <c r="C13" s="606"/>
      <c r="D13" s="606"/>
      <c r="E13" s="607"/>
      <c r="F13" s="613" t="str">
        <f>VLOOKUP(A11,ProcRel1!E2:G5000,3,FALSE)</f>
        <v>809.179.258-15</v>
      </c>
      <c r="G13" s="613"/>
      <c r="H13" s="371" t="str">
        <f>'BASE C'!B4</f>
        <v>01/04/2026</v>
      </c>
      <c r="I13" s="372" t="str">
        <f>'BASE C'!C4</f>
        <v>30/04/2026</v>
      </c>
    </row>
    <row r="14" spans="1:46" s="10" customFormat="1" ht="12.75" customHeight="1" thickBot="1" x14ac:dyDescent="0.25">
      <c r="A14" s="608"/>
      <c r="B14" s="609"/>
      <c r="C14" s="609"/>
      <c r="D14" s="609"/>
      <c r="E14" s="609"/>
      <c r="F14" s="614" t="s">
        <v>71</v>
      </c>
      <c r="G14" s="615"/>
      <c r="H14" s="615" t="s">
        <v>72</v>
      </c>
      <c r="I14" s="616"/>
    </row>
    <row r="15" spans="1:46" s="10" customFormat="1" ht="12.75" customHeight="1" thickBot="1" x14ac:dyDescent="0.25">
      <c r="A15" s="610"/>
      <c r="B15" s="611"/>
      <c r="C15" s="611"/>
      <c r="D15" s="611"/>
      <c r="E15" s="612"/>
      <c r="F15" s="617" t="str">
        <f>VLOOKUP(A11,'APONTAMENTO CREDENCIAMENTO'!D1:O4031,12,FALSE)</f>
        <v>6020.2024/0058937-5</v>
      </c>
      <c r="G15" s="617"/>
      <c r="H15" s="618">
        <f>'VALORES TABELA'!B37</f>
        <v>46171</v>
      </c>
      <c r="I15" s="619"/>
    </row>
    <row r="16" spans="1:46" s="10" customFormat="1" ht="9.9499999999999993" customHeight="1" x14ac:dyDescent="0.2">
      <c r="A16" s="370"/>
      <c r="B16" s="370"/>
      <c r="C16" s="370"/>
      <c r="D16" s="370"/>
      <c r="E16" s="370"/>
      <c r="F16" s="370"/>
      <c r="G16" s="370"/>
      <c r="H16" s="370"/>
      <c r="I16" s="370"/>
    </row>
    <row r="17" spans="1:13" s="10" customFormat="1" ht="9.9499999999999993" customHeight="1" x14ac:dyDescent="0.2">
      <c r="A17" s="64"/>
      <c r="B17" s="65" t="s">
        <v>73</v>
      </c>
      <c r="C17" s="65"/>
      <c r="D17" s="65"/>
      <c r="E17" s="65"/>
      <c r="F17" s="65"/>
      <c r="G17" s="65"/>
      <c r="H17" s="65"/>
      <c r="I17" s="65"/>
    </row>
    <row r="18" spans="1:13" s="10" customFormat="1" ht="9.9499999999999993" customHeight="1" thickBot="1" x14ac:dyDescent="0.25">
      <c r="A18" s="64"/>
      <c r="B18" s="64"/>
      <c r="C18" s="64"/>
      <c r="D18" s="64"/>
      <c r="E18" s="64"/>
      <c r="F18" s="64"/>
      <c r="G18" s="64"/>
      <c r="H18" s="64"/>
      <c r="I18" s="64"/>
    </row>
    <row r="19" spans="1:13" s="10" customFormat="1" ht="15" customHeight="1" x14ac:dyDescent="0.2">
      <c r="A19" s="571" t="s">
        <v>74</v>
      </c>
      <c r="B19" s="572"/>
      <c r="C19" s="572"/>
      <c r="D19" s="572"/>
      <c r="E19" s="572"/>
      <c r="F19" s="572"/>
      <c r="G19" s="573"/>
      <c r="H19" s="574" t="s">
        <v>75</v>
      </c>
      <c r="I19" s="575"/>
    </row>
    <row r="20" spans="1:13" s="10" customFormat="1" ht="15" customHeight="1" x14ac:dyDescent="0.2">
      <c r="A20" s="384" t="s">
        <v>76</v>
      </c>
      <c r="B20" s="385" t="s">
        <v>277</v>
      </c>
      <c r="C20" s="386"/>
      <c r="D20" s="387"/>
      <c r="E20" s="386"/>
      <c r="F20" s="387"/>
      <c r="G20" s="386"/>
      <c r="H20" s="386"/>
      <c r="I20" s="409" t="e">
        <f>VLOOKUP(A11,'APONTAMENTO CREDENCIAMENTO'!$D$6:$T$4033,150,FALSE)</f>
        <v>#REF!</v>
      </c>
    </row>
    <row r="21" spans="1:13" s="10" customFormat="1" ht="15" customHeight="1" x14ac:dyDescent="0.2">
      <c r="A21" s="384" t="s">
        <v>77</v>
      </c>
      <c r="B21" s="385" t="s">
        <v>276</v>
      </c>
      <c r="C21" s="387"/>
      <c r="D21" s="387"/>
      <c r="E21" s="387"/>
      <c r="F21" s="412" t="s">
        <v>305</v>
      </c>
      <c r="G21" s="387"/>
      <c r="H21" s="387"/>
      <c r="I21" s="410" t="e">
        <f>SUMIF('APONTAMENTO CREDENCIAMENTO'!D$5:D$5136,A11,'APONTAMENTO CREDENCIAMENTO'!#REF!)</f>
        <v>#REF!</v>
      </c>
    </row>
    <row r="22" spans="1:13" s="10" customFormat="1" ht="15" customHeight="1" x14ac:dyDescent="0.2">
      <c r="A22" s="384" t="s">
        <v>78</v>
      </c>
      <c r="B22" s="388" t="s">
        <v>275</v>
      </c>
      <c r="C22" s="387"/>
      <c r="D22" s="389"/>
      <c r="E22" s="387"/>
      <c r="F22" s="389"/>
      <c r="G22" s="387"/>
      <c r="H22" s="387"/>
      <c r="I22" s="410" t="e">
        <f>SUMIF('APONTAMENTO CREDENCIAMENTO'!D5:D5136,A11,'APONTAMENTO CREDENCIAMENTO'!#REF!)</f>
        <v>#REF!</v>
      </c>
      <c r="K22" s="53"/>
    </row>
    <row r="23" spans="1:13" s="10" customFormat="1" ht="15" customHeight="1" x14ac:dyDescent="0.2">
      <c r="A23" s="384" t="s">
        <v>79</v>
      </c>
      <c r="B23" s="385" t="s">
        <v>274</v>
      </c>
      <c r="C23" s="387"/>
      <c r="D23" s="387"/>
      <c r="E23" s="387"/>
      <c r="F23" s="387"/>
      <c r="G23" s="387"/>
      <c r="H23" s="387"/>
      <c r="I23" s="410" t="e">
        <f>SUMIF('APONTAMENTO CREDENCIAMENTO'!D5:D5136,A11,'APONTAMENTO CREDENCIAMENTO'!#REF!)</f>
        <v>#REF!</v>
      </c>
      <c r="K23" s="53"/>
    </row>
    <row r="24" spans="1:13" s="10" customFormat="1" ht="15" customHeight="1" x14ac:dyDescent="0.2">
      <c r="A24" s="384" t="s">
        <v>80</v>
      </c>
      <c r="B24" s="385" t="s">
        <v>273</v>
      </c>
      <c r="C24" s="387"/>
      <c r="D24" s="387"/>
      <c r="E24" s="387"/>
      <c r="F24" s="387"/>
      <c r="G24" s="387"/>
      <c r="H24" s="387"/>
      <c r="I24" s="410" t="e">
        <f>SUMIF('APONTAMENTO CREDENCIAMENTO'!D5:D5136,A11,'APONTAMENTO CREDENCIAMENTO'!#REF!)</f>
        <v>#REF!</v>
      </c>
      <c r="K24" s="53"/>
    </row>
    <row r="25" spans="1:13" s="10" customFormat="1" ht="15" customHeight="1" x14ac:dyDescent="0.2">
      <c r="A25" s="384" t="s">
        <v>81</v>
      </c>
      <c r="B25" s="385" t="s">
        <v>272</v>
      </c>
      <c r="C25" s="387"/>
      <c r="D25" s="387"/>
      <c r="E25" s="387"/>
      <c r="F25" s="387"/>
      <c r="G25" s="387"/>
      <c r="H25" s="387"/>
      <c r="I25" s="410" t="e">
        <f>SUMIF('APONTAMENTO CREDENCIAMENTO'!D5:D5136,A11,'APONTAMENTO CREDENCIAMENTO'!#REF!)</f>
        <v>#REF!</v>
      </c>
      <c r="K25" s="53"/>
    </row>
    <row r="26" spans="1:13" s="10" customFormat="1" ht="15" customHeight="1" x14ac:dyDescent="0.2">
      <c r="A26" s="384" t="s">
        <v>82</v>
      </c>
      <c r="B26" s="390" t="s">
        <v>54</v>
      </c>
      <c r="C26" s="387"/>
      <c r="D26" s="391"/>
      <c r="E26" s="387"/>
      <c r="F26" s="391"/>
      <c r="G26" s="387"/>
      <c r="H26" s="387"/>
      <c r="I26" s="410" t="e">
        <f>VLOOKUP(A11,'APONTAMENTO CREDENCIAMENTO'!D5:T5136,230,0)</f>
        <v>#REF!</v>
      </c>
      <c r="K26" s="53"/>
      <c r="L26" s="40"/>
    </row>
    <row r="27" spans="1:13" s="10" customFormat="1" ht="15" customHeight="1" x14ac:dyDescent="0.2">
      <c r="A27" s="384" t="s">
        <v>83</v>
      </c>
      <c r="B27" s="390" t="s">
        <v>271</v>
      </c>
      <c r="C27" s="387"/>
      <c r="D27" s="391"/>
      <c r="E27" s="387"/>
      <c r="F27" s="391"/>
      <c r="G27" s="387"/>
      <c r="H27" s="387"/>
      <c r="I27" s="410" t="e">
        <f>VLOOKUP(A11,'APONTAMENTO CREDENCIAMENTO'!D5:T5136,231,0)*-1</f>
        <v>#REF!</v>
      </c>
      <c r="K27" s="53"/>
      <c r="M27" s="40"/>
    </row>
    <row r="28" spans="1:13" s="10" customFormat="1" ht="15" customHeight="1" x14ac:dyDescent="0.2">
      <c r="A28" s="384" t="s">
        <v>84</v>
      </c>
      <c r="B28" s="392" t="s">
        <v>270</v>
      </c>
      <c r="C28" s="387"/>
      <c r="D28" s="393"/>
      <c r="E28" s="387"/>
      <c r="F28" s="393"/>
      <c r="G28" s="387"/>
      <c r="H28" s="387"/>
      <c r="I28" s="410" t="e">
        <f>VLOOKUP(A11,'APONTAMENTO CREDENCIAMENTO'!D5:T5136,232,0)*-1</f>
        <v>#REF!</v>
      </c>
    </row>
    <row r="29" spans="1:13" s="10" customFormat="1" ht="15" customHeight="1" x14ac:dyDescent="0.2">
      <c r="A29" s="384" t="s">
        <v>85</v>
      </c>
      <c r="B29" s="417" t="s">
        <v>269</v>
      </c>
      <c r="C29" s="418"/>
      <c r="D29" s="413"/>
      <c r="E29" s="420">
        <f>SUMIF('APONTAMENTO CREDENCIAMENTO'!D5:D5136,A11,'APONTAMENTO CREDENCIAMENTO'!L5:L5136)</f>
        <v>0</v>
      </c>
      <c r="F29" s="421" t="s">
        <v>306</v>
      </c>
      <c r="G29" s="422">
        <f>SUMIF('APONTAMENTO CREDENCIAMENTO'!D5:D5136,A11,'APONTAMENTO CREDENCIAMENTO'!M5:M5136)</f>
        <v>0</v>
      </c>
      <c r="H29" s="419" t="s">
        <v>139</v>
      </c>
      <c r="I29" s="410" t="e">
        <f>SUMIF('APONTAMENTO CREDENCIAMENTO'!D5:D5136,A11,'APONTAMENTO CREDENCIAMENTO'!#REF!)</f>
        <v>#REF!</v>
      </c>
      <c r="K29" s="53"/>
    </row>
    <row r="30" spans="1:13" s="10" customFormat="1" ht="15" customHeight="1" x14ac:dyDescent="0.2">
      <c r="A30" s="384" t="s">
        <v>268</v>
      </c>
      <c r="B30" s="414" t="s">
        <v>267</v>
      </c>
      <c r="C30" s="415"/>
      <c r="D30" s="416"/>
      <c r="E30" s="415"/>
      <c r="F30" s="416"/>
      <c r="G30" s="415"/>
      <c r="H30" s="415"/>
      <c r="I30" s="410" t="e">
        <f>SUMIF('APONTAMENTO CREDENCIAMENTO'!D5:D5136,A11,'APONTAMENTO CREDENCIAMENTO'!#REF!)</f>
        <v>#REF!</v>
      </c>
      <c r="M30" s="53"/>
    </row>
    <row r="31" spans="1:13" s="10" customFormat="1" ht="15" customHeight="1" x14ac:dyDescent="0.2">
      <c r="A31" s="384" t="s">
        <v>86</v>
      </c>
      <c r="B31" s="395" t="s">
        <v>266</v>
      </c>
      <c r="C31" s="394"/>
      <c r="D31" s="394"/>
      <c r="E31" s="394"/>
      <c r="F31" s="394"/>
      <c r="G31" s="394"/>
      <c r="H31" s="394"/>
      <c r="I31" s="411" t="e">
        <f>(I20+I21+I22+I23+I24+I25+I26+I27+I28+I29+I30)</f>
        <v>#REF!</v>
      </c>
      <c r="L31" s="53"/>
    </row>
    <row r="32" spans="1:13" s="10" customFormat="1" ht="15" customHeight="1" x14ac:dyDescent="0.2">
      <c r="A32" s="384" t="s">
        <v>87</v>
      </c>
      <c r="B32" s="390" t="s">
        <v>265</v>
      </c>
      <c r="C32" s="396"/>
      <c r="D32" s="391"/>
      <c r="E32" s="396"/>
      <c r="F32" s="391"/>
      <c r="G32" s="396"/>
      <c r="H32" s="396"/>
      <c r="I32" s="410" t="e">
        <f>VLOOKUP(A11,'ATESTE-LIQ-FIS'!A4:K3878,5,0)*-1</f>
        <v>#REF!</v>
      </c>
    </row>
    <row r="33" spans="1:12" s="10" customFormat="1" x14ac:dyDescent="0.2">
      <c r="A33" s="384" t="s">
        <v>89</v>
      </c>
      <c r="B33" s="390" t="s">
        <v>264</v>
      </c>
      <c r="C33" s="391"/>
      <c r="D33" s="391"/>
      <c r="E33" s="391"/>
      <c r="F33" s="391"/>
      <c r="G33" s="391"/>
      <c r="H33" s="391"/>
      <c r="I33" s="410" t="e">
        <f>VLOOKUP(A11,'ATESTE-LIQ-FIS'!A4:K3878,6,0)*-1</f>
        <v>#REF!</v>
      </c>
    </row>
    <row r="34" spans="1:12" s="10" customFormat="1" x14ac:dyDescent="0.2">
      <c r="A34" s="384" t="s">
        <v>91</v>
      </c>
      <c r="B34" s="390" t="s">
        <v>92</v>
      </c>
      <c r="C34" s="391"/>
      <c r="D34" s="390"/>
      <c r="E34" s="391"/>
      <c r="F34" s="391"/>
      <c r="G34" s="391"/>
      <c r="H34" s="391"/>
      <c r="I34" s="407" t="e">
        <f>-MIN('Cálculo IRRF -Jan.2026'!D33:F33)</f>
        <v>#REF!</v>
      </c>
    </row>
    <row r="35" spans="1:12" s="10" customFormat="1" x14ac:dyDescent="0.2">
      <c r="A35" s="384" t="s">
        <v>93</v>
      </c>
      <c r="B35" s="390" t="s">
        <v>262</v>
      </c>
      <c r="C35" s="391"/>
      <c r="D35" s="390"/>
      <c r="E35" s="391"/>
      <c r="F35" s="391"/>
      <c r="G35" s="391"/>
      <c r="H35" s="391"/>
      <c r="I35" s="407">
        <v>0</v>
      </c>
    </row>
    <row r="36" spans="1:12" s="10" customFormat="1" x14ac:dyDescent="0.2">
      <c r="A36" s="384" t="s">
        <v>263</v>
      </c>
      <c r="B36" s="395" t="s">
        <v>261</v>
      </c>
      <c r="C36" s="394"/>
      <c r="D36" s="395"/>
      <c r="E36" s="397"/>
      <c r="F36" s="394"/>
      <c r="G36" s="394"/>
      <c r="H36" s="394"/>
      <c r="I36" s="408" t="e">
        <f>SUM(H31:I35)</f>
        <v>#REF!</v>
      </c>
    </row>
    <row r="37" spans="1:12" s="10" customFormat="1" x14ac:dyDescent="0.2">
      <c r="A37" s="579" t="s">
        <v>95</v>
      </c>
      <c r="B37" s="580" t="e">
        <f>VLOOKUP(A11,'APONTAMENTO CREDENCIAMENTO'!D1:T4031,138,FALSE)</f>
        <v>#REF!</v>
      </c>
      <c r="C37" s="580"/>
      <c r="D37" s="580"/>
      <c r="E37" s="580"/>
      <c r="F37" s="580"/>
      <c r="G37" s="580"/>
      <c r="H37" s="580"/>
      <c r="I37" s="581"/>
    </row>
    <row r="38" spans="1:12" s="10" customFormat="1" ht="30.75" customHeight="1" x14ac:dyDescent="0.2">
      <c r="A38" s="579"/>
      <c r="B38" s="580"/>
      <c r="C38" s="580"/>
      <c r="D38" s="580"/>
      <c r="E38" s="580"/>
      <c r="F38" s="580"/>
      <c r="G38" s="580"/>
      <c r="H38" s="580"/>
      <c r="I38" s="581"/>
    </row>
    <row r="39" spans="1:12" s="10" customFormat="1" ht="20.100000000000001" customHeight="1" x14ac:dyDescent="0.2">
      <c r="A39" s="579" t="s">
        <v>96</v>
      </c>
      <c r="B39" s="583" t="e">
        <f>VLOOKUP(A11,'APONTAMENTO CREDENCIAMENTO'!D1:T4031,139,FALSE)</f>
        <v>#REF!</v>
      </c>
      <c r="C39" s="584"/>
      <c r="D39" s="584"/>
      <c r="E39" s="584"/>
      <c r="F39" s="584"/>
      <c r="G39" s="584"/>
      <c r="H39" s="584"/>
      <c r="I39" s="585"/>
    </row>
    <row r="40" spans="1:12" s="10" customFormat="1" ht="20.100000000000001" customHeight="1" thickBot="1" x14ac:dyDescent="0.25">
      <c r="A40" s="582"/>
      <c r="B40" s="586"/>
      <c r="C40" s="587"/>
      <c r="D40" s="587"/>
      <c r="E40" s="587"/>
      <c r="F40" s="587"/>
      <c r="G40" s="587"/>
      <c r="H40" s="587"/>
      <c r="I40" s="588"/>
    </row>
    <row r="41" spans="1:12" s="10" customFormat="1" ht="20.100000000000001" customHeight="1" x14ac:dyDescent="0.2">
      <c r="A41" s="33"/>
      <c r="B41" s="66"/>
      <c r="C41" s="66"/>
      <c r="D41" s="66"/>
      <c r="E41" s="66"/>
      <c r="F41" s="66"/>
      <c r="G41" s="66"/>
      <c r="H41" s="66"/>
      <c r="I41" s="66"/>
      <c r="L41"/>
    </row>
    <row r="42" spans="1:12" s="10" customFormat="1" x14ac:dyDescent="0.2">
      <c r="A42" s="33"/>
      <c r="B42" s="589" t="s">
        <v>98</v>
      </c>
      <c r="C42" s="589"/>
      <c r="D42" s="589"/>
      <c r="E42" s="589"/>
      <c r="F42" s="589"/>
      <c r="G42" s="589"/>
      <c r="H42" s="589"/>
      <c r="I42" s="589"/>
    </row>
    <row r="43" spans="1:12" s="10" customFormat="1" ht="12.75" customHeight="1" thickBot="1" x14ac:dyDescent="0.25">
      <c r="A43" s="33"/>
      <c r="B43" s="94"/>
      <c r="C43" s="94"/>
      <c r="D43" s="94"/>
      <c r="E43" s="94"/>
      <c r="F43" s="94"/>
      <c r="G43" s="94"/>
      <c r="H43" s="94"/>
      <c r="I43" s="94"/>
    </row>
    <row r="44" spans="1:12" s="10" customFormat="1" ht="30" customHeight="1" x14ac:dyDescent="0.2">
      <c r="A44" s="367" t="s">
        <v>296</v>
      </c>
      <c r="B44" s="564"/>
      <c r="C44" s="368" t="s">
        <v>297</v>
      </c>
      <c r="D44" s="368"/>
      <c r="E44" s="368" t="s">
        <v>298</v>
      </c>
      <c r="F44" s="368"/>
      <c r="G44" s="368" t="s">
        <v>299</v>
      </c>
      <c r="H44" s="368"/>
      <c r="I44" s="369" t="s">
        <v>31</v>
      </c>
    </row>
    <row r="45" spans="1:12" s="10" customFormat="1" ht="20.100000000000001" customHeight="1" thickBot="1" x14ac:dyDescent="0.25">
      <c r="A45" s="398" t="e">
        <f>SUMIF('APONTAMENTO CREDENCIAMENTO'!D5:D5136,A11,'APONTAMENTO CREDENCIAMENTO'!#REF!)</f>
        <v>#REF!</v>
      </c>
      <c r="B45" s="398"/>
      <c r="C45" s="399" t="e">
        <f>SUMIF('APONTAMENTO CREDENCIAMENTO'!D5:D5136,A11,'APONTAMENTO CREDENCIAMENTO'!#REF!)</f>
        <v>#REF!</v>
      </c>
      <c r="D45" s="399"/>
      <c r="E45" s="399" t="e">
        <f>SUMIF('APONTAMENTO CREDENCIAMENTO'!D5:D5136,A11,'APONTAMENTO CREDENCIAMENTO'!#REF!)</f>
        <v>#REF!</v>
      </c>
      <c r="F45" s="399"/>
      <c r="G45" s="399" t="e">
        <f>SUMIF('APONTAMENTO CREDENCIAMENTO'!D5:D5136,A11,'APONTAMENTO CREDENCIAMENTO'!#REF!)</f>
        <v>#REF!</v>
      </c>
      <c r="H45" s="399"/>
      <c r="I45" s="400" t="e">
        <f>SUM(A45:H45)</f>
        <v>#REF!</v>
      </c>
    </row>
    <row r="46" spans="1:12" s="10" customFormat="1" ht="20.100000000000001" customHeight="1" x14ac:dyDescent="0.2">
      <c r="A46" s="33"/>
      <c r="B46" s="66"/>
      <c r="C46" s="66"/>
      <c r="D46" s="66"/>
      <c r="E46" s="66"/>
      <c r="F46" s="66"/>
      <c r="G46" s="66"/>
      <c r="H46" s="66"/>
      <c r="I46" s="66"/>
    </row>
    <row r="47" spans="1:12" s="10" customFormat="1" ht="20.100000000000001" customHeight="1" x14ac:dyDescent="0.2">
      <c r="A47" s="33"/>
      <c r="B47" s="589" t="s">
        <v>300</v>
      </c>
      <c r="C47" s="589"/>
      <c r="D47" s="589"/>
      <c r="E47" s="589"/>
      <c r="F47" s="589"/>
      <c r="G47" s="589"/>
      <c r="H47" s="589"/>
      <c r="I47" s="589"/>
    </row>
    <row r="48" spans="1:12" s="10" customFormat="1" ht="12" customHeight="1" x14ac:dyDescent="0.2">
      <c r="A48" s="33"/>
      <c r="B48" s="94"/>
      <c r="C48" s="94"/>
      <c r="D48" s="94"/>
      <c r="E48" s="94"/>
      <c r="F48" s="94"/>
      <c r="G48" s="94"/>
      <c r="H48" s="94"/>
      <c r="I48" s="94"/>
    </row>
    <row r="49" spans="1:9" ht="15" customHeight="1" x14ac:dyDescent="0.2">
      <c r="A49" s="590" t="s">
        <v>99</v>
      </c>
      <c r="B49" s="591"/>
      <c r="C49" s="591"/>
      <c r="D49" s="591"/>
      <c r="E49" s="592"/>
      <c r="F49" s="592"/>
      <c r="G49" s="592"/>
      <c r="H49" s="592"/>
      <c r="I49" s="593"/>
    </row>
    <row r="50" spans="1:9" ht="12.75" customHeight="1" x14ac:dyDescent="0.2">
      <c r="A50" s="594" t="s">
        <v>142</v>
      </c>
      <c r="B50" s="595"/>
      <c r="C50" s="595"/>
      <c r="D50" s="595"/>
      <c r="E50" s="595"/>
      <c r="F50" s="595"/>
      <c r="G50" s="595"/>
      <c r="H50" s="595"/>
      <c r="I50" s="596"/>
    </row>
    <row r="51" spans="1:9" ht="12.75" customHeight="1" x14ac:dyDescent="0.2">
      <c r="A51" s="200" t="s">
        <v>143</v>
      </c>
      <c r="B51" s="67"/>
      <c r="C51" s="67"/>
      <c r="D51" s="67"/>
      <c r="E51" s="67"/>
      <c r="F51" s="67"/>
      <c r="G51" s="67"/>
      <c r="H51" s="67"/>
      <c r="I51" s="68"/>
    </row>
    <row r="52" spans="1:9" ht="12.75" customHeight="1" x14ac:dyDescent="0.2">
      <c r="A52" s="197" t="s">
        <v>144</v>
      </c>
      <c r="B52" s="70"/>
      <c r="C52" s="70"/>
      <c r="D52" s="70"/>
      <c r="E52" s="70"/>
      <c r="F52" s="70"/>
      <c r="G52" s="70"/>
      <c r="H52" s="70"/>
      <c r="I52" s="198"/>
    </row>
    <row r="53" spans="1:9" ht="12.75" customHeight="1" x14ac:dyDescent="0.2">
      <c r="A53" s="363" t="s">
        <v>301</v>
      </c>
      <c r="B53" s="70"/>
      <c r="C53" s="70"/>
      <c r="D53" s="70"/>
      <c r="E53" s="70"/>
      <c r="F53" s="70"/>
      <c r="G53" s="199">
        <f>$H$13+1-1</f>
        <v>46113</v>
      </c>
      <c r="H53" s="254"/>
      <c r="I53" s="75"/>
    </row>
    <row r="54" spans="1:9" ht="12.75" customHeight="1" x14ac:dyDescent="0.2">
      <c r="A54" s="363" t="s">
        <v>304</v>
      </c>
      <c r="B54" s="70"/>
      <c r="C54" s="70"/>
      <c r="D54" s="70"/>
      <c r="E54" s="70"/>
      <c r="F54" s="70"/>
      <c r="G54" s="199">
        <f>G53</f>
        <v>46113</v>
      </c>
      <c r="H54" s="70"/>
      <c r="I54" s="74"/>
    </row>
    <row r="55" spans="1:9" ht="12.75" customHeight="1" x14ac:dyDescent="0.2">
      <c r="A55" s="363" t="s">
        <v>145</v>
      </c>
      <c r="B55" s="70"/>
      <c r="C55" s="70"/>
      <c r="D55" s="70"/>
      <c r="E55" s="70"/>
      <c r="F55" s="70"/>
      <c r="H55" s="70"/>
      <c r="I55" s="75"/>
    </row>
    <row r="56" spans="1:9" ht="15.75" x14ac:dyDescent="0.2">
      <c r="A56" s="597" t="s">
        <v>100</v>
      </c>
      <c r="B56" s="598"/>
      <c r="C56" s="598"/>
      <c r="D56" s="598"/>
      <c r="E56" s="598"/>
      <c r="F56" s="598"/>
      <c r="G56" s="598"/>
      <c r="H56" s="598"/>
      <c r="I56" s="599"/>
    </row>
    <row r="57" spans="1:9" x14ac:dyDescent="0.2">
      <c r="A57" s="69"/>
      <c r="B57" s="70" t="s">
        <v>101</v>
      </c>
      <c r="C57" s="70"/>
      <c r="D57" s="70"/>
      <c r="E57" s="70" t="s">
        <v>102</v>
      </c>
      <c r="F57" s="70"/>
      <c r="G57" s="70"/>
      <c r="H57" s="70"/>
      <c r="I57" s="75"/>
    </row>
    <row r="58" spans="1:9" x14ac:dyDescent="0.2">
      <c r="A58" s="69"/>
      <c r="B58" s="70" t="s">
        <v>103</v>
      </c>
      <c r="C58" s="70"/>
      <c r="D58" s="70"/>
      <c r="E58" s="71" t="s">
        <v>104</v>
      </c>
      <c r="F58" s="70"/>
      <c r="G58" s="70"/>
      <c r="H58" s="70"/>
      <c r="I58" s="75"/>
    </row>
    <row r="59" spans="1:9" x14ac:dyDescent="0.2">
      <c r="A59" s="600" t="s">
        <v>105</v>
      </c>
      <c r="B59" s="601"/>
      <c r="C59" s="601"/>
      <c r="D59" s="601"/>
      <c r="E59" s="601"/>
      <c r="F59" s="601"/>
      <c r="G59" s="601"/>
      <c r="H59" s="601"/>
      <c r="I59" s="602"/>
    </row>
    <row r="60" spans="1:9" x14ac:dyDescent="0.2">
      <c r="A60" s="91"/>
      <c r="B60" s="70" t="s">
        <v>106</v>
      </c>
      <c r="C60" s="92"/>
      <c r="D60" s="92"/>
      <c r="E60" s="201" t="s">
        <v>107</v>
      </c>
      <c r="F60" s="92"/>
      <c r="G60" s="92"/>
      <c r="H60" s="92"/>
      <c r="I60" s="93"/>
    </row>
    <row r="61" spans="1:9" x14ac:dyDescent="0.2">
      <c r="A61" s="576" t="s">
        <v>108</v>
      </c>
      <c r="B61" s="577"/>
      <c r="C61" s="577"/>
      <c r="D61" s="577"/>
      <c r="E61" s="577"/>
      <c r="F61" s="577"/>
      <c r="G61" s="577"/>
      <c r="H61" s="577"/>
      <c r="I61" s="578"/>
    </row>
    <row r="62" spans="1:9" x14ac:dyDescent="0.2">
      <c r="A62" s="142"/>
      <c r="B62" s="140" t="s">
        <v>109</v>
      </c>
      <c r="C62" s="140"/>
      <c r="D62" s="140"/>
      <c r="E62" s="140"/>
      <c r="F62" s="140"/>
      <c r="G62" s="140"/>
      <c r="H62" s="140"/>
      <c r="I62" s="141"/>
    </row>
  </sheetData>
  <mergeCells count="31">
    <mergeCell ref="B9:I9"/>
    <mergeCell ref="E2:I2"/>
    <mergeCell ref="N2:R2"/>
    <mergeCell ref="E3:I3"/>
    <mergeCell ref="N3:O3"/>
    <mergeCell ref="E4:I4"/>
    <mergeCell ref="A10:B10"/>
    <mergeCell ref="D10:E10"/>
    <mergeCell ref="D11:E11"/>
    <mergeCell ref="A12:E12"/>
    <mergeCell ref="F12:G12"/>
    <mergeCell ref="H12:I12"/>
    <mergeCell ref="A13:E15"/>
    <mergeCell ref="F13:G13"/>
    <mergeCell ref="F14:G14"/>
    <mergeCell ref="H14:I14"/>
    <mergeCell ref="F15:G15"/>
    <mergeCell ref="H15:I15"/>
    <mergeCell ref="A19:G19"/>
    <mergeCell ref="H19:I19"/>
    <mergeCell ref="A61:I61"/>
    <mergeCell ref="A37:A38"/>
    <mergeCell ref="B37:I38"/>
    <mergeCell ref="A39:A40"/>
    <mergeCell ref="B39:I40"/>
    <mergeCell ref="B42:I42"/>
    <mergeCell ref="B47:I47"/>
    <mergeCell ref="A49:I49"/>
    <mergeCell ref="A50:I50"/>
    <mergeCell ref="A56:I56"/>
    <mergeCell ref="A59:I59"/>
  </mergeCells>
  <conditionalFormatting sqref="C37:I38 B37:B39">
    <cfRule type="cellIs" dxfId="18" priority="1" stopIfTrue="1" operator="equal">
      <formula>0</formula>
    </cfRule>
  </conditionalFormatting>
  <hyperlinks>
    <hyperlink ref="E58" r:id="rId1" xr:uid="{00000000-0004-0000-0600-000000000000}"/>
    <hyperlink ref="E60" r:id="rId2" xr:uid="{00000000-0004-0000-0600-000001000000}"/>
  </hyperlinks>
  <pageMargins left="0.23622047244094491" right="0.23622047244094491" top="0.74803149606299213" bottom="0.74803149606299213" header="0.31496062992125984" footer="0.31496062992125984"/>
  <pageSetup paperSize="9" scale="24" orientation="portrait" r:id="rId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5">
    <tabColor indexed="26"/>
  </sheetPr>
  <dimension ref="A7:AC40"/>
  <sheetViews>
    <sheetView showGridLines="0" zoomScale="85" zoomScaleNormal="85" workbookViewId="0">
      <selection activeCell="H22" sqref="H22:I22"/>
    </sheetView>
  </sheetViews>
  <sheetFormatPr defaultColWidth="9.140625" defaultRowHeight="12.75" x14ac:dyDescent="0.2"/>
  <cols>
    <col min="1" max="1" width="40" style="10" customWidth="1"/>
    <col min="2" max="3" width="12.7109375" style="10" bestFit="1" customWidth="1"/>
    <col min="4" max="4" width="14.28515625" style="10" customWidth="1"/>
    <col min="5" max="5" width="10.42578125" style="10" customWidth="1"/>
    <col min="6" max="6" width="1.42578125" style="10" customWidth="1"/>
    <col min="7" max="7" width="11.140625" style="10" customWidth="1"/>
    <col min="8" max="9" width="11.42578125" style="10" customWidth="1"/>
    <col min="10" max="10" width="10.28515625" style="10" customWidth="1"/>
    <col min="11" max="12" width="12" style="10" customWidth="1"/>
    <col min="13" max="13" width="11.42578125" style="10" customWidth="1"/>
    <col min="14" max="14" width="22" style="10" customWidth="1"/>
    <col min="15" max="15" width="19.7109375" style="10" customWidth="1"/>
    <col min="16" max="16" width="19.85546875" style="10" customWidth="1"/>
    <col min="17" max="17" width="21.42578125" style="10" customWidth="1"/>
    <col min="18" max="18" width="23" style="10" customWidth="1"/>
    <col min="19" max="19" width="22.140625" style="10" customWidth="1"/>
    <col min="20" max="20" width="23.7109375" style="10" customWidth="1"/>
    <col min="21" max="21" width="23.42578125" style="10" customWidth="1"/>
    <col min="22" max="22" width="22.28515625" style="10" customWidth="1"/>
    <col min="23" max="23" width="24" style="10" customWidth="1"/>
    <col min="24" max="24" width="19.140625" style="10" customWidth="1"/>
    <col min="25" max="25" width="21.42578125" style="10" customWidth="1"/>
    <col min="26" max="26" width="20.7109375" style="10" customWidth="1"/>
    <col min="27" max="27" width="20.140625" style="100" customWidth="1"/>
    <col min="28" max="28" width="20.42578125" style="10" customWidth="1"/>
    <col min="29" max="29" width="25.7109375" style="10" customWidth="1"/>
    <col min="30" max="16384" width="9.140625" style="10"/>
  </cols>
  <sheetData>
    <row r="7" spans="1:29" ht="27" customHeight="1" x14ac:dyDescent="0.2">
      <c r="B7" s="352" t="s">
        <v>171</v>
      </c>
      <c r="G7" s="353" t="str">
        <f>'BASE C'!D10</f>
        <v>MARLI PEREIRA DA SILVA</v>
      </c>
    </row>
    <row r="8" spans="1:29" x14ac:dyDescent="0.2">
      <c r="D8" s="28"/>
      <c r="E8" s="28"/>
    </row>
    <row r="9" spans="1:29" x14ac:dyDescent="0.2">
      <c r="B9" s="28" t="s">
        <v>110</v>
      </c>
      <c r="D9" s="28" t="str">
        <f>'BASE C'!B3</f>
        <v>2024/0058937</v>
      </c>
      <c r="G9" s="28" t="s">
        <v>111</v>
      </c>
      <c r="H9" s="28" t="str">
        <f>'APONTAMENTO CREDENCIAMENTO'!A1</f>
        <v>Freguesia / Brasilândia</v>
      </c>
      <c r="I9" s="28"/>
      <c r="J9" s="28"/>
      <c r="K9" s="28"/>
      <c r="L9" s="28"/>
      <c r="M9" s="28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AB9" s="28"/>
    </row>
    <row r="10" spans="1:29" ht="15" x14ac:dyDescent="0.25">
      <c r="D10" s="28" t="s">
        <v>112</v>
      </c>
      <c r="E10" s="30" t="str">
        <f>'BASE C'!E4</f>
        <v>ABRIL</v>
      </c>
      <c r="G10" s="28" t="s">
        <v>6</v>
      </c>
      <c r="H10" s="31" t="str">
        <f>'BASE C'!N3</f>
        <v>01/04/2026</v>
      </c>
      <c r="I10" s="72" t="s">
        <v>113</v>
      </c>
      <c r="J10" s="31" t="str">
        <f>'BASE C'!O3</f>
        <v>30/04/2026</v>
      </c>
      <c r="K10" s="31"/>
      <c r="L10" s="31"/>
      <c r="P10" s="31"/>
      <c r="Q10" s="31"/>
      <c r="R10" s="31"/>
      <c r="S10" s="31"/>
      <c r="T10" s="31"/>
      <c r="U10" s="31"/>
      <c r="V10" s="31"/>
      <c r="W10" s="31"/>
      <c r="X10" s="31"/>
    </row>
    <row r="11" spans="1:29" x14ac:dyDescent="0.2">
      <c r="G11" s="18"/>
    </row>
    <row r="12" spans="1:29" ht="15" customHeight="1" x14ac:dyDescent="0.2">
      <c r="A12" s="722" t="s">
        <v>41</v>
      </c>
      <c r="B12" s="724" t="s">
        <v>114</v>
      </c>
      <c r="C12" s="725"/>
      <c r="D12" s="722" t="s">
        <v>11</v>
      </c>
      <c r="E12" s="728" t="s">
        <v>115</v>
      </c>
      <c r="F12" s="729"/>
      <c r="G12" s="732" t="s">
        <v>116</v>
      </c>
      <c r="H12" s="733"/>
      <c r="I12" s="733"/>
      <c r="J12" s="733"/>
      <c r="K12" s="733"/>
      <c r="L12" s="733"/>
      <c r="M12" s="734"/>
      <c r="N12" s="719" t="s">
        <v>117</v>
      </c>
      <c r="O12" s="720"/>
      <c r="P12" s="720"/>
      <c r="Q12" s="720"/>
      <c r="R12" s="720"/>
      <c r="S12" s="720"/>
      <c r="T12" s="720"/>
      <c r="U12" s="720"/>
      <c r="V12" s="720"/>
      <c r="W12" s="720"/>
      <c r="X12" s="721"/>
      <c r="Y12" s="143" t="s">
        <v>140</v>
      </c>
      <c r="Z12" s="144" t="s">
        <v>118</v>
      </c>
      <c r="AA12" s="144" t="s">
        <v>119</v>
      </c>
      <c r="AB12" s="145" t="s">
        <v>9</v>
      </c>
      <c r="AC12" s="144" t="s">
        <v>120</v>
      </c>
    </row>
    <row r="13" spans="1:29" ht="87.75" customHeight="1" x14ac:dyDescent="0.2">
      <c r="A13" s="723"/>
      <c r="B13" s="726"/>
      <c r="C13" s="727"/>
      <c r="D13" s="723"/>
      <c r="E13" s="730"/>
      <c r="F13" s="731"/>
      <c r="G13" s="146" t="s">
        <v>46</v>
      </c>
      <c r="H13" s="423" t="s">
        <v>47</v>
      </c>
      <c r="I13" s="423" t="s">
        <v>121</v>
      </c>
      <c r="J13" s="423" t="s">
        <v>48</v>
      </c>
      <c r="K13" s="424" t="s">
        <v>49</v>
      </c>
      <c r="L13" s="424" t="s">
        <v>122</v>
      </c>
      <c r="M13" s="424" t="s">
        <v>50</v>
      </c>
      <c r="N13" s="90" t="s">
        <v>52</v>
      </c>
      <c r="O13" s="90" t="e">
        <f>'APONTAMENTO CREDENCIAMENTO'!#REF!</f>
        <v>#REF!</v>
      </c>
      <c r="P13" s="90" t="e">
        <f>'APONTAMENTO CREDENCIAMENTO'!#REF!</f>
        <v>#REF!</v>
      </c>
      <c r="Q13" s="90" t="e">
        <f>'APONTAMENTO CREDENCIAMENTO'!#REF!</f>
        <v>#REF!</v>
      </c>
      <c r="R13" s="90" t="e">
        <f>'APONTAMENTO CREDENCIAMENTO'!#REF!</f>
        <v>#REF!</v>
      </c>
      <c r="S13" s="90" t="s">
        <v>53</v>
      </c>
      <c r="T13" s="90" t="e">
        <f>'APONTAMENTO CREDENCIAMENTO'!#REF!</f>
        <v>#REF!</v>
      </c>
      <c r="U13" s="123" t="s">
        <v>54</v>
      </c>
      <c r="V13" s="123" t="s">
        <v>55</v>
      </c>
      <c r="W13" s="124" t="s">
        <v>56</v>
      </c>
      <c r="X13" s="124" t="s">
        <v>141</v>
      </c>
      <c r="Y13" s="149"/>
      <c r="Z13" s="150"/>
      <c r="AA13" s="150"/>
      <c r="AB13" s="151"/>
      <c r="AC13" s="150"/>
    </row>
    <row r="14" spans="1:29" s="79" customFormat="1" ht="30" customHeight="1" x14ac:dyDescent="0.2">
      <c r="A14" s="152" t="str">
        <f>VLOOKUP(D14,'BASE C'!$C$10:$E$5000,3,0)</f>
        <v>MARLI PEREIRA DA SILVA</v>
      </c>
      <c r="B14" s="153" t="str">
        <f>VLOOKUP(D14,'APONTAMENTO CREDENCIAMENTO'!$A$6:$F$4034,6,0)</f>
        <v>01/04/2026</v>
      </c>
      <c r="C14" s="153" t="str">
        <f>VLOOKUP(D14,'APONTAMENTO CREDENCIAMENTO'!$A$6:$G$4034,7,0)</f>
        <v>30/04/2026</v>
      </c>
      <c r="D14" s="154" t="str">
        <f>'BASE C'!C10</f>
        <v>007.659-00</v>
      </c>
      <c r="E14" s="737" t="str">
        <f>'BASE C'!H10</f>
        <v>ELQ7434</v>
      </c>
      <c r="F14" s="738"/>
      <c r="G14" s="154">
        <f>SUMIF('APONTAMENTO CREDENCIAMENTO'!$A$6:$A$4034,'EMPRESA C'!D14,'APONTAMENTO CREDENCIAMENTO'!$N$6:$N$4034)</f>
        <v>0</v>
      </c>
      <c r="H14" s="154" t="e">
        <f>SUMIF('APONTAMENTO CREDENCIAMENTO'!$A$6:$A$4034,'EMPRESA C'!D14,'APONTAMENTO CREDENCIAMENTO'!#REF!)</f>
        <v>#REF!</v>
      </c>
      <c r="I14" s="154" t="e">
        <f>SUMIF('APONTAMENTO CREDENCIAMENTO'!$A$6:$A$4034,'EMPRESA C'!D14,'APONTAMENTO CREDENCIAMENTO'!#REF!)</f>
        <v>#REF!</v>
      </c>
      <c r="J14" s="154" t="e">
        <f>SUMIF('APONTAMENTO CREDENCIAMENTO'!$A$6:$A$4034,'EMPRESA C'!D14,'APONTAMENTO CREDENCIAMENTO'!#REF!)</f>
        <v>#REF!</v>
      </c>
      <c r="K14" s="154" t="e">
        <f>SUMIF('APONTAMENTO CREDENCIAMENTO'!$A$6:$A$4034,'EMPRESA C'!D14,'APONTAMENTO CREDENCIAMENTO'!#REF!)</f>
        <v>#REF!</v>
      </c>
      <c r="L14" s="154" t="e">
        <f>SUMIF('APONTAMENTO CREDENCIAMENTO'!$A$6:$A$4034,'EMPRESA C'!D14,'APONTAMENTO CREDENCIAMENTO'!#REF!)</f>
        <v>#REF!</v>
      </c>
      <c r="M14" s="154" t="e">
        <f>SUMIF('APONTAMENTO CREDENCIAMENTO'!$A$6:$A$4034,'EMPRESA C'!D14,'APONTAMENTO CREDENCIAMENTO'!#REF!)</f>
        <v>#REF!</v>
      </c>
      <c r="N14" s="155" t="e">
        <f>SUMIF('APONTAMENTO CREDENCIAMENTO'!$A$6:$A$4034,'EMPRESA C'!D14,'APONTAMENTO CREDENCIAMENTO'!#REF!)</f>
        <v>#REF!</v>
      </c>
      <c r="O14" s="155" t="e">
        <f>SUMIF('APONTAMENTO CREDENCIAMENTO'!$A$6:$A$4034,'EMPRESA C'!D14,'APONTAMENTO CREDENCIAMENTO'!#REF!)</f>
        <v>#REF!</v>
      </c>
      <c r="P14" s="155" t="e">
        <f>SUMIF('APONTAMENTO CREDENCIAMENTO'!$A$5:$A$4034,'EMPRESA C'!D14,'APONTAMENTO CREDENCIAMENTO'!#REF!)</f>
        <v>#REF!</v>
      </c>
      <c r="Q14" s="155" t="e">
        <f>SUMIF('APONTAMENTO CREDENCIAMENTO'!$A$5:$A$4034,'EMPRESA C'!D14,'APONTAMENTO CREDENCIAMENTO'!#REF!)</f>
        <v>#REF!</v>
      </c>
      <c r="R14" s="155" t="e">
        <f>SUMIF('APONTAMENTO CREDENCIAMENTO'!$A$5:$A$4034,'EMPRESA C'!D14,'APONTAMENTO CREDENCIAMENTO'!#REF!)</f>
        <v>#REF!</v>
      </c>
      <c r="S14" s="155" t="e">
        <f>SUMIF('APONTAMENTO CREDENCIAMENTO'!$A$5:$A$4034,'EMPRESA C'!D14,'APONTAMENTO CREDENCIAMENTO'!#REF!)</f>
        <v>#REF!</v>
      </c>
      <c r="T14" s="155" t="e">
        <f>SUMIF('APONTAMENTO CREDENCIAMENTO'!$A$5:$A$4034,'EMPRESA C'!D14,'APONTAMENTO CREDENCIAMENTO'!#REF!)</f>
        <v>#REF!</v>
      </c>
      <c r="U14" s="155" t="e">
        <f>SUMIF('APONTAMENTO CREDENCIAMENTO'!$A$5:$A$4034,'EMPRESA C'!D14,'APONTAMENTO CREDENCIAMENTO'!#REF!)</f>
        <v>#REF!</v>
      </c>
      <c r="V14" s="155" t="e">
        <f>SUMIF('APONTAMENTO CREDENCIAMENTO'!$A$5:$A$4034,'EMPRESA C'!D14,'APONTAMENTO CREDENCIAMENTO'!#REF!)*-1</f>
        <v>#REF!</v>
      </c>
      <c r="W14" s="155" t="e">
        <f>SUMIF('APONTAMENTO CREDENCIAMENTO'!$A$5:$A$4034,'EMPRESA C'!D14,'APONTAMENTO CREDENCIAMENTO'!#REF!)*-1</f>
        <v>#REF!</v>
      </c>
      <c r="X14" s="155" t="e">
        <f>SUMIF('APONTAMENTO CREDENCIAMENTO'!$A$5:$A$4034,'EMPRESA C'!D14,'APONTAMENTO CREDENCIAMENTO'!#REF!)</f>
        <v>#REF!</v>
      </c>
      <c r="Y14" s="155" t="e">
        <f>SUMIF('APONTAMENTO CREDENCIAMENTO'!$A$5:$A$4034,'EMPRESA C'!D14,'APONTAMENTO CREDENCIAMENTO'!#REF!)*-1</f>
        <v>#REF!</v>
      </c>
      <c r="Z14" s="155" t="e">
        <f>(N14+O14+P14+Q14+R14+S14+T14+U14+V14+W14+X14+Y14)</f>
        <v>#REF!</v>
      </c>
      <c r="AA14" s="155" t="e">
        <f t="shared" ref="AA14" si="0">Z14</f>
        <v>#REF!</v>
      </c>
      <c r="AB14" s="155" t="e">
        <f>AA14*'BASE C'!B$7</f>
        <v>#REF!</v>
      </c>
      <c r="AC14" s="155" t="e">
        <f t="shared" ref="AC14" si="1">AA14-AB14</f>
        <v>#REF!</v>
      </c>
    </row>
    <row r="15" spans="1:29" s="79" customFormat="1" ht="30" customHeight="1" thickBot="1" x14ac:dyDescent="0.25">
      <c r="A15" s="358"/>
      <c r="B15" s="359"/>
      <c r="C15" s="359"/>
      <c r="D15" s="360"/>
      <c r="E15" s="360"/>
      <c r="F15" s="362"/>
      <c r="G15" s="245"/>
      <c r="H15" s="245"/>
      <c r="I15" s="245"/>
      <c r="J15" s="245"/>
      <c r="K15" s="245"/>
      <c r="L15" s="245"/>
      <c r="M15" s="245"/>
      <c r="N15" s="155"/>
      <c r="O15" s="155"/>
      <c r="P15" s="246"/>
      <c r="Q15" s="246"/>
      <c r="R15" s="246"/>
      <c r="S15" s="155"/>
      <c r="T15" s="246"/>
      <c r="U15" s="246"/>
      <c r="V15" s="155"/>
      <c r="W15" s="155"/>
      <c r="X15" s="155"/>
      <c r="Y15" s="155"/>
      <c r="Z15" s="246"/>
      <c r="AA15" s="246"/>
      <c r="AB15" s="246"/>
      <c r="AC15" s="246"/>
    </row>
    <row r="16" spans="1:29" ht="30" customHeight="1" x14ac:dyDescent="0.2">
      <c r="A16" s="355"/>
      <c r="B16" s="355"/>
      <c r="C16" s="355"/>
      <c r="D16" s="356"/>
      <c r="E16" s="357"/>
      <c r="F16" s="361"/>
      <c r="G16" s="86">
        <f t="shared" ref="G16:AC16" si="2">SUM(G14:G15)</f>
        <v>0</v>
      </c>
      <c r="H16" s="86" t="e">
        <f t="shared" si="2"/>
        <v>#REF!</v>
      </c>
      <c r="I16" s="86" t="e">
        <f t="shared" si="2"/>
        <v>#REF!</v>
      </c>
      <c r="J16" s="86" t="e">
        <f t="shared" si="2"/>
        <v>#REF!</v>
      </c>
      <c r="K16" s="86" t="e">
        <f t="shared" si="2"/>
        <v>#REF!</v>
      </c>
      <c r="L16" s="86" t="e">
        <f t="shared" si="2"/>
        <v>#REF!</v>
      </c>
      <c r="M16" s="86" t="e">
        <f t="shared" si="2"/>
        <v>#REF!</v>
      </c>
      <c r="N16" s="253" t="e">
        <f t="shared" si="2"/>
        <v>#REF!</v>
      </c>
      <c r="O16" s="253" t="e">
        <f t="shared" si="2"/>
        <v>#REF!</v>
      </c>
      <c r="P16" s="253" t="e">
        <f t="shared" si="2"/>
        <v>#REF!</v>
      </c>
      <c r="Q16" s="253" t="e">
        <f t="shared" si="2"/>
        <v>#REF!</v>
      </c>
      <c r="R16" s="253" t="e">
        <f t="shared" si="2"/>
        <v>#REF!</v>
      </c>
      <c r="S16" s="253" t="e">
        <f t="shared" si="2"/>
        <v>#REF!</v>
      </c>
      <c r="T16" s="253" t="e">
        <f t="shared" si="2"/>
        <v>#REF!</v>
      </c>
      <c r="U16" s="253" t="e">
        <f t="shared" si="2"/>
        <v>#REF!</v>
      </c>
      <c r="V16" s="253" t="e">
        <f t="shared" si="2"/>
        <v>#REF!</v>
      </c>
      <c r="W16" s="253" t="e">
        <f t="shared" si="2"/>
        <v>#REF!</v>
      </c>
      <c r="X16" s="253" t="e">
        <f t="shared" si="2"/>
        <v>#REF!</v>
      </c>
      <c r="Y16" s="253" t="e">
        <f t="shared" si="2"/>
        <v>#REF!</v>
      </c>
      <c r="Z16" s="253" t="e">
        <f t="shared" si="2"/>
        <v>#REF!</v>
      </c>
      <c r="AA16" s="253" t="e">
        <f t="shared" si="2"/>
        <v>#REF!</v>
      </c>
      <c r="AB16" s="253" t="e">
        <f t="shared" si="2"/>
        <v>#REF!</v>
      </c>
      <c r="AC16" s="253" t="e">
        <f t="shared" si="2"/>
        <v>#REF!</v>
      </c>
    </row>
    <row r="17" spans="1:29" ht="15" customHeight="1" x14ac:dyDescent="0.2">
      <c r="AA17" s="156"/>
      <c r="AB17" s="157"/>
      <c r="AC17" s="157"/>
    </row>
    <row r="18" spans="1:29" ht="15" customHeight="1" x14ac:dyDescent="0.2">
      <c r="G18" s="13" t="s">
        <v>123</v>
      </c>
      <c r="AA18" s="101"/>
      <c r="AB18" s="22"/>
      <c r="AC18" s="22"/>
    </row>
    <row r="19" spans="1:29" x14ac:dyDescent="0.2">
      <c r="AA19" s="101"/>
      <c r="AB19" s="22"/>
      <c r="AC19" s="32"/>
    </row>
    <row r="20" spans="1:29" x14ac:dyDescent="0.2">
      <c r="Y20" s="53"/>
      <c r="AA20" s="101"/>
      <c r="AB20" s="22"/>
      <c r="AC20" s="22"/>
    </row>
    <row r="21" spans="1:29" x14ac:dyDescent="0.2">
      <c r="AA21" s="101"/>
      <c r="AB21" s="22"/>
      <c r="AC21" s="22"/>
    </row>
    <row r="22" spans="1:29" x14ac:dyDescent="0.2">
      <c r="Z22" s="13"/>
      <c r="AA22" s="101"/>
      <c r="AB22" s="22"/>
      <c r="AC22" s="22"/>
    </row>
    <row r="23" spans="1:29" x14ac:dyDescent="0.2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101"/>
      <c r="AB23" s="22"/>
      <c r="AC23" s="22"/>
    </row>
    <row r="24" spans="1:29" x14ac:dyDescent="0.2">
      <c r="C24" s="33"/>
      <c r="D24" s="34"/>
      <c r="E24" s="34"/>
      <c r="F24" s="34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101"/>
      <c r="AB24" s="22"/>
      <c r="AC24" s="22"/>
    </row>
    <row r="25" spans="1:29" x14ac:dyDescent="0.2">
      <c r="A25" s="33"/>
      <c r="B25" s="33"/>
      <c r="C25" s="33"/>
      <c r="D25" s="34"/>
      <c r="E25" s="34"/>
      <c r="F25" s="34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101"/>
      <c r="AB25" s="22"/>
      <c r="AC25" s="22"/>
    </row>
    <row r="26" spans="1:29" x14ac:dyDescent="0.2">
      <c r="A26" s="33"/>
      <c r="C26" s="33"/>
      <c r="D26" s="34"/>
      <c r="E26" s="34"/>
      <c r="F26" s="34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101"/>
      <c r="AB26" s="22"/>
      <c r="AC26" s="22"/>
    </row>
    <row r="27" spans="1:29" x14ac:dyDescent="0.2">
      <c r="A27" s="33"/>
      <c r="B27" s="33"/>
      <c r="C27" s="33"/>
      <c r="D27" s="34"/>
      <c r="E27" s="34"/>
      <c r="F27" s="34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73"/>
      <c r="Z27" s="33"/>
      <c r="AA27" s="101"/>
      <c r="AB27" s="22"/>
      <c r="AC27" s="22"/>
    </row>
    <row r="28" spans="1:29" x14ac:dyDescent="0.2">
      <c r="B28" s="33"/>
      <c r="C28" s="33"/>
      <c r="D28" s="35"/>
      <c r="E28" s="35"/>
      <c r="F28" s="35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101"/>
      <c r="AB28" s="22"/>
      <c r="AC28" s="22"/>
    </row>
    <row r="29" spans="1:29" ht="15.75" x14ac:dyDescent="0.25">
      <c r="A29" s="36"/>
      <c r="B29" s="36"/>
      <c r="C29" s="36"/>
      <c r="D29" s="37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101"/>
      <c r="AB29" s="22"/>
      <c r="AC29" s="22"/>
    </row>
    <row r="30" spans="1:29" x14ac:dyDescent="0.2">
      <c r="A30" s="33"/>
      <c r="B30" s="33"/>
      <c r="C30" s="33"/>
      <c r="D30" s="38"/>
      <c r="E30" s="38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102"/>
      <c r="AB30" s="33"/>
      <c r="AC30" s="33"/>
    </row>
    <row r="31" spans="1:29" x14ac:dyDescent="0.2">
      <c r="A31" s="13"/>
      <c r="B31" s="13"/>
      <c r="C31" s="13"/>
      <c r="D31" s="39"/>
      <c r="E31" s="40"/>
      <c r="F31" s="40"/>
      <c r="G31" s="40"/>
      <c r="H31" s="40"/>
      <c r="I31" s="40"/>
      <c r="J31" s="40"/>
      <c r="K31" s="40"/>
      <c r="L31" s="40"/>
      <c r="M31" s="28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AB31" s="28"/>
    </row>
    <row r="32" spans="1:29" x14ac:dyDescent="0.2">
      <c r="A32" s="33"/>
      <c r="B32" s="33"/>
      <c r="C32" s="33"/>
      <c r="D32" s="41"/>
      <c r="E32" s="41"/>
      <c r="F32" s="41"/>
      <c r="G32" s="41"/>
      <c r="H32" s="41"/>
      <c r="I32" s="41"/>
      <c r="J32" s="41"/>
      <c r="K32" s="41"/>
      <c r="L32" s="41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102"/>
      <c r="AB32" s="33"/>
      <c r="AC32" s="33"/>
    </row>
    <row r="33" spans="1:29" x14ac:dyDescent="0.2">
      <c r="A33" s="33"/>
      <c r="D33" s="189"/>
      <c r="E33" s="189"/>
      <c r="F33" s="189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102"/>
      <c r="AB33" s="33"/>
      <c r="AC33" s="33"/>
    </row>
    <row r="34" spans="1:29" ht="12.75" customHeight="1" x14ac:dyDescent="0.2">
      <c r="A34" s="33"/>
      <c r="B34" s="33"/>
      <c r="C34" s="33"/>
      <c r="D34" s="34"/>
      <c r="E34" s="34"/>
      <c r="F34" s="34"/>
      <c r="G34" s="33"/>
      <c r="H34" s="33"/>
      <c r="I34" s="33"/>
      <c r="J34" s="33"/>
      <c r="K34" s="33"/>
      <c r="L34" s="33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735"/>
      <c r="Z34" s="735"/>
      <c r="AA34" s="736"/>
      <c r="AB34" s="42"/>
      <c r="AC34" s="735"/>
    </row>
    <row r="35" spans="1:29" x14ac:dyDescent="0.2">
      <c r="A35" s="33"/>
      <c r="B35" s="33"/>
      <c r="C35" s="33"/>
      <c r="D35" s="34"/>
      <c r="E35" s="34"/>
      <c r="F35" s="34"/>
      <c r="G35" s="33"/>
      <c r="H35" s="33"/>
      <c r="I35" s="33"/>
      <c r="J35" s="33"/>
      <c r="K35" s="33"/>
      <c r="L35" s="33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735"/>
      <c r="Z35" s="735"/>
      <c r="AA35" s="736"/>
      <c r="AB35" s="42"/>
      <c r="AC35" s="735"/>
    </row>
    <row r="36" spans="1:29" x14ac:dyDescent="0.2">
      <c r="A36" s="36"/>
      <c r="B36" s="36"/>
      <c r="C36" s="36"/>
      <c r="D36" s="34"/>
      <c r="E36" s="34"/>
      <c r="F36" s="34"/>
      <c r="G36" s="33"/>
      <c r="H36" s="33"/>
      <c r="I36" s="33"/>
      <c r="J36" s="33"/>
      <c r="K36" s="33"/>
      <c r="L36" s="33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735"/>
      <c r="Z36" s="735"/>
      <c r="AA36" s="736"/>
      <c r="AB36" s="42"/>
      <c r="AC36" s="735"/>
    </row>
    <row r="37" spans="1:29" x14ac:dyDescent="0.2">
      <c r="A37" s="33"/>
      <c r="B37" s="33"/>
      <c r="C37" s="33"/>
      <c r="D37" s="34"/>
      <c r="E37" s="34"/>
      <c r="F37" s="34"/>
      <c r="G37" s="33"/>
      <c r="H37" s="33"/>
      <c r="I37" s="33"/>
      <c r="J37" s="33"/>
      <c r="K37" s="33"/>
      <c r="L37" s="33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735"/>
      <c r="Z37" s="735"/>
      <c r="AA37" s="736"/>
      <c r="AB37" s="42"/>
      <c r="AC37" s="735"/>
    </row>
    <row r="38" spans="1:29" x14ac:dyDescent="0.2">
      <c r="A38" s="33"/>
      <c r="B38" s="33"/>
      <c r="C38" s="33"/>
      <c r="D38" s="35"/>
      <c r="E38" s="35"/>
      <c r="F38" s="35"/>
      <c r="G38" s="33"/>
      <c r="H38" s="33"/>
      <c r="I38" s="33"/>
      <c r="J38" s="33"/>
      <c r="K38" s="33"/>
      <c r="L38" s="33"/>
      <c r="M38" s="44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5"/>
      <c r="Z38" s="45"/>
      <c r="AA38" s="45"/>
      <c r="AB38" s="44"/>
      <c r="AC38" s="45"/>
    </row>
    <row r="39" spans="1:29" ht="15.75" x14ac:dyDescent="0.25">
      <c r="A39" s="36"/>
      <c r="B39" s="36"/>
      <c r="C39" s="36"/>
      <c r="D39" s="37"/>
      <c r="E39" s="33"/>
      <c r="F39" s="33"/>
      <c r="G39" s="33"/>
      <c r="H39" s="33"/>
      <c r="I39" s="33"/>
      <c r="J39" s="33"/>
      <c r="K39" s="33"/>
      <c r="L39" s="33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7"/>
      <c r="AA39" s="46"/>
      <c r="AB39" s="46"/>
      <c r="AC39" s="46"/>
    </row>
    <row r="40" spans="1:29" x14ac:dyDescent="0.2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102"/>
      <c r="AB40" s="33"/>
      <c r="AC40" s="33"/>
    </row>
  </sheetData>
  <sheetProtection formatCells="0" formatColumns="0" formatRows="0" selectLockedCells="1"/>
  <mergeCells count="11">
    <mergeCell ref="Y34:Y37"/>
    <mergeCell ref="Z34:Z37"/>
    <mergeCell ref="AA34:AA37"/>
    <mergeCell ref="AC34:AC37"/>
    <mergeCell ref="E14:F14"/>
    <mergeCell ref="N12:X12"/>
    <mergeCell ref="A12:A13"/>
    <mergeCell ref="B12:C13"/>
    <mergeCell ref="D12:D13"/>
    <mergeCell ref="E12:F13"/>
    <mergeCell ref="G12:M12"/>
  </mergeCells>
  <pageMargins left="0.25" right="0.25" top="0.75" bottom="0.75" header="0.3" footer="0.3"/>
  <pageSetup paperSize="9" scale="28" firstPageNumber="0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8">
    <tabColor indexed="26"/>
  </sheetPr>
  <dimension ref="A1:Z36"/>
  <sheetViews>
    <sheetView showGridLines="0" zoomScale="85" zoomScaleNormal="85" workbookViewId="0">
      <selection activeCell="H22" sqref="H22:I22"/>
    </sheetView>
  </sheetViews>
  <sheetFormatPr defaultColWidth="9.140625" defaultRowHeight="12.75" x14ac:dyDescent="0.2"/>
  <cols>
    <col min="1" max="1" width="50" style="10" customWidth="1"/>
    <col min="2" max="2" width="13.42578125" style="10" customWidth="1"/>
    <col min="3" max="3" width="11.7109375" style="10" bestFit="1" customWidth="1"/>
    <col min="4" max="4" width="12.7109375" style="10" customWidth="1"/>
    <col min="5" max="11" width="15.7109375" style="10" customWidth="1"/>
    <col min="12" max="12" width="53.140625" style="10" customWidth="1"/>
    <col min="13" max="13" width="10.28515625" style="10" customWidth="1"/>
    <col min="14" max="14" width="10.5703125" style="10" customWidth="1"/>
    <col min="15" max="15" width="10.42578125" style="10" customWidth="1"/>
    <col min="16" max="16" width="7.140625" style="10" customWidth="1"/>
    <col min="17" max="17" width="47.28515625" style="11" customWidth="1"/>
    <col min="18" max="20" width="9.140625" style="10" customWidth="1"/>
    <col min="21" max="21" width="18.5703125" style="10" customWidth="1"/>
    <col min="22" max="24" width="9.140625" style="10"/>
    <col min="25" max="25" width="0" style="10" hidden="1" customWidth="1"/>
    <col min="26" max="16384" width="9.140625" style="10"/>
  </cols>
  <sheetData>
    <row r="1" spans="1:26" ht="12.75" customHeight="1" x14ac:dyDescent="0.2">
      <c r="Q1" s="12"/>
      <c r="Z1" s="80" t="e">
        <f>VLOOKUP(A14,#REF!,27,0)</f>
        <v>#REF!</v>
      </c>
    </row>
    <row r="2" spans="1:26" x14ac:dyDescent="0.2">
      <c r="Q2" s="12"/>
    </row>
    <row r="3" spans="1:26" x14ac:dyDescent="0.2">
      <c r="Q3" s="12"/>
      <c r="U3" s="13"/>
    </row>
    <row r="4" spans="1:26" x14ac:dyDescent="0.2">
      <c r="Q4" s="12"/>
      <c r="U4" s="13"/>
    </row>
    <row r="5" spans="1:26" ht="15.75" x14ac:dyDescent="0.25">
      <c r="B5" s="742"/>
      <c r="C5" s="742"/>
      <c r="D5" s="742"/>
      <c r="E5" s="742"/>
      <c r="F5" s="742"/>
      <c r="G5" s="742"/>
      <c r="H5" s="742"/>
      <c r="I5" s="742"/>
      <c r="J5" s="742"/>
      <c r="K5" s="742"/>
      <c r="L5" s="742"/>
      <c r="Q5" s="12"/>
    </row>
    <row r="6" spans="1:26" ht="26.25" customHeight="1" x14ac:dyDescent="0.25">
      <c r="B6" s="742"/>
      <c r="C6" s="742"/>
      <c r="D6" s="742"/>
      <c r="E6" s="742"/>
      <c r="F6" s="742"/>
      <c r="G6" s="742"/>
      <c r="H6" s="742"/>
      <c r="I6" s="742"/>
      <c r="J6" s="742"/>
      <c r="K6" s="742"/>
      <c r="L6" s="742"/>
      <c r="Q6" s="12"/>
    </row>
    <row r="7" spans="1:26" x14ac:dyDescent="0.2">
      <c r="B7" s="14"/>
      <c r="C7" s="14"/>
      <c r="D7" s="14"/>
      <c r="E7" s="14"/>
      <c r="Q7" s="12"/>
    </row>
    <row r="8" spans="1:26" ht="15.75" x14ac:dyDescent="0.25">
      <c r="B8" s="14"/>
      <c r="C8" s="15"/>
      <c r="D8" s="15"/>
      <c r="E8" s="15"/>
      <c r="F8" s="15"/>
      <c r="G8" s="15"/>
      <c r="H8" s="15"/>
      <c r="I8" s="15"/>
      <c r="J8" s="15"/>
      <c r="Q8" s="12"/>
    </row>
    <row r="9" spans="1:26" ht="15.75" x14ac:dyDescent="0.25">
      <c r="B9" s="14"/>
      <c r="C9" s="97"/>
      <c r="D9" s="97"/>
      <c r="E9" s="97"/>
      <c r="F9" s="97"/>
      <c r="G9" s="97"/>
      <c r="H9" s="97"/>
      <c r="I9" s="97"/>
      <c r="J9" s="97"/>
      <c r="Q9" s="12"/>
    </row>
    <row r="10" spans="1:26" ht="15.75" x14ac:dyDescent="0.25">
      <c r="B10" s="742" t="s">
        <v>124</v>
      </c>
      <c r="C10" s="742"/>
      <c r="D10" s="742"/>
      <c r="E10" s="742"/>
      <c r="F10" s="742"/>
      <c r="G10" s="742"/>
      <c r="H10" s="742"/>
      <c r="I10" s="742"/>
      <c r="J10" s="742"/>
      <c r="K10" s="742"/>
      <c r="L10" s="742"/>
      <c r="Q10" s="12"/>
    </row>
    <row r="11" spans="1:26" ht="15.75" x14ac:dyDescent="0.25">
      <c r="B11" s="97"/>
      <c r="C11" s="97"/>
      <c r="D11" s="97"/>
      <c r="E11" s="97"/>
      <c r="F11" s="97"/>
      <c r="G11" s="97"/>
      <c r="H11" s="97"/>
      <c r="I11" s="97"/>
      <c r="J11" s="97"/>
      <c r="Q11" s="12"/>
    </row>
    <row r="12" spans="1:26" ht="15" x14ac:dyDescent="0.2">
      <c r="B12" s="16"/>
      <c r="C12" s="17"/>
      <c r="Q12" s="12"/>
    </row>
    <row r="13" spans="1:26" x14ac:dyDescent="0.2">
      <c r="A13" s="158" t="s">
        <v>14</v>
      </c>
      <c r="B13" s="159" t="s">
        <v>12</v>
      </c>
      <c r="C13" s="160"/>
      <c r="D13" s="160"/>
      <c r="E13" s="743" t="s">
        <v>67</v>
      </c>
      <c r="F13" s="743"/>
      <c r="G13" s="743" t="s">
        <v>6</v>
      </c>
      <c r="H13" s="743"/>
      <c r="I13" s="743"/>
      <c r="J13" s="743"/>
      <c r="K13" s="743"/>
      <c r="L13" s="743"/>
      <c r="M13" s="161" t="s">
        <v>125</v>
      </c>
      <c r="Q13" s="12"/>
    </row>
    <row r="14" spans="1:26" s="13" customFormat="1" ht="18.75" customHeight="1" x14ac:dyDescent="0.2">
      <c r="A14" s="162" t="str">
        <f>'BASE C'!B3</f>
        <v>2024/0058937</v>
      </c>
      <c r="B14" s="163" t="str">
        <f>'BASE C'!D4</f>
        <v>MARLI PEREIRA DA SILVA</v>
      </c>
      <c r="C14" s="164"/>
      <c r="D14" s="164"/>
      <c r="E14" s="744" t="str">
        <f>'BASE C'!E4</f>
        <v>ABRIL</v>
      </c>
      <c r="F14" s="744"/>
      <c r="G14" s="165"/>
      <c r="H14" s="166"/>
      <c r="I14" s="166"/>
      <c r="J14" s="166" t="str">
        <f>'EMPRESA C'!H10</f>
        <v>01/04/2026</v>
      </c>
      <c r="K14" s="167" t="s">
        <v>126</v>
      </c>
      <c r="L14" s="168" t="str">
        <f>'BASE C'!C4</f>
        <v>30/04/2026</v>
      </c>
      <c r="M14" s="169" t="str">
        <f>'BASE C'!C2</f>
        <v>FB</v>
      </c>
      <c r="Q14" s="12"/>
    </row>
    <row r="15" spans="1:26" x14ac:dyDescent="0.2">
      <c r="Q15" s="12"/>
      <c r="R15" s="13"/>
    </row>
    <row r="16" spans="1:26" ht="12.75" customHeight="1" x14ac:dyDescent="0.2">
      <c r="D16" s="170"/>
      <c r="E16" s="741" t="s">
        <v>127</v>
      </c>
      <c r="F16" s="741"/>
      <c r="G16" s="741"/>
      <c r="H16" s="741"/>
      <c r="I16" s="741"/>
      <c r="J16" s="741"/>
      <c r="K16" s="741"/>
      <c r="L16" s="171" t="s">
        <v>128</v>
      </c>
      <c r="M16" s="171"/>
      <c r="Q16" s="12"/>
    </row>
    <row r="17" spans="1:17" s="11" customFormat="1" ht="69.75" customHeight="1" x14ac:dyDescent="0.2">
      <c r="A17" s="172" t="s">
        <v>41</v>
      </c>
      <c r="B17" s="173" t="s">
        <v>11</v>
      </c>
      <c r="C17" s="174" t="s">
        <v>40</v>
      </c>
      <c r="D17" s="175" t="s">
        <v>46</v>
      </c>
      <c r="E17" s="147" t="s">
        <v>47</v>
      </c>
      <c r="F17" s="147" t="s">
        <v>121</v>
      </c>
      <c r="G17" s="147" t="s">
        <v>48</v>
      </c>
      <c r="H17" s="148" t="s">
        <v>49</v>
      </c>
      <c r="I17" s="148" t="s">
        <v>122</v>
      </c>
      <c r="J17" s="148" t="s">
        <v>50</v>
      </c>
      <c r="K17" s="175" t="s">
        <v>51</v>
      </c>
      <c r="L17" s="171"/>
      <c r="M17" s="171"/>
    </row>
    <row r="18" spans="1:17" s="13" customFormat="1" ht="26.25" customHeight="1" x14ac:dyDescent="0.2">
      <c r="A18" s="176" t="str">
        <f>VLOOKUP(B18,'BASE C'!$C$10:$E$5000,3,0)</f>
        <v>MARLI PEREIRA DA SILVA</v>
      </c>
      <c r="B18" s="177" t="str">
        <f>'BASE C'!C10</f>
        <v>007.659-00</v>
      </c>
      <c r="C18" s="177" t="str">
        <f>'BASE C'!H10</f>
        <v>ELQ7434</v>
      </c>
      <c r="D18" s="154">
        <f>SUMIF('APONTAMENTO CREDENCIAMENTO'!$A$6:$A$4034,'ATESTADO C'!B18,'APONTAMENTO CREDENCIAMENTO'!$N$6:$N$4034)</f>
        <v>0</v>
      </c>
      <c r="E18" s="154" t="e">
        <f>SUMIF('APONTAMENTO CREDENCIAMENTO'!$A$6:$A$4034,'ATESTADO C'!B18,'APONTAMENTO CREDENCIAMENTO'!#REF!)</f>
        <v>#REF!</v>
      </c>
      <c r="F18" s="154" t="e">
        <f>SUMIF('APONTAMENTO CREDENCIAMENTO'!$A$6:$A$4034,'ATESTADO C'!B18,'APONTAMENTO CREDENCIAMENTO'!#REF!)</f>
        <v>#REF!</v>
      </c>
      <c r="G18" s="154" t="e">
        <f>SUMIF('APONTAMENTO CREDENCIAMENTO'!$A$6:$A$4034,'ATESTADO C'!B18,'APONTAMENTO CREDENCIAMENTO'!#REF!)</f>
        <v>#REF!</v>
      </c>
      <c r="H18" s="154" t="e">
        <f>SUMIF('APONTAMENTO CREDENCIAMENTO'!$A$6:$A$4034,'ATESTADO C'!B18,'APONTAMENTO CREDENCIAMENTO'!#REF!)</f>
        <v>#REF!</v>
      </c>
      <c r="I18" s="154" t="e">
        <f>SUMIF('APONTAMENTO CREDENCIAMENTO'!$A$6:$A$4034,'ATESTADO C'!B18,'APONTAMENTO CREDENCIAMENTO'!#REF!)</f>
        <v>#REF!</v>
      </c>
      <c r="J18" s="154" t="e">
        <f>SUMIF('APONTAMENTO CREDENCIAMENTO'!$A$6:$A$4034,'ATESTADO C'!B18,'APONTAMENTO CREDENCIAMENTO'!#REF!)</f>
        <v>#REF!</v>
      </c>
      <c r="K18" s="178" t="e">
        <f t="shared" ref="K18" si="0">E18+F18+H18+I18+G18+J18</f>
        <v>#REF!</v>
      </c>
      <c r="L18" s="739" t="e">
        <f>CONCATENATE(VLOOKUP(B18,'APONTAMENTO CREDENCIAMENTO'!$A$6:$T$4034,141,0)," - ",VLOOKUP(B18,'APONTAMENTO CREDENCIAMENTO'!$A$6:$T$4034,142,0))</f>
        <v>#REF!</v>
      </c>
      <c r="M18" s="740"/>
    </row>
    <row r="19" spans="1:17" s="14" customFormat="1" ht="15.75" customHeight="1" x14ac:dyDescent="0.2">
      <c r="A19" s="83"/>
      <c r="B19" s="83"/>
      <c r="C19" s="20"/>
      <c r="D19" s="26"/>
      <c r="E19" s="27"/>
      <c r="F19" s="20"/>
      <c r="G19" s="20"/>
      <c r="H19" s="20"/>
      <c r="I19" s="20"/>
      <c r="J19" s="20"/>
      <c r="K19" s="20"/>
      <c r="L19" s="25"/>
      <c r="M19" s="20"/>
      <c r="Q19" s="22"/>
    </row>
    <row r="20" spans="1:17" s="14" customFormat="1" ht="10.5" customHeight="1" x14ac:dyDescent="0.2">
      <c r="A20" s="19" t="s">
        <v>129</v>
      </c>
      <c r="B20" s="19"/>
      <c r="C20" s="20"/>
      <c r="D20" s="21" t="s">
        <v>130</v>
      </c>
      <c r="E20" s="21"/>
      <c r="F20" s="21"/>
      <c r="G20" s="21"/>
      <c r="H20" s="21"/>
      <c r="I20" s="21"/>
      <c r="J20" s="21"/>
      <c r="K20" s="21"/>
      <c r="L20" s="19" t="s">
        <v>131</v>
      </c>
      <c r="M20" s="21"/>
      <c r="Q20" s="22"/>
    </row>
    <row r="21" spans="1:17" s="14" customFormat="1" ht="15.75" customHeight="1" x14ac:dyDescent="0.2">
      <c r="A21" s="19" t="s">
        <v>132</v>
      </c>
      <c r="B21" s="19"/>
      <c r="C21" s="20"/>
      <c r="D21" s="23" t="s">
        <v>132</v>
      </c>
      <c r="E21" s="24"/>
      <c r="F21" s="20"/>
      <c r="G21" s="20"/>
      <c r="H21" s="20"/>
      <c r="I21" s="20"/>
      <c r="J21" s="20"/>
      <c r="K21" s="20"/>
      <c r="L21" s="19" t="s">
        <v>132</v>
      </c>
      <c r="M21" s="20"/>
      <c r="Q21" s="22"/>
    </row>
    <row r="22" spans="1:17" s="14" customFormat="1" ht="15.75" customHeight="1" x14ac:dyDescent="0.2">
      <c r="A22" s="19" t="s">
        <v>133</v>
      </c>
      <c r="B22" s="19"/>
      <c r="C22" s="20"/>
      <c r="D22" s="23" t="s">
        <v>133</v>
      </c>
      <c r="E22" s="24"/>
      <c r="F22" s="20"/>
      <c r="G22" s="20"/>
      <c r="H22" s="20"/>
      <c r="I22" s="20"/>
      <c r="J22" s="20"/>
      <c r="K22" s="20"/>
      <c r="L22" s="19" t="s">
        <v>133</v>
      </c>
      <c r="M22" s="20"/>
      <c r="Q22" s="22"/>
    </row>
    <row r="23" spans="1:17" s="14" customFormat="1" ht="15.75" customHeight="1" x14ac:dyDescent="0.2">
      <c r="A23" s="83" t="s">
        <v>134</v>
      </c>
      <c r="B23" s="83"/>
      <c r="C23" s="20"/>
      <c r="D23" s="26" t="s">
        <v>134</v>
      </c>
      <c r="E23" s="27"/>
      <c r="F23" s="20"/>
      <c r="G23" s="20"/>
      <c r="H23" s="20"/>
      <c r="I23" s="20"/>
      <c r="J23" s="20"/>
      <c r="K23" s="20"/>
      <c r="L23" s="25" t="s">
        <v>134</v>
      </c>
      <c r="M23" s="20"/>
      <c r="Q23" s="22"/>
    </row>
    <row r="33" spans="1:1" ht="15" x14ac:dyDescent="0.25">
      <c r="A33" s="59"/>
    </row>
    <row r="34" spans="1:1" ht="15" x14ac:dyDescent="0.25">
      <c r="A34" s="59"/>
    </row>
    <row r="35" spans="1:1" ht="15" x14ac:dyDescent="0.25">
      <c r="A35" s="59"/>
    </row>
    <row r="36" spans="1:1" ht="15" x14ac:dyDescent="0.25">
      <c r="A36" s="59"/>
    </row>
  </sheetData>
  <sheetProtection formatCells="0" formatColumns="0" formatRows="0" selectLockedCells="1"/>
  <mergeCells count="8">
    <mergeCell ref="L18:M18"/>
    <mergeCell ref="E16:K16"/>
    <mergeCell ref="B5:L5"/>
    <mergeCell ref="B6:L6"/>
    <mergeCell ref="B10:L10"/>
    <mergeCell ref="E13:F13"/>
    <mergeCell ref="G13:L13"/>
    <mergeCell ref="E14:F14"/>
  </mergeCells>
  <conditionalFormatting sqref="L18">
    <cfRule type="cellIs" dxfId="17" priority="1" stopIfTrue="1" operator="equal">
      <formula>0</formula>
    </cfRule>
  </conditionalFormatting>
  <printOptions horizontalCentered="1"/>
  <pageMargins left="0.23622047244094491" right="0.23622047244094491" top="0.11811023622047245" bottom="7.874015748031496E-2" header="0.51181102362204722" footer="0.31496062992125984"/>
  <pageSetup paperSize="9" scale="50" firstPageNumber="0" orientation="landscape" r:id="rId1"/>
  <headerFooter alignWithMargins="0">
    <oddFooter>&amp;CPágina &amp;P de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2"/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10"/>
  <dimension ref="A1:C33"/>
  <sheetViews>
    <sheetView topLeftCell="A243" workbookViewId="0">
      <selection activeCell="A2" sqref="A2:C165"/>
    </sheetView>
  </sheetViews>
  <sheetFormatPr defaultRowHeight="12.75" x14ac:dyDescent="0.2"/>
  <cols>
    <col min="1" max="1" width="41.42578125" customWidth="1"/>
    <col min="2" max="2" width="68.5703125" customWidth="1"/>
    <col min="3" max="3" width="18.140625" customWidth="1"/>
    <col min="4" max="4" width="13.28515625" bestFit="1" customWidth="1"/>
    <col min="5" max="5" width="16.28515625" customWidth="1"/>
    <col min="6" max="6" width="23" customWidth="1"/>
    <col min="7" max="7" width="13.5703125" customWidth="1"/>
  </cols>
  <sheetData>
    <row r="1" spans="1:3" x14ac:dyDescent="0.2">
      <c r="A1" t="s">
        <v>3180</v>
      </c>
      <c r="B1" t="s">
        <v>1272</v>
      </c>
      <c r="C1" t="s">
        <v>3178</v>
      </c>
    </row>
    <row r="2" spans="1:3" x14ac:dyDescent="0.2">
      <c r="A2" t="s">
        <v>3240</v>
      </c>
      <c r="B2" t="s">
        <v>1315</v>
      </c>
      <c r="C2" t="s">
        <v>3238</v>
      </c>
    </row>
    <row r="3" spans="1:3" x14ac:dyDescent="0.2">
      <c r="A3" t="s">
        <v>3292</v>
      </c>
      <c r="B3" t="s">
        <v>1347</v>
      </c>
      <c r="C3" t="s">
        <v>3290</v>
      </c>
    </row>
    <row r="4" spans="1:3" x14ac:dyDescent="0.2">
      <c r="A4" t="s">
        <v>3196</v>
      </c>
      <c r="B4" t="s">
        <v>1278</v>
      </c>
      <c r="C4" t="s">
        <v>3194</v>
      </c>
    </row>
    <row r="5" spans="1:3" x14ac:dyDescent="0.2">
      <c r="A5" t="s">
        <v>3208</v>
      </c>
      <c r="B5" t="s">
        <v>1292</v>
      </c>
      <c r="C5" t="s">
        <v>3206</v>
      </c>
    </row>
    <row r="6" spans="1:3" x14ac:dyDescent="0.2">
      <c r="A6" t="s">
        <v>3192</v>
      </c>
      <c r="B6" t="s">
        <v>1277</v>
      </c>
      <c r="C6" t="s">
        <v>3190</v>
      </c>
    </row>
    <row r="7" spans="1:3" x14ac:dyDescent="0.2">
      <c r="A7" t="s">
        <v>3288</v>
      </c>
      <c r="B7" t="s">
        <v>1346</v>
      </c>
      <c r="C7" t="s">
        <v>3286</v>
      </c>
    </row>
    <row r="8" spans="1:3" x14ac:dyDescent="0.2">
      <c r="A8" t="s">
        <v>3232</v>
      </c>
      <c r="B8" t="s">
        <v>1312</v>
      </c>
      <c r="C8" t="s">
        <v>3230</v>
      </c>
    </row>
    <row r="9" spans="1:3" x14ac:dyDescent="0.2">
      <c r="A9" t="s">
        <v>3184</v>
      </c>
      <c r="B9" t="s">
        <v>1275</v>
      </c>
      <c r="C9" t="s">
        <v>3182</v>
      </c>
    </row>
    <row r="10" spans="1:3" x14ac:dyDescent="0.2">
      <c r="A10" t="s">
        <v>3272</v>
      </c>
      <c r="B10" t="s">
        <v>1336</v>
      </c>
      <c r="C10" t="s">
        <v>3270</v>
      </c>
    </row>
    <row r="11" spans="1:3" x14ac:dyDescent="0.2">
      <c r="A11" t="s">
        <v>3200</v>
      </c>
      <c r="B11" t="s">
        <v>1282</v>
      </c>
      <c r="C11" t="s">
        <v>3198</v>
      </c>
    </row>
    <row r="12" spans="1:3" x14ac:dyDescent="0.2">
      <c r="A12" t="s">
        <v>3244</v>
      </c>
      <c r="B12" t="s">
        <v>1316</v>
      </c>
      <c r="C12" t="s">
        <v>3242</v>
      </c>
    </row>
    <row r="13" spans="1:3" x14ac:dyDescent="0.2">
      <c r="A13" t="s">
        <v>3252</v>
      </c>
      <c r="B13" t="s">
        <v>1327</v>
      </c>
      <c r="C13" t="s">
        <v>3250</v>
      </c>
    </row>
    <row r="14" spans="1:3" x14ac:dyDescent="0.2">
      <c r="A14" t="s">
        <v>3308</v>
      </c>
      <c r="B14" t="s">
        <v>1351</v>
      </c>
      <c r="C14" t="s">
        <v>3306</v>
      </c>
    </row>
    <row r="15" spans="1:3" x14ac:dyDescent="0.2">
      <c r="A15" t="s">
        <v>3264</v>
      </c>
      <c r="B15" t="s">
        <v>1334</v>
      </c>
      <c r="C15" t="s">
        <v>3262</v>
      </c>
    </row>
    <row r="16" spans="1:3" x14ac:dyDescent="0.2">
      <c r="A16" t="s">
        <v>3228</v>
      </c>
      <c r="B16" t="s">
        <v>1308</v>
      </c>
      <c r="C16" t="s">
        <v>3226</v>
      </c>
    </row>
    <row r="17" spans="1:3" x14ac:dyDescent="0.2">
      <c r="A17" t="s">
        <v>3212</v>
      </c>
      <c r="B17" t="s">
        <v>1294</v>
      </c>
      <c r="C17" t="s">
        <v>3210</v>
      </c>
    </row>
    <row r="18" spans="1:3" x14ac:dyDescent="0.2">
      <c r="A18" t="s">
        <v>3300</v>
      </c>
      <c r="B18" t="s">
        <v>1349</v>
      </c>
      <c r="C18" t="s">
        <v>3298</v>
      </c>
    </row>
    <row r="19" spans="1:3" x14ac:dyDescent="0.2">
      <c r="A19" t="s">
        <v>3204</v>
      </c>
      <c r="B19" t="s">
        <v>1289</v>
      </c>
      <c r="C19" t="s">
        <v>3202</v>
      </c>
    </row>
    <row r="20" spans="1:3" x14ac:dyDescent="0.2">
      <c r="A20" t="s">
        <v>3224</v>
      </c>
      <c r="B20" t="s">
        <v>1306</v>
      </c>
      <c r="C20" t="s">
        <v>3222</v>
      </c>
    </row>
    <row r="21" spans="1:3" x14ac:dyDescent="0.2">
      <c r="A21" t="s">
        <v>3260</v>
      </c>
      <c r="B21" t="s">
        <v>1333</v>
      </c>
      <c r="C21" t="s">
        <v>3258</v>
      </c>
    </row>
    <row r="22" spans="1:3" x14ac:dyDescent="0.2">
      <c r="A22" t="s">
        <v>3188</v>
      </c>
      <c r="B22" t="s">
        <v>1276</v>
      </c>
      <c r="C22" t="s">
        <v>3186</v>
      </c>
    </row>
    <row r="23" spans="1:3" x14ac:dyDescent="0.2">
      <c r="A23" t="s">
        <v>3216</v>
      </c>
      <c r="B23" t="s">
        <v>1300</v>
      </c>
      <c r="C23" t="s">
        <v>3214</v>
      </c>
    </row>
    <row r="24" spans="1:3" x14ac:dyDescent="0.2">
      <c r="A24" t="s">
        <v>3236</v>
      </c>
      <c r="B24" t="s">
        <v>1314</v>
      </c>
      <c r="C24" t="s">
        <v>3234</v>
      </c>
    </row>
    <row r="25" spans="1:3" x14ac:dyDescent="0.2">
      <c r="A25" t="s">
        <v>3296</v>
      </c>
      <c r="B25" t="s">
        <v>1348</v>
      </c>
      <c r="C25" t="s">
        <v>3294</v>
      </c>
    </row>
    <row r="26" spans="1:3" x14ac:dyDescent="0.2">
      <c r="A26" t="s">
        <v>3276</v>
      </c>
      <c r="B26" t="s">
        <v>1339</v>
      </c>
      <c r="C26" t="s">
        <v>3274</v>
      </c>
    </row>
    <row r="27" spans="1:3" x14ac:dyDescent="0.2">
      <c r="A27" t="s">
        <v>3280</v>
      </c>
      <c r="B27" t="s">
        <v>1344</v>
      </c>
      <c r="C27" t="s">
        <v>3278</v>
      </c>
    </row>
    <row r="28" spans="1:3" x14ac:dyDescent="0.2">
      <c r="A28" t="s">
        <v>3268</v>
      </c>
      <c r="B28" t="s">
        <v>1335</v>
      </c>
      <c r="C28" t="s">
        <v>3266</v>
      </c>
    </row>
    <row r="29" spans="1:3" x14ac:dyDescent="0.2">
      <c r="A29" t="s">
        <v>3304</v>
      </c>
      <c r="B29" t="s">
        <v>1350</v>
      </c>
      <c r="C29" t="s">
        <v>3302</v>
      </c>
    </row>
    <row r="30" spans="1:3" x14ac:dyDescent="0.2">
      <c r="A30" t="s">
        <v>3284</v>
      </c>
      <c r="B30" t="s">
        <v>1345</v>
      </c>
      <c r="C30" t="s">
        <v>3282</v>
      </c>
    </row>
    <row r="31" spans="1:3" x14ac:dyDescent="0.2">
      <c r="A31" t="s">
        <v>3220</v>
      </c>
      <c r="B31" t="s">
        <v>1305</v>
      </c>
      <c r="C31" t="s">
        <v>3218</v>
      </c>
    </row>
    <row r="32" spans="1:3" x14ac:dyDescent="0.2">
      <c r="A32" t="s">
        <v>3248</v>
      </c>
      <c r="B32" t="s">
        <v>1318</v>
      </c>
      <c r="C32" t="s">
        <v>3246</v>
      </c>
    </row>
    <row r="33" spans="1:3" x14ac:dyDescent="0.2">
      <c r="A33" t="s">
        <v>3256</v>
      </c>
      <c r="B33" t="s">
        <v>1328</v>
      </c>
      <c r="C33" t="s">
        <v>3254</v>
      </c>
    </row>
  </sheetData>
  <sortState xmlns:xlrd2="http://schemas.microsoft.com/office/spreadsheetml/2017/richdata2" ref="A2:C165">
    <sortCondition ref="A1:A165"/>
    <sortCondition ref="B1:B165"/>
    <sortCondition ref="C1:C165"/>
  </sortState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4"/>
  <dimension ref="E1:G34"/>
  <sheetViews>
    <sheetView workbookViewId="0">
      <selection activeCell="G1" sqref="G1:G34"/>
    </sheetView>
  </sheetViews>
  <sheetFormatPr defaultRowHeight="12.75" x14ac:dyDescent="0.2"/>
  <cols>
    <col min="2" max="2" width="13.28515625" bestFit="1" customWidth="1"/>
    <col min="3" max="3" width="17.140625" customWidth="1"/>
    <col min="4" max="4" width="27.7109375" customWidth="1"/>
    <col min="5" max="5" width="35.5703125" customWidth="1"/>
    <col min="6" max="6" width="23" customWidth="1"/>
    <col min="7" max="7" width="17.5703125" bestFit="1" customWidth="1"/>
    <col min="8" max="8" width="17.85546875" customWidth="1"/>
    <col min="11" max="11" width="35.5703125" customWidth="1"/>
  </cols>
  <sheetData>
    <row r="1" spans="5:7" x14ac:dyDescent="0.2">
      <c r="E1" t="s">
        <v>242</v>
      </c>
      <c r="F1" t="s">
        <v>156</v>
      </c>
      <c r="G1" t="s">
        <v>243</v>
      </c>
    </row>
    <row r="2" spans="5:7" x14ac:dyDescent="0.2">
      <c r="E2" t="s">
        <v>3180</v>
      </c>
      <c r="F2" t="s">
        <v>3310</v>
      </c>
      <c r="G2" t="s">
        <v>3343</v>
      </c>
    </row>
    <row r="3" spans="5:7" x14ac:dyDescent="0.2">
      <c r="E3" t="s">
        <v>3184</v>
      </c>
      <c r="F3" t="s">
        <v>3311</v>
      </c>
      <c r="G3" t="s">
        <v>3344</v>
      </c>
    </row>
    <row r="4" spans="5:7" x14ac:dyDescent="0.2">
      <c r="E4" t="s">
        <v>3188</v>
      </c>
      <c r="F4" t="s">
        <v>3312</v>
      </c>
      <c r="G4" t="s">
        <v>3345</v>
      </c>
    </row>
    <row r="5" spans="5:7" x14ac:dyDescent="0.2">
      <c r="E5" t="s">
        <v>3192</v>
      </c>
      <c r="F5" t="s">
        <v>3313</v>
      </c>
      <c r="G5" t="s">
        <v>3346</v>
      </c>
    </row>
    <row r="6" spans="5:7" x14ac:dyDescent="0.2">
      <c r="E6" t="s">
        <v>3196</v>
      </c>
      <c r="F6" t="s">
        <v>3314</v>
      </c>
      <c r="G6" t="s">
        <v>3347</v>
      </c>
    </row>
    <row r="7" spans="5:7" x14ac:dyDescent="0.2">
      <c r="E7" t="s">
        <v>3200</v>
      </c>
      <c r="F7" t="s">
        <v>3315</v>
      </c>
      <c r="G7" t="s">
        <v>3348</v>
      </c>
    </row>
    <row r="8" spans="5:7" x14ac:dyDescent="0.2">
      <c r="E8" t="s">
        <v>3204</v>
      </c>
      <c r="F8" t="s">
        <v>3316</v>
      </c>
      <c r="G8" t="s">
        <v>3349</v>
      </c>
    </row>
    <row r="9" spans="5:7" x14ac:dyDescent="0.2">
      <c r="E9" t="s">
        <v>3208</v>
      </c>
      <c r="F9" t="s">
        <v>3317</v>
      </c>
      <c r="G9" t="s">
        <v>3350</v>
      </c>
    </row>
    <row r="10" spans="5:7" x14ac:dyDescent="0.2">
      <c r="E10" t="s">
        <v>3212</v>
      </c>
      <c r="F10" t="s">
        <v>3318</v>
      </c>
      <c r="G10" t="s">
        <v>3351</v>
      </c>
    </row>
    <row r="11" spans="5:7" x14ac:dyDescent="0.2">
      <c r="E11" t="s">
        <v>3216</v>
      </c>
      <c r="F11" t="s">
        <v>3319</v>
      </c>
      <c r="G11" t="s">
        <v>3352</v>
      </c>
    </row>
    <row r="12" spans="5:7" x14ac:dyDescent="0.2">
      <c r="E12" t="s">
        <v>3220</v>
      </c>
      <c r="F12" t="s">
        <v>3320</v>
      </c>
      <c r="G12" t="s">
        <v>3353</v>
      </c>
    </row>
    <row r="13" spans="5:7" x14ac:dyDescent="0.2">
      <c r="E13" t="s">
        <v>3224</v>
      </c>
      <c r="F13" t="s">
        <v>3321</v>
      </c>
      <c r="G13" t="s">
        <v>3354</v>
      </c>
    </row>
    <row r="14" spans="5:7" x14ac:dyDescent="0.2">
      <c r="E14" t="s">
        <v>3228</v>
      </c>
      <c r="F14" t="s">
        <v>3322</v>
      </c>
      <c r="G14" t="s">
        <v>3355</v>
      </c>
    </row>
    <row r="15" spans="5:7" x14ac:dyDescent="0.2">
      <c r="E15" t="s">
        <v>3232</v>
      </c>
      <c r="F15" t="s">
        <v>3323</v>
      </c>
      <c r="G15" t="s">
        <v>3356</v>
      </c>
    </row>
    <row r="16" spans="5:7" x14ac:dyDescent="0.2">
      <c r="E16" t="s">
        <v>3236</v>
      </c>
      <c r="F16" t="s">
        <v>3324</v>
      </c>
      <c r="G16" t="s">
        <v>3357</v>
      </c>
    </row>
    <row r="17" spans="5:7" x14ac:dyDescent="0.2">
      <c r="E17" t="s">
        <v>3240</v>
      </c>
      <c r="F17" t="s">
        <v>3325</v>
      </c>
      <c r="G17" t="s">
        <v>3358</v>
      </c>
    </row>
    <row r="18" spans="5:7" x14ac:dyDescent="0.2">
      <c r="E18" t="s">
        <v>3244</v>
      </c>
      <c r="F18" t="s">
        <v>3326</v>
      </c>
      <c r="G18" t="s">
        <v>3359</v>
      </c>
    </row>
    <row r="19" spans="5:7" x14ac:dyDescent="0.2">
      <c r="E19" t="s">
        <v>3248</v>
      </c>
      <c r="F19" t="s">
        <v>3327</v>
      </c>
      <c r="G19" t="s">
        <v>3360</v>
      </c>
    </row>
    <row r="20" spans="5:7" x14ac:dyDescent="0.2">
      <c r="E20" t="s">
        <v>3252</v>
      </c>
      <c r="F20" t="s">
        <v>3328</v>
      </c>
      <c r="G20" t="s">
        <v>3361</v>
      </c>
    </row>
    <row r="21" spans="5:7" x14ac:dyDescent="0.2">
      <c r="E21" t="s">
        <v>3256</v>
      </c>
      <c r="F21" t="s">
        <v>3329</v>
      </c>
      <c r="G21" t="s">
        <v>3362</v>
      </c>
    </row>
    <row r="22" spans="5:7" x14ac:dyDescent="0.2">
      <c r="E22" t="s">
        <v>3260</v>
      </c>
      <c r="F22" t="s">
        <v>3330</v>
      </c>
      <c r="G22" t="s">
        <v>3363</v>
      </c>
    </row>
    <row r="23" spans="5:7" x14ac:dyDescent="0.2">
      <c r="E23" t="s">
        <v>3264</v>
      </c>
      <c r="F23" t="s">
        <v>3331</v>
      </c>
      <c r="G23" t="s">
        <v>3364</v>
      </c>
    </row>
    <row r="24" spans="5:7" x14ac:dyDescent="0.2">
      <c r="E24" t="s">
        <v>3268</v>
      </c>
      <c r="F24" t="s">
        <v>3332</v>
      </c>
      <c r="G24" t="s">
        <v>3365</v>
      </c>
    </row>
    <row r="25" spans="5:7" x14ac:dyDescent="0.2">
      <c r="E25" t="s">
        <v>3272</v>
      </c>
      <c r="F25" t="s">
        <v>3333</v>
      </c>
      <c r="G25" t="s">
        <v>3366</v>
      </c>
    </row>
    <row r="26" spans="5:7" x14ac:dyDescent="0.2">
      <c r="E26" t="s">
        <v>3276</v>
      </c>
      <c r="F26" t="s">
        <v>3334</v>
      </c>
      <c r="G26" t="s">
        <v>3367</v>
      </c>
    </row>
    <row r="27" spans="5:7" x14ac:dyDescent="0.2">
      <c r="E27" t="s">
        <v>3280</v>
      </c>
      <c r="F27" t="s">
        <v>3335</v>
      </c>
      <c r="G27" t="s">
        <v>3368</v>
      </c>
    </row>
    <row r="28" spans="5:7" x14ac:dyDescent="0.2">
      <c r="E28" t="s">
        <v>3284</v>
      </c>
      <c r="F28" t="s">
        <v>3336</v>
      </c>
      <c r="G28" t="s">
        <v>3369</v>
      </c>
    </row>
    <row r="29" spans="5:7" x14ac:dyDescent="0.2">
      <c r="E29" t="s">
        <v>3288</v>
      </c>
      <c r="F29" t="s">
        <v>3337</v>
      </c>
      <c r="G29" t="s">
        <v>3370</v>
      </c>
    </row>
    <row r="30" spans="5:7" x14ac:dyDescent="0.2">
      <c r="E30" t="s">
        <v>3292</v>
      </c>
      <c r="F30" t="s">
        <v>3338</v>
      </c>
      <c r="G30" t="s">
        <v>3371</v>
      </c>
    </row>
    <row r="31" spans="5:7" x14ac:dyDescent="0.2">
      <c r="E31" t="s">
        <v>3296</v>
      </c>
      <c r="F31" t="s">
        <v>3339</v>
      </c>
      <c r="G31" t="s">
        <v>3372</v>
      </c>
    </row>
    <row r="32" spans="5:7" x14ac:dyDescent="0.2">
      <c r="E32" t="s">
        <v>3300</v>
      </c>
      <c r="F32" t="s">
        <v>3340</v>
      </c>
      <c r="G32" t="s">
        <v>3373</v>
      </c>
    </row>
    <row r="33" spans="5:7" x14ac:dyDescent="0.2">
      <c r="E33" t="s">
        <v>3304</v>
      </c>
      <c r="F33" t="s">
        <v>3341</v>
      </c>
      <c r="G33" t="s">
        <v>3374</v>
      </c>
    </row>
    <row r="34" spans="5:7" x14ac:dyDescent="0.2">
      <c r="E34" t="s">
        <v>3308</v>
      </c>
      <c r="F34" t="s">
        <v>3342</v>
      </c>
      <c r="G34" t="s">
        <v>3375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13">
    <pageSetUpPr fitToPage="1"/>
  </sheetPr>
  <dimension ref="A1:AF55"/>
  <sheetViews>
    <sheetView showGridLines="0" topLeftCell="AA1" zoomScale="80" zoomScaleNormal="80" workbookViewId="0">
      <pane ySplit="1" topLeftCell="A2" activePane="bottomLeft" state="frozen"/>
      <selection activeCell="AD199" sqref="AD199"/>
      <selection pane="bottomLeft" activeCell="B34" sqref="B34:AD34"/>
    </sheetView>
  </sheetViews>
  <sheetFormatPr defaultColWidth="9.140625" defaultRowHeight="20.25" customHeight="1" outlineLevelCol="1" x14ac:dyDescent="0.2"/>
  <cols>
    <col min="1" max="1" width="17.42578125" style="182" customWidth="1" outlineLevel="1"/>
    <col min="2" max="2" width="20" style="56" customWidth="1" outlineLevel="1"/>
    <col min="3" max="3" width="18.140625" style="56" customWidth="1" outlineLevel="1"/>
    <col min="4" max="4" width="20.7109375" style="56" customWidth="1" outlineLevel="1"/>
    <col min="5" max="5" width="17.85546875" style="87" customWidth="1" outlineLevel="1"/>
    <col min="6" max="6" width="13.85546875" style="58" customWidth="1" outlineLevel="1"/>
    <col min="7" max="7" width="20.140625" style="54" customWidth="1" outlineLevel="1"/>
    <col min="8" max="8" width="10.85546875" style="54" bestFit="1" customWidth="1" outlineLevel="1"/>
    <col min="9" max="9" width="43.85546875" style="56" customWidth="1" outlineLevel="1"/>
    <col min="10" max="10" width="12.28515625" style="58" customWidth="1" outlineLevel="1"/>
    <col min="11" max="11" width="16.5703125" style="58" customWidth="1" outlineLevel="1"/>
    <col min="12" max="12" width="66.140625" style="57" customWidth="1" outlineLevel="1"/>
    <col min="13" max="13" width="13.7109375" style="60" customWidth="1" outlineLevel="1"/>
    <col min="14" max="14" width="10" style="54" customWidth="1" outlineLevel="1"/>
    <col min="15" max="15" width="11.5703125" style="54" customWidth="1" outlineLevel="1"/>
    <col min="16" max="16" width="8" style="54" customWidth="1"/>
    <col min="17" max="17" width="5.140625" style="54" customWidth="1"/>
    <col min="18" max="18" width="3.5703125" style="54" customWidth="1"/>
    <col min="19" max="19" width="15.140625" style="56" customWidth="1"/>
    <col min="20" max="20" width="20.5703125" style="54" customWidth="1"/>
    <col min="21" max="21" width="13.5703125" style="54" customWidth="1"/>
    <col min="22" max="22" width="18.7109375" style="54" customWidth="1"/>
    <col min="23" max="26" width="20.85546875" style="54" customWidth="1"/>
    <col min="27" max="27" width="76.85546875" style="54" customWidth="1"/>
    <col min="28" max="28" width="63.5703125" style="54" customWidth="1"/>
    <col min="29" max="29" width="108.5703125" style="54" customWidth="1"/>
    <col min="30" max="30" width="11.42578125" style="54" customWidth="1"/>
    <col min="31" max="31" width="13.28515625" style="54" customWidth="1"/>
    <col min="32" max="32" width="13.85546875" style="54" customWidth="1"/>
    <col min="33" max="35" width="9.140625" style="54" customWidth="1"/>
    <col min="36" max="36" width="11" style="54" customWidth="1"/>
    <col min="37" max="37" width="9.85546875" style="54" customWidth="1"/>
    <col min="38" max="43" width="9.140625" style="54" customWidth="1"/>
    <col min="44" max="16384" width="9.140625" style="54"/>
  </cols>
  <sheetData>
    <row r="1" spans="1:32" ht="18.75" customHeight="1" x14ac:dyDescent="0.2">
      <c r="A1" s="103" t="s">
        <v>14</v>
      </c>
      <c r="B1" s="103" t="s">
        <v>20</v>
      </c>
      <c r="C1" s="103" t="s">
        <v>21</v>
      </c>
      <c r="D1" s="103" t="s">
        <v>13</v>
      </c>
      <c r="E1" s="103" t="s">
        <v>22</v>
      </c>
      <c r="F1" s="103" t="s">
        <v>18</v>
      </c>
      <c r="G1" s="103" t="s">
        <v>23</v>
      </c>
      <c r="H1" s="103"/>
      <c r="I1" s="103"/>
      <c r="J1" s="103" t="s">
        <v>24</v>
      </c>
      <c r="K1" s="103" t="s">
        <v>9</v>
      </c>
      <c r="L1" s="103" t="s">
        <v>12</v>
      </c>
      <c r="M1" s="103" t="s">
        <v>20</v>
      </c>
      <c r="N1" s="103" t="s">
        <v>25</v>
      </c>
      <c r="O1" s="103" t="s">
        <v>26</v>
      </c>
      <c r="P1" s="103" t="s">
        <v>27</v>
      </c>
      <c r="Q1" s="103" t="s">
        <v>28</v>
      </c>
      <c r="R1" s="103" t="s">
        <v>29</v>
      </c>
      <c r="S1" s="103" t="s">
        <v>30</v>
      </c>
      <c r="T1" s="103" t="s">
        <v>13</v>
      </c>
      <c r="U1" s="103" t="s">
        <v>31</v>
      </c>
      <c r="V1" s="103" t="s">
        <v>32</v>
      </c>
      <c r="W1" s="103" t="s">
        <v>15</v>
      </c>
      <c r="X1" s="103"/>
      <c r="Y1" s="103"/>
      <c r="Z1" s="103"/>
      <c r="AA1" s="103" t="s">
        <v>33</v>
      </c>
      <c r="AB1" s="103" t="s">
        <v>34</v>
      </c>
      <c r="AC1" s="103" t="s">
        <v>35</v>
      </c>
      <c r="AD1" s="103" t="s">
        <v>36</v>
      </c>
      <c r="AE1" s="187"/>
      <c r="AF1" s="85"/>
    </row>
    <row r="2" spans="1:32" s="55" customFormat="1" ht="20.100000000000001" customHeight="1" x14ac:dyDescent="0.25">
      <c r="A2" s="181" t="s">
        <v>3180</v>
      </c>
      <c r="B2" s="105"/>
      <c r="C2" s="106">
        <f t="shared" ref="C2" si="0">W2</f>
        <v>0</v>
      </c>
      <c r="D2" s="107" t="str">
        <f>VLOOKUP(A2,'APONTAMENTO CREDENCIAMENTO'!$D$6:$P$3007,12,0)</f>
        <v>6020.2022/0026670-0</v>
      </c>
      <c r="E2" s="108"/>
      <c r="F2" s="109" t="e">
        <f>SUMIF('APONTAMENTO CREDENCIAMENTO'!$D$6:$D$3007,'ATESTE-LIQ'!A2,'APONTAMENTO CREDENCIAMENTO'!#REF!)</f>
        <v>#REF!</v>
      </c>
      <c r="G2" s="255" t="str">
        <f>VLOOKUP(A2,'APONTAMENTO CREDENCIAMENTO'!$D$6:$G$3007,3,0)</f>
        <v>01/04/2026</v>
      </c>
      <c r="H2" s="255" t="str">
        <f>VLOOKUP(A2,'APONTAMENTO CREDENCIAMENTO'!$D$6:$G$3007,4,0)</f>
        <v>30/04/2026</v>
      </c>
      <c r="I2" s="110" t="str">
        <f t="shared" ref="I2" si="1">CONCATENATE("PE - Pagto. Doc(s): ",E2," - Contrato nº ",A2)</f>
        <v>PE - Pagto. Doc(s):  - Contrato nº 2022/0026670</v>
      </c>
      <c r="J2" s="111" t="e">
        <f t="shared" ref="J2" si="2">F2</f>
        <v>#REF!</v>
      </c>
      <c r="K2" s="111">
        <v>0</v>
      </c>
      <c r="L2" s="112" t="str">
        <f>VLOOKUP(A2,'APONTAMENTO CREDENCIAMENTO'!$D$6:$P$3007,5,0)</f>
        <v>ADILSON TOLEDO</v>
      </c>
      <c r="M2" s="113"/>
      <c r="N2" s="114"/>
      <c r="O2" s="115"/>
      <c r="P2" s="116"/>
      <c r="Q2" s="116"/>
      <c r="R2" s="116"/>
      <c r="S2" s="117"/>
      <c r="T2" s="118" t="str">
        <f t="shared" ref="T2" si="3">D2</f>
        <v>6020.2022/0026670-0</v>
      </c>
      <c r="U2" s="119" t="e">
        <f t="shared" ref="U2" si="4">F2</f>
        <v>#REF!</v>
      </c>
      <c r="V2" s="120" t="e">
        <f t="shared" ref="V2" si="5">U2</f>
        <v>#REF!</v>
      </c>
      <c r="W2" s="104"/>
      <c r="X2" s="104"/>
      <c r="Y2" s="104"/>
      <c r="Z2" s="104"/>
      <c r="AA2" s="121" t="str">
        <f>CONCATENATE("Prestação de Serviço e Transpor. Escolar Gratuito - TEG n. ",A2," - DRE - " &amp;'BASE C'!$C$2)</f>
        <v>Prestação de Serviço e Transpor. Escolar Gratuito - TEG n. 2022/0026670 - DRE - FB</v>
      </c>
      <c r="AB2" s="184" t="str">
        <f t="shared" ref="AB2" si="6">L2</f>
        <v>ADILSON TOLEDO</v>
      </c>
      <c r="AC2" s="185"/>
      <c r="AD2" s="186"/>
      <c r="AE2" s="188"/>
      <c r="AF2" s="88"/>
    </row>
    <row r="3" spans="1:32" s="55" customFormat="1" ht="20.100000000000001" customHeight="1" x14ac:dyDescent="0.25">
      <c r="A3" s="570" t="s">
        <v>3240</v>
      </c>
      <c r="B3" s="105"/>
      <c r="C3" s="106">
        <f t="shared" ref="C3:C34" si="7">W3</f>
        <v>0</v>
      </c>
      <c r="D3" s="107" t="str">
        <f>VLOOKUP(A3,'APONTAMENTO CREDENCIAMENTO'!$D$6:$P$3007,12,0)</f>
        <v>6020.2022/0025123-0</v>
      </c>
      <c r="E3" s="108"/>
      <c r="F3" s="109" t="e">
        <f>SUMIF('APONTAMENTO CREDENCIAMENTO'!$D$6:$D$3007,'ATESTE-LIQ'!A3,'APONTAMENTO CREDENCIAMENTO'!#REF!)</f>
        <v>#REF!</v>
      </c>
      <c r="G3" s="255" t="str">
        <f>VLOOKUP(A3,'APONTAMENTO CREDENCIAMENTO'!$D$6:$G$3007,3,0)</f>
        <v>01/04/2026</v>
      </c>
      <c r="H3" s="255" t="str">
        <f>VLOOKUP(A3,'APONTAMENTO CREDENCIAMENTO'!$D$6:$G$3007,4,0)</f>
        <v>30/04/2026</v>
      </c>
      <c r="I3" s="110" t="str">
        <f t="shared" ref="I3:I34" si="8">CONCATENATE("PE - Pagto. Doc(s): ",E3," - Contrato nº ",A3)</f>
        <v>PE - Pagto. Doc(s):  - Contrato nº 2022/0025123</v>
      </c>
      <c r="J3" s="111" t="e">
        <f t="shared" ref="J3:J34" si="9">F3</f>
        <v>#REF!</v>
      </c>
      <c r="K3" s="111">
        <v>0</v>
      </c>
      <c r="L3" s="112" t="str">
        <f>VLOOKUP(A3,'APONTAMENTO CREDENCIAMENTO'!$D$6:$P$3007,5,0)</f>
        <v>LENILDO MANOEL DO NASCIMENTO</v>
      </c>
      <c r="M3" s="113"/>
      <c r="N3" s="114"/>
      <c r="O3" s="115"/>
      <c r="P3" s="116"/>
      <c r="Q3" s="116"/>
      <c r="R3" s="116"/>
      <c r="S3" s="117"/>
      <c r="T3" s="118" t="str">
        <f t="shared" ref="T3:T34" si="10">D3</f>
        <v>6020.2022/0025123-0</v>
      </c>
      <c r="U3" s="119" t="e">
        <f t="shared" ref="U3:U34" si="11">F3</f>
        <v>#REF!</v>
      </c>
      <c r="V3" s="120" t="e">
        <f t="shared" ref="V3:V34" si="12">U3</f>
        <v>#REF!</v>
      </c>
      <c r="W3" s="104"/>
      <c r="X3" s="104"/>
      <c r="Y3" s="104"/>
      <c r="Z3" s="104"/>
      <c r="AA3" s="121" t="str">
        <f>CONCATENATE("Prestação de Serviço e Transpor. Escolar Gratuito - TEG n. ",A3," - DRE - " &amp;'BASE C'!$C$2)</f>
        <v>Prestação de Serviço e Transpor. Escolar Gratuito - TEG n. 2022/0025123 - DRE - FB</v>
      </c>
      <c r="AB3" s="184" t="str">
        <f t="shared" ref="AB3:AB34" si="13">L3</f>
        <v>LENILDO MANOEL DO NASCIMENTO</v>
      </c>
      <c r="AC3" s="185"/>
      <c r="AD3" s="186"/>
      <c r="AE3" s="188"/>
      <c r="AF3" s="88"/>
    </row>
    <row r="4" spans="1:32" s="55" customFormat="1" ht="20.100000000000001" customHeight="1" x14ac:dyDescent="0.25">
      <c r="A4" s="570" t="s">
        <v>3292</v>
      </c>
      <c r="B4" s="105"/>
      <c r="C4" s="106">
        <f t="shared" si="7"/>
        <v>0</v>
      </c>
      <c r="D4" s="107" t="str">
        <f>VLOOKUP(A4,'APONTAMENTO CREDENCIAMENTO'!$D$6:$P$3007,12,0)</f>
        <v>6020.2022/0025591-0</v>
      </c>
      <c r="E4" s="108"/>
      <c r="F4" s="109" t="e">
        <f>SUMIF('APONTAMENTO CREDENCIAMENTO'!$D$6:$D$3007,'ATESTE-LIQ'!A4,'APONTAMENTO CREDENCIAMENTO'!#REF!)</f>
        <v>#REF!</v>
      </c>
      <c r="G4" s="255" t="str">
        <f>VLOOKUP(A4,'APONTAMENTO CREDENCIAMENTO'!$D$6:$G$3007,3,0)</f>
        <v>01/04/2026</v>
      </c>
      <c r="H4" s="255" t="str">
        <f>VLOOKUP(A4,'APONTAMENTO CREDENCIAMENTO'!$D$6:$G$3007,4,0)</f>
        <v>30/04/2026</v>
      </c>
      <c r="I4" s="110" t="str">
        <f t="shared" si="8"/>
        <v>PE - Pagto. Doc(s):  - Contrato nº 2022/0025591</v>
      </c>
      <c r="J4" s="111" t="e">
        <f t="shared" si="9"/>
        <v>#REF!</v>
      </c>
      <c r="K4" s="111">
        <v>0</v>
      </c>
      <c r="L4" s="112" t="str">
        <f>VLOOKUP(A4,'APONTAMENTO CREDENCIAMENTO'!$D$6:$P$3007,5,0)</f>
        <v>VALTER DOS SANTOS</v>
      </c>
      <c r="M4" s="113"/>
      <c r="N4" s="114"/>
      <c r="O4" s="115"/>
      <c r="P4" s="116"/>
      <c r="Q4" s="116"/>
      <c r="R4" s="116"/>
      <c r="S4" s="117"/>
      <c r="T4" s="118" t="str">
        <f t="shared" si="10"/>
        <v>6020.2022/0025591-0</v>
      </c>
      <c r="U4" s="119" t="e">
        <f t="shared" si="11"/>
        <v>#REF!</v>
      </c>
      <c r="V4" s="120" t="e">
        <f t="shared" si="12"/>
        <v>#REF!</v>
      </c>
      <c r="W4" s="104"/>
      <c r="X4" s="104"/>
      <c r="Y4" s="104"/>
      <c r="Z4" s="104"/>
      <c r="AA4" s="121" t="str">
        <f>CONCATENATE("Prestação de Serviço e Transpor. Escolar Gratuito - TEG n. ",A4," - DRE - " &amp;'BASE C'!$C$2)</f>
        <v>Prestação de Serviço e Transpor. Escolar Gratuito - TEG n. 2022/0025591 - DRE - FB</v>
      </c>
      <c r="AB4" s="184" t="str">
        <f t="shared" si="13"/>
        <v>VALTER DOS SANTOS</v>
      </c>
      <c r="AC4" s="185"/>
      <c r="AD4" s="186"/>
      <c r="AE4" s="188"/>
      <c r="AF4" s="88"/>
    </row>
    <row r="5" spans="1:32" s="55" customFormat="1" ht="20.100000000000001" customHeight="1" x14ac:dyDescent="0.25">
      <c r="A5" s="570" t="s">
        <v>3196</v>
      </c>
      <c r="B5" s="105"/>
      <c r="C5" s="106">
        <f t="shared" si="7"/>
        <v>0</v>
      </c>
      <c r="D5" s="107" t="str">
        <f>VLOOKUP(A5,'APONTAMENTO CREDENCIAMENTO'!$D$6:$P$3007,12,0)</f>
        <v>6020.2022/0026000-0</v>
      </c>
      <c r="E5" s="108"/>
      <c r="F5" s="109" t="e">
        <f>SUMIF('APONTAMENTO CREDENCIAMENTO'!$D$6:$D$3007,'ATESTE-LIQ'!A5,'APONTAMENTO CREDENCIAMENTO'!#REF!)</f>
        <v>#REF!</v>
      </c>
      <c r="G5" s="255" t="str">
        <f>VLOOKUP(A5,'APONTAMENTO CREDENCIAMENTO'!$D$6:$G$3007,3,0)</f>
        <v>01/04/2026</v>
      </c>
      <c r="H5" s="255" t="str">
        <f>VLOOKUP(A5,'APONTAMENTO CREDENCIAMENTO'!$D$6:$G$3007,4,0)</f>
        <v>30/04/2026</v>
      </c>
      <c r="I5" s="110" t="str">
        <f t="shared" si="8"/>
        <v>PE - Pagto. Doc(s):  - Contrato nº 2022/0026000</v>
      </c>
      <c r="J5" s="111" t="e">
        <f t="shared" si="9"/>
        <v>#REF!</v>
      </c>
      <c r="K5" s="111">
        <v>0</v>
      </c>
      <c r="L5" s="112" t="str">
        <f>VLOOKUP(A5,'APONTAMENTO CREDENCIAMENTO'!$D$6:$P$3007,5,0)</f>
        <v>ANTONIO CARLOS GOMES</v>
      </c>
      <c r="M5" s="113"/>
      <c r="N5" s="114"/>
      <c r="O5" s="115"/>
      <c r="P5" s="116"/>
      <c r="Q5" s="116"/>
      <c r="R5" s="116"/>
      <c r="S5" s="117"/>
      <c r="T5" s="118" t="str">
        <f t="shared" si="10"/>
        <v>6020.2022/0026000-0</v>
      </c>
      <c r="U5" s="119" t="e">
        <f t="shared" si="11"/>
        <v>#REF!</v>
      </c>
      <c r="V5" s="120" t="e">
        <f t="shared" si="12"/>
        <v>#REF!</v>
      </c>
      <c r="W5" s="104"/>
      <c r="X5" s="104"/>
      <c r="Y5" s="104"/>
      <c r="Z5" s="104"/>
      <c r="AA5" s="121" t="str">
        <f>CONCATENATE("Prestação de Serviço e Transpor. Escolar Gratuito - TEG n. ",A5," - DRE - " &amp;'BASE C'!$C$2)</f>
        <v>Prestação de Serviço e Transpor. Escolar Gratuito - TEG n. 2022/0026000 - DRE - FB</v>
      </c>
      <c r="AB5" s="184" t="str">
        <f t="shared" si="13"/>
        <v>ANTONIO CARLOS GOMES</v>
      </c>
      <c r="AC5" s="185"/>
      <c r="AD5" s="186"/>
      <c r="AE5" s="188"/>
      <c r="AF5" s="88"/>
    </row>
    <row r="6" spans="1:32" s="55" customFormat="1" ht="20.100000000000001" customHeight="1" x14ac:dyDescent="0.25">
      <c r="A6" s="570" t="s">
        <v>3208</v>
      </c>
      <c r="B6" s="105"/>
      <c r="C6" s="106">
        <f t="shared" si="7"/>
        <v>0</v>
      </c>
      <c r="D6" s="107" t="str">
        <f>VLOOKUP(A6,'APONTAMENTO CREDENCIAMENTO'!$D$6:$P$3007,12,0)</f>
        <v>6020.2022/0026174-0</v>
      </c>
      <c r="E6" s="108"/>
      <c r="F6" s="109" t="e">
        <f>SUMIF('APONTAMENTO CREDENCIAMENTO'!$D$6:$D$3007,'ATESTE-LIQ'!A6,'APONTAMENTO CREDENCIAMENTO'!#REF!)</f>
        <v>#REF!</v>
      </c>
      <c r="G6" s="255" t="str">
        <f>VLOOKUP(A6,'APONTAMENTO CREDENCIAMENTO'!$D$6:$G$3007,3,0)</f>
        <v>01/04/2026</v>
      </c>
      <c r="H6" s="255" t="str">
        <f>VLOOKUP(A6,'APONTAMENTO CREDENCIAMENTO'!$D$6:$G$3007,4,0)</f>
        <v>30/04/2026</v>
      </c>
      <c r="I6" s="110" t="str">
        <f t="shared" si="8"/>
        <v>PE - Pagto. Doc(s):  - Contrato nº 2022/0026174</v>
      </c>
      <c r="J6" s="111" t="e">
        <f t="shared" si="9"/>
        <v>#REF!</v>
      </c>
      <c r="K6" s="111">
        <v>0</v>
      </c>
      <c r="L6" s="112" t="str">
        <f>VLOOKUP(A6,'APONTAMENTO CREDENCIAMENTO'!$D$6:$P$3007,5,0)</f>
        <v>DIONISIO SCARPONE</v>
      </c>
      <c r="M6" s="113"/>
      <c r="N6" s="114"/>
      <c r="O6" s="115"/>
      <c r="P6" s="116"/>
      <c r="Q6" s="116"/>
      <c r="R6" s="116"/>
      <c r="S6" s="117"/>
      <c r="T6" s="118" t="str">
        <f t="shared" si="10"/>
        <v>6020.2022/0026174-0</v>
      </c>
      <c r="U6" s="119" t="e">
        <f t="shared" si="11"/>
        <v>#REF!</v>
      </c>
      <c r="V6" s="120" t="e">
        <f t="shared" si="12"/>
        <v>#REF!</v>
      </c>
      <c r="W6" s="104"/>
      <c r="X6" s="104"/>
      <c r="Y6" s="104"/>
      <c r="Z6" s="104"/>
      <c r="AA6" s="121" t="str">
        <f>CONCATENATE("Prestação de Serviço e Transpor. Escolar Gratuito - TEG n. ",A6," - DRE - " &amp;'BASE C'!$C$2)</f>
        <v>Prestação de Serviço e Transpor. Escolar Gratuito - TEG n. 2022/0026174 - DRE - FB</v>
      </c>
      <c r="AB6" s="184" t="str">
        <f t="shared" si="13"/>
        <v>DIONISIO SCARPONE</v>
      </c>
      <c r="AC6" s="185"/>
      <c r="AD6" s="186"/>
      <c r="AE6" s="188"/>
      <c r="AF6" s="88"/>
    </row>
    <row r="7" spans="1:32" s="55" customFormat="1" ht="20.100000000000001" customHeight="1" x14ac:dyDescent="0.25">
      <c r="A7" s="570" t="s">
        <v>3192</v>
      </c>
      <c r="B7" s="105"/>
      <c r="C7" s="106">
        <f t="shared" si="7"/>
        <v>0</v>
      </c>
      <c r="D7" s="107" t="str">
        <f>VLOOKUP(A7,'APONTAMENTO CREDENCIAMENTO'!$D$6:$P$3007,12,0)</f>
        <v>6020.2022/0027355-2</v>
      </c>
      <c r="E7" s="108"/>
      <c r="F7" s="109" t="e">
        <f>SUMIF('APONTAMENTO CREDENCIAMENTO'!$D$6:$D$3007,'ATESTE-LIQ'!A7,'APONTAMENTO CREDENCIAMENTO'!#REF!)</f>
        <v>#REF!</v>
      </c>
      <c r="G7" s="255" t="str">
        <f>VLOOKUP(A7,'APONTAMENTO CREDENCIAMENTO'!$D$6:$G$3007,3,0)</f>
        <v>01/04/2026</v>
      </c>
      <c r="H7" s="255" t="str">
        <f>VLOOKUP(A7,'APONTAMENTO CREDENCIAMENTO'!$D$6:$G$3007,4,0)</f>
        <v>30/04/2026</v>
      </c>
      <c r="I7" s="110" t="str">
        <f t="shared" si="8"/>
        <v>PE - Pagto. Doc(s):  - Contrato nº 2022/0027355</v>
      </c>
      <c r="J7" s="111" t="e">
        <f t="shared" si="9"/>
        <v>#REF!</v>
      </c>
      <c r="K7" s="111">
        <v>0</v>
      </c>
      <c r="L7" s="112" t="str">
        <f>VLOOKUP(A7,'APONTAMENTO CREDENCIAMENTO'!$D$6:$P$3007,5,0)</f>
        <v>ANDREIA NOEMIA PEREIRA</v>
      </c>
      <c r="M7" s="113"/>
      <c r="N7" s="114"/>
      <c r="O7" s="115"/>
      <c r="P7" s="116"/>
      <c r="Q7" s="116"/>
      <c r="R7" s="116"/>
      <c r="S7" s="117"/>
      <c r="T7" s="118" t="str">
        <f t="shared" si="10"/>
        <v>6020.2022/0027355-2</v>
      </c>
      <c r="U7" s="119" t="e">
        <f t="shared" si="11"/>
        <v>#REF!</v>
      </c>
      <c r="V7" s="120" t="e">
        <f t="shared" si="12"/>
        <v>#REF!</v>
      </c>
      <c r="W7" s="104"/>
      <c r="X7" s="104"/>
      <c r="Y7" s="104"/>
      <c r="Z7" s="104"/>
      <c r="AA7" s="121" t="str">
        <f>CONCATENATE("Prestação de Serviço e Transpor. Escolar Gratuito - TEG n. ",A7," - DRE - " &amp;'BASE C'!$C$2)</f>
        <v>Prestação de Serviço e Transpor. Escolar Gratuito - TEG n. 2022/0027355 - DRE - FB</v>
      </c>
      <c r="AB7" s="184" t="str">
        <f t="shared" si="13"/>
        <v>ANDREIA NOEMIA PEREIRA</v>
      </c>
      <c r="AC7" s="185"/>
      <c r="AD7" s="186"/>
      <c r="AE7" s="188"/>
      <c r="AF7" s="88"/>
    </row>
    <row r="8" spans="1:32" s="55" customFormat="1" ht="20.100000000000001" customHeight="1" x14ac:dyDescent="0.25">
      <c r="A8" s="570" t="s">
        <v>3288</v>
      </c>
      <c r="B8" s="105"/>
      <c r="C8" s="106">
        <f t="shared" si="7"/>
        <v>0</v>
      </c>
      <c r="D8" s="107" t="str">
        <f>VLOOKUP(A8,'APONTAMENTO CREDENCIAMENTO'!$D$6:$P$3007,12,0)</f>
        <v>6020.2022/0027626-8</v>
      </c>
      <c r="E8" s="108"/>
      <c r="F8" s="109" t="e">
        <f>SUMIF('APONTAMENTO CREDENCIAMENTO'!$D$6:$D$3007,'ATESTE-LIQ'!A8,'APONTAMENTO CREDENCIAMENTO'!#REF!)</f>
        <v>#REF!</v>
      </c>
      <c r="G8" s="255" t="str">
        <f>VLOOKUP(A8,'APONTAMENTO CREDENCIAMENTO'!$D$6:$G$3007,3,0)</f>
        <v>01/04/2026</v>
      </c>
      <c r="H8" s="255" t="str">
        <f>VLOOKUP(A8,'APONTAMENTO CREDENCIAMENTO'!$D$6:$G$3007,4,0)</f>
        <v>30/04/2026</v>
      </c>
      <c r="I8" s="110" t="str">
        <f t="shared" si="8"/>
        <v>PE - Pagto. Doc(s):  - Contrato nº 2022/0027626</v>
      </c>
      <c r="J8" s="111" t="e">
        <f t="shared" si="9"/>
        <v>#REF!</v>
      </c>
      <c r="K8" s="111">
        <v>0</v>
      </c>
      <c r="L8" s="112" t="str">
        <f>VLOOKUP(A8,'APONTAMENTO CREDENCIAMENTO'!$D$6:$P$3007,5,0)</f>
        <v>VALDEMIR DO NASCIMENTO SILVA</v>
      </c>
      <c r="M8" s="113"/>
      <c r="N8" s="114"/>
      <c r="O8" s="115"/>
      <c r="P8" s="116"/>
      <c r="Q8" s="116"/>
      <c r="R8" s="116"/>
      <c r="S8" s="117"/>
      <c r="T8" s="118" t="str">
        <f t="shared" si="10"/>
        <v>6020.2022/0027626-8</v>
      </c>
      <c r="U8" s="119" t="e">
        <f t="shared" si="11"/>
        <v>#REF!</v>
      </c>
      <c r="V8" s="120" t="e">
        <f t="shared" si="12"/>
        <v>#REF!</v>
      </c>
      <c r="W8" s="104"/>
      <c r="X8" s="104"/>
      <c r="Y8" s="104"/>
      <c r="Z8" s="104"/>
      <c r="AA8" s="121" t="str">
        <f>CONCATENATE("Prestação de Serviço e Transpor. Escolar Gratuito - TEG n. ",A8," - DRE - " &amp;'BASE C'!$C$2)</f>
        <v>Prestação de Serviço e Transpor. Escolar Gratuito - TEG n. 2022/0027626 - DRE - FB</v>
      </c>
      <c r="AB8" s="184" t="str">
        <f t="shared" si="13"/>
        <v>VALDEMIR DO NASCIMENTO SILVA</v>
      </c>
      <c r="AC8" s="185"/>
      <c r="AD8" s="186"/>
      <c r="AE8" s="188"/>
      <c r="AF8" s="88"/>
    </row>
    <row r="9" spans="1:32" s="55" customFormat="1" ht="20.100000000000001" customHeight="1" x14ac:dyDescent="0.25">
      <c r="A9" s="570" t="s">
        <v>3232</v>
      </c>
      <c r="B9" s="105"/>
      <c r="C9" s="106">
        <f t="shared" si="7"/>
        <v>0</v>
      </c>
      <c r="D9" s="107" t="str">
        <f>VLOOKUP(A9,'APONTAMENTO CREDENCIAMENTO'!$D$6:$P$3007,12,0)</f>
        <v>6020.2022/0027707-8</v>
      </c>
      <c r="E9" s="108"/>
      <c r="F9" s="109" t="e">
        <f>SUMIF('APONTAMENTO CREDENCIAMENTO'!$D$6:$D$3007,'ATESTE-LIQ'!A9,'APONTAMENTO CREDENCIAMENTO'!#REF!)</f>
        <v>#REF!</v>
      </c>
      <c r="G9" s="255" t="str">
        <f>VLOOKUP(A9,'APONTAMENTO CREDENCIAMENTO'!$D$6:$G$3007,3,0)</f>
        <v>01/04/2026</v>
      </c>
      <c r="H9" s="255" t="str">
        <f>VLOOKUP(A9,'APONTAMENTO CREDENCIAMENTO'!$D$6:$G$3007,4,0)</f>
        <v>30/04/2026</v>
      </c>
      <c r="I9" s="110" t="str">
        <f t="shared" si="8"/>
        <v>PE - Pagto. Doc(s):  - Contrato nº 2022/0027707</v>
      </c>
      <c r="J9" s="111" t="e">
        <f t="shared" si="9"/>
        <v>#REF!</v>
      </c>
      <c r="K9" s="111">
        <v>0</v>
      </c>
      <c r="L9" s="112" t="str">
        <f>VLOOKUP(A9,'APONTAMENTO CREDENCIAMENTO'!$D$6:$P$3007,5,0)</f>
        <v>JOSE RICARDO FERREIRA DOS SANTOS</v>
      </c>
      <c r="M9" s="113"/>
      <c r="N9" s="114"/>
      <c r="O9" s="115"/>
      <c r="P9" s="116"/>
      <c r="Q9" s="116"/>
      <c r="R9" s="116"/>
      <c r="S9" s="117"/>
      <c r="T9" s="118" t="str">
        <f t="shared" si="10"/>
        <v>6020.2022/0027707-8</v>
      </c>
      <c r="U9" s="119" t="e">
        <f t="shared" si="11"/>
        <v>#REF!</v>
      </c>
      <c r="V9" s="120" t="e">
        <f t="shared" si="12"/>
        <v>#REF!</v>
      </c>
      <c r="W9" s="104"/>
      <c r="X9" s="104"/>
      <c r="Y9" s="104"/>
      <c r="Z9" s="104"/>
      <c r="AA9" s="121" t="str">
        <f>CONCATENATE("Prestação de Serviço e Transpor. Escolar Gratuito - TEG n. ",A9," - DRE - " &amp;'BASE C'!$C$2)</f>
        <v>Prestação de Serviço e Transpor. Escolar Gratuito - TEG n. 2022/0027707 - DRE - FB</v>
      </c>
      <c r="AB9" s="184" t="str">
        <f t="shared" si="13"/>
        <v>JOSE RICARDO FERREIRA DOS SANTOS</v>
      </c>
      <c r="AC9" s="185"/>
      <c r="AD9" s="186"/>
      <c r="AE9" s="188"/>
      <c r="AF9" s="88"/>
    </row>
    <row r="10" spans="1:32" s="55" customFormat="1" ht="20.100000000000001" customHeight="1" x14ac:dyDescent="0.25">
      <c r="A10" s="570" t="s">
        <v>3184</v>
      </c>
      <c r="B10" s="105"/>
      <c r="C10" s="106">
        <f t="shared" si="7"/>
        <v>0</v>
      </c>
      <c r="D10" s="107" t="str">
        <f>VLOOKUP(A10,'APONTAMENTO CREDENCIAMENTO'!$D$6:$P$3007,12,0)</f>
        <v>6020.2022/0027713-2</v>
      </c>
      <c r="E10" s="108"/>
      <c r="F10" s="109" t="e">
        <f>SUMIF('APONTAMENTO CREDENCIAMENTO'!$D$6:$D$3007,'ATESTE-LIQ'!A10,'APONTAMENTO CREDENCIAMENTO'!#REF!)</f>
        <v>#REF!</v>
      </c>
      <c r="G10" s="255" t="str">
        <f>VLOOKUP(A10,'APONTAMENTO CREDENCIAMENTO'!$D$6:$G$3007,3,0)</f>
        <v>01/04/2026</v>
      </c>
      <c r="H10" s="255" t="str">
        <f>VLOOKUP(A10,'APONTAMENTO CREDENCIAMENTO'!$D$6:$G$3007,4,0)</f>
        <v>30/04/2026</v>
      </c>
      <c r="I10" s="110" t="str">
        <f t="shared" si="8"/>
        <v>PE - Pagto. Doc(s):  - Contrato nº 2022/0027713</v>
      </c>
      <c r="J10" s="111" t="e">
        <f t="shared" si="9"/>
        <v>#REF!</v>
      </c>
      <c r="K10" s="111">
        <v>0</v>
      </c>
      <c r="L10" s="112" t="str">
        <f>VLOOKUP(A10,'APONTAMENTO CREDENCIAMENTO'!$D$6:$P$3007,5,0)</f>
        <v>ALEXANDRO CIRINO VIEIRA</v>
      </c>
      <c r="M10" s="113"/>
      <c r="N10" s="114"/>
      <c r="O10" s="115"/>
      <c r="P10" s="116"/>
      <c r="Q10" s="116"/>
      <c r="R10" s="116"/>
      <c r="S10" s="117"/>
      <c r="T10" s="118" t="str">
        <f t="shared" si="10"/>
        <v>6020.2022/0027713-2</v>
      </c>
      <c r="U10" s="119" t="e">
        <f t="shared" si="11"/>
        <v>#REF!</v>
      </c>
      <c r="V10" s="120" t="e">
        <f t="shared" si="12"/>
        <v>#REF!</v>
      </c>
      <c r="W10" s="104"/>
      <c r="X10" s="104"/>
      <c r="Y10" s="104"/>
      <c r="Z10" s="104"/>
      <c r="AA10" s="121" t="str">
        <f>CONCATENATE("Prestação de Serviço e Transpor. Escolar Gratuito - TEG n. ",A10," - DRE - " &amp;'BASE C'!$C$2)</f>
        <v>Prestação de Serviço e Transpor. Escolar Gratuito - TEG n. 2022/0027713 - DRE - FB</v>
      </c>
      <c r="AB10" s="184" t="str">
        <f t="shared" si="13"/>
        <v>ALEXANDRO CIRINO VIEIRA</v>
      </c>
      <c r="AC10" s="185"/>
      <c r="AD10" s="186"/>
      <c r="AE10" s="188"/>
      <c r="AF10" s="88"/>
    </row>
    <row r="11" spans="1:32" s="55" customFormat="1" ht="20.100000000000001" customHeight="1" x14ac:dyDescent="0.25">
      <c r="A11" s="570" t="s">
        <v>3272</v>
      </c>
      <c r="B11" s="105"/>
      <c r="C11" s="106">
        <f t="shared" si="7"/>
        <v>0</v>
      </c>
      <c r="D11" s="107" t="str">
        <f>VLOOKUP(A11,'APONTAMENTO CREDENCIAMENTO'!$D$6:$P$3007,12,0)</f>
        <v>6020.2022/0028422-8</v>
      </c>
      <c r="E11" s="108"/>
      <c r="F11" s="109" t="e">
        <f>SUMIF('APONTAMENTO CREDENCIAMENTO'!$D$6:$D$3007,'ATESTE-LIQ'!A11,'APONTAMENTO CREDENCIAMENTO'!#REF!)</f>
        <v>#REF!</v>
      </c>
      <c r="G11" s="255" t="str">
        <f>VLOOKUP(A11,'APONTAMENTO CREDENCIAMENTO'!$D$6:$G$3007,3,0)</f>
        <v>01/04/2026</v>
      </c>
      <c r="H11" s="255" t="str">
        <f>VLOOKUP(A11,'APONTAMENTO CREDENCIAMENTO'!$D$6:$G$3007,4,0)</f>
        <v>30/04/2026</v>
      </c>
      <c r="I11" s="110" t="str">
        <f t="shared" si="8"/>
        <v>PE - Pagto. Doc(s):  - Contrato nº 2022/0028422</v>
      </c>
      <c r="J11" s="111" t="e">
        <f t="shared" si="9"/>
        <v>#REF!</v>
      </c>
      <c r="K11" s="111">
        <v>0</v>
      </c>
      <c r="L11" s="112" t="str">
        <f>VLOOKUP(A11,'APONTAMENTO CREDENCIAMENTO'!$D$6:$P$3007,5,0)</f>
        <v>REGIVALDO DE SOUZA VASCONCELOS</v>
      </c>
      <c r="M11" s="113"/>
      <c r="N11" s="114"/>
      <c r="O11" s="115"/>
      <c r="P11" s="116"/>
      <c r="Q11" s="116"/>
      <c r="R11" s="116"/>
      <c r="S11" s="117"/>
      <c r="T11" s="118" t="str">
        <f t="shared" si="10"/>
        <v>6020.2022/0028422-8</v>
      </c>
      <c r="U11" s="119" t="e">
        <f t="shared" si="11"/>
        <v>#REF!</v>
      </c>
      <c r="V11" s="120" t="e">
        <f t="shared" si="12"/>
        <v>#REF!</v>
      </c>
      <c r="W11" s="104"/>
      <c r="X11" s="104"/>
      <c r="Y11" s="104"/>
      <c r="Z11" s="104"/>
      <c r="AA11" s="121" t="str">
        <f>CONCATENATE("Prestação de Serviço e Transpor. Escolar Gratuito - TEG n. ",A11," - DRE - " &amp;'BASE C'!$C$2)</f>
        <v>Prestação de Serviço e Transpor. Escolar Gratuito - TEG n. 2022/0028422 - DRE - FB</v>
      </c>
      <c r="AB11" s="184" t="str">
        <f t="shared" si="13"/>
        <v>REGIVALDO DE SOUZA VASCONCELOS</v>
      </c>
      <c r="AC11" s="185"/>
      <c r="AD11" s="186"/>
      <c r="AE11" s="188"/>
      <c r="AF11" s="88"/>
    </row>
    <row r="12" spans="1:32" s="55" customFormat="1" ht="20.100000000000001" customHeight="1" x14ac:dyDescent="0.25">
      <c r="A12" s="570" t="s">
        <v>3200</v>
      </c>
      <c r="B12" s="105"/>
      <c r="C12" s="106">
        <f t="shared" si="7"/>
        <v>0</v>
      </c>
      <c r="D12" s="107" t="str">
        <f>VLOOKUP(A12,'APONTAMENTO CREDENCIAMENTO'!$D$6:$P$3007,12,0)</f>
        <v>6020.2022/0028814-2</v>
      </c>
      <c r="E12" s="108"/>
      <c r="F12" s="109" t="e">
        <f>SUMIF('APONTAMENTO CREDENCIAMENTO'!$D$6:$D$3007,'ATESTE-LIQ'!A12,'APONTAMENTO CREDENCIAMENTO'!#REF!)</f>
        <v>#REF!</v>
      </c>
      <c r="G12" s="255" t="str">
        <f>VLOOKUP(A12,'APONTAMENTO CREDENCIAMENTO'!$D$6:$G$3007,3,0)</f>
        <v>01/04/2026</v>
      </c>
      <c r="H12" s="255" t="str">
        <f>VLOOKUP(A12,'APONTAMENTO CREDENCIAMENTO'!$D$6:$G$3007,4,0)</f>
        <v>30/04/2026</v>
      </c>
      <c r="I12" s="110" t="str">
        <f t="shared" si="8"/>
        <v>PE - Pagto. Doc(s):  - Contrato nº 2022/0028814</v>
      </c>
      <c r="J12" s="111" t="e">
        <f t="shared" si="9"/>
        <v>#REF!</v>
      </c>
      <c r="K12" s="111">
        <v>0</v>
      </c>
      <c r="L12" s="112" t="str">
        <f>VLOOKUP(A12,'APONTAMENTO CREDENCIAMENTO'!$D$6:$P$3007,5,0)</f>
        <v>CARLOS OMAR ALVES</v>
      </c>
      <c r="M12" s="113"/>
      <c r="N12" s="114"/>
      <c r="O12" s="115"/>
      <c r="P12" s="116"/>
      <c r="Q12" s="116"/>
      <c r="R12" s="116"/>
      <c r="S12" s="117"/>
      <c r="T12" s="118" t="str">
        <f t="shared" si="10"/>
        <v>6020.2022/0028814-2</v>
      </c>
      <c r="U12" s="119" t="e">
        <f t="shared" si="11"/>
        <v>#REF!</v>
      </c>
      <c r="V12" s="120" t="e">
        <f t="shared" si="12"/>
        <v>#REF!</v>
      </c>
      <c r="W12" s="104"/>
      <c r="X12" s="104"/>
      <c r="Y12" s="104"/>
      <c r="Z12" s="104"/>
      <c r="AA12" s="121" t="str">
        <f>CONCATENATE("Prestação de Serviço e Transpor. Escolar Gratuito - TEG n. ",A12," - DRE - " &amp;'BASE C'!$C$2)</f>
        <v>Prestação de Serviço e Transpor. Escolar Gratuito - TEG n. 2022/0028814 - DRE - FB</v>
      </c>
      <c r="AB12" s="184" t="str">
        <f t="shared" si="13"/>
        <v>CARLOS OMAR ALVES</v>
      </c>
      <c r="AC12" s="185"/>
      <c r="AD12" s="186"/>
      <c r="AE12" s="188"/>
      <c r="AF12" s="88"/>
    </row>
    <row r="13" spans="1:32" s="55" customFormat="1" ht="20.100000000000001" customHeight="1" x14ac:dyDescent="0.25">
      <c r="A13" s="570" t="s">
        <v>3244</v>
      </c>
      <c r="B13" s="105"/>
      <c r="C13" s="106">
        <f t="shared" si="7"/>
        <v>0</v>
      </c>
      <c r="D13" s="107" t="str">
        <f>VLOOKUP(A13,'APONTAMENTO CREDENCIAMENTO'!$D$6:$P$3007,12,0)</f>
        <v>6020.2022/0028906-8</v>
      </c>
      <c r="E13" s="108"/>
      <c r="F13" s="109" t="e">
        <f>SUMIF('APONTAMENTO CREDENCIAMENTO'!$D$6:$D$3007,'ATESTE-LIQ'!A13,'APONTAMENTO CREDENCIAMENTO'!#REF!)</f>
        <v>#REF!</v>
      </c>
      <c r="G13" s="255" t="str">
        <f>VLOOKUP(A13,'APONTAMENTO CREDENCIAMENTO'!$D$6:$G$3007,3,0)</f>
        <v>01/04/2026</v>
      </c>
      <c r="H13" s="255" t="str">
        <f>VLOOKUP(A13,'APONTAMENTO CREDENCIAMENTO'!$D$6:$G$3007,4,0)</f>
        <v>30/04/2026</v>
      </c>
      <c r="I13" s="110" t="str">
        <f t="shared" si="8"/>
        <v>PE - Pagto. Doc(s):  - Contrato nº 2022/0028906</v>
      </c>
      <c r="J13" s="111" t="e">
        <f t="shared" si="9"/>
        <v>#REF!</v>
      </c>
      <c r="K13" s="111">
        <v>0</v>
      </c>
      <c r="L13" s="112" t="str">
        <f>VLOOKUP(A13,'APONTAMENTO CREDENCIAMENTO'!$D$6:$P$3007,5,0)</f>
        <v>LUCIA MARIZ RAMOS CONTELI</v>
      </c>
      <c r="M13" s="113"/>
      <c r="N13" s="114"/>
      <c r="O13" s="115"/>
      <c r="P13" s="116"/>
      <c r="Q13" s="116"/>
      <c r="R13" s="116"/>
      <c r="S13" s="117"/>
      <c r="T13" s="118" t="str">
        <f t="shared" si="10"/>
        <v>6020.2022/0028906-8</v>
      </c>
      <c r="U13" s="119" t="e">
        <f t="shared" si="11"/>
        <v>#REF!</v>
      </c>
      <c r="V13" s="120" t="e">
        <f t="shared" si="12"/>
        <v>#REF!</v>
      </c>
      <c r="W13" s="104"/>
      <c r="X13" s="104"/>
      <c r="Y13" s="104"/>
      <c r="Z13" s="104"/>
      <c r="AA13" s="121" t="str">
        <f>CONCATENATE("Prestação de Serviço e Transpor. Escolar Gratuito - TEG n. ",A13," - DRE - " &amp;'BASE C'!$C$2)</f>
        <v>Prestação de Serviço e Transpor. Escolar Gratuito - TEG n. 2022/0028906 - DRE - FB</v>
      </c>
      <c r="AB13" s="184" t="str">
        <f t="shared" si="13"/>
        <v>LUCIA MARIZ RAMOS CONTELI</v>
      </c>
      <c r="AC13" s="185"/>
      <c r="AD13" s="186"/>
      <c r="AE13" s="188"/>
      <c r="AF13" s="88"/>
    </row>
    <row r="14" spans="1:32" s="55" customFormat="1" ht="20.100000000000001" customHeight="1" x14ac:dyDescent="0.25">
      <c r="A14" s="570" t="s">
        <v>3252</v>
      </c>
      <c r="B14" s="105"/>
      <c r="C14" s="106">
        <f t="shared" si="7"/>
        <v>0</v>
      </c>
      <c r="D14" s="107" t="str">
        <f>VLOOKUP(A14,'APONTAMENTO CREDENCIAMENTO'!$D$6:$P$3007,12,0)</f>
        <v>6020.2022/0029312-0</v>
      </c>
      <c r="E14" s="108"/>
      <c r="F14" s="109" t="e">
        <f>SUMIF('APONTAMENTO CREDENCIAMENTO'!$D$6:$D$3007,'ATESTE-LIQ'!A14,'APONTAMENTO CREDENCIAMENTO'!#REF!)</f>
        <v>#REF!</v>
      </c>
      <c r="G14" s="255" t="str">
        <f>VLOOKUP(A14,'APONTAMENTO CREDENCIAMENTO'!$D$6:$G$3007,3,0)</f>
        <v>01/04/2026</v>
      </c>
      <c r="H14" s="255" t="str">
        <f>VLOOKUP(A14,'APONTAMENTO CREDENCIAMENTO'!$D$6:$G$3007,4,0)</f>
        <v>30/04/2026</v>
      </c>
      <c r="I14" s="110" t="str">
        <f t="shared" si="8"/>
        <v>PE - Pagto. Doc(s):  - Contrato nº 2022/0029312</v>
      </c>
      <c r="J14" s="111" t="e">
        <f t="shared" si="9"/>
        <v>#REF!</v>
      </c>
      <c r="K14" s="111">
        <v>0</v>
      </c>
      <c r="L14" s="112" t="str">
        <f>VLOOKUP(A14,'APONTAMENTO CREDENCIAMENTO'!$D$6:$P$3007,5,0)</f>
        <v>MARIO MORENO</v>
      </c>
      <c r="M14" s="113"/>
      <c r="N14" s="114"/>
      <c r="O14" s="115"/>
      <c r="P14" s="116"/>
      <c r="Q14" s="116"/>
      <c r="R14" s="116"/>
      <c r="S14" s="117"/>
      <c r="T14" s="118" t="str">
        <f t="shared" si="10"/>
        <v>6020.2022/0029312-0</v>
      </c>
      <c r="U14" s="119" t="e">
        <f t="shared" si="11"/>
        <v>#REF!</v>
      </c>
      <c r="V14" s="120" t="e">
        <f t="shared" si="12"/>
        <v>#REF!</v>
      </c>
      <c r="W14" s="104"/>
      <c r="X14" s="104"/>
      <c r="Y14" s="104"/>
      <c r="Z14" s="104"/>
      <c r="AA14" s="121" t="str">
        <f>CONCATENATE("Prestação de Serviço e Transpor. Escolar Gratuito - TEG n. ",A14," - DRE - " &amp;'BASE C'!$C$2)</f>
        <v>Prestação de Serviço e Transpor. Escolar Gratuito - TEG n. 2022/0029312 - DRE - FB</v>
      </c>
      <c r="AB14" s="184" t="str">
        <f t="shared" si="13"/>
        <v>MARIO MORENO</v>
      </c>
      <c r="AC14" s="185"/>
      <c r="AD14" s="186"/>
      <c r="AE14" s="188"/>
      <c r="AF14" s="88"/>
    </row>
    <row r="15" spans="1:32" s="55" customFormat="1" ht="20.100000000000001" customHeight="1" x14ac:dyDescent="0.25">
      <c r="A15" s="570" t="s">
        <v>3308</v>
      </c>
      <c r="B15" s="105"/>
      <c r="C15" s="106">
        <f t="shared" si="7"/>
        <v>0</v>
      </c>
      <c r="D15" s="107" t="str">
        <f>VLOOKUP(A15,'APONTAMENTO CREDENCIAMENTO'!$D$6:$P$3007,12,0)</f>
        <v>6020.2022/0029526-2</v>
      </c>
      <c r="E15" s="108"/>
      <c r="F15" s="109" t="e">
        <f>SUMIF('APONTAMENTO CREDENCIAMENTO'!$D$6:$D$3007,'ATESTE-LIQ'!A15,'APONTAMENTO CREDENCIAMENTO'!#REF!)</f>
        <v>#REF!</v>
      </c>
      <c r="G15" s="255" t="str">
        <f>VLOOKUP(A15,'APONTAMENTO CREDENCIAMENTO'!$D$6:$G$3007,3,0)</f>
        <v>01/04/2026</v>
      </c>
      <c r="H15" s="255" t="str">
        <f>VLOOKUP(A15,'APONTAMENTO CREDENCIAMENTO'!$D$6:$G$3007,4,0)</f>
        <v>30/04/2026</v>
      </c>
      <c r="I15" s="110" t="str">
        <f t="shared" si="8"/>
        <v>PE - Pagto. Doc(s):  - Contrato nº 2022/0029526</v>
      </c>
      <c r="J15" s="111" t="e">
        <f t="shared" si="9"/>
        <v>#REF!</v>
      </c>
      <c r="K15" s="111">
        <v>0</v>
      </c>
      <c r="L15" s="112" t="str">
        <f>VLOOKUP(A15,'APONTAMENTO CREDENCIAMENTO'!$D$6:$P$3007,5,0)</f>
        <v>WALTER WILLIAM COBO</v>
      </c>
      <c r="M15" s="113"/>
      <c r="N15" s="114"/>
      <c r="O15" s="115"/>
      <c r="P15" s="116"/>
      <c r="Q15" s="116"/>
      <c r="R15" s="116"/>
      <c r="S15" s="117"/>
      <c r="T15" s="118" t="str">
        <f t="shared" si="10"/>
        <v>6020.2022/0029526-2</v>
      </c>
      <c r="U15" s="119" t="e">
        <f t="shared" si="11"/>
        <v>#REF!</v>
      </c>
      <c r="V15" s="120" t="e">
        <f t="shared" si="12"/>
        <v>#REF!</v>
      </c>
      <c r="W15" s="104"/>
      <c r="X15" s="104"/>
      <c r="Y15" s="104"/>
      <c r="Z15" s="104"/>
      <c r="AA15" s="121" t="str">
        <f>CONCATENATE("Prestação de Serviço e Transpor. Escolar Gratuito - TEG n. ",A15," - DRE - " &amp;'BASE C'!$C$2)</f>
        <v>Prestação de Serviço e Transpor. Escolar Gratuito - TEG n. 2022/0029526 - DRE - FB</v>
      </c>
      <c r="AB15" s="184" t="str">
        <f t="shared" si="13"/>
        <v>WALTER WILLIAM COBO</v>
      </c>
      <c r="AC15" s="185"/>
      <c r="AD15" s="186"/>
      <c r="AE15" s="188"/>
      <c r="AF15" s="88"/>
    </row>
    <row r="16" spans="1:32" s="55" customFormat="1" ht="20.100000000000001" customHeight="1" x14ac:dyDescent="0.25">
      <c r="A16" s="570" t="s">
        <v>3264</v>
      </c>
      <c r="B16" s="105"/>
      <c r="C16" s="106">
        <f t="shared" si="7"/>
        <v>0</v>
      </c>
      <c r="D16" s="107" t="str">
        <f>VLOOKUP(A16,'APONTAMENTO CREDENCIAMENTO'!$D$6:$P$3007,12,0)</f>
        <v>6020.2022/0030526-8</v>
      </c>
      <c r="E16" s="108"/>
      <c r="F16" s="109" t="e">
        <f>SUMIF('APONTAMENTO CREDENCIAMENTO'!$D$6:$D$3007,'ATESTE-LIQ'!A16,'APONTAMENTO CREDENCIAMENTO'!#REF!)</f>
        <v>#REF!</v>
      </c>
      <c r="G16" s="255" t="str">
        <f>VLOOKUP(A16,'APONTAMENTO CREDENCIAMENTO'!$D$6:$G$3007,3,0)</f>
        <v>01/04/2026</v>
      </c>
      <c r="H16" s="255" t="str">
        <f>VLOOKUP(A16,'APONTAMENTO CREDENCIAMENTO'!$D$6:$G$3007,4,0)</f>
        <v>30/04/2026</v>
      </c>
      <c r="I16" s="110" t="str">
        <f t="shared" si="8"/>
        <v>PE - Pagto. Doc(s):  - Contrato nº 2022/0030526</v>
      </c>
      <c r="J16" s="111" t="e">
        <f t="shared" si="9"/>
        <v>#REF!</v>
      </c>
      <c r="K16" s="111">
        <v>0</v>
      </c>
      <c r="L16" s="112" t="str">
        <f>VLOOKUP(A16,'APONTAMENTO CREDENCIAMENTO'!$D$6:$P$3007,5,0)</f>
        <v>REGINALDO DOS SANTOS FREITAS</v>
      </c>
      <c r="M16" s="113"/>
      <c r="N16" s="114"/>
      <c r="O16" s="115"/>
      <c r="P16" s="116"/>
      <c r="Q16" s="116"/>
      <c r="R16" s="116"/>
      <c r="S16" s="117"/>
      <c r="T16" s="118" t="str">
        <f t="shared" si="10"/>
        <v>6020.2022/0030526-8</v>
      </c>
      <c r="U16" s="119" t="e">
        <f t="shared" si="11"/>
        <v>#REF!</v>
      </c>
      <c r="V16" s="120" t="e">
        <f t="shared" si="12"/>
        <v>#REF!</v>
      </c>
      <c r="W16" s="104"/>
      <c r="X16" s="104"/>
      <c r="Y16" s="104"/>
      <c r="Z16" s="104"/>
      <c r="AA16" s="121" t="str">
        <f>CONCATENATE("Prestação de Serviço e Transpor. Escolar Gratuito - TEG n. ",A16," - DRE - " &amp;'BASE C'!$C$2)</f>
        <v>Prestação de Serviço e Transpor. Escolar Gratuito - TEG n. 2022/0030526 - DRE - FB</v>
      </c>
      <c r="AB16" s="184" t="str">
        <f t="shared" si="13"/>
        <v>REGINALDO DOS SANTOS FREITAS</v>
      </c>
      <c r="AC16" s="185"/>
      <c r="AD16" s="186"/>
      <c r="AE16" s="188"/>
      <c r="AF16" s="88"/>
    </row>
    <row r="17" spans="1:32" s="55" customFormat="1" ht="20.100000000000001" customHeight="1" x14ac:dyDescent="0.25">
      <c r="A17" s="570" t="s">
        <v>3228</v>
      </c>
      <c r="B17" s="105"/>
      <c r="C17" s="106">
        <f t="shared" si="7"/>
        <v>0</v>
      </c>
      <c r="D17" s="107" t="str">
        <f>VLOOKUP(A17,'APONTAMENTO CREDENCIAMENTO'!$D$6:$P$3007,12,0)</f>
        <v>6020.2022/0030845-3</v>
      </c>
      <c r="E17" s="108"/>
      <c r="F17" s="109" t="e">
        <f>SUMIF('APONTAMENTO CREDENCIAMENTO'!$D$6:$D$3007,'ATESTE-LIQ'!A17,'APONTAMENTO CREDENCIAMENTO'!#REF!)</f>
        <v>#REF!</v>
      </c>
      <c r="G17" s="255" t="str">
        <f>VLOOKUP(A17,'APONTAMENTO CREDENCIAMENTO'!$D$6:$G$3007,3,0)</f>
        <v>01/04/2026</v>
      </c>
      <c r="H17" s="255" t="str">
        <f>VLOOKUP(A17,'APONTAMENTO CREDENCIAMENTO'!$D$6:$G$3007,4,0)</f>
        <v>30/04/2026</v>
      </c>
      <c r="I17" s="110" t="str">
        <f t="shared" si="8"/>
        <v>PE - Pagto. Doc(s):  - Contrato nº 2022/0030845</v>
      </c>
      <c r="J17" s="111" t="e">
        <f t="shared" si="9"/>
        <v>#REF!</v>
      </c>
      <c r="K17" s="111">
        <v>0</v>
      </c>
      <c r="L17" s="112" t="str">
        <f>VLOOKUP(A17,'APONTAMENTO CREDENCIAMENTO'!$D$6:$P$3007,5,0)</f>
        <v>JOSE FIRMINO BATISTA</v>
      </c>
      <c r="M17" s="113"/>
      <c r="N17" s="114"/>
      <c r="O17" s="115"/>
      <c r="P17" s="116"/>
      <c r="Q17" s="116"/>
      <c r="R17" s="116"/>
      <c r="S17" s="117"/>
      <c r="T17" s="118" t="str">
        <f t="shared" si="10"/>
        <v>6020.2022/0030845-3</v>
      </c>
      <c r="U17" s="119" t="e">
        <f t="shared" si="11"/>
        <v>#REF!</v>
      </c>
      <c r="V17" s="120" t="e">
        <f t="shared" si="12"/>
        <v>#REF!</v>
      </c>
      <c r="W17" s="104"/>
      <c r="X17" s="104"/>
      <c r="Y17" s="104"/>
      <c r="Z17" s="104"/>
      <c r="AA17" s="121" t="str">
        <f>CONCATENATE("Prestação de Serviço e Transpor. Escolar Gratuito - TEG n. ",A17," - DRE - " &amp;'BASE C'!$C$2)</f>
        <v>Prestação de Serviço e Transpor. Escolar Gratuito - TEG n. 2022/0030845 - DRE - FB</v>
      </c>
      <c r="AB17" s="184" t="str">
        <f t="shared" si="13"/>
        <v>JOSE FIRMINO BATISTA</v>
      </c>
      <c r="AC17" s="185"/>
      <c r="AD17" s="186"/>
      <c r="AE17" s="188"/>
      <c r="AF17" s="88"/>
    </row>
    <row r="18" spans="1:32" s="55" customFormat="1" ht="20.100000000000001" customHeight="1" x14ac:dyDescent="0.25">
      <c r="A18" s="570" t="s">
        <v>3212</v>
      </c>
      <c r="B18" s="105"/>
      <c r="C18" s="106">
        <f t="shared" si="7"/>
        <v>0</v>
      </c>
      <c r="D18" s="107" t="str">
        <f>VLOOKUP(A18,'APONTAMENTO CREDENCIAMENTO'!$D$6:$P$3007,12,0)</f>
        <v>6020.2022/0031239-6</v>
      </c>
      <c r="E18" s="108"/>
      <c r="F18" s="109" t="e">
        <f>SUMIF('APONTAMENTO CREDENCIAMENTO'!$D$6:$D$3007,'ATESTE-LIQ'!A18,'APONTAMENTO CREDENCIAMENTO'!#REF!)</f>
        <v>#REF!</v>
      </c>
      <c r="G18" s="255" t="str">
        <f>VLOOKUP(A18,'APONTAMENTO CREDENCIAMENTO'!$D$6:$G$3007,3,0)</f>
        <v>01/04/2026</v>
      </c>
      <c r="H18" s="255" t="str">
        <f>VLOOKUP(A18,'APONTAMENTO CREDENCIAMENTO'!$D$6:$G$3007,4,0)</f>
        <v>30/04/2026</v>
      </c>
      <c r="I18" s="110" t="str">
        <f t="shared" si="8"/>
        <v>PE - Pagto. Doc(s):  - Contrato nº 2022/0031239</v>
      </c>
      <c r="J18" s="111" t="e">
        <f t="shared" si="9"/>
        <v>#REF!</v>
      </c>
      <c r="K18" s="111">
        <v>0</v>
      </c>
      <c r="L18" s="112" t="str">
        <f>VLOOKUP(A18,'APONTAMENTO CREDENCIAMENTO'!$D$6:$P$3007,5,0)</f>
        <v>EDILAINE APARECIDA DOS SANTOS PIMENTEL</v>
      </c>
      <c r="M18" s="113"/>
      <c r="N18" s="114"/>
      <c r="O18" s="115"/>
      <c r="P18" s="116"/>
      <c r="Q18" s="116"/>
      <c r="R18" s="116"/>
      <c r="S18" s="117"/>
      <c r="T18" s="118" t="str">
        <f t="shared" si="10"/>
        <v>6020.2022/0031239-6</v>
      </c>
      <c r="U18" s="119" t="e">
        <f t="shared" si="11"/>
        <v>#REF!</v>
      </c>
      <c r="V18" s="120" t="e">
        <f t="shared" si="12"/>
        <v>#REF!</v>
      </c>
      <c r="W18" s="104"/>
      <c r="X18" s="104"/>
      <c r="Y18" s="104"/>
      <c r="Z18" s="104"/>
      <c r="AA18" s="121" t="str">
        <f>CONCATENATE("Prestação de Serviço e Transpor. Escolar Gratuito - TEG n. ",A18," - DRE - " &amp;'BASE C'!$C$2)</f>
        <v>Prestação de Serviço e Transpor. Escolar Gratuito - TEG n. 2022/0031239 - DRE - FB</v>
      </c>
      <c r="AB18" s="184" t="str">
        <f t="shared" si="13"/>
        <v>EDILAINE APARECIDA DOS SANTOS PIMENTEL</v>
      </c>
      <c r="AC18" s="185"/>
      <c r="AD18" s="186"/>
      <c r="AE18" s="188"/>
      <c r="AF18" s="88"/>
    </row>
    <row r="19" spans="1:32" s="55" customFormat="1" ht="20.100000000000001" customHeight="1" x14ac:dyDescent="0.25">
      <c r="A19" s="570" t="s">
        <v>3300</v>
      </c>
      <c r="B19" s="105"/>
      <c r="C19" s="106">
        <f t="shared" si="7"/>
        <v>0</v>
      </c>
      <c r="D19" s="107" t="str">
        <f>VLOOKUP(A19,'APONTAMENTO CREDENCIAMENTO'!$D$6:$P$3007,12,0)</f>
        <v>6020.2022/0031275-2</v>
      </c>
      <c r="E19" s="108"/>
      <c r="F19" s="109" t="e">
        <f>SUMIF('APONTAMENTO CREDENCIAMENTO'!$D$6:$D$3007,'ATESTE-LIQ'!A19,'APONTAMENTO CREDENCIAMENTO'!#REF!)</f>
        <v>#REF!</v>
      </c>
      <c r="G19" s="255" t="str">
        <f>VLOOKUP(A19,'APONTAMENTO CREDENCIAMENTO'!$D$6:$G$3007,3,0)</f>
        <v>01/04/2026</v>
      </c>
      <c r="H19" s="255" t="str">
        <f>VLOOKUP(A19,'APONTAMENTO CREDENCIAMENTO'!$D$6:$G$3007,4,0)</f>
        <v>30/04/2026</v>
      </c>
      <c r="I19" s="110" t="str">
        <f t="shared" si="8"/>
        <v>PE - Pagto. Doc(s):  - Contrato nº 2022/0031275</v>
      </c>
      <c r="J19" s="111" t="e">
        <f t="shared" si="9"/>
        <v>#REF!</v>
      </c>
      <c r="K19" s="111">
        <v>0</v>
      </c>
      <c r="L19" s="112" t="str">
        <f>VLOOKUP(A19,'APONTAMENTO CREDENCIAMENTO'!$D$6:$P$3007,5,0)</f>
        <v>VIVIANE SANTANA DA SILVA</v>
      </c>
      <c r="M19" s="113"/>
      <c r="N19" s="114"/>
      <c r="O19" s="115"/>
      <c r="P19" s="116"/>
      <c r="Q19" s="116"/>
      <c r="R19" s="116"/>
      <c r="S19" s="117"/>
      <c r="T19" s="118" t="str">
        <f t="shared" si="10"/>
        <v>6020.2022/0031275-2</v>
      </c>
      <c r="U19" s="119" t="e">
        <f t="shared" si="11"/>
        <v>#REF!</v>
      </c>
      <c r="V19" s="120" t="e">
        <f t="shared" si="12"/>
        <v>#REF!</v>
      </c>
      <c r="W19" s="104"/>
      <c r="X19" s="104"/>
      <c r="Y19" s="104"/>
      <c r="Z19" s="104"/>
      <c r="AA19" s="121" t="str">
        <f>CONCATENATE("Prestação de Serviço e Transpor. Escolar Gratuito - TEG n. ",A19," - DRE - " &amp;'BASE C'!$C$2)</f>
        <v>Prestação de Serviço e Transpor. Escolar Gratuito - TEG n. 2022/0031275 - DRE - FB</v>
      </c>
      <c r="AB19" s="184" t="str">
        <f t="shared" si="13"/>
        <v>VIVIANE SANTANA DA SILVA</v>
      </c>
      <c r="AC19" s="185"/>
      <c r="AD19" s="186"/>
      <c r="AE19" s="188"/>
      <c r="AF19" s="88"/>
    </row>
    <row r="20" spans="1:32" s="55" customFormat="1" ht="20.100000000000001" customHeight="1" x14ac:dyDescent="0.25">
      <c r="A20" s="570" t="s">
        <v>3204</v>
      </c>
      <c r="B20" s="105"/>
      <c r="C20" s="106">
        <f t="shared" si="7"/>
        <v>0</v>
      </c>
      <c r="D20" s="107" t="str">
        <f>VLOOKUP(A20,'APONTAMENTO CREDENCIAMENTO'!$D$6:$P$3007,12,0)</f>
        <v>6020.2022/0031991-9</v>
      </c>
      <c r="E20" s="108"/>
      <c r="F20" s="109" t="e">
        <f>SUMIF('APONTAMENTO CREDENCIAMENTO'!$D$6:$D$3007,'ATESTE-LIQ'!A20,'APONTAMENTO CREDENCIAMENTO'!#REF!)</f>
        <v>#REF!</v>
      </c>
      <c r="G20" s="255" t="str">
        <f>VLOOKUP(A20,'APONTAMENTO CREDENCIAMENTO'!$D$6:$G$3007,3,0)</f>
        <v>01/04/2026</v>
      </c>
      <c r="H20" s="255" t="str">
        <f>VLOOKUP(A20,'APONTAMENTO CREDENCIAMENTO'!$D$6:$G$3007,4,0)</f>
        <v>30/04/2026</v>
      </c>
      <c r="I20" s="110" t="str">
        <f t="shared" si="8"/>
        <v>PE - Pagto. Doc(s):  - Contrato nº 2022/0031991</v>
      </c>
      <c r="J20" s="111" t="e">
        <f t="shared" si="9"/>
        <v>#REF!</v>
      </c>
      <c r="K20" s="111">
        <v>0</v>
      </c>
      <c r="L20" s="112" t="str">
        <f>VLOOKUP(A20,'APONTAMENTO CREDENCIAMENTO'!$D$6:$P$3007,5,0)</f>
        <v>CRISTIANE ROSIMEIRE DIAS</v>
      </c>
      <c r="M20" s="113"/>
      <c r="N20" s="114"/>
      <c r="O20" s="115"/>
      <c r="P20" s="116"/>
      <c r="Q20" s="116"/>
      <c r="R20" s="116"/>
      <c r="S20" s="117"/>
      <c r="T20" s="118" t="str">
        <f t="shared" si="10"/>
        <v>6020.2022/0031991-9</v>
      </c>
      <c r="U20" s="119" t="e">
        <f t="shared" si="11"/>
        <v>#REF!</v>
      </c>
      <c r="V20" s="120" t="e">
        <f t="shared" si="12"/>
        <v>#REF!</v>
      </c>
      <c r="W20" s="104"/>
      <c r="X20" s="104"/>
      <c r="Y20" s="104"/>
      <c r="Z20" s="104"/>
      <c r="AA20" s="121" t="str">
        <f>CONCATENATE("Prestação de Serviço e Transpor. Escolar Gratuito - TEG n. ",A20," - DRE - " &amp;'BASE C'!$C$2)</f>
        <v>Prestação de Serviço e Transpor. Escolar Gratuito - TEG n. 2022/0031991 - DRE - FB</v>
      </c>
      <c r="AB20" s="184" t="str">
        <f t="shared" si="13"/>
        <v>CRISTIANE ROSIMEIRE DIAS</v>
      </c>
      <c r="AC20" s="185"/>
      <c r="AD20" s="186"/>
      <c r="AE20" s="188"/>
      <c r="AF20" s="88"/>
    </row>
    <row r="21" spans="1:32" s="55" customFormat="1" ht="20.100000000000001" customHeight="1" x14ac:dyDescent="0.25">
      <c r="A21" s="570" t="s">
        <v>3224</v>
      </c>
      <c r="B21" s="105"/>
      <c r="C21" s="106">
        <f t="shared" si="7"/>
        <v>0</v>
      </c>
      <c r="D21" s="107" t="str">
        <f>VLOOKUP(A21,'APONTAMENTO CREDENCIAMENTO'!$D$6:$P$3007,12,0)</f>
        <v>6020.2022/0032145-0</v>
      </c>
      <c r="E21" s="108"/>
      <c r="F21" s="109" t="e">
        <f>SUMIF('APONTAMENTO CREDENCIAMENTO'!$D$6:$D$3007,'ATESTE-LIQ'!A21,'APONTAMENTO CREDENCIAMENTO'!#REF!)</f>
        <v>#REF!</v>
      </c>
      <c r="G21" s="255" t="str">
        <f>VLOOKUP(A21,'APONTAMENTO CREDENCIAMENTO'!$D$6:$G$3007,3,0)</f>
        <v>01/04/2026</v>
      </c>
      <c r="H21" s="255" t="str">
        <f>VLOOKUP(A21,'APONTAMENTO CREDENCIAMENTO'!$D$6:$G$3007,4,0)</f>
        <v>30/04/2026</v>
      </c>
      <c r="I21" s="110" t="str">
        <f t="shared" si="8"/>
        <v>PE - Pagto. Doc(s):  - Contrato nº 2022/0032145</v>
      </c>
      <c r="J21" s="111" t="e">
        <f t="shared" si="9"/>
        <v>#REF!</v>
      </c>
      <c r="K21" s="111">
        <v>0</v>
      </c>
      <c r="L21" s="112" t="str">
        <f>VLOOKUP(A21,'APONTAMENTO CREDENCIAMENTO'!$D$6:$P$3007,5,0)</f>
        <v>JOSE ANTONIO DA SILVA</v>
      </c>
      <c r="M21" s="113"/>
      <c r="N21" s="114"/>
      <c r="O21" s="115"/>
      <c r="P21" s="116"/>
      <c r="Q21" s="116"/>
      <c r="R21" s="116"/>
      <c r="S21" s="117"/>
      <c r="T21" s="118" t="str">
        <f t="shared" si="10"/>
        <v>6020.2022/0032145-0</v>
      </c>
      <c r="U21" s="119" t="e">
        <f t="shared" si="11"/>
        <v>#REF!</v>
      </c>
      <c r="V21" s="120" t="e">
        <f t="shared" si="12"/>
        <v>#REF!</v>
      </c>
      <c r="W21" s="104"/>
      <c r="X21" s="104"/>
      <c r="Y21" s="104"/>
      <c r="Z21" s="104"/>
      <c r="AA21" s="121" t="str">
        <f>CONCATENATE("Prestação de Serviço e Transpor. Escolar Gratuito - TEG n. ",A21," - DRE - " &amp;'BASE C'!$C$2)</f>
        <v>Prestação de Serviço e Transpor. Escolar Gratuito - TEG n. 2022/0032145 - DRE - FB</v>
      </c>
      <c r="AB21" s="184" t="str">
        <f t="shared" si="13"/>
        <v>JOSE ANTONIO DA SILVA</v>
      </c>
      <c r="AC21" s="185"/>
      <c r="AD21" s="186"/>
      <c r="AE21" s="188"/>
      <c r="AF21" s="88"/>
    </row>
    <row r="22" spans="1:32" s="55" customFormat="1" ht="20.100000000000001" customHeight="1" x14ac:dyDescent="0.25">
      <c r="A22" s="570" t="s">
        <v>3260</v>
      </c>
      <c r="B22" s="105"/>
      <c r="C22" s="106">
        <f t="shared" si="7"/>
        <v>0</v>
      </c>
      <c r="D22" s="107" t="str">
        <f>VLOOKUP(A22,'APONTAMENTO CREDENCIAMENTO'!$D$6:$P$3007,12,0)</f>
        <v>6020.2022/0033653-8</v>
      </c>
      <c r="E22" s="108"/>
      <c r="F22" s="109" t="e">
        <f>SUMIF('APONTAMENTO CREDENCIAMENTO'!$D$6:$D$3007,'ATESTE-LIQ'!A22,'APONTAMENTO CREDENCIAMENTO'!#REF!)</f>
        <v>#REF!</v>
      </c>
      <c r="G22" s="255" t="str">
        <f>VLOOKUP(A22,'APONTAMENTO CREDENCIAMENTO'!$D$6:$G$3007,3,0)</f>
        <v>01/04/2026</v>
      </c>
      <c r="H22" s="255" t="str">
        <f>VLOOKUP(A22,'APONTAMENTO CREDENCIAMENTO'!$D$6:$G$3007,4,0)</f>
        <v>30/04/2026</v>
      </c>
      <c r="I22" s="110" t="str">
        <f t="shared" si="8"/>
        <v>PE - Pagto. Doc(s):  - Contrato nº 2022/0033653</v>
      </c>
      <c r="J22" s="111" t="e">
        <f t="shared" si="9"/>
        <v>#REF!</v>
      </c>
      <c r="K22" s="111">
        <v>0</v>
      </c>
      <c r="L22" s="112" t="str">
        <f>VLOOKUP(A22,'APONTAMENTO CREDENCIAMENTO'!$D$6:$P$3007,5,0)</f>
        <v>OSMAR BISPO DOS SANTOS</v>
      </c>
      <c r="M22" s="113"/>
      <c r="N22" s="114"/>
      <c r="O22" s="115"/>
      <c r="P22" s="116"/>
      <c r="Q22" s="116"/>
      <c r="R22" s="116"/>
      <c r="S22" s="117"/>
      <c r="T22" s="118" t="str">
        <f t="shared" si="10"/>
        <v>6020.2022/0033653-8</v>
      </c>
      <c r="U22" s="119" t="e">
        <f t="shared" si="11"/>
        <v>#REF!</v>
      </c>
      <c r="V22" s="120" t="e">
        <f t="shared" si="12"/>
        <v>#REF!</v>
      </c>
      <c r="W22" s="104"/>
      <c r="X22" s="104"/>
      <c r="Y22" s="104"/>
      <c r="Z22" s="104"/>
      <c r="AA22" s="121" t="str">
        <f>CONCATENATE("Prestação de Serviço e Transpor. Escolar Gratuito - TEG n. ",A22," - DRE - " &amp;'BASE C'!$C$2)</f>
        <v>Prestação de Serviço e Transpor. Escolar Gratuito - TEG n. 2022/0033653 - DRE - FB</v>
      </c>
      <c r="AB22" s="184" t="str">
        <f t="shared" si="13"/>
        <v>OSMAR BISPO DOS SANTOS</v>
      </c>
      <c r="AC22" s="185"/>
      <c r="AD22" s="186"/>
      <c r="AE22" s="188"/>
      <c r="AF22" s="88"/>
    </row>
    <row r="23" spans="1:32" s="55" customFormat="1" ht="20.100000000000001" customHeight="1" x14ac:dyDescent="0.25">
      <c r="A23" s="570" t="s">
        <v>3188</v>
      </c>
      <c r="B23" s="105"/>
      <c r="C23" s="106">
        <f t="shared" si="7"/>
        <v>0</v>
      </c>
      <c r="D23" s="107" t="str">
        <f>VLOOKUP(A23,'APONTAMENTO CREDENCIAMENTO'!$D$6:$P$3007,12,0)</f>
        <v>6020.2022/0033780-1</v>
      </c>
      <c r="E23" s="108"/>
      <c r="F23" s="109" t="e">
        <f>SUMIF('APONTAMENTO CREDENCIAMENTO'!$D$6:$D$3007,'ATESTE-LIQ'!A23,'APONTAMENTO CREDENCIAMENTO'!#REF!)</f>
        <v>#REF!</v>
      </c>
      <c r="G23" s="255" t="str">
        <f>VLOOKUP(A23,'APONTAMENTO CREDENCIAMENTO'!$D$6:$G$3007,3,0)</f>
        <v>01/04/2026</v>
      </c>
      <c r="H23" s="255" t="str">
        <f>VLOOKUP(A23,'APONTAMENTO CREDENCIAMENTO'!$D$6:$G$3007,4,0)</f>
        <v>30/04/2026</v>
      </c>
      <c r="I23" s="110" t="str">
        <f t="shared" si="8"/>
        <v>PE - Pagto. Doc(s):  - Contrato nº 2022/0033780</v>
      </c>
      <c r="J23" s="111" t="e">
        <f t="shared" si="9"/>
        <v>#REF!</v>
      </c>
      <c r="K23" s="111">
        <v>0</v>
      </c>
      <c r="L23" s="112" t="str">
        <f>VLOOKUP(A23,'APONTAMENTO CREDENCIAMENTO'!$D$6:$P$3007,5,0)</f>
        <v>ANA CRISTINA FABRI DE LIMA</v>
      </c>
      <c r="M23" s="113"/>
      <c r="N23" s="114"/>
      <c r="O23" s="115"/>
      <c r="P23" s="116"/>
      <c r="Q23" s="116"/>
      <c r="R23" s="116"/>
      <c r="S23" s="117"/>
      <c r="T23" s="118" t="str">
        <f t="shared" si="10"/>
        <v>6020.2022/0033780-1</v>
      </c>
      <c r="U23" s="119" t="e">
        <f t="shared" si="11"/>
        <v>#REF!</v>
      </c>
      <c r="V23" s="120" t="e">
        <f t="shared" si="12"/>
        <v>#REF!</v>
      </c>
      <c r="W23" s="104"/>
      <c r="X23" s="104"/>
      <c r="Y23" s="104"/>
      <c r="Z23" s="104"/>
      <c r="AA23" s="121" t="str">
        <f>CONCATENATE("Prestação de Serviço e Transpor. Escolar Gratuito - TEG n. ",A23," - DRE - " &amp;'BASE C'!$C$2)</f>
        <v>Prestação de Serviço e Transpor. Escolar Gratuito - TEG n. 2022/0033780 - DRE - FB</v>
      </c>
      <c r="AB23" s="184" t="str">
        <f t="shared" si="13"/>
        <v>ANA CRISTINA FABRI DE LIMA</v>
      </c>
      <c r="AC23" s="185"/>
      <c r="AD23" s="186"/>
      <c r="AE23" s="188"/>
      <c r="AF23" s="88"/>
    </row>
    <row r="24" spans="1:32" s="55" customFormat="1" ht="20.100000000000001" customHeight="1" x14ac:dyDescent="0.25">
      <c r="A24" s="570" t="s">
        <v>3216</v>
      </c>
      <c r="B24" s="105"/>
      <c r="C24" s="106">
        <f t="shared" si="7"/>
        <v>0</v>
      </c>
      <c r="D24" s="107" t="str">
        <f>VLOOKUP(A24,'APONTAMENTO CREDENCIAMENTO'!$D$6:$P$3007,12,0)</f>
        <v>6020.2022/0033816-6</v>
      </c>
      <c r="E24" s="108"/>
      <c r="F24" s="109" t="e">
        <f>SUMIF('APONTAMENTO CREDENCIAMENTO'!$D$6:$D$3007,'ATESTE-LIQ'!A24,'APONTAMENTO CREDENCIAMENTO'!#REF!)</f>
        <v>#REF!</v>
      </c>
      <c r="G24" s="255" t="str">
        <f>VLOOKUP(A24,'APONTAMENTO CREDENCIAMENTO'!$D$6:$G$3007,3,0)</f>
        <v>01/04/2026</v>
      </c>
      <c r="H24" s="255" t="str">
        <f>VLOOKUP(A24,'APONTAMENTO CREDENCIAMENTO'!$D$6:$G$3007,4,0)</f>
        <v>30/04/2026</v>
      </c>
      <c r="I24" s="110" t="str">
        <f t="shared" si="8"/>
        <v>PE - Pagto. Doc(s):  - Contrato nº 2022/0033816</v>
      </c>
      <c r="J24" s="111" t="e">
        <f t="shared" si="9"/>
        <v>#REF!</v>
      </c>
      <c r="K24" s="111">
        <v>0</v>
      </c>
      <c r="L24" s="112" t="str">
        <f>VLOOKUP(A24,'APONTAMENTO CREDENCIAMENTO'!$D$6:$P$3007,5,0)</f>
        <v>GABRIEL ANTONIO ALMEIDA SOUZA</v>
      </c>
      <c r="M24" s="113"/>
      <c r="N24" s="114"/>
      <c r="O24" s="115"/>
      <c r="P24" s="116"/>
      <c r="Q24" s="116"/>
      <c r="R24" s="116"/>
      <c r="S24" s="117"/>
      <c r="T24" s="118" t="str">
        <f t="shared" si="10"/>
        <v>6020.2022/0033816-6</v>
      </c>
      <c r="U24" s="119" t="e">
        <f t="shared" si="11"/>
        <v>#REF!</v>
      </c>
      <c r="V24" s="120" t="e">
        <f t="shared" si="12"/>
        <v>#REF!</v>
      </c>
      <c r="W24" s="104"/>
      <c r="X24" s="104"/>
      <c r="Y24" s="104"/>
      <c r="Z24" s="104"/>
      <c r="AA24" s="121" t="str">
        <f>CONCATENATE("Prestação de Serviço e Transpor. Escolar Gratuito - TEG n. ",A24," - DRE - " &amp;'BASE C'!$C$2)</f>
        <v>Prestação de Serviço e Transpor. Escolar Gratuito - TEG n. 2022/0033816 - DRE - FB</v>
      </c>
      <c r="AB24" s="184" t="str">
        <f t="shared" si="13"/>
        <v>GABRIEL ANTONIO ALMEIDA SOUZA</v>
      </c>
      <c r="AC24" s="185"/>
      <c r="AD24" s="186"/>
      <c r="AE24" s="188"/>
      <c r="AF24" s="88"/>
    </row>
    <row r="25" spans="1:32" s="55" customFormat="1" ht="20.100000000000001" customHeight="1" x14ac:dyDescent="0.25">
      <c r="A25" s="570" t="s">
        <v>3236</v>
      </c>
      <c r="B25" s="105"/>
      <c r="C25" s="106">
        <f t="shared" si="7"/>
        <v>0</v>
      </c>
      <c r="D25" s="107" t="str">
        <f>VLOOKUP(A25,'APONTAMENTO CREDENCIAMENTO'!$D$6:$P$3007,12,0)</f>
        <v>6020.2022/0034092-6</v>
      </c>
      <c r="E25" s="108"/>
      <c r="F25" s="109" t="e">
        <f>SUMIF('APONTAMENTO CREDENCIAMENTO'!$D$6:$D$3007,'ATESTE-LIQ'!A25,'APONTAMENTO CREDENCIAMENTO'!#REF!)</f>
        <v>#REF!</v>
      </c>
      <c r="G25" s="255" t="str">
        <f>VLOOKUP(A25,'APONTAMENTO CREDENCIAMENTO'!$D$6:$G$3007,3,0)</f>
        <v>01/04/2026</v>
      </c>
      <c r="H25" s="255" t="str">
        <f>VLOOKUP(A25,'APONTAMENTO CREDENCIAMENTO'!$D$6:$G$3007,4,0)</f>
        <v>30/04/2026</v>
      </c>
      <c r="I25" s="110" t="str">
        <f t="shared" si="8"/>
        <v>PE - Pagto. Doc(s):  - Contrato nº 2022/0034092</v>
      </c>
      <c r="J25" s="111" t="e">
        <f t="shared" si="9"/>
        <v>#REF!</v>
      </c>
      <c r="K25" s="111">
        <v>0</v>
      </c>
      <c r="L25" s="112" t="str">
        <f>VLOOKUP(A25,'APONTAMENTO CREDENCIAMENTO'!$D$6:$P$3007,5,0)</f>
        <v>JUCINEIDE MOSSIN</v>
      </c>
      <c r="M25" s="113"/>
      <c r="N25" s="114"/>
      <c r="O25" s="115"/>
      <c r="P25" s="116"/>
      <c r="Q25" s="116"/>
      <c r="R25" s="116"/>
      <c r="S25" s="117"/>
      <c r="T25" s="118" t="str">
        <f t="shared" si="10"/>
        <v>6020.2022/0034092-6</v>
      </c>
      <c r="U25" s="119" t="e">
        <f t="shared" si="11"/>
        <v>#REF!</v>
      </c>
      <c r="V25" s="120" t="e">
        <f t="shared" si="12"/>
        <v>#REF!</v>
      </c>
      <c r="W25" s="104"/>
      <c r="X25" s="104"/>
      <c r="Y25" s="104"/>
      <c r="Z25" s="104"/>
      <c r="AA25" s="121" t="str">
        <f>CONCATENATE("Prestação de Serviço e Transpor. Escolar Gratuito - TEG n. ",A25," - DRE - " &amp;'BASE C'!$C$2)</f>
        <v>Prestação de Serviço e Transpor. Escolar Gratuito - TEG n. 2022/0034092 - DRE - FB</v>
      </c>
      <c r="AB25" s="184" t="str">
        <f t="shared" si="13"/>
        <v>JUCINEIDE MOSSIN</v>
      </c>
      <c r="AC25" s="185"/>
      <c r="AD25" s="186"/>
      <c r="AE25" s="188"/>
      <c r="AF25" s="88"/>
    </row>
    <row r="26" spans="1:32" s="55" customFormat="1" ht="20.100000000000001" customHeight="1" x14ac:dyDescent="0.25">
      <c r="A26" s="570" t="s">
        <v>3296</v>
      </c>
      <c r="B26" s="105"/>
      <c r="C26" s="106">
        <f t="shared" si="7"/>
        <v>0</v>
      </c>
      <c r="D26" s="107" t="str">
        <f>VLOOKUP(A26,'APONTAMENTO CREDENCIAMENTO'!$D$6:$P$3007,12,0)</f>
        <v>6020.2022/0035206-1</v>
      </c>
      <c r="E26" s="108"/>
      <c r="F26" s="109" t="e">
        <f>SUMIF('APONTAMENTO CREDENCIAMENTO'!$D$6:$D$3007,'ATESTE-LIQ'!A26,'APONTAMENTO CREDENCIAMENTO'!#REF!)</f>
        <v>#REF!</v>
      </c>
      <c r="G26" s="255" t="str">
        <f>VLOOKUP(A26,'APONTAMENTO CREDENCIAMENTO'!$D$6:$G$3007,3,0)</f>
        <v>01/04/2026</v>
      </c>
      <c r="H26" s="255" t="str">
        <f>VLOOKUP(A26,'APONTAMENTO CREDENCIAMENTO'!$D$6:$G$3007,4,0)</f>
        <v>30/04/2026</v>
      </c>
      <c r="I26" s="110" t="str">
        <f t="shared" si="8"/>
        <v>PE - Pagto. Doc(s):  - Contrato nº 2022/0035206</v>
      </c>
      <c r="J26" s="111" t="e">
        <f t="shared" si="9"/>
        <v>#REF!</v>
      </c>
      <c r="K26" s="111">
        <v>0</v>
      </c>
      <c r="L26" s="112" t="str">
        <f>VLOOKUP(A26,'APONTAMENTO CREDENCIAMENTO'!$D$6:$P$3007,5,0)</f>
        <v>VIVIANE GOBBER DOS SANTOS</v>
      </c>
      <c r="M26" s="113"/>
      <c r="N26" s="114"/>
      <c r="O26" s="115"/>
      <c r="P26" s="116"/>
      <c r="Q26" s="116"/>
      <c r="R26" s="116"/>
      <c r="S26" s="117"/>
      <c r="T26" s="118" t="str">
        <f t="shared" si="10"/>
        <v>6020.2022/0035206-1</v>
      </c>
      <c r="U26" s="119" t="e">
        <f t="shared" si="11"/>
        <v>#REF!</v>
      </c>
      <c r="V26" s="120" t="e">
        <f t="shared" si="12"/>
        <v>#REF!</v>
      </c>
      <c r="W26" s="104"/>
      <c r="X26" s="104"/>
      <c r="Y26" s="104"/>
      <c r="Z26" s="104"/>
      <c r="AA26" s="121" t="str">
        <f>CONCATENATE("Prestação de Serviço e Transpor. Escolar Gratuito - TEG n. ",A26," - DRE - " &amp;'BASE C'!$C$2)</f>
        <v>Prestação de Serviço e Transpor. Escolar Gratuito - TEG n. 2022/0035206 - DRE - FB</v>
      </c>
      <c r="AB26" s="184" t="str">
        <f t="shared" si="13"/>
        <v>VIVIANE GOBBER DOS SANTOS</v>
      </c>
      <c r="AC26" s="185"/>
      <c r="AD26" s="186"/>
      <c r="AE26" s="188"/>
      <c r="AF26" s="88"/>
    </row>
    <row r="27" spans="1:32" s="55" customFormat="1" ht="20.100000000000001" customHeight="1" x14ac:dyDescent="0.25">
      <c r="A27" s="570" t="s">
        <v>3276</v>
      </c>
      <c r="B27" s="105"/>
      <c r="C27" s="106">
        <f t="shared" si="7"/>
        <v>0</v>
      </c>
      <c r="D27" s="107" t="str">
        <f>VLOOKUP(A27,'APONTAMENTO CREDENCIAMENTO'!$D$6:$P$3007,12,0)</f>
        <v>6020.2022/0036090-0</v>
      </c>
      <c r="E27" s="108"/>
      <c r="F27" s="109" t="e">
        <f>SUMIF('APONTAMENTO CREDENCIAMENTO'!$D$6:$D$3007,'ATESTE-LIQ'!A27,'APONTAMENTO CREDENCIAMENTO'!#REF!)</f>
        <v>#REF!</v>
      </c>
      <c r="G27" s="255" t="str">
        <f>VLOOKUP(A27,'APONTAMENTO CREDENCIAMENTO'!$D$6:$G$3007,3,0)</f>
        <v>01/04/2026</v>
      </c>
      <c r="H27" s="255" t="str">
        <f>VLOOKUP(A27,'APONTAMENTO CREDENCIAMENTO'!$D$6:$G$3007,4,0)</f>
        <v>30/04/2026</v>
      </c>
      <c r="I27" s="110" t="str">
        <f t="shared" si="8"/>
        <v>PE - Pagto. Doc(s):  - Contrato nº 2022/0036090</v>
      </c>
      <c r="J27" s="111" t="e">
        <f t="shared" si="9"/>
        <v>#REF!</v>
      </c>
      <c r="K27" s="111">
        <v>0</v>
      </c>
      <c r="L27" s="112" t="str">
        <f>VLOOKUP(A27,'APONTAMENTO CREDENCIAMENTO'!$D$6:$P$3007,5,0)</f>
        <v>ROMULO ALKMIN</v>
      </c>
      <c r="M27" s="113"/>
      <c r="N27" s="114"/>
      <c r="O27" s="115"/>
      <c r="P27" s="116"/>
      <c r="Q27" s="116"/>
      <c r="R27" s="116"/>
      <c r="S27" s="117"/>
      <c r="T27" s="118" t="str">
        <f t="shared" si="10"/>
        <v>6020.2022/0036090-0</v>
      </c>
      <c r="U27" s="119" t="e">
        <f t="shared" si="11"/>
        <v>#REF!</v>
      </c>
      <c r="V27" s="120" t="e">
        <f t="shared" si="12"/>
        <v>#REF!</v>
      </c>
      <c r="W27" s="104"/>
      <c r="X27" s="104"/>
      <c r="Y27" s="104"/>
      <c r="Z27" s="104"/>
      <c r="AA27" s="121" t="str">
        <f>CONCATENATE("Prestação de Serviço e Transpor. Escolar Gratuito - TEG n. ",A27," - DRE - " &amp;'BASE C'!$C$2)</f>
        <v>Prestação de Serviço e Transpor. Escolar Gratuito - TEG n. 2022/0036090 - DRE - FB</v>
      </c>
      <c r="AB27" s="184" t="str">
        <f t="shared" si="13"/>
        <v>ROMULO ALKMIN</v>
      </c>
      <c r="AC27" s="185"/>
      <c r="AD27" s="186"/>
      <c r="AE27" s="188"/>
      <c r="AF27" s="88"/>
    </row>
    <row r="28" spans="1:32" s="55" customFormat="1" ht="20.100000000000001" customHeight="1" x14ac:dyDescent="0.25">
      <c r="A28" s="570" t="s">
        <v>3280</v>
      </c>
      <c r="B28" s="105"/>
      <c r="C28" s="106">
        <f t="shared" si="7"/>
        <v>0</v>
      </c>
      <c r="D28" s="107" t="str">
        <f>VLOOKUP(A28,'APONTAMENTO CREDENCIAMENTO'!$D$6:$P$3007,12,0)</f>
        <v>6020.2023/0012714-0</v>
      </c>
      <c r="E28" s="108"/>
      <c r="F28" s="109" t="e">
        <f>SUMIF('APONTAMENTO CREDENCIAMENTO'!$D$6:$D$3007,'ATESTE-LIQ'!A28,'APONTAMENTO CREDENCIAMENTO'!#REF!)</f>
        <v>#REF!</v>
      </c>
      <c r="G28" s="255" t="str">
        <f>VLOOKUP(A28,'APONTAMENTO CREDENCIAMENTO'!$D$6:$G$3007,3,0)</f>
        <v>01/04/2026</v>
      </c>
      <c r="H28" s="255" t="str">
        <f>VLOOKUP(A28,'APONTAMENTO CREDENCIAMENTO'!$D$6:$G$3007,4,0)</f>
        <v>30/04/2026</v>
      </c>
      <c r="I28" s="110" t="str">
        <f t="shared" si="8"/>
        <v>PE - Pagto. Doc(s):  - Contrato nº 2023/0012714</v>
      </c>
      <c r="J28" s="111" t="e">
        <f t="shared" si="9"/>
        <v>#REF!</v>
      </c>
      <c r="K28" s="111">
        <v>0</v>
      </c>
      <c r="L28" s="112" t="str">
        <f>VLOOKUP(A28,'APONTAMENTO CREDENCIAMENTO'!$D$6:$P$3007,5,0)</f>
        <v>SILVIA DE OLIVEIRA DOS SANTOS SILVA</v>
      </c>
      <c r="M28" s="113"/>
      <c r="N28" s="114"/>
      <c r="O28" s="115"/>
      <c r="P28" s="116"/>
      <c r="Q28" s="116"/>
      <c r="R28" s="116"/>
      <c r="S28" s="117"/>
      <c r="T28" s="118" t="str">
        <f t="shared" si="10"/>
        <v>6020.2023/0012714-0</v>
      </c>
      <c r="U28" s="119" t="e">
        <f t="shared" si="11"/>
        <v>#REF!</v>
      </c>
      <c r="V28" s="120" t="e">
        <f t="shared" si="12"/>
        <v>#REF!</v>
      </c>
      <c r="W28" s="104"/>
      <c r="X28" s="104"/>
      <c r="Y28" s="104"/>
      <c r="Z28" s="104"/>
      <c r="AA28" s="121" t="str">
        <f>CONCATENATE("Prestação de Serviço e Transpor. Escolar Gratuito - TEG n. ",A28," - DRE - " &amp;'BASE C'!$C$2)</f>
        <v>Prestação de Serviço e Transpor. Escolar Gratuito - TEG n. 2023/0012714 - DRE - FB</v>
      </c>
      <c r="AB28" s="184" t="str">
        <f t="shared" si="13"/>
        <v>SILVIA DE OLIVEIRA DOS SANTOS SILVA</v>
      </c>
      <c r="AC28" s="185"/>
      <c r="AD28" s="186"/>
      <c r="AE28" s="188"/>
      <c r="AF28" s="88"/>
    </row>
    <row r="29" spans="1:32" s="55" customFormat="1" ht="20.100000000000001" customHeight="1" x14ac:dyDescent="0.25">
      <c r="A29" s="570" t="s">
        <v>3268</v>
      </c>
      <c r="B29" s="105"/>
      <c r="C29" s="106">
        <f t="shared" si="7"/>
        <v>0</v>
      </c>
      <c r="D29" s="107" t="str">
        <f>VLOOKUP(A29,'APONTAMENTO CREDENCIAMENTO'!$D$6:$P$3007,12,0)</f>
        <v>6020.2023/0020998-8</v>
      </c>
      <c r="E29" s="108"/>
      <c r="F29" s="109" t="e">
        <f>SUMIF('APONTAMENTO CREDENCIAMENTO'!$D$6:$D$3007,'ATESTE-LIQ'!A29,'APONTAMENTO CREDENCIAMENTO'!#REF!)</f>
        <v>#REF!</v>
      </c>
      <c r="G29" s="255" t="str">
        <f>VLOOKUP(A29,'APONTAMENTO CREDENCIAMENTO'!$D$6:$G$3007,3,0)</f>
        <v>01/04/2026</v>
      </c>
      <c r="H29" s="255" t="str">
        <f>VLOOKUP(A29,'APONTAMENTO CREDENCIAMENTO'!$D$6:$G$3007,4,0)</f>
        <v>30/04/2026</v>
      </c>
      <c r="I29" s="110" t="str">
        <f t="shared" si="8"/>
        <v>PE - Pagto. Doc(s):  - Contrato nº 2023/0020998</v>
      </c>
      <c r="J29" s="111" t="e">
        <f t="shared" si="9"/>
        <v>#REF!</v>
      </c>
      <c r="K29" s="111">
        <v>0</v>
      </c>
      <c r="L29" s="112" t="str">
        <f>VLOOKUP(A29,'APONTAMENTO CREDENCIAMENTO'!$D$6:$P$3007,5,0)</f>
        <v>REGIS TADEU FOGACA BATISTA</v>
      </c>
      <c r="M29" s="113"/>
      <c r="N29" s="114"/>
      <c r="O29" s="115"/>
      <c r="P29" s="116"/>
      <c r="Q29" s="116"/>
      <c r="R29" s="116"/>
      <c r="S29" s="117"/>
      <c r="T29" s="118" t="str">
        <f t="shared" si="10"/>
        <v>6020.2023/0020998-8</v>
      </c>
      <c r="U29" s="119" t="e">
        <f t="shared" si="11"/>
        <v>#REF!</v>
      </c>
      <c r="V29" s="120" t="e">
        <f t="shared" si="12"/>
        <v>#REF!</v>
      </c>
      <c r="W29" s="104"/>
      <c r="X29" s="104"/>
      <c r="Y29" s="104"/>
      <c r="Z29" s="104"/>
      <c r="AA29" s="121" t="str">
        <f>CONCATENATE("Prestação de Serviço e Transpor. Escolar Gratuito - TEG n. ",A29," - DRE - " &amp;'BASE C'!$C$2)</f>
        <v>Prestação de Serviço e Transpor. Escolar Gratuito - TEG n. 2023/0020998 - DRE - FB</v>
      </c>
      <c r="AB29" s="184" t="str">
        <f t="shared" si="13"/>
        <v>REGIS TADEU FOGACA BATISTA</v>
      </c>
      <c r="AC29" s="185"/>
      <c r="AD29" s="186"/>
      <c r="AE29" s="188"/>
      <c r="AF29" s="88"/>
    </row>
    <row r="30" spans="1:32" s="55" customFormat="1" ht="20.100000000000001" customHeight="1" x14ac:dyDescent="0.25">
      <c r="A30" s="570" t="s">
        <v>3304</v>
      </c>
      <c r="B30" s="105"/>
      <c r="C30" s="106">
        <f t="shared" si="7"/>
        <v>0</v>
      </c>
      <c r="D30" s="107" t="str">
        <f>VLOOKUP(A30,'APONTAMENTO CREDENCIAMENTO'!$D$6:$P$3007,12,0)</f>
        <v>6020.2023/0021897-9</v>
      </c>
      <c r="E30" s="108"/>
      <c r="F30" s="109" t="e">
        <f>SUMIF('APONTAMENTO CREDENCIAMENTO'!$D$6:$D$3007,'ATESTE-LIQ'!A30,'APONTAMENTO CREDENCIAMENTO'!#REF!)</f>
        <v>#REF!</v>
      </c>
      <c r="G30" s="255" t="str">
        <f>VLOOKUP(A30,'APONTAMENTO CREDENCIAMENTO'!$D$6:$G$3007,3,0)</f>
        <v>01/04/2026</v>
      </c>
      <c r="H30" s="255" t="str">
        <f>VLOOKUP(A30,'APONTAMENTO CREDENCIAMENTO'!$D$6:$G$3007,4,0)</f>
        <v>30/04/2026</v>
      </c>
      <c r="I30" s="110" t="str">
        <f t="shared" si="8"/>
        <v>PE - Pagto. Doc(s):  - Contrato nº 2023/0021897</v>
      </c>
      <c r="J30" s="111" t="e">
        <f t="shared" si="9"/>
        <v>#REF!</v>
      </c>
      <c r="K30" s="111">
        <v>0</v>
      </c>
      <c r="L30" s="112" t="str">
        <f>VLOOKUP(A30,'APONTAMENTO CREDENCIAMENTO'!$D$6:$P$3007,5,0)</f>
        <v>WALMIR PEREIRA DE FREITAS</v>
      </c>
      <c r="M30" s="113"/>
      <c r="N30" s="114"/>
      <c r="O30" s="115"/>
      <c r="P30" s="116"/>
      <c r="Q30" s="116"/>
      <c r="R30" s="116"/>
      <c r="S30" s="117"/>
      <c r="T30" s="118" t="str">
        <f t="shared" si="10"/>
        <v>6020.2023/0021897-9</v>
      </c>
      <c r="U30" s="119" t="e">
        <f t="shared" si="11"/>
        <v>#REF!</v>
      </c>
      <c r="V30" s="120" t="e">
        <f t="shared" si="12"/>
        <v>#REF!</v>
      </c>
      <c r="W30" s="104"/>
      <c r="X30" s="104"/>
      <c r="Y30" s="104"/>
      <c r="Z30" s="104"/>
      <c r="AA30" s="121" t="str">
        <f>CONCATENATE("Prestação de Serviço e Transpor. Escolar Gratuito - TEG n. ",A30," - DRE - " &amp;'BASE C'!$C$2)</f>
        <v>Prestação de Serviço e Transpor. Escolar Gratuito - TEG n. 2023/0021897 - DRE - FB</v>
      </c>
      <c r="AB30" s="184" t="str">
        <f t="shared" si="13"/>
        <v>WALMIR PEREIRA DE FREITAS</v>
      </c>
      <c r="AC30" s="185"/>
      <c r="AD30" s="186"/>
      <c r="AE30" s="188"/>
      <c r="AF30" s="88"/>
    </row>
    <row r="31" spans="1:32" s="55" customFormat="1" ht="20.100000000000001" customHeight="1" x14ac:dyDescent="0.25">
      <c r="A31" s="570" t="s">
        <v>3284</v>
      </c>
      <c r="B31" s="105"/>
      <c r="C31" s="106">
        <f t="shared" si="7"/>
        <v>0</v>
      </c>
      <c r="D31" s="107" t="str">
        <f>VLOOKUP(A31,'APONTAMENTO CREDENCIAMENTO'!$D$6:$P$3007,12,0)</f>
        <v>6020.2023/0029267-2</v>
      </c>
      <c r="E31" s="108"/>
      <c r="F31" s="109" t="e">
        <f>SUMIF('APONTAMENTO CREDENCIAMENTO'!$D$6:$D$3007,'ATESTE-LIQ'!A31,'APONTAMENTO CREDENCIAMENTO'!#REF!)</f>
        <v>#REF!</v>
      </c>
      <c r="G31" s="255" t="str">
        <f>VLOOKUP(A31,'APONTAMENTO CREDENCIAMENTO'!$D$6:$G$3007,3,0)</f>
        <v>01/04/2026</v>
      </c>
      <c r="H31" s="255" t="str">
        <f>VLOOKUP(A31,'APONTAMENTO CREDENCIAMENTO'!$D$6:$G$3007,4,0)</f>
        <v>30/04/2026</v>
      </c>
      <c r="I31" s="110" t="str">
        <f t="shared" si="8"/>
        <v>PE - Pagto. Doc(s):  - Contrato nº 2023/0029267</v>
      </c>
      <c r="J31" s="111" t="e">
        <f t="shared" si="9"/>
        <v>#REF!</v>
      </c>
      <c r="K31" s="111">
        <v>0</v>
      </c>
      <c r="L31" s="112" t="str">
        <f>VLOOKUP(A31,'APONTAMENTO CREDENCIAMENTO'!$D$6:$P$3007,5,0)</f>
        <v>SOLANGE ALVES</v>
      </c>
      <c r="M31" s="113"/>
      <c r="N31" s="114"/>
      <c r="O31" s="115"/>
      <c r="P31" s="116"/>
      <c r="Q31" s="116"/>
      <c r="R31" s="116"/>
      <c r="S31" s="117"/>
      <c r="T31" s="118" t="str">
        <f t="shared" si="10"/>
        <v>6020.2023/0029267-2</v>
      </c>
      <c r="U31" s="119" t="e">
        <f t="shared" si="11"/>
        <v>#REF!</v>
      </c>
      <c r="V31" s="120" t="e">
        <f t="shared" si="12"/>
        <v>#REF!</v>
      </c>
      <c r="W31" s="104"/>
      <c r="X31" s="104"/>
      <c r="Y31" s="104"/>
      <c r="Z31" s="104"/>
      <c r="AA31" s="121" t="str">
        <f>CONCATENATE("Prestação de Serviço e Transpor. Escolar Gratuito - TEG n. ",A31," - DRE - " &amp;'BASE C'!$C$2)</f>
        <v>Prestação de Serviço e Transpor. Escolar Gratuito - TEG n. 2023/0029267 - DRE - FB</v>
      </c>
      <c r="AB31" s="184" t="str">
        <f t="shared" si="13"/>
        <v>SOLANGE ALVES</v>
      </c>
      <c r="AC31" s="185"/>
      <c r="AD31" s="186"/>
      <c r="AE31" s="188"/>
      <c r="AF31" s="88"/>
    </row>
    <row r="32" spans="1:32" s="55" customFormat="1" ht="20.100000000000001" customHeight="1" x14ac:dyDescent="0.25">
      <c r="A32" s="570" t="s">
        <v>3220</v>
      </c>
      <c r="B32" s="105"/>
      <c r="C32" s="106">
        <f t="shared" si="7"/>
        <v>0</v>
      </c>
      <c r="D32" s="107" t="str">
        <f>VLOOKUP(A32,'APONTAMENTO CREDENCIAMENTO'!$D$6:$P$3007,12,0)</f>
        <v>6020.2023/0039607-9</v>
      </c>
      <c r="E32" s="108"/>
      <c r="F32" s="109" t="e">
        <f>SUMIF('APONTAMENTO CREDENCIAMENTO'!$D$6:$D$3007,'ATESTE-LIQ'!A32,'APONTAMENTO CREDENCIAMENTO'!#REF!)</f>
        <v>#REF!</v>
      </c>
      <c r="G32" s="255" t="str">
        <f>VLOOKUP(A32,'APONTAMENTO CREDENCIAMENTO'!$D$6:$G$3007,3,0)</f>
        <v>01/04/2026</v>
      </c>
      <c r="H32" s="255" t="str">
        <f>VLOOKUP(A32,'APONTAMENTO CREDENCIAMENTO'!$D$6:$G$3007,4,0)</f>
        <v>30/04/2026</v>
      </c>
      <c r="I32" s="110" t="str">
        <f t="shared" si="8"/>
        <v>PE - Pagto. Doc(s):  - Contrato nº 2023/0039607</v>
      </c>
      <c r="J32" s="111" t="e">
        <f t="shared" si="9"/>
        <v>#REF!</v>
      </c>
      <c r="K32" s="111">
        <v>0</v>
      </c>
      <c r="L32" s="112" t="str">
        <f>VLOOKUP(A32,'APONTAMENTO CREDENCIAMENTO'!$D$6:$P$3007,5,0)</f>
        <v>JACO FELISARDO DE SOUZA FILHO</v>
      </c>
      <c r="M32" s="113"/>
      <c r="N32" s="114"/>
      <c r="O32" s="115"/>
      <c r="P32" s="116"/>
      <c r="Q32" s="116"/>
      <c r="R32" s="116"/>
      <c r="S32" s="117"/>
      <c r="T32" s="118" t="str">
        <f t="shared" si="10"/>
        <v>6020.2023/0039607-9</v>
      </c>
      <c r="U32" s="119" t="e">
        <f t="shared" si="11"/>
        <v>#REF!</v>
      </c>
      <c r="V32" s="120" t="e">
        <f t="shared" si="12"/>
        <v>#REF!</v>
      </c>
      <c r="W32" s="104"/>
      <c r="X32" s="104"/>
      <c r="Y32" s="104"/>
      <c r="Z32" s="104"/>
      <c r="AA32" s="121" t="str">
        <f>CONCATENATE("Prestação de Serviço e Transpor. Escolar Gratuito - TEG n. ",A32," - DRE - " &amp;'BASE C'!$C$2)</f>
        <v>Prestação de Serviço e Transpor. Escolar Gratuito - TEG n. 2023/0039607 - DRE - FB</v>
      </c>
      <c r="AB32" s="184" t="str">
        <f t="shared" si="13"/>
        <v>JACO FELISARDO DE SOUZA FILHO</v>
      </c>
      <c r="AC32" s="185"/>
      <c r="AD32" s="186"/>
      <c r="AE32" s="188"/>
      <c r="AF32" s="88"/>
    </row>
    <row r="33" spans="1:32" s="55" customFormat="1" ht="20.100000000000001" customHeight="1" x14ac:dyDescent="0.25">
      <c r="A33" s="570" t="s">
        <v>3248</v>
      </c>
      <c r="B33" s="105"/>
      <c r="C33" s="106">
        <f t="shared" si="7"/>
        <v>0</v>
      </c>
      <c r="D33" s="107" t="str">
        <f>VLOOKUP(A33,'APONTAMENTO CREDENCIAMENTO'!$D$6:$P$3007,12,0)</f>
        <v>6020.2024/0016319-0</v>
      </c>
      <c r="E33" s="108"/>
      <c r="F33" s="109" t="e">
        <f>SUMIF('APONTAMENTO CREDENCIAMENTO'!$D$6:$D$3007,'ATESTE-LIQ'!A33,'APONTAMENTO CREDENCIAMENTO'!#REF!)</f>
        <v>#REF!</v>
      </c>
      <c r="G33" s="255" t="str">
        <f>VLOOKUP(A33,'APONTAMENTO CREDENCIAMENTO'!$D$6:$G$3007,3,0)</f>
        <v>01/04/2026</v>
      </c>
      <c r="H33" s="255" t="str">
        <f>VLOOKUP(A33,'APONTAMENTO CREDENCIAMENTO'!$D$6:$G$3007,4,0)</f>
        <v>30/04/2026</v>
      </c>
      <c r="I33" s="110" t="str">
        <f t="shared" si="8"/>
        <v>PE - Pagto. Doc(s):  - Contrato nº 2024/0016319</v>
      </c>
      <c r="J33" s="111" t="e">
        <f t="shared" si="9"/>
        <v>#REF!</v>
      </c>
      <c r="K33" s="111">
        <v>0</v>
      </c>
      <c r="L33" s="112" t="str">
        <f>VLOOKUP(A33,'APONTAMENTO CREDENCIAMENTO'!$D$6:$P$3007,5,0)</f>
        <v>LUCIANA ALINE SILVEIRA PAIVA</v>
      </c>
      <c r="M33" s="113"/>
      <c r="N33" s="114"/>
      <c r="O33" s="115"/>
      <c r="P33" s="116"/>
      <c r="Q33" s="116"/>
      <c r="R33" s="116"/>
      <c r="S33" s="117"/>
      <c r="T33" s="118" t="str">
        <f t="shared" si="10"/>
        <v>6020.2024/0016319-0</v>
      </c>
      <c r="U33" s="119" t="e">
        <f t="shared" si="11"/>
        <v>#REF!</v>
      </c>
      <c r="V33" s="120" t="e">
        <f t="shared" si="12"/>
        <v>#REF!</v>
      </c>
      <c r="W33" s="104"/>
      <c r="X33" s="104"/>
      <c r="Y33" s="104"/>
      <c r="Z33" s="104"/>
      <c r="AA33" s="121" t="str">
        <f>CONCATENATE("Prestação de Serviço e Transpor. Escolar Gratuito - TEG n. ",A33," - DRE - " &amp;'BASE C'!$C$2)</f>
        <v>Prestação de Serviço e Transpor. Escolar Gratuito - TEG n. 2024/0016319 - DRE - FB</v>
      </c>
      <c r="AB33" s="184" t="str">
        <f t="shared" si="13"/>
        <v>LUCIANA ALINE SILVEIRA PAIVA</v>
      </c>
      <c r="AC33" s="185"/>
      <c r="AD33" s="186"/>
      <c r="AE33" s="188"/>
      <c r="AF33" s="88"/>
    </row>
    <row r="34" spans="1:32" s="55" customFormat="1" ht="20.100000000000001" customHeight="1" x14ac:dyDescent="0.25">
      <c r="A34" s="570" t="s">
        <v>3256</v>
      </c>
      <c r="B34" s="105"/>
      <c r="C34" s="106">
        <f t="shared" si="7"/>
        <v>0</v>
      </c>
      <c r="D34" s="107" t="str">
        <f>VLOOKUP(A34,'APONTAMENTO CREDENCIAMENTO'!$D$6:$P$3007,12,0)</f>
        <v>6020.2024/0058937-5</v>
      </c>
      <c r="E34" s="108"/>
      <c r="F34" s="109" t="e">
        <f>SUMIF('APONTAMENTO CREDENCIAMENTO'!$D$6:$D$3007,'ATESTE-LIQ'!A34,'APONTAMENTO CREDENCIAMENTO'!#REF!)</f>
        <v>#REF!</v>
      </c>
      <c r="G34" s="255" t="str">
        <f>VLOOKUP(A34,'APONTAMENTO CREDENCIAMENTO'!$D$6:$G$3007,3,0)</f>
        <v>01/04/2026</v>
      </c>
      <c r="H34" s="255" t="str">
        <f>VLOOKUP(A34,'APONTAMENTO CREDENCIAMENTO'!$D$6:$G$3007,4,0)</f>
        <v>30/04/2026</v>
      </c>
      <c r="I34" s="110" t="str">
        <f t="shared" si="8"/>
        <v>PE - Pagto. Doc(s):  - Contrato nº 2024/0058937</v>
      </c>
      <c r="J34" s="111" t="e">
        <f t="shared" si="9"/>
        <v>#REF!</v>
      </c>
      <c r="K34" s="111">
        <v>0</v>
      </c>
      <c r="L34" s="112" t="str">
        <f>VLOOKUP(A34,'APONTAMENTO CREDENCIAMENTO'!$D$6:$P$3007,5,0)</f>
        <v>MARLI PEREIRA DA SILVA</v>
      </c>
      <c r="M34" s="113"/>
      <c r="N34" s="114"/>
      <c r="O34" s="115"/>
      <c r="P34" s="116"/>
      <c r="Q34" s="116"/>
      <c r="R34" s="116"/>
      <c r="S34" s="117"/>
      <c r="T34" s="118" t="str">
        <f t="shared" si="10"/>
        <v>6020.2024/0058937-5</v>
      </c>
      <c r="U34" s="119" t="e">
        <f t="shared" si="11"/>
        <v>#REF!</v>
      </c>
      <c r="V34" s="120" t="e">
        <f t="shared" si="12"/>
        <v>#REF!</v>
      </c>
      <c r="W34" s="104"/>
      <c r="X34" s="104"/>
      <c r="Y34" s="104"/>
      <c r="Z34" s="104"/>
      <c r="AA34" s="121" t="str">
        <f>CONCATENATE("Prestação de Serviço e Transpor. Escolar Gratuito - TEG n. ",A34," - DRE - " &amp;'BASE C'!$C$2)</f>
        <v>Prestação de Serviço e Transpor. Escolar Gratuito - TEG n. 2024/0058937 - DRE - FB</v>
      </c>
      <c r="AB34" s="184" t="str">
        <f t="shared" si="13"/>
        <v>MARLI PEREIRA DA SILVA</v>
      </c>
      <c r="AC34" s="185"/>
      <c r="AD34" s="186"/>
      <c r="AE34" s="188"/>
      <c r="AF34" s="88"/>
    </row>
    <row r="36" spans="1:32" ht="20.25" customHeight="1" x14ac:dyDescent="0.2">
      <c r="A36" s="183"/>
      <c r="F36" s="58" t="e">
        <f>SUM(F2:F35)</f>
        <v>#REF!</v>
      </c>
      <c r="J36" s="58" t="e">
        <f>SUM(J2:J35)</f>
        <v>#REF!</v>
      </c>
    </row>
    <row r="37" spans="1:32" ht="20.25" customHeight="1" x14ac:dyDescent="0.2">
      <c r="A37" s="183"/>
    </row>
    <row r="38" spans="1:32" ht="20.25" customHeight="1" x14ac:dyDescent="0.2">
      <c r="A38" s="183"/>
    </row>
    <row r="39" spans="1:32" ht="20.25" customHeight="1" x14ac:dyDescent="0.2">
      <c r="A39" s="183"/>
    </row>
    <row r="40" spans="1:32" ht="20.25" customHeight="1" x14ac:dyDescent="0.2">
      <c r="A40" s="183"/>
    </row>
    <row r="41" spans="1:32" ht="20.25" customHeight="1" x14ac:dyDescent="0.2">
      <c r="A41" s="183"/>
    </row>
    <row r="42" spans="1:32" ht="20.25" customHeight="1" x14ac:dyDescent="0.2">
      <c r="A42" s="183"/>
    </row>
    <row r="43" spans="1:32" ht="20.25" customHeight="1" x14ac:dyDescent="0.2">
      <c r="A43" s="183"/>
    </row>
    <row r="44" spans="1:32" ht="20.25" customHeight="1" x14ac:dyDescent="0.2">
      <c r="A44" s="183"/>
    </row>
    <row r="45" spans="1:32" ht="20.25" customHeight="1" x14ac:dyDescent="0.2">
      <c r="A45" s="183"/>
    </row>
    <row r="46" spans="1:32" ht="20.25" customHeight="1" x14ac:dyDescent="0.2">
      <c r="A46" s="183"/>
    </row>
    <row r="47" spans="1:32" ht="20.25" customHeight="1" x14ac:dyDescent="0.2">
      <c r="A47" s="183"/>
    </row>
    <row r="48" spans="1:32" ht="20.25" customHeight="1" x14ac:dyDescent="0.2">
      <c r="A48" s="183"/>
    </row>
    <row r="49" spans="1:1" ht="20.25" customHeight="1" x14ac:dyDescent="0.2">
      <c r="A49" s="183"/>
    </row>
    <row r="50" spans="1:1" ht="20.25" customHeight="1" x14ac:dyDescent="0.2">
      <c r="A50" s="183"/>
    </row>
    <row r="51" spans="1:1" ht="20.25" customHeight="1" x14ac:dyDescent="0.2">
      <c r="A51" s="183"/>
    </row>
    <row r="52" spans="1:1" ht="20.25" customHeight="1" x14ac:dyDescent="0.2">
      <c r="A52" s="183"/>
    </row>
    <row r="53" spans="1:1" ht="20.25" customHeight="1" x14ac:dyDescent="0.2">
      <c r="A53" s="183"/>
    </row>
    <row r="54" spans="1:1" ht="20.25" customHeight="1" x14ac:dyDescent="0.2">
      <c r="A54" s="183"/>
    </row>
    <row r="55" spans="1:1" ht="20.25" customHeight="1" x14ac:dyDescent="0.2">
      <c r="A55" s="183"/>
    </row>
  </sheetData>
  <sheetProtection formatCells="0" formatColumns="0" formatRows="0" selectLockedCells="1"/>
  <sortState xmlns:xlrd2="http://schemas.microsoft.com/office/spreadsheetml/2017/richdata2" ref="B35:B67">
    <sortCondition ref="B35:B67"/>
  </sortState>
  <conditionalFormatting sqref="A1:A34">
    <cfRule type="duplicateValues" dxfId="16" priority="166244"/>
  </conditionalFormatting>
  <conditionalFormatting sqref="B2:B34">
    <cfRule type="duplicateValues" dxfId="15" priority="166245"/>
    <cfRule type="duplicateValues" dxfId="14" priority="166246"/>
    <cfRule type="duplicateValues" dxfId="13" priority="166247"/>
    <cfRule type="duplicateValues" dxfId="12" priority="166248"/>
    <cfRule type="duplicateValues" dxfId="11" priority="166249"/>
  </conditionalFormatting>
  <conditionalFormatting sqref="C1 E1:AE1">
    <cfRule type="duplicateValues" dxfId="10" priority="48"/>
  </conditionalFormatting>
  <conditionalFormatting sqref="C2:C34">
    <cfRule type="duplicateValues" dxfId="9" priority="166250"/>
  </conditionalFormatting>
  <conditionalFormatting sqref="D2:D34">
    <cfRule type="expression" dxfId="8" priority="143" stopIfTrue="1">
      <formula>AND(COUNTIF($D:$D,D2)&gt;1,NOT(ISBLANK(D2)))</formula>
    </cfRule>
  </conditionalFormatting>
  <conditionalFormatting sqref="S2:S34">
    <cfRule type="expression" dxfId="7" priority="2499" stopIfTrue="1">
      <formula>AND(COUNTIF($S$2:$S$2,S2)&gt;1,NOT(ISBLANK(S2)))</formula>
    </cfRule>
  </conditionalFormatting>
  <conditionalFormatting sqref="S36:S1048576 S2:S34">
    <cfRule type="duplicateValues" dxfId="6" priority="2503"/>
  </conditionalFormatting>
  <pageMargins left="0.51180555555555551" right="0.51180555555555551" top="0.78749999999999998" bottom="0.78749999999999998" header="0.51180555555555551" footer="0.51180555555555551"/>
  <pageSetup paperSize="9" scale="20" firstPageNumber="0" fitToHeight="0" orientation="landscape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16"/>
  <dimension ref="A1:M60"/>
  <sheetViews>
    <sheetView workbookViewId="0">
      <selection activeCell="B38" sqref="B38"/>
    </sheetView>
  </sheetViews>
  <sheetFormatPr defaultRowHeight="12.75" x14ac:dyDescent="0.2"/>
  <cols>
    <col min="1" max="1" width="18.42578125" style="54" customWidth="1"/>
    <col min="2" max="2" width="10.140625" style="251" bestFit="1" customWidth="1"/>
    <col min="3" max="3" width="10.140625" style="54" bestFit="1" customWidth="1"/>
    <col min="4" max="9" width="9.140625" style="54"/>
    <col min="10" max="10" width="13.85546875" style="54" bestFit="1" customWidth="1"/>
    <col min="11" max="16384" width="9.140625" style="54"/>
  </cols>
  <sheetData>
    <row r="1" spans="1:13" x14ac:dyDescent="0.2">
      <c r="A1" s="207" t="s">
        <v>74</v>
      </c>
      <c r="B1" s="247" t="s">
        <v>146</v>
      </c>
      <c r="D1" s="203" t="s">
        <v>149</v>
      </c>
      <c r="E1" s="203"/>
      <c r="F1" s="203" t="s">
        <v>150</v>
      </c>
      <c r="J1" s="442">
        <v>2428.8000000000002</v>
      </c>
      <c r="K1" s="441">
        <v>0</v>
      </c>
      <c r="L1"/>
      <c r="M1" s="441" t="s">
        <v>3082</v>
      </c>
    </row>
    <row r="2" spans="1:13" x14ac:dyDescent="0.2">
      <c r="A2" s="284" t="s">
        <v>151</v>
      </c>
      <c r="B2" s="248">
        <v>385.23</v>
      </c>
      <c r="D2" s="204">
        <v>350.21</v>
      </c>
      <c r="E2" s="203"/>
      <c r="F2" s="203">
        <v>333.82</v>
      </c>
      <c r="J2" s="442">
        <v>2826.65</v>
      </c>
      <c r="K2" s="441">
        <v>7.4999999999999997E-2</v>
      </c>
      <c r="L2" s="441">
        <v>182.16</v>
      </c>
      <c r="M2" s="441" t="s">
        <v>3083</v>
      </c>
    </row>
    <row r="3" spans="1:13" x14ac:dyDescent="0.2">
      <c r="A3" s="284" t="s">
        <v>19</v>
      </c>
      <c r="B3" s="248">
        <v>7492.52</v>
      </c>
      <c r="D3" s="203">
        <v>6811.38</v>
      </c>
      <c r="E3" s="203"/>
      <c r="F3" s="203">
        <v>6492.53</v>
      </c>
      <c r="J3" s="442">
        <v>3751.05</v>
      </c>
      <c r="K3" s="441">
        <v>0.15</v>
      </c>
      <c r="L3" s="441">
        <v>394.16</v>
      </c>
      <c r="M3" s="441" t="s">
        <v>3084</v>
      </c>
    </row>
    <row r="4" spans="1:13" x14ac:dyDescent="0.2">
      <c r="A4" s="284" t="s">
        <v>139</v>
      </c>
      <c r="B4" s="248">
        <v>2043.65</v>
      </c>
      <c r="D4" s="203">
        <v>2043.65</v>
      </c>
      <c r="E4" s="203"/>
      <c r="F4" s="203">
        <v>1947.98</v>
      </c>
      <c r="J4" s="442">
        <v>4664.68</v>
      </c>
      <c r="K4" s="441">
        <v>0.22500000000000001</v>
      </c>
      <c r="L4" s="441">
        <v>675.49</v>
      </c>
      <c r="M4" s="441" t="s">
        <v>3085</v>
      </c>
    </row>
    <row r="5" spans="1:13" x14ac:dyDescent="0.2">
      <c r="A5" s="284" t="s">
        <v>152</v>
      </c>
      <c r="B5" s="248">
        <v>621.14</v>
      </c>
      <c r="D5" s="203">
        <v>564.66999999999996</v>
      </c>
      <c r="E5" s="203"/>
      <c r="F5" s="203">
        <v>538.24</v>
      </c>
      <c r="J5" s="442">
        <v>999999999</v>
      </c>
      <c r="K5" s="441">
        <v>0.27500000000000002</v>
      </c>
      <c r="L5" s="441">
        <v>908.73</v>
      </c>
      <c r="M5" s="441" t="s">
        <v>3086</v>
      </c>
    </row>
    <row r="6" spans="1:13" x14ac:dyDescent="0.2">
      <c r="A6" s="284" t="s">
        <v>153</v>
      </c>
      <c r="B6" s="248">
        <v>11465.63</v>
      </c>
      <c r="D6" s="203">
        <v>10423.299999999999</v>
      </c>
      <c r="E6" s="203"/>
      <c r="F6" s="203">
        <v>9935.3700000000008</v>
      </c>
      <c r="J6" s="441">
        <v>5000</v>
      </c>
      <c r="K6" s="54">
        <v>7350</v>
      </c>
      <c r="L6" s="54">
        <v>978.62</v>
      </c>
      <c r="M6" s="441">
        <v>0.13314500000000001</v>
      </c>
    </row>
    <row r="7" spans="1:13" x14ac:dyDescent="0.2">
      <c r="A7" s="284" t="s">
        <v>147</v>
      </c>
      <c r="B7" s="248">
        <v>1.28</v>
      </c>
      <c r="D7" s="203">
        <v>1.1599999999999999</v>
      </c>
      <c r="E7" s="203"/>
      <c r="F7" s="203">
        <v>1.08</v>
      </c>
    </row>
    <row r="8" spans="1:13" x14ac:dyDescent="0.2">
      <c r="A8" s="284" t="s">
        <v>148</v>
      </c>
      <c r="B8" s="249">
        <v>9.64</v>
      </c>
      <c r="D8" s="205">
        <v>8.7552500000000002</v>
      </c>
      <c r="E8" s="203"/>
      <c r="F8" s="206">
        <v>8.35</v>
      </c>
      <c r="G8" s="202"/>
      <c r="J8" s="745" t="s">
        <v>3087</v>
      </c>
      <c r="K8" s="745"/>
      <c r="L8" s="745"/>
      <c r="M8" s="745"/>
    </row>
    <row r="9" spans="1:13" x14ac:dyDescent="0.2">
      <c r="A9" s="284" t="s">
        <v>154</v>
      </c>
      <c r="B9" s="249">
        <v>56.200375000000001</v>
      </c>
      <c r="D9" s="205">
        <v>51.091250000000002</v>
      </c>
      <c r="E9" s="203"/>
      <c r="F9" s="206">
        <v>48.7</v>
      </c>
      <c r="G9" s="202"/>
    </row>
    <row r="10" spans="1:13" x14ac:dyDescent="0.2">
      <c r="A10" s="203"/>
      <c r="B10" s="250"/>
      <c r="C10" s="203"/>
      <c r="D10" s="203"/>
      <c r="E10" s="203"/>
      <c r="F10" s="203"/>
    </row>
    <row r="11" spans="1:13" x14ac:dyDescent="0.2">
      <c r="A11" s="279" t="s">
        <v>200</v>
      </c>
      <c r="B11" s="282">
        <v>46113</v>
      </c>
      <c r="C11" s="283">
        <v>46142</v>
      </c>
    </row>
    <row r="13" spans="1:13" x14ac:dyDescent="0.2">
      <c r="A13" s="279" t="s">
        <v>39</v>
      </c>
      <c r="B13" s="279">
        <f>VLOOKUP(B11,A24:B34,2)</f>
        <v>19</v>
      </c>
    </row>
    <row r="16" spans="1:13" x14ac:dyDescent="0.2">
      <c r="A16" s="279" t="s">
        <v>158</v>
      </c>
      <c r="B16" s="279"/>
    </row>
    <row r="17" spans="1:5" x14ac:dyDescent="0.2">
      <c r="A17" s="284" t="s">
        <v>159</v>
      </c>
      <c r="B17" s="252">
        <v>1.4999999999999999E-2</v>
      </c>
      <c r="D17" s="281"/>
      <c r="E17" s="85" t="s">
        <v>201</v>
      </c>
    </row>
    <row r="18" spans="1:5" x14ac:dyDescent="0.2">
      <c r="A18" s="284" t="s">
        <v>160</v>
      </c>
      <c r="B18" s="252">
        <v>2.4E-2</v>
      </c>
    </row>
    <row r="22" spans="1:5" x14ac:dyDescent="0.2">
      <c r="A22" s="279" t="s">
        <v>199</v>
      </c>
      <c r="B22" s="279"/>
    </row>
    <row r="23" spans="1:5" x14ac:dyDescent="0.2">
      <c r="A23" s="280">
        <v>46023</v>
      </c>
      <c r="B23" s="281">
        <v>0</v>
      </c>
    </row>
    <row r="24" spans="1:5" x14ac:dyDescent="0.2">
      <c r="A24" s="280">
        <v>46054</v>
      </c>
      <c r="B24" s="281">
        <v>16</v>
      </c>
    </row>
    <row r="25" spans="1:5" x14ac:dyDescent="0.2">
      <c r="A25" s="280">
        <v>46082</v>
      </c>
      <c r="B25" s="281">
        <v>22</v>
      </c>
    </row>
    <row r="26" spans="1:5" x14ac:dyDescent="0.2">
      <c r="A26" s="280">
        <v>46113</v>
      </c>
      <c r="B26" s="281">
        <v>19</v>
      </c>
    </row>
    <row r="27" spans="1:5" x14ac:dyDescent="0.2">
      <c r="A27" s="280">
        <v>46143</v>
      </c>
      <c r="B27" s="281">
        <v>20</v>
      </c>
    </row>
    <row r="28" spans="1:5" x14ac:dyDescent="0.2">
      <c r="A28" s="280">
        <v>46174</v>
      </c>
      <c r="B28" s="281">
        <v>20</v>
      </c>
    </row>
    <row r="29" spans="1:5" x14ac:dyDescent="0.2">
      <c r="A29" s="280">
        <v>46204</v>
      </c>
      <c r="B29" s="281"/>
    </row>
    <row r="30" spans="1:5" x14ac:dyDescent="0.2">
      <c r="A30" s="280">
        <v>46235</v>
      </c>
      <c r="B30" s="281"/>
    </row>
    <row r="31" spans="1:5" x14ac:dyDescent="0.2">
      <c r="A31" s="280">
        <v>46266</v>
      </c>
      <c r="B31" s="281"/>
    </row>
    <row r="32" spans="1:5" x14ac:dyDescent="0.2">
      <c r="A32" s="280">
        <v>46296</v>
      </c>
      <c r="B32" s="281"/>
    </row>
    <row r="33" spans="1:2" x14ac:dyDescent="0.2">
      <c r="A33" s="280">
        <v>46327</v>
      </c>
      <c r="B33" s="281"/>
    </row>
    <row r="34" spans="1:2" x14ac:dyDescent="0.2">
      <c r="A34" s="280">
        <v>46357</v>
      </c>
      <c r="B34" s="281"/>
    </row>
    <row r="37" spans="1:2" x14ac:dyDescent="0.2">
      <c r="A37" s="317" t="s">
        <v>244</v>
      </c>
      <c r="B37" s="282">
        <v>46171</v>
      </c>
    </row>
    <row r="40" spans="1:2" x14ac:dyDescent="0.2">
      <c r="A40" s="54" t="s">
        <v>281</v>
      </c>
    </row>
    <row r="41" spans="1:2" x14ac:dyDescent="0.2">
      <c r="A41" s="54" t="s">
        <v>282</v>
      </c>
      <c r="B41" s="429">
        <v>0.2</v>
      </c>
    </row>
    <row r="42" spans="1:2" x14ac:dyDescent="0.2">
      <c r="A42" s="54" t="s">
        <v>283</v>
      </c>
      <c r="B42" s="429">
        <v>0.11</v>
      </c>
    </row>
    <row r="44" spans="1:2" x14ac:dyDescent="0.2">
      <c r="A44" s="54" t="s">
        <v>284</v>
      </c>
    </row>
    <row r="45" spans="1:2" x14ac:dyDescent="0.2">
      <c r="A45" s="54" t="s">
        <v>282</v>
      </c>
      <c r="B45" s="429">
        <v>0.2</v>
      </c>
    </row>
    <row r="46" spans="1:2" x14ac:dyDescent="0.2">
      <c r="A46" s="54" t="s">
        <v>283</v>
      </c>
      <c r="B46" s="429">
        <v>2.5000000000000001E-2</v>
      </c>
    </row>
    <row r="50" spans="1:6" x14ac:dyDescent="0.2">
      <c r="A50" s="54" t="s">
        <v>285</v>
      </c>
      <c r="B50" s="429">
        <v>0.6</v>
      </c>
    </row>
    <row r="54" spans="1:6" x14ac:dyDescent="0.2">
      <c r="A54" s="749" t="s">
        <v>260</v>
      </c>
      <c r="B54" s="750"/>
      <c r="C54" s="751"/>
      <c r="D54" s="752" t="s">
        <v>74</v>
      </c>
      <c r="E54" s="753"/>
      <c r="F54" s="754"/>
    </row>
    <row r="55" spans="1:6" x14ac:dyDescent="0.2">
      <c r="A55" s="327" t="s">
        <v>259</v>
      </c>
      <c r="B55" s="327" t="s">
        <v>258</v>
      </c>
      <c r="C55" s="327" t="s">
        <v>257</v>
      </c>
      <c r="D55" s="755"/>
      <c r="E55" s="756"/>
      <c r="F55" s="757"/>
    </row>
    <row r="56" spans="1:6" x14ac:dyDescent="0.2">
      <c r="A56" s="326">
        <v>2428.8000000000002</v>
      </c>
      <c r="B56" s="324">
        <v>0</v>
      </c>
      <c r="C56" s="323">
        <v>0</v>
      </c>
      <c r="D56" s="758" t="s">
        <v>256</v>
      </c>
      <c r="E56" s="759"/>
      <c r="F56" s="760"/>
    </row>
    <row r="57" spans="1:6" x14ac:dyDescent="0.2">
      <c r="A57" s="325">
        <v>2826.65</v>
      </c>
      <c r="B57" s="324">
        <v>7.4999999999999997E-2</v>
      </c>
      <c r="C57" s="323">
        <v>182.16</v>
      </c>
      <c r="D57" s="746" t="s">
        <v>255</v>
      </c>
      <c r="E57" s="747"/>
      <c r="F57" s="748"/>
    </row>
    <row r="58" spans="1:6" x14ac:dyDescent="0.2">
      <c r="A58" s="325">
        <v>3751.05</v>
      </c>
      <c r="B58" s="324">
        <v>0.15</v>
      </c>
      <c r="C58" s="323">
        <v>394.16</v>
      </c>
      <c r="D58" s="746" t="s">
        <v>254</v>
      </c>
      <c r="E58" s="747"/>
      <c r="F58" s="748"/>
    </row>
    <row r="59" spans="1:6" x14ac:dyDescent="0.2">
      <c r="A59" s="325">
        <v>4664.68</v>
      </c>
      <c r="B59" s="324">
        <v>0.22500000000000001</v>
      </c>
      <c r="C59" s="323">
        <v>675.49</v>
      </c>
      <c r="D59" s="746" t="s">
        <v>253</v>
      </c>
      <c r="E59" s="747"/>
      <c r="F59" s="748"/>
    </row>
    <row r="60" spans="1:6" x14ac:dyDescent="0.2">
      <c r="A60" s="325">
        <v>4664.6899999999996</v>
      </c>
      <c r="B60" s="324">
        <v>0.27500000000000002</v>
      </c>
      <c r="C60" s="323">
        <v>908.73</v>
      </c>
      <c r="D60" s="746" t="s">
        <v>252</v>
      </c>
      <c r="E60" s="747"/>
      <c r="F60" s="748"/>
    </row>
  </sheetData>
  <mergeCells count="8">
    <mergeCell ref="J8:M8"/>
    <mergeCell ref="D58:F58"/>
    <mergeCell ref="D59:F59"/>
    <mergeCell ref="D60:F60"/>
    <mergeCell ref="A54:C54"/>
    <mergeCell ref="D54:F55"/>
    <mergeCell ref="D56:F56"/>
    <mergeCell ref="D57:F57"/>
  </mergeCell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1"/>
  <dimension ref="A1:B14"/>
  <sheetViews>
    <sheetView workbookViewId="0">
      <selection activeCell="A18" sqref="A18"/>
    </sheetView>
  </sheetViews>
  <sheetFormatPr defaultRowHeight="12.75" x14ac:dyDescent="0.2"/>
  <sheetData>
    <row r="1" spans="1:2" x14ac:dyDescent="0.2">
      <c r="A1" t="s">
        <v>172</v>
      </c>
      <c r="B1" t="s">
        <v>173</v>
      </c>
    </row>
    <row r="2" spans="1:2" x14ac:dyDescent="0.2">
      <c r="A2" t="s">
        <v>174</v>
      </c>
      <c r="B2" t="s">
        <v>175</v>
      </c>
    </row>
    <row r="3" spans="1:2" x14ac:dyDescent="0.2">
      <c r="B3" t="s">
        <v>176</v>
      </c>
    </row>
    <row r="4" spans="1:2" x14ac:dyDescent="0.2">
      <c r="B4" t="s">
        <v>177</v>
      </c>
    </row>
    <row r="6" spans="1:2" x14ac:dyDescent="0.2">
      <c r="A6" t="s">
        <v>194</v>
      </c>
      <c r="B6" t="s">
        <v>195</v>
      </c>
    </row>
    <row r="8" spans="1:2" x14ac:dyDescent="0.2">
      <c r="A8" t="s">
        <v>198</v>
      </c>
      <c r="B8" t="s">
        <v>196</v>
      </c>
    </row>
    <row r="9" spans="1:2" x14ac:dyDescent="0.2">
      <c r="B9" s="278" t="s">
        <v>197</v>
      </c>
    </row>
    <row r="11" spans="1:2" x14ac:dyDescent="0.2">
      <c r="A11" s="439">
        <v>45978</v>
      </c>
      <c r="B11" t="s">
        <v>3078</v>
      </c>
    </row>
    <row r="13" spans="1:2" x14ac:dyDescent="0.2">
      <c r="A13" t="s">
        <v>3080</v>
      </c>
    </row>
    <row r="14" spans="1:2" x14ac:dyDescent="0.2">
      <c r="A14" s="439">
        <v>45993</v>
      </c>
      <c r="B14" t="s">
        <v>3079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7"/>
  <dimension ref="A1:B18"/>
  <sheetViews>
    <sheetView workbookViewId="0">
      <selection activeCell="F19" sqref="F19"/>
    </sheetView>
  </sheetViews>
  <sheetFormatPr defaultRowHeight="12.75" x14ac:dyDescent="0.2"/>
  <cols>
    <col min="1" max="1" width="22.5703125" customWidth="1"/>
    <col min="2" max="2" width="8.140625" bestFit="1" customWidth="1"/>
  </cols>
  <sheetData>
    <row r="1" spans="1:2" x14ac:dyDescent="0.2">
      <c r="A1" s="440"/>
    </row>
    <row r="2" spans="1:2" x14ac:dyDescent="0.2">
      <c r="A2" s="441"/>
    </row>
    <row r="3" spans="1:2" x14ac:dyDescent="0.2">
      <c r="A3" s="441"/>
    </row>
    <row r="4" spans="1:2" x14ac:dyDescent="0.2">
      <c r="A4" s="441"/>
    </row>
    <row r="5" spans="1:2" x14ac:dyDescent="0.2">
      <c r="A5" s="441"/>
    </row>
    <row r="6" spans="1:2" x14ac:dyDescent="0.2">
      <c r="A6" s="441"/>
      <c r="B6" s="441"/>
    </row>
    <row r="7" spans="1:2" x14ac:dyDescent="0.2">
      <c r="A7" s="441"/>
      <c r="B7" s="441"/>
    </row>
    <row r="8" spans="1:2" x14ac:dyDescent="0.2">
      <c r="A8" s="441"/>
      <c r="B8" s="441"/>
    </row>
    <row r="9" spans="1:2" x14ac:dyDescent="0.2">
      <c r="A9" s="441"/>
      <c r="B9" s="441"/>
    </row>
    <row r="10" spans="1:2" x14ac:dyDescent="0.2">
      <c r="A10" s="441"/>
      <c r="B10" s="441"/>
    </row>
    <row r="11" spans="1:2" x14ac:dyDescent="0.2">
      <c r="A11" s="441"/>
      <c r="B11" s="441"/>
    </row>
    <row r="12" spans="1:2" x14ac:dyDescent="0.2">
      <c r="A12" s="441"/>
      <c r="B12" s="441"/>
    </row>
    <row r="13" spans="1:2" x14ac:dyDescent="0.2">
      <c r="A13" s="441"/>
      <c r="B13" s="441"/>
    </row>
    <row r="14" spans="1:2" x14ac:dyDescent="0.2">
      <c r="A14" s="441"/>
      <c r="B14" s="441"/>
    </row>
    <row r="15" spans="1:2" x14ac:dyDescent="0.2">
      <c r="A15" s="441"/>
      <c r="B15" s="441"/>
    </row>
    <row r="16" spans="1:2" x14ac:dyDescent="0.2">
      <c r="A16" s="441"/>
      <c r="B16" s="441"/>
    </row>
    <row r="17" spans="1:2" x14ac:dyDescent="0.2">
      <c r="A17" s="441"/>
      <c r="B17" s="441"/>
    </row>
    <row r="18" spans="1:2" x14ac:dyDescent="0.2">
      <c r="A18" s="441"/>
      <c r="B18" s="441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7F011-DC05-4E5E-9088-B8D63784EA2C}">
  <sheetPr>
    <tabColor rgb="FFFFC000"/>
    <pageSetUpPr fitToPage="1"/>
  </sheetPr>
  <dimension ref="B1:H60"/>
  <sheetViews>
    <sheetView showGridLines="0" topLeftCell="A7" zoomScale="80" zoomScaleNormal="80" workbookViewId="0">
      <selection activeCell="H20" sqref="H20"/>
    </sheetView>
  </sheetViews>
  <sheetFormatPr defaultRowHeight="15" x14ac:dyDescent="0.25"/>
  <cols>
    <col min="1" max="1" width="3.28515625" style="443" customWidth="1"/>
    <col min="2" max="2" width="2.5703125" style="443" customWidth="1"/>
    <col min="3" max="3" width="35.85546875" style="443" customWidth="1"/>
    <col min="4" max="4" width="22.140625" style="444" customWidth="1"/>
    <col min="5" max="5" width="45.7109375" style="444" customWidth="1"/>
    <col min="6" max="6" width="23.140625" style="443" customWidth="1"/>
    <col min="7" max="7" width="3" style="443" customWidth="1"/>
    <col min="8" max="8" width="29.42578125" style="444" customWidth="1"/>
    <col min="9" max="9" width="55.5703125" style="443" customWidth="1"/>
    <col min="10" max="16384" width="9.140625" style="443"/>
  </cols>
  <sheetData>
    <row r="1" spans="2:8" ht="13.5" customHeight="1" x14ac:dyDescent="0.25"/>
    <row r="2" spans="2:8" ht="105.95" customHeight="1" x14ac:dyDescent="0.25">
      <c r="B2" s="762" t="s">
        <v>3088</v>
      </c>
      <c r="C2" s="762"/>
      <c r="D2" s="762"/>
      <c r="E2" s="762"/>
      <c r="F2" s="762"/>
      <c r="G2" s="762"/>
    </row>
    <row r="3" spans="2:8" ht="11.1" customHeight="1" thickBot="1" x14ac:dyDescent="0.3"/>
    <row r="4" spans="2:8" x14ac:dyDescent="0.25">
      <c r="B4" s="445"/>
      <c r="C4" s="446"/>
      <c r="D4" s="447"/>
      <c r="E4" s="447"/>
      <c r="F4" s="446"/>
      <c r="G4" s="448"/>
    </row>
    <row r="5" spans="2:8" ht="18.600000000000001" customHeight="1" x14ac:dyDescent="0.3">
      <c r="B5" s="449"/>
      <c r="C5" s="763" t="s">
        <v>3089</v>
      </c>
      <c r="D5" s="763"/>
      <c r="E5" s="763"/>
      <c r="F5" s="763"/>
      <c r="G5" s="450"/>
    </row>
    <row r="6" spans="2:8" x14ac:dyDescent="0.25">
      <c r="B6" s="449"/>
      <c r="C6" s="764" t="s">
        <v>3090</v>
      </c>
      <c r="D6" s="764"/>
      <c r="E6" s="764"/>
      <c r="F6" s="764"/>
      <c r="G6" s="450"/>
      <c r="H6" s="444" t="s">
        <v>4</v>
      </c>
    </row>
    <row r="7" spans="2:8" ht="14.45" customHeight="1" x14ac:dyDescent="0.25">
      <c r="B7" s="449"/>
      <c r="C7" s="451"/>
      <c r="D7" s="452"/>
      <c r="E7" s="452"/>
      <c r="G7" s="450"/>
    </row>
    <row r="8" spans="2:8" ht="21.95" customHeight="1" x14ac:dyDescent="0.25">
      <c r="B8" s="449"/>
      <c r="C8" s="765" t="s">
        <v>3091</v>
      </c>
      <c r="D8" s="765"/>
      <c r="E8" s="452"/>
      <c r="G8" s="450"/>
      <c r="H8" s="444" t="str">
        <f>'BASE C'!B3</f>
        <v>2024/0058937</v>
      </c>
    </row>
    <row r="9" spans="2:8" ht="9.6" customHeight="1" thickBot="1" x14ac:dyDescent="0.3">
      <c r="B9" s="449"/>
      <c r="C9" s="452"/>
      <c r="D9" s="452"/>
      <c r="E9" s="452"/>
      <c r="G9" s="450"/>
    </row>
    <row r="10" spans="2:8" ht="24.95" customHeight="1" thickBot="1" x14ac:dyDescent="0.3">
      <c r="B10" s="449"/>
      <c r="C10" s="766" t="s">
        <v>3092</v>
      </c>
      <c r="D10" s="767"/>
      <c r="E10" s="452"/>
      <c r="G10" s="450"/>
    </row>
    <row r="11" spans="2:8" ht="24.95" customHeight="1" thickBot="1" x14ac:dyDescent="0.3">
      <c r="B11" s="449"/>
      <c r="C11" s="453" t="s">
        <v>3093</v>
      </c>
      <c r="D11" s="454" t="e">
        <f>VLOOKUP(H8,'ATESTE-LIQ-FIS'!A:D,4,0)*60%</f>
        <v>#REF!</v>
      </c>
      <c r="E11" s="455"/>
      <c r="F11" s="455"/>
      <c r="G11" s="450"/>
    </row>
    <row r="12" spans="2:8" ht="24.95" customHeight="1" thickTop="1" thickBot="1" x14ac:dyDescent="0.3">
      <c r="B12" s="449"/>
      <c r="C12" s="456" t="s">
        <v>3094</v>
      </c>
      <c r="D12" s="457"/>
      <c r="E12" s="455"/>
      <c r="F12" s="455"/>
      <c r="G12" s="450"/>
    </row>
    <row r="13" spans="2:8" ht="24.95" customHeight="1" thickBot="1" x14ac:dyDescent="0.3">
      <c r="B13" s="449"/>
      <c r="C13" s="458" t="s">
        <v>3095</v>
      </c>
      <c r="D13" s="459" t="e">
        <f>SUM(D11:D12)</f>
        <v>#REF!</v>
      </c>
      <c r="E13" s="455"/>
      <c r="F13" s="455"/>
      <c r="G13" s="450"/>
    </row>
    <row r="14" spans="2:8" ht="10.5" customHeight="1" thickBot="1" x14ac:dyDescent="0.3">
      <c r="B14" s="449"/>
      <c r="C14" s="460"/>
      <c r="D14" s="461"/>
      <c r="E14" s="455"/>
      <c r="F14" s="455"/>
      <c r="G14" s="450"/>
    </row>
    <row r="15" spans="2:8" ht="24.95" customHeight="1" thickBot="1" x14ac:dyDescent="0.3">
      <c r="B15" s="449"/>
      <c r="C15" s="768" t="s">
        <v>3096</v>
      </c>
      <c r="D15" s="769"/>
      <c r="E15" s="455"/>
      <c r="F15" s="455"/>
      <c r="G15" s="450"/>
    </row>
    <row r="16" spans="2:8" ht="15" customHeight="1" thickBot="1" x14ac:dyDescent="0.3">
      <c r="B16" s="449"/>
      <c r="C16" s="462"/>
      <c r="D16" s="462"/>
      <c r="E16" s="455"/>
      <c r="F16" s="455"/>
      <c r="G16" s="450"/>
    </row>
    <row r="17" spans="2:8" ht="24.95" customHeight="1" thickBot="1" x14ac:dyDescent="0.3">
      <c r="B17" s="449"/>
      <c r="C17" s="770" t="s">
        <v>3097</v>
      </c>
      <c r="D17" s="771"/>
      <c r="E17" s="455"/>
      <c r="F17" s="455"/>
      <c r="G17" s="450"/>
    </row>
    <row r="18" spans="2:8" ht="24.95" customHeight="1" thickBot="1" x14ac:dyDescent="0.3">
      <c r="B18" s="449"/>
      <c r="C18" s="456" t="s">
        <v>3098</v>
      </c>
      <c r="D18" s="463"/>
      <c r="E18" s="455"/>
      <c r="F18" s="455"/>
      <c r="G18" s="450"/>
    </row>
    <row r="19" spans="2:8" ht="15" customHeight="1" thickBot="1" x14ac:dyDescent="0.3">
      <c r="B19" s="449"/>
      <c r="D19" s="452"/>
      <c r="E19" s="452"/>
      <c r="G19" s="450"/>
    </row>
    <row r="20" spans="2:8" ht="24.95" customHeight="1" thickBot="1" x14ac:dyDescent="0.3">
      <c r="B20" s="449"/>
      <c r="C20" s="766" t="s">
        <v>3099</v>
      </c>
      <c r="D20" s="767"/>
      <c r="E20" s="464"/>
      <c r="G20" s="465"/>
      <c r="H20" s="464"/>
    </row>
    <row r="21" spans="2:8" ht="15" customHeight="1" thickBot="1" x14ac:dyDescent="0.3">
      <c r="B21" s="449"/>
      <c r="C21" s="466"/>
      <c r="D21" s="467"/>
      <c r="E21" s="464"/>
      <c r="G21" s="465"/>
      <c r="H21" s="464"/>
    </row>
    <row r="22" spans="2:8" ht="24.95" customHeight="1" thickBot="1" x14ac:dyDescent="0.3">
      <c r="B22" s="449"/>
      <c r="C22" s="468" t="s">
        <v>3100</v>
      </c>
      <c r="D22" s="467"/>
      <c r="E22" s="464"/>
      <c r="G22" s="465"/>
      <c r="H22" s="464"/>
    </row>
    <row r="23" spans="2:8" ht="24.95" customHeight="1" thickBot="1" x14ac:dyDescent="0.3">
      <c r="B23" s="449"/>
      <c r="C23" s="453" t="s">
        <v>3101</v>
      </c>
      <c r="D23" s="469" t="e">
        <f>VLOOKUP(H8,'ATESTE-LIQ-FIS'!A:E,5,0)</f>
        <v>#REF!</v>
      </c>
      <c r="E23" s="452"/>
      <c r="G23" s="450"/>
    </row>
    <row r="24" spans="2:8" ht="24.95" customHeight="1" thickBot="1" x14ac:dyDescent="0.3">
      <c r="B24" s="449"/>
      <c r="C24" s="453" t="s">
        <v>3102</v>
      </c>
      <c r="D24" s="470">
        <v>0</v>
      </c>
      <c r="E24" s="452"/>
      <c r="G24" s="471"/>
    </row>
    <row r="25" spans="2:8" ht="24.95" customHeight="1" thickBot="1" x14ac:dyDescent="0.3">
      <c r="B25" s="449"/>
      <c r="C25" s="453"/>
      <c r="D25" s="472">
        <f>D24*189.59</f>
        <v>0</v>
      </c>
      <c r="E25" s="452"/>
      <c r="G25" s="471"/>
    </row>
    <row r="26" spans="2:8" ht="24.95" customHeight="1" thickBot="1" x14ac:dyDescent="0.3">
      <c r="B26" s="449"/>
      <c r="C26" s="456" t="s">
        <v>3103</v>
      </c>
      <c r="D26" s="469">
        <v>0</v>
      </c>
      <c r="E26" s="452"/>
      <c r="G26" s="471"/>
    </row>
    <row r="27" spans="2:8" ht="44.1" customHeight="1" thickBot="1" x14ac:dyDescent="0.3">
      <c r="B27" s="449"/>
      <c r="C27" s="473" t="s">
        <v>3104</v>
      </c>
      <c r="D27" s="469">
        <v>0</v>
      </c>
      <c r="E27" s="474"/>
      <c r="F27" s="475"/>
      <c r="G27" s="476"/>
    </row>
    <row r="28" spans="2:8" ht="15" customHeight="1" thickBot="1" x14ac:dyDescent="0.3">
      <c r="B28" s="449"/>
      <c r="C28" s="477"/>
      <c r="D28" s="478"/>
      <c r="E28" s="474"/>
      <c r="F28" s="475"/>
      <c r="G28" s="476"/>
    </row>
    <row r="29" spans="2:8" ht="24.95" customHeight="1" thickBot="1" x14ac:dyDescent="0.3">
      <c r="B29" s="449"/>
      <c r="C29" s="479" t="s">
        <v>3105</v>
      </c>
      <c r="D29" s="472">
        <v>607.20000000000005</v>
      </c>
      <c r="E29" s="452"/>
      <c r="F29" s="475"/>
      <c r="G29" s="476"/>
    </row>
    <row r="30" spans="2:8" ht="15" customHeight="1" thickBot="1" x14ac:dyDescent="0.3">
      <c r="B30" s="449"/>
      <c r="D30" s="452"/>
      <c r="E30" s="452"/>
      <c r="G30" s="450"/>
    </row>
    <row r="31" spans="2:8" ht="24.95" customHeight="1" thickBot="1" x14ac:dyDescent="0.3">
      <c r="B31" s="449"/>
      <c r="C31" s="772" t="s">
        <v>3106</v>
      </c>
      <c r="D31" s="772"/>
      <c r="E31" s="773" t="s">
        <v>3107</v>
      </c>
      <c r="F31" s="773"/>
      <c r="G31" s="450"/>
    </row>
    <row r="32" spans="2:8" ht="24.95" customHeight="1" thickBot="1" x14ac:dyDescent="0.3">
      <c r="B32" s="449"/>
      <c r="C32" s="480" t="s">
        <v>3108</v>
      </c>
      <c r="D32" s="481" t="e">
        <f>'IR Deduções Legais-Maio.2025'!F30</f>
        <v>#REF!</v>
      </c>
      <c r="E32" s="480" t="s">
        <v>3108</v>
      </c>
      <c r="F32" s="481" t="e">
        <f>'IR Desc. Simplificado-Maio.2025'!F30</f>
        <v>#REF!</v>
      </c>
      <c r="G32" s="450"/>
    </row>
    <row r="33" spans="2:8" ht="24.95" customHeight="1" thickBot="1" x14ac:dyDescent="0.3">
      <c r="B33" s="449"/>
      <c r="C33" s="480" t="s">
        <v>3109</v>
      </c>
      <c r="D33" s="481" t="e">
        <f>D32-D18</f>
        <v>#REF!</v>
      </c>
      <c r="E33" s="480" t="s">
        <v>3109</v>
      </c>
      <c r="F33" s="481" t="e">
        <f>F32-D18</f>
        <v>#REF!</v>
      </c>
      <c r="G33" s="450"/>
    </row>
    <row r="34" spans="2:8" ht="15" customHeight="1" thickBot="1" x14ac:dyDescent="0.3">
      <c r="B34" s="449"/>
      <c r="D34" s="452"/>
      <c r="E34" s="452"/>
      <c r="G34" s="450"/>
    </row>
    <row r="35" spans="2:8" ht="24.95" customHeight="1" thickBot="1" x14ac:dyDescent="0.3">
      <c r="B35" s="449"/>
      <c r="C35" s="774" t="s">
        <v>3110</v>
      </c>
      <c r="D35" s="775"/>
      <c r="E35" s="452"/>
      <c r="G35" s="450"/>
    </row>
    <row r="36" spans="2:8" ht="24.95" customHeight="1" thickBot="1" x14ac:dyDescent="0.3">
      <c r="B36" s="449"/>
      <c r="C36" s="482" t="e">
        <f>IF(D32&lt;F32,"Deduções Legais","Desconto Simplificado")</f>
        <v>#REF!</v>
      </c>
      <c r="D36" s="483" t="e">
        <f>TRUNC(SMALL(D32:F32,1),2)</f>
        <v>#REF!</v>
      </c>
      <c r="E36" s="452"/>
      <c r="G36" s="450"/>
    </row>
    <row r="37" spans="2:8" ht="24.95" customHeight="1" thickTop="1" thickBot="1" x14ac:dyDescent="0.3">
      <c r="B37" s="449"/>
      <c r="C37" s="484" t="s">
        <v>3109</v>
      </c>
      <c r="D37" s="485" t="e">
        <f>TRUNC(IF(F32&lt;=D32,F33,D33),2)</f>
        <v>#REF!</v>
      </c>
      <c r="E37" s="452"/>
      <c r="F37" s="486"/>
      <c r="G37" s="450"/>
    </row>
    <row r="38" spans="2:8" ht="19.5" customHeight="1" thickBot="1" x14ac:dyDescent="0.3">
      <c r="B38" s="487"/>
      <c r="C38" s="488"/>
      <c r="D38" s="489"/>
      <c r="E38" s="489"/>
      <c r="F38" s="488"/>
      <c r="G38" s="490"/>
    </row>
    <row r="39" spans="2:8" ht="24.95" customHeight="1" x14ac:dyDescent="0.25">
      <c r="B39" s="445"/>
      <c r="C39" s="491" t="s">
        <v>3111</v>
      </c>
      <c r="D39" s="492"/>
      <c r="E39" s="492"/>
      <c r="F39" s="492"/>
      <c r="G39" s="493"/>
    </row>
    <row r="40" spans="2:8" ht="9.9499999999999993" customHeight="1" x14ac:dyDescent="0.25">
      <c r="B40" s="449"/>
      <c r="C40" s="494"/>
      <c r="D40" s="495"/>
      <c r="E40" s="495"/>
      <c r="F40" s="495"/>
      <c r="G40" s="496"/>
    </row>
    <row r="41" spans="2:8" ht="30.95" customHeight="1" x14ac:dyDescent="0.25">
      <c r="B41" s="449"/>
      <c r="C41" s="761" t="s">
        <v>3112</v>
      </c>
      <c r="D41" s="761"/>
      <c r="E41" s="761"/>
      <c r="F41" s="761"/>
      <c r="G41" s="497"/>
    </row>
    <row r="42" spans="2:8" ht="27.95" customHeight="1" x14ac:dyDescent="0.25">
      <c r="B42" s="498"/>
      <c r="C42" s="761" t="s">
        <v>3113</v>
      </c>
      <c r="D42" s="761"/>
      <c r="E42" s="761"/>
      <c r="F42" s="761"/>
      <c r="G42" s="499"/>
    </row>
    <row r="43" spans="2:8" ht="15" customHeight="1" x14ac:dyDescent="0.25">
      <c r="B43" s="498"/>
      <c r="C43" s="500"/>
      <c r="D43" s="500"/>
      <c r="E43" s="500"/>
      <c r="F43" s="500"/>
      <c r="G43" s="499"/>
    </row>
    <row r="44" spans="2:8" ht="30.6" customHeight="1" x14ac:dyDescent="0.25">
      <c r="B44" s="449"/>
      <c r="C44" s="781" t="s">
        <v>3114</v>
      </c>
      <c r="D44" s="782"/>
      <c r="E44" s="783" t="s">
        <v>3115</v>
      </c>
      <c r="F44" s="783"/>
      <c r="G44" s="502"/>
      <c r="H44" s="452"/>
    </row>
    <row r="45" spans="2:8" ht="25.5" customHeight="1" x14ac:dyDescent="0.25">
      <c r="B45" s="449"/>
      <c r="C45" s="501" t="s">
        <v>3116</v>
      </c>
      <c r="D45" s="503" t="s">
        <v>3117</v>
      </c>
      <c r="E45" s="783" t="s">
        <v>3118</v>
      </c>
      <c r="F45" s="783"/>
      <c r="G45" s="502"/>
      <c r="H45" s="452"/>
    </row>
    <row r="46" spans="2:8" ht="35.1" customHeight="1" x14ac:dyDescent="0.25">
      <c r="B46" s="449"/>
      <c r="C46" s="504">
        <v>0</v>
      </c>
      <c r="D46" s="504">
        <v>5000</v>
      </c>
      <c r="E46" s="784" t="s">
        <v>3119</v>
      </c>
      <c r="F46" s="784"/>
      <c r="G46" s="505"/>
      <c r="H46" s="452"/>
    </row>
    <row r="47" spans="2:8" ht="54" customHeight="1" x14ac:dyDescent="0.25">
      <c r="B47" s="449"/>
      <c r="C47" s="504">
        <v>5000.01</v>
      </c>
      <c r="D47" s="504">
        <v>7350</v>
      </c>
      <c r="E47" s="784" t="s">
        <v>3120</v>
      </c>
      <c r="F47" s="784"/>
      <c r="G47" s="505"/>
      <c r="H47" s="452"/>
    </row>
    <row r="48" spans="2:8" x14ac:dyDescent="0.25">
      <c r="B48" s="449"/>
      <c r="C48" s="776" t="s">
        <v>3121</v>
      </c>
      <c r="D48" s="776"/>
      <c r="E48" s="776"/>
      <c r="F48" s="776"/>
      <c r="G48" s="505"/>
      <c r="H48" s="452"/>
    </row>
    <row r="49" spans="2:8" x14ac:dyDescent="0.25">
      <c r="B49" s="449"/>
      <c r="C49" s="506"/>
      <c r="D49" s="506"/>
      <c r="E49" s="506"/>
      <c r="F49" s="506"/>
      <c r="G49" s="505"/>
      <c r="H49" s="452"/>
    </row>
    <row r="50" spans="2:8" x14ac:dyDescent="0.25">
      <c r="B50" s="449"/>
      <c r="C50" s="777" t="s">
        <v>3122</v>
      </c>
      <c r="D50" s="778"/>
      <c r="E50" s="778"/>
      <c r="F50" s="779"/>
      <c r="G50" s="505"/>
      <c r="H50" s="452"/>
    </row>
    <row r="51" spans="2:8" x14ac:dyDescent="0.25">
      <c r="B51" s="449"/>
      <c r="C51" s="507"/>
      <c r="D51" s="507"/>
      <c r="E51" s="507"/>
      <c r="F51" s="507"/>
      <c r="G51" s="505"/>
      <c r="H51" s="508"/>
    </row>
    <row r="52" spans="2:8" ht="16.5" thickBot="1" x14ac:dyDescent="0.3">
      <c r="B52" s="449"/>
      <c r="C52" s="509" t="s">
        <v>3123</v>
      </c>
      <c r="D52" s="510"/>
      <c r="E52" s="511"/>
      <c r="F52" s="511"/>
      <c r="G52" s="505"/>
      <c r="H52" s="452"/>
    </row>
    <row r="53" spans="2:8" ht="16.5" thickBot="1" x14ac:dyDescent="0.3">
      <c r="B53" s="449"/>
      <c r="C53" s="512" t="s">
        <v>3124</v>
      </c>
      <c r="D53" s="512" t="s">
        <v>3125</v>
      </c>
      <c r="E53" s="512" t="s">
        <v>3126</v>
      </c>
      <c r="F53" s="511"/>
      <c r="G53" s="505"/>
      <c r="H53" s="452"/>
    </row>
    <row r="54" spans="2:8" ht="16.5" thickBot="1" x14ac:dyDescent="0.3">
      <c r="B54" s="449"/>
      <c r="C54" s="513" t="s">
        <v>3127</v>
      </c>
      <c r="D54" s="514">
        <v>0</v>
      </c>
      <c r="E54" s="514">
        <v>0</v>
      </c>
      <c r="F54" s="511"/>
      <c r="G54" s="505"/>
      <c r="H54" s="452"/>
    </row>
    <row r="55" spans="2:8" ht="16.5" thickBot="1" x14ac:dyDescent="0.3">
      <c r="B55" s="449"/>
      <c r="C55" s="515" t="s">
        <v>3128</v>
      </c>
      <c r="D55" s="516">
        <v>7.5</v>
      </c>
      <c r="E55" s="516">
        <v>182.16</v>
      </c>
      <c r="F55" s="511"/>
      <c r="G55" s="505"/>
      <c r="H55" s="452"/>
    </row>
    <row r="56" spans="2:8" ht="16.5" thickBot="1" x14ac:dyDescent="0.3">
      <c r="B56" s="449"/>
      <c r="C56" s="513" t="s">
        <v>3129</v>
      </c>
      <c r="D56" s="514">
        <v>15</v>
      </c>
      <c r="E56" s="514">
        <v>394.16</v>
      </c>
      <c r="F56" s="511"/>
      <c r="G56" s="505"/>
      <c r="H56" s="452"/>
    </row>
    <row r="57" spans="2:8" ht="16.5" thickBot="1" x14ac:dyDescent="0.3">
      <c r="B57" s="449"/>
      <c r="C57" s="515" t="s">
        <v>3130</v>
      </c>
      <c r="D57" s="516">
        <v>22.5</v>
      </c>
      <c r="E57" s="516">
        <v>675.49</v>
      </c>
      <c r="F57" s="511"/>
      <c r="G57" s="505"/>
      <c r="H57" s="452"/>
    </row>
    <row r="58" spans="2:8" ht="16.5" thickBot="1" x14ac:dyDescent="0.3">
      <c r="B58" s="449"/>
      <c r="C58" s="513" t="s">
        <v>3131</v>
      </c>
      <c r="D58" s="514">
        <v>27.5</v>
      </c>
      <c r="E58" s="514">
        <v>908.73</v>
      </c>
      <c r="F58" s="511"/>
      <c r="G58" s="505"/>
      <c r="H58" s="452"/>
    </row>
    <row r="59" spans="2:8" x14ac:dyDescent="0.25">
      <c r="B59" s="449"/>
      <c r="C59" s="780" t="s">
        <v>3132</v>
      </c>
      <c r="D59" s="780"/>
      <c r="E59" s="780"/>
      <c r="F59" s="511"/>
      <c r="G59" s="505"/>
      <c r="H59" s="452"/>
    </row>
    <row r="60" spans="2:8" ht="15.75" thickBot="1" x14ac:dyDescent="0.3">
      <c r="B60" s="487"/>
      <c r="C60" s="517"/>
      <c r="D60" s="517"/>
      <c r="E60" s="518"/>
      <c r="F60" s="518"/>
      <c r="G60" s="519"/>
      <c r="H60" s="452"/>
    </row>
  </sheetData>
  <sheetProtection selectLockedCells="1"/>
  <mergeCells count="21">
    <mergeCell ref="C48:F48"/>
    <mergeCell ref="C50:F50"/>
    <mergeCell ref="C59:E59"/>
    <mergeCell ref="C42:F42"/>
    <mergeCell ref="C44:D44"/>
    <mergeCell ref="E44:F44"/>
    <mergeCell ref="E45:F45"/>
    <mergeCell ref="E46:F46"/>
    <mergeCell ref="E47:F47"/>
    <mergeCell ref="C41:F41"/>
    <mergeCell ref="B2:G2"/>
    <mergeCell ref="C5:F5"/>
    <mergeCell ref="C6:F6"/>
    <mergeCell ref="C8:D8"/>
    <mergeCell ref="C10:D10"/>
    <mergeCell ref="C15:D15"/>
    <mergeCell ref="C17:D17"/>
    <mergeCell ref="C20:D20"/>
    <mergeCell ref="C31:D31"/>
    <mergeCell ref="E31:F31"/>
    <mergeCell ref="C35:D35"/>
  </mergeCells>
  <conditionalFormatting sqref="C32:C33">
    <cfRule type="cellIs" dxfId="5" priority="8" operator="lessThan">
      <formula>$F$32</formula>
    </cfRule>
  </conditionalFormatting>
  <conditionalFormatting sqref="C37">
    <cfRule type="cellIs" dxfId="4" priority="1" operator="lessThan">
      <formula>$F$32</formula>
    </cfRule>
  </conditionalFormatting>
  <conditionalFormatting sqref="D32:D33">
    <cfRule type="cellIs" dxfId="3" priority="6" operator="lessThan">
      <formula>$F$32</formula>
    </cfRule>
  </conditionalFormatting>
  <conditionalFormatting sqref="E32:E33">
    <cfRule type="cellIs" dxfId="2" priority="5" operator="lessThan">
      <formula>$F$32</formula>
    </cfRule>
  </conditionalFormatting>
  <conditionalFormatting sqref="F32:F33">
    <cfRule type="cellIs" dxfId="1" priority="7" operator="lessThan">
      <formula>$D$32</formula>
    </cfRule>
  </conditionalFormatting>
  <conditionalFormatting sqref="F33">
    <cfRule type="cellIs" dxfId="0" priority="2" operator="lessThan">
      <formula>$D$33</formula>
    </cfRule>
    <cfRule type="cellIs" priority="3" operator="lessThan">
      <formula>"d28"</formula>
    </cfRule>
    <cfRule type="cellIs" priority="4" operator="lessThan">
      <formula>$D$33</formula>
    </cfRule>
  </conditionalFormatting>
  <printOptions horizontalCentered="1" verticalCentered="1"/>
  <pageMargins left="0.39370078740157483" right="0.39370078740157483" top="0.39370078740157483" bottom="0.39370078740157483" header="0" footer="0"/>
  <pageSetup paperSize="9" scale="61" orientation="portrait" horizontalDpi="4294967292" verticalDpi="1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9C63C-9A63-4671-A0C8-949CAEAEF334}">
  <dimension ref="B2:I51"/>
  <sheetViews>
    <sheetView topLeftCell="A16" workbookViewId="0">
      <selection activeCell="I25" sqref="I25"/>
    </sheetView>
  </sheetViews>
  <sheetFormatPr defaultRowHeight="15" x14ac:dyDescent="0.25"/>
  <cols>
    <col min="1" max="1" width="9.140625" style="443"/>
    <col min="2" max="2" width="24.42578125" style="443" customWidth="1"/>
    <col min="3" max="3" width="17.5703125" style="443" customWidth="1"/>
    <col min="4" max="4" width="14.140625" style="443" customWidth="1"/>
    <col min="5" max="5" width="12.140625" style="443" bestFit="1" customWidth="1"/>
    <col min="6" max="6" width="15.5703125" style="443" customWidth="1"/>
    <col min="7" max="7" width="14.7109375" style="443" bestFit="1" customWidth="1"/>
    <col min="8" max="8" width="17.7109375" style="443" bestFit="1" customWidth="1"/>
    <col min="9" max="9" width="13" style="443" customWidth="1"/>
    <col min="10" max="16384" width="9.140625" style="443"/>
  </cols>
  <sheetData>
    <row r="2" spans="2:9" x14ac:dyDescent="0.25">
      <c r="B2" s="785" t="s">
        <v>3133</v>
      </c>
      <c r="C2" s="785"/>
      <c r="D2" s="785"/>
      <c r="E2" s="785"/>
      <c r="F2" s="785"/>
    </row>
    <row r="3" spans="2:9" x14ac:dyDescent="0.25">
      <c r="B3" s="786" t="e">
        <f>'Cálculo IRRF -Jan.2026'!D13</f>
        <v>#REF!</v>
      </c>
      <c r="C3" s="786"/>
      <c r="D3" s="786"/>
      <c r="E3" s="786"/>
      <c r="F3" s="786"/>
      <c r="G3" s="521"/>
      <c r="H3" s="522"/>
    </row>
    <row r="4" spans="2:9" x14ac:dyDescent="0.25">
      <c r="G4" s="521"/>
    </row>
    <row r="5" spans="2:9" x14ac:dyDescent="0.25">
      <c r="B5" s="523"/>
      <c r="C5" s="523"/>
      <c r="D5" s="523"/>
      <c r="E5" s="523"/>
      <c r="F5" s="523"/>
    </row>
    <row r="6" spans="2:9" x14ac:dyDescent="0.25">
      <c r="B6" s="524"/>
      <c r="C6" s="524"/>
      <c r="D6" s="525"/>
      <c r="E6" s="524"/>
      <c r="F6" s="524"/>
    </row>
    <row r="7" spans="2:9" x14ac:dyDescent="0.25">
      <c r="B7" s="524"/>
      <c r="C7" s="524"/>
      <c r="D7" s="525"/>
      <c r="E7" s="524"/>
      <c r="F7" s="524"/>
      <c r="H7" s="787"/>
      <c r="I7" s="787"/>
    </row>
    <row r="8" spans="2:9" x14ac:dyDescent="0.25">
      <c r="B8" s="524"/>
      <c r="C8" s="524"/>
      <c r="D8" s="525"/>
      <c r="E8" s="524"/>
      <c r="F8" s="524"/>
    </row>
    <row r="9" spans="2:9" x14ac:dyDescent="0.25">
      <c r="B9" s="524"/>
      <c r="C9" s="524"/>
      <c r="D9" s="525"/>
      <c r="E9" s="524"/>
      <c r="F9" s="524"/>
    </row>
    <row r="10" spans="2:9" x14ac:dyDescent="0.25">
      <c r="B10" s="788" t="s">
        <v>3134</v>
      </c>
      <c r="C10" s="788"/>
      <c r="D10" s="788"/>
      <c r="E10" s="788"/>
      <c r="F10" s="526" t="e">
        <f>'Cálculo IRRF -Jan.2026'!D23</f>
        <v>#REF!</v>
      </c>
      <c r="G10" s="521"/>
      <c r="I10" s="464"/>
    </row>
    <row r="11" spans="2:9" x14ac:dyDescent="0.25">
      <c r="B11" s="788"/>
      <c r="C11" s="788"/>
      <c r="D11" s="788"/>
      <c r="E11" s="788"/>
      <c r="F11" s="527"/>
      <c r="G11" s="521"/>
      <c r="I11" s="528"/>
    </row>
    <row r="12" spans="2:9" x14ac:dyDescent="0.25">
      <c r="I12" s="528"/>
    </row>
    <row r="13" spans="2:9" x14ac:dyDescent="0.25">
      <c r="B13" s="785" t="s">
        <v>3135</v>
      </c>
      <c r="C13" s="785"/>
      <c r="D13" s="785"/>
      <c r="E13" s="785"/>
      <c r="F13" s="785"/>
      <c r="I13" s="528"/>
    </row>
    <row r="14" spans="2:9" x14ac:dyDescent="0.25">
      <c r="B14" s="790" t="s">
        <v>3136</v>
      </c>
      <c r="C14" s="790"/>
      <c r="D14" s="790"/>
      <c r="E14" s="791">
        <f>'Cálculo IRRF -Jan.2026'!D24</f>
        <v>0</v>
      </c>
      <c r="F14" s="792"/>
    </row>
    <row r="15" spans="2:9" x14ac:dyDescent="0.25">
      <c r="B15" s="790" t="s">
        <v>3137</v>
      </c>
      <c r="C15" s="790"/>
      <c r="D15" s="790"/>
      <c r="E15" s="793">
        <v>189.59</v>
      </c>
      <c r="F15" s="793"/>
      <c r="H15" s="529" t="s">
        <v>3138</v>
      </c>
      <c r="I15" s="524" t="e">
        <f>F10+I17+I18+(E14*E15)</f>
        <v>#REF!</v>
      </c>
    </row>
    <row r="16" spans="2:9" x14ac:dyDescent="0.25">
      <c r="B16" s="790" t="s">
        <v>3139</v>
      </c>
      <c r="C16" s="790"/>
      <c r="D16" s="790"/>
      <c r="E16" s="794" t="e">
        <f>B3-I17-I18-F10-(E14*E15)</f>
        <v>#REF!</v>
      </c>
      <c r="F16" s="795"/>
      <c r="H16" s="530"/>
      <c r="I16" s="530"/>
    </row>
    <row r="17" spans="2:9" x14ac:dyDescent="0.25">
      <c r="H17" s="529" t="s">
        <v>3140</v>
      </c>
      <c r="I17" s="531">
        <f>'Cálculo IRRF -Jan.2026'!D26</f>
        <v>0</v>
      </c>
    </row>
    <row r="18" spans="2:9" x14ac:dyDescent="0.25">
      <c r="B18" s="523" t="s">
        <v>3141</v>
      </c>
      <c r="C18" s="523" t="s">
        <v>3142</v>
      </c>
      <c r="D18" s="523" t="s">
        <v>3143</v>
      </c>
      <c r="E18" s="523" t="s">
        <v>3144</v>
      </c>
      <c r="F18" s="523" t="s">
        <v>3145</v>
      </c>
      <c r="H18" s="529" t="s">
        <v>3146</v>
      </c>
      <c r="I18" s="531">
        <f>'Cálculo IRRF -Jan.2026'!D27</f>
        <v>0</v>
      </c>
    </row>
    <row r="19" spans="2:9" x14ac:dyDescent="0.25">
      <c r="B19" s="524">
        <v>0</v>
      </c>
      <c r="C19" s="524">
        <v>2428.8000000000002</v>
      </c>
      <c r="D19" s="532">
        <v>0</v>
      </c>
      <c r="E19" s="533">
        <v>0</v>
      </c>
      <c r="F19" s="520">
        <v>0</v>
      </c>
    </row>
    <row r="20" spans="2:9" x14ac:dyDescent="0.25">
      <c r="B20" s="524">
        <v>2428.81</v>
      </c>
      <c r="C20" s="524">
        <v>2826.65</v>
      </c>
      <c r="D20" s="532">
        <v>7.4999999999999997E-2</v>
      </c>
      <c r="E20" s="533">
        <v>182.16</v>
      </c>
      <c r="F20" s="520" t="e">
        <f>TRUNC(IF(AND($E$16&gt;B20,$E$16&lt;C20),$E$16*D20-E20,0),2)</f>
        <v>#REF!</v>
      </c>
    </row>
    <row r="21" spans="2:9" x14ac:dyDescent="0.25">
      <c r="B21" s="524">
        <v>2826.66</v>
      </c>
      <c r="C21" s="524">
        <v>3751.05</v>
      </c>
      <c r="D21" s="532">
        <v>0.15</v>
      </c>
      <c r="E21" s="533">
        <v>394.16</v>
      </c>
      <c r="F21" s="520" t="e">
        <f t="shared" ref="F21:F23" si="0">TRUNC(IF(AND($E$16&gt;B21,$E$16&lt;C21),$E$16*D21-E21,0),2)</f>
        <v>#REF!</v>
      </c>
    </row>
    <row r="22" spans="2:9" x14ac:dyDescent="0.25">
      <c r="B22" s="524">
        <v>3751.06</v>
      </c>
      <c r="C22" s="524">
        <v>4664.68</v>
      </c>
      <c r="D22" s="532">
        <v>0.22500000000000001</v>
      </c>
      <c r="E22" s="533">
        <v>675.49</v>
      </c>
      <c r="F22" s="520" t="e">
        <f t="shared" si="0"/>
        <v>#REF!</v>
      </c>
      <c r="H22" s="534"/>
      <c r="I22" s="486"/>
    </row>
    <row r="23" spans="2:9" ht="15.75" thickBot="1" x14ac:dyDescent="0.3">
      <c r="B23" s="524">
        <v>4664.6899999999996</v>
      </c>
      <c r="C23" s="524">
        <v>9999999</v>
      </c>
      <c r="D23" s="532">
        <v>0.27500000000000002</v>
      </c>
      <c r="E23" s="533">
        <v>908.73</v>
      </c>
      <c r="F23" s="535" t="e">
        <f t="shared" si="0"/>
        <v>#REF!</v>
      </c>
      <c r="I23" s="486"/>
    </row>
    <row r="24" spans="2:9" ht="16.5" thickTop="1" thickBot="1" x14ac:dyDescent="0.3">
      <c r="B24" s="788" t="s">
        <v>3147</v>
      </c>
      <c r="C24" s="788"/>
      <c r="D24" s="788"/>
      <c r="E24" s="796"/>
      <c r="F24" s="536" t="e">
        <f>SUM(F19:F23)</f>
        <v>#REF!</v>
      </c>
    </row>
    <row r="25" spans="2:9" ht="16.5" thickTop="1" thickBot="1" x14ac:dyDescent="0.3">
      <c r="F25" s="464"/>
    </row>
    <row r="26" spans="2:9" ht="16.5" thickTop="1" thickBot="1" x14ac:dyDescent="0.3">
      <c r="B26" s="797" t="s">
        <v>3148</v>
      </c>
      <c r="C26" s="797"/>
      <c r="D26" s="797"/>
      <c r="E26" s="797"/>
      <c r="F26" s="537" t="e">
        <f>IF(B3&lt;=C50,0,F24)</f>
        <v>#REF!</v>
      </c>
    </row>
    <row r="27" spans="2:9" ht="16.5" thickTop="1" thickBot="1" x14ac:dyDescent="0.3">
      <c r="B27" s="798"/>
      <c r="C27" s="798"/>
      <c r="D27" s="798"/>
      <c r="E27" s="798"/>
      <c r="F27" s="798"/>
    </row>
    <row r="28" spans="2:9" ht="27.95" customHeight="1" thickBot="1" x14ac:dyDescent="0.3">
      <c r="B28" s="799" t="s">
        <v>3149</v>
      </c>
      <c r="C28" s="799"/>
      <c r="D28" s="799"/>
      <c r="E28" s="799"/>
      <c r="F28" s="539" t="e">
        <f>IF(AND($B$3&gt;C50,$B$3&lt;=C51),F24-E39,IF($B$3&lt;=C50,F26,F24))</f>
        <v>#REF!</v>
      </c>
    </row>
    <row r="29" spans="2:9" x14ac:dyDescent="0.25">
      <c r="B29" s="538"/>
      <c r="C29" s="538"/>
      <c r="D29" s="538"/>
      <c r="E29" s="538"/>
      <c r="F29" s="538"/>
    </row>
    <row r="30" spans="2:9" x14ac:dyDescent="0.25">
      <c r="B30" s="800" t="s">
        <v>3150</v>
      </c>
      <c r="C30" s="800"/>
      <c r="D30" s="800"/>
      <c r="E30" s="800"/>
      <c r="F30" s="540" t="e">
        <f>MIN(F24,F26,F28)</f>
        <v>#REF!</v>
      </c>
    </row>
    <row r="31" spans="2:9" x14ac:dyDescent="0.25">
      <c r="B31" s="538"/>
      <c r="C31" s="538"/>
      <c r="D31" s="538"/>
      <c r="E31" s="538"/>
      <c r="F31" s="538"/>
    </row>
    <row r="32" spans="2:9" ht="33.6" customHeight="1" x14ac:dyDescent="0.25">
      <c r="B32" s="789" t="s">
        <v>3151</v>
      </c>
      <c r="C32" s="789"/>
    </row>
    <row r="33" spans="2:6" ht="23.45" customHeight="1" x14ac:dyDescent="0.25">
      <c r="B33" s="541"/>
      <c r="C33" s="541"/>
    </row>
    <row r="34" spans="2:6" ht="30" x14ac:dyDescent="0.25">
      <c r="B34" s="542" t="s">
        <v>3152</v>
      </c>
      <c r="C34" s="543" t="e">
        <f>IF(B3&gt;7350,7350,B3)</f>
        <v>#REF!</v>
      </c>
    </row>
    <row r="35" spans="2:6" ht="30" x14ac:dyDescent="0.25">
      <c r="B35" s="542" t="s">
        <v>3153</v>
      </c>
      <c r="C35" s="544">
        <v>0.13314500000000001</v>
      </c>
    </row>
    <row r="36" spans="2:6" ht="28.5" customHeight="1" x14ac:dyDescent="0.25">
      <c r="B36" s="545" t="s">
        <v>3154</v>
      </c>
      <c r="C36" s="543">
        <v>978.62</v>
      </c>
    </row>
    <row r="38" spans="2:6" ht="75" x14ac:dyDescent="0.25">
      <c r="B38" s="546" t="s">
        <v>3154</v>
      </c>
      <c r="C38" s="542" t="s">
        <v>3155</v>
      </c>
      <c r="D38" s="547" t="s">
        <v>3156</v>
      </c>
      <c r="E38" s="547" t="s">
        <v>3157</v>
      </c>
    </row>
    <row r="39" spans="2:6" x14ac:dyDescent="0.25">
      <c r="B39" s="531">
        <v>978.62</v>
      </c>
      <c r="C39" s="531" t="e">
        <f>C34</f>
        <v>#REF!</v>
      </c>
      <c r="D39" s="530">
        <v>0.13314500000000001</v>
      </c>
      <c r="E39" s="548" t="e">
        <f>TRUNC(B39-(C39*D39),2)</f>
        <v>#REF!</v>
      </c>
    </row>
    <row r="42" spans="2:6" ht="30" x14ac:dyDescent="0.25">
      <c r="B42" s="549" t="s">
        <v>3158</v>
      </c>
      <c r="C42" s="550" t="e">
        <f>F24</f>
        <v>#REF!</v>
      </c>
    </row>
    <row r="43" spans="2:6" x14ac:dyDescent="0.25">
      <c r="B43" s="549" t="s">
        <v>3159</v>
      </c>
      <c r="C43" s="551" t="e">
        <f>E39</f>
        <v>#REF!</v>
      </c>
    </row>
    <row r="44" spans="2:6" ht="51.6" customHeight="1" x14ac:dyDescent="0.25">
      <c r="B44" s="552" t="s">
        <v>3160</v>
      </c>
      <c r="C44" s="553" t="e">
        <f>C42-C43</f>
        <v>#REF!</v>
      </c>
    </row>
    <row r="46" spans="2:6" x14ac:dyDescent="0.25">
      <c r="F46" s="554"/>
    </row>
    <row r="47" spans="2:6" x14ac:dyDescent="0.25">
      <c r="B47" s="555" t="s">
        <v>3161</v>
      </c>
      <c r="D47" s="500"/>
      <c r="E47" s="500"/>
    </row>
    <row r="48" spans="2:6" ht="27.95" customHeight="1" x14ac:dyDescent="0.25">
      <c r="B48" s="783" t="s">
        <v>3114</v>
      </c>
      <c r="C48" s="783"/>
      <c r="D48" s="783" t="s">
        <v>3115</v>
      </c>
      <c r="E48" s="783"/>
      <c r="F48" s="783"/>
    </row>
    <row r="49" spans="2:6" x14ac:dyDescent="0.25">
      <c r="B49" s="501" t="s">
        <v>3116</v>
      </c>
      <c r="C49" s="556" t="s">
        <v>3117</v>
      </c>
      <c r="D49" s="781" t="s">
        <v>3118</v>
      </c>
      <c r="E49" s="801"/>
      <c r="F49" s="782"/>
    </row>
    <row r="50" spans="2:6" ht="29.45" customHeight="1" x14ac:dyDescent="0.25">
      <c r="B50" s="557">
        <v>0</v>
      </c>
      <c r="C50" s="543">
        <v>5000</v>
      </c>
      <c r="D50" s="784" t="s">
        <v>3119</v>
      </c>
      <c r="E50" s="784"/>
      <c r="F50" s="784"/>
    </row>
    <row r="51" spans="2:6" ht="67.5" customHeight="1" x14ac:dyDescent="0.25">
      <c r="B51" s="557">
        <v>5000.01</v>
      </c>
      <c r="C51" s="543">
        <v>7350</v>
      </c>
      <c r="D51" s="784" t="s">
        <v>3120</v>
      </c>
      <c r="E51" s="784"/>
      <c r="F51" s="784"/>
    </row>
  </sheetData>
  <sheetProtection selectLockedCells="1"/>
  <mergeCells count="23">
    <mergeCell ref="B48:C48"/>
    <mergeCell ref="D48:F48"/>
    <mergeCell ref="D49:F49"/>
    <mergeCell ref="D50:F50"/>
    <mergeCell ref="D51:F51"/>
    <mergeCell ref="B32:C32"/>
    <mergeCell ref="B14:D14"/>
    <mergeCell ref="E14:F14"/>
    <mergeCell ref="B15:D15"/>
    <mergeCell ref="E15:F15"/>
    <mergeCell ref="B16:D16"/>
    <mergeCell ref="E16:F16"/>
    <mergeCell ref="B24:E24"/>
    <mergeCell ref="B26:E26"/>
    <mergeCell ref="B27:F27"/>
    <mergeCell ref="B28:E28"/>
    <mergeCell ref="B30:E30"/>
    <mergeCell ref="B13:F13"/>
    <mergeCell ref="B2:F2"/>
    <mergeCell ref="B3:F3"/>
    <mergeCell ref="H7:I7"/>
    <mergeCell ref="B10:E10"/>
    <mergeCell ref="B11:E11"/>
  </mergeCells>
  <hyperlinks>
    <hyperlink ref="B47" r:id="rId1" display="http://legislacao.planalto.gov.br/legisla/legislacao.nsf/Viw_Identificacao/lei 15.270-2025?OpenDocument" xr:uid="{B9579073-7D2B-470A-8910-0409FEE251A9}"/>
  </hyperlink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FD295-09D7-4863-951A-1DB77FBF831B}">
  <dimension ref="B2:J51"/>
  <sheetViews>
    <sheetView topLeftCell="A35" workbookViewId="0">
      <selection activeCell="I25" sqref="I25"/>
    </sheetView>
  </sheetViews>
  <sheetFormatPr defaultRowHeight="15" x14ac:dyDescent="0.25"/>
  <cols>
    <col min="1" max="1" width="9.140625" style="443"/>
    <col min="2" max="2" width="20.140625" style="443" customWidth="1"/>
    <col min="3" max="3" width="16" style="443" bestFit="1" customWidth="1"/>
    <col min="4" max="4" width="8.5703125" style="443" bestFit="1" customWidth="1"/>
    <col min="5" max="5" width="12.140625" style="443" bestFit="1" customWidth="1"/>
    <col min="6" max="6" width="20.85546875" style="443" customWidth="1"/>
    <col min="7" max="7" width="12.140625" style="443" bestFit="1" customWidth="1"/>
    <col min="8" max="8" width="9.5703125" style="443" customWidth="1"/>
    <col min="9" max="9" width="13" style="443" customWidth="1"/>
    <col min="10" max="10" width="11.5703125" style="443" bestFit="1" customWidth="1"/>
    <col min="11" max="16384" width="9.140625" style="443"/>
  </cols>
  <sheetData>
    <row r="2" spans="2:10" x14ac:dyDescent="0.25">
      <c r="B2" s="785" t="s">
        <v>3133</v>
      </c>
      <c r="C2" s="785"/>
      <c r="D2" s="785"/>
      <c r="E2" s="785"/>
      <c r="F2" s="785"/>
    </row>
    <row r="3" spans="2:10" x14ac:dyDescent="0.25">
      <c r="B3" s="786" t="e">
        <f>'Cálculo IRRF -Jan.2026'!D13</f>
        <v>#REF!</v>
      </c>
      <c r="C3" s="786"/>
      <c r="D3" s="786"/>
      <c r="E3" s="786"/>
      <c r="F3" s="786"/>
      <c r="G3" s="521"/>
      <c r="H3" s="522"/>
    </row>
    <row r="4" spans="2:10" x14ac:dyDescent="0.25">
      <c r="G4" s="521"/>
    </row>
    <row r="5" spans="2:10" x14ac:dyDescent="0.25">
      <c r="B5" s="523"/>
      <c r="C5" s="523"/>
      <c r="D5" s="523"/>
      <c r="E5" s="523"/>
      <c r="F5" s="523"/>
    </row>
    <row r="6" spans="2:10" x14ac:dyDescent="0.25">
      <c r="B6" s="524"/>
      <c r="C6" s="524"/>
      <c r="D6" s="525"/>
      <c r="E6" s="524"/>
      <c r="F6" s="524"/>
    </row>
    <row r="7" spans="2:10" x14ac:dyDescent="0.25">
      <c r="B7" s="524"/>
      <c r="C7" s="524"/>
      <c r="D7" s="525"/>
      <c r="E7" s="524"/>
      <c r="F7" s="524"/>
      <c r="H7" s="787"/>
      <c r="I7" s="787"/>
    </row>
    <row r="8" spans="2:10" x14ac:dyDescent="0.25">
      <c r="B8" s="524"/>
      <c r="C8" s="524"/>
      <c r="D8" s="525"/>
      <c r="E8" s="524"/>
      <c r="F8" s="524"/>
    </row>
    <row r="9" spans="2:10" x14ac:dyDescent="0.25">
      <c r="B9" s="524"/>
      <c r="C9" s="524"/>
      <c r="D9" s="525"/>
      <c r="E9" s="524"/>
      <c r="F9" s="524"/>
    </row>
    <row r="10" spans="2:10" x14ac:dyDescent="0.25">
      <c r="B10" s="788" t="s">
        <v>3134</v>
      </c>
      <c r="C10" s="788"/>
      <c r="D10" s="788"/>
      <c r="E10" s="788"/>
      <c r="F10" s="526" t="e">
        <f>'Cálculo IRRF -Jan.2026'!D23</f>
        <v>#REF!</v>
      </c>
      <c r="G10" s="521"/>
      <c r="J10" s="521"/>
    </row>
    <row r="11" spans="2:10" x14ac:dyDescent="0.25">
      <c r="B11" s="788"/>
      <c r="C11" s="788"/>
      <c r="D11" s="788"/>
      <c r="E11" s="788"/>
      <c r="F11" s="527"/>
      <c r="G11" s="521"/>
      <c r="I11" s="464"/>
      <c r="J11" s="521"/>
    </row>
    <row r="12" spans="2:10" x14ac:dyDescent="0.25">
      <c r="I12" s="528"/>
      <c r="J12" s="558"/>
    </row>
    <row r="13" spans="2:10" x14ac:dyDescent="0.25">
      <c r="B13" s="785" t="s">
        <v>3162</v>
      </c>
      <c r="C13" s="785"/>
      <c r="D13" s="785"/>
      <c r="E13" s="785"/>
      <c r="F13" s="785"/>
      <c r="I13" s="528"/>
      <c r="J13" s="521"/>
    </row>
    <row r="14" spans="2:10" x14ac:dyDescent="0.25">
      <c r="B14" s="790" t="s">
        <v>3163</v>
      </c>
      <c r="C14" s="790"/>
      <c r="D14" s="790"/>
      <c r="E14" s="802" t="e">
        <f>B3</f>
        <v>#REF!</v>
      </c>
      <c r="F14" s="803"/>
      <c r="I14" s="528"/>
    </row>
    <row r="15" spans="2:10" x14ac:dyDescent="0.25">
      <c r="B15" s="790" t="s">
        <v>3164</v>
      </c>
      <c r="C15" s="790"/>
      <c r="D15" s="790"/>
      <c r="E15" s="804">
        <v>607.20000000000005</v>
      </c>
      <c r="F15" s="804"/>
    </row>
    <row r="16" spans="2:10" x14ac:dyDescent="0.25">
      <c r="B16" s="790" t="s">
        <v>3139</v>
      </c>
      <c r="C16" s="790"/>
      <c r="D16" s="790"/>
      <c r="E16" s="805" t="e">
        <f>'Cálculo IRRF -Jan.2026'!D13-'Cálculo IRRF -Jan.2026'!D29</f>
        <v>#REF!</v>
      </c>
      <c r="F16" s="806"/>
    </row>
    <row r="18" spans="2:6" x14ac:dyDescent="0.25">
      <c r="B18" s="523" t="s">
        <v>3141</v>
      </c>
      <c r="C18" s="523" t="s">
        <v>3142</v>
      </c>
      <c r="D18" s="523" t="s">
        <v>3143</v>
      </c>
      <c r="E18" s="523" t="s">
        <v>3144</v>
      </c>
      <c r="F18" s="523" t="s">
        <v>3145</v>
      </c>
    </row>
    <row r="19" spans="2:6" x14ac:dyDescent="0.25">
      <c r="B19" s="524">
        <v>0</v>
      </c>
      <c r="C19" s="524">
        <v>2428.8000000000002</v>
      </c>
      <c r="D19" s="532">
        <v>0</v>
      </c>
      <c r="E19" s="533">
        <v>0</v>
      </c>
      <c r="F19" s="520">
        <v>0</v>
      </c>
    </row>
    <row r="20" spans="2:6" x14ac:dyDescent="0.25">
      <c r="B20" s="524">
        <v>2428.81</v>
      </c>
      <c r="C20" s="524">
        <v>2826.65</v>
      </c>
      <c r="D20" s="532">
        <v>7.4999999999999997E-2</v>
      </c>
      <c r="E20" s="533">
        <v>182.16</v>
      </c>
      <c r="F20" s="520" t="e">
        <f>IF(AND($E$16&gt;B20,$E$16&lt;C20),TRUNC($E$16*D20,2)-E20,0)</f>
        <v>#REF!</v>
      </c>
    </row>
    <row r="21" spans="2:6" x14ac:dyDescent="0.25">
      <c r="B21" s="524">
        <v>2826.66</v>
      </c>
      <c r="C21" s="524">
        <v>3751.05</v>
      </c>
      <c r="D21" s="532">
        <v>0.15</v>
      </c>
      <c r="E21" s="533">
        <v>394.16</v>
      </c>
      <c r="F21" s="520" t="e">
        <f>IF(AND($E$16&gt;B21,$E$16&lt;C21),TRUNC($E$16*D21,2)-E21,0)</f>
        <v>#REF!</v>
      </c>
    </row>
    <row r="22" spans="2:6" x14ac:dyDescent="0.25">
      <c r="B22" s="524">
        <v>3751.06</v>
      </c>
      <c r="C22" s="524">
        <v>4664.68</v>
      </c>
      <c r="D22" s="532">
        <v>0.22500000000000001</v>
      </c>
      <c r="E22" s="533">
        <v>675.49</v>
      </c>
      <c r="F22" s="559" t="e">
        <f>IF(AND($E$16&gt;B22,$E$16&lt;C22),TRUNC($E$16*D22,2)-E22,0)</f>
        <v>#REF!</v>
      </c>
    </row>
    <row r="23" spans="2:6" x14ac:dyDescent="0.25">
      <c r="B23" s="524">
        <v>4664.6899999999996</v>
      </c>
      <c r="C23" s="524">
        <v>9999999</v>
      </c>
      <c r="D23" s="532">
        <v>0.27500000000000002</v>
      </c>
      <c r="E23" s="533">
        <v>908.73</v>
      </c>
      <c r="F23" s="520" t="e">
        <f>IF(AND($E$16&gt;B23,$E$16&lt;C23),TRUNC($E$16*D23,2)-E23,0)</f>
        <v>#REF!</v>
      </c>
    </row>
    <row r="24" spans="2:6" x14ac:dyDescent="0.25">
      <c r="B24" s="788" t="s">
        <v>3147</v>
      </c>
      <c r="C24" s="788"/>
      <c r="D24" s="788"/>
      <c r="E24" s="788"/>
      <c r="F24" s="560" t="e">
        <f>SUM(F19:F23)</f>
        <v>#REF!</v>
      </c>
    </row>
    <row r="25" spans="2:6" ht="15.75" thickBot="1" x14ac:dyDescent="0.3"/>
    <row r="26" spans="2:6" ht="16.5" thickTop="1" thickBot="1" x14ac:dyDescent="0.3">
      <c r="B26" s="797" t="s">
        <v>3148</v>
      </c>
      <c r="C26" s="797"/>
      <c r="D26" s="797"/>
      <c r="E26" s="797"/>
      <c r="F26" s="537" t="e">
        <f>IF($B$3&lt;=$C$50,0,$F$24)</f>
        <v>#REF!</v>
      </c>
    </row>
    <row r="27" spans="2:6" ht="16.5" thickTop="1" thickBot="1" x14ac:dyDescent="0.3">
      <c r="B27" s="798"/>
      <c r="C27" s="798"/>
      <c r="D27" s="798"/>
      <c r="E27" s="798"/>
      <c r="F27" s="798"/>
    </row>
    <row r="28" spans="2:6" ht="15.75" thickBot="1" x14ac:dyDescent="0.3">
      <c r="B28" s="799" t="s">
        <v>3149</v>
      </c>
      <c r="C28" s="799"/>
      <c r="D28" s="799"/>
      <c r="E28" s="799"/>
      <c r="F28" s="561" t="e">
        <f>IF(AND($B$3&gt;C50,$B$3&lt;=C51),F24-E39,IF($B$3&lt;=C50,F26,F24))</f>
        <v>#REF!</v>
      </c>
    </row>
    <row r="29" spans="2:6" x14ac:dyDescent="0.25">
      <c r="B29" s="562"/>
      <c r="C29" s="562"/>
      <c r="D29" s="562"/>
      <c r="E29" s="562"/>
      <c r="F29" s="538"/>
    </row>
    <row r="30" spans="2:6" x14ac:dyDescent="0.25">
      <c r="B30" s="800" t="s">
        <v>3150</v>
      </c>
      <c r="C30" s="800"/>
      <c r="D30" s="800"/>
      <c r="E30" s="800"/>
      <c r="F30" s="540" t="e">
        <f>MIN(F24,F26,F28)</f>
        <v>#REF!</v>
      </c>
    </row>
    <row r="32" spans="2:6" ht="29.1" customHeight="1" x14ac:dyDescent="0.25">
      <c r="B32" s="789" t="s">
        <v>3151</v>
      </c>
      <c r="C32" s="789"/>
    </row>
    <row r="33" spans="2:6" x14ac:dyDescent="0.25">
      <c r="B33" s="541"/>
      <c r="C33" s="541"/>
    </row>
    <row r="34" spans="2:6" ht="30" x14ac:dyDescent="0.25">
      <c r="B34" s="542" t="s">
        <v>3152</v>
      </c>
      <c r="C34" s="543" t="e">
        <f>IF($B$3&gt;7350,7350,$B$3)</f>
        <v>#REF!</v>
      </c>
    </row>
    <row r="35" spans="2:6" ht="45" x14ac:dyDescent="0.25">
      <c r="B35" s="542" t="s">
        <v>3153</v>
      </c>
      <c r="C35" s="544">
        <v>0.13314500000000001</v>
      </c>
    </row>
    <row r="36" spans="2:6" ht="30" x14ac:dyDescent="0.25">
      <c r="B36" s="545" t="s">
        <v>3154</v>
      </c>
      <c r="C36" s="543">
        <v>978.62</v>
      </c>
    </row>
    <row r="38" spans="2:6" ht="75" x14ac:dyDescent="0.25">
      <c r="B38" s="546" t="s">
        <v>3154</v>
      </c>
      <c r="C38" s="542" t="s">
        <v>3155</v>
      </c>
      <c r="D38" s="547" t="s">
        <v>3156</v>
      </c>
      <c r="E38" s="547" t="s">
        <v>3157</v>
      </c>
    </row>
    <row r="39" spans="2:6" ht="20.100000000000001" customHeight="1" x14ac:dyDescent="0.25">
      <c r="B39" s="531">
        <v>978.62</v>
      </c>
      <c r="C39" s="531" t="e">
        <f>$B$3</f>
        <v>#REF!</v>
      </c>
      <c r="D39" s="530">
        <v>0.13314500000000001</v>
      </c>
      <c r="E39" s="563" t="e">
        <f>TRUNC($B$39-($C$39*$D$39),2)</f>
        <v>#REF!</v>
      </c>
    </row>
    <row r="42" spans="2:6" ht="30" x14ac:dyDescent="0.25">
      <c r="B42" s="549" t="s">
        <v>3158</v>
      </c>
      <c r="C42" s="550" t="e">
        <f>$F$24</f>
        <v>#REF!</v>
      </c>
    </row>
    <row r="43" spans="2:6" ht="30" x14ac:dyDescent="0.25">
      <c r="B43" s="549" t="s">
        <v>3159</v>
      </c>
      <c r="C43" s="551" t="e">
        <f>$E$39</f>
        <v>#REF!</v>
      </c>
    </row>
    <row r="44" spans="2:6" ht="60" x14ac:dyDescent="0.25">
      <c r="B44" s="552" t="s">
        <v>3160</v>
      </c>
      <c r="C44" s="553" t="e">
        <f>$C$42-$C$43</f>
        <v>#REF!</v>
      </c>
    </row>
    <row r="46" spans="2:6" x14ac:dyDescent="0.25">
      <c r="F46" s="554"/>
    </row>
    <row r="47" spans="2:6" x14ac:dyDescent="0.25">
      <c r="B47" s="555" t="s">
        <v>3161</v>
      </c>
      <c r="D47" s="500"/>
      <c r="E47" s="500"/>
    </row>
    <row r="48" spans="2:6" ht="29.1" customHeight="1" x14ac:dyDescent="0.25">
      <c r="B48" s="783" t="s">
        <v>3114</v>
      </c>
      <c r="C48" s="783"/>
      <c r="D48" s="783" t="s">
        <v>3115</v>
      </c>
      <c r="E48" s="783"/>
      <c r="F48" s="783"/>
    </row>
    <row r="49" spans="2:6" x14ac:dyDescent="0.25">
      <c r="B49" s="501" t="s">
        <v>3116</v>
      </c>
      <c r="C49" s="556" t="s">
        <v>3117</v>
      </c>
      <c r="D49" s="781" t="s">
        <v>3118</v>
      </c>
      <c r="E49" s="801"/>
      <c r="F49" s="782"/>
    </row>
    <row r="50" spans="2:6" ht="35.450000000000003" customHeight="1" x14ac:dyDescent="0.25">
      <c r="B50" s="557">
        <v>0</v>
      </c>
      <c r="C50" s="543">
        <v>5000</v>
      </c>
      <c r="D50" s="784" t="s">
        <v>3119</v>
      </c>
      <c r="E50" s="784"/>
      <c r="F50" s="784"/>
    </row>
    <row r="51" spans="2:6" ht="37.5" customHeight="1" x14ac:dyDescent="0.25">
      <c r="B51" s="557">
        <v>5000.01</v>
      </c>
      <c r="C51" s="543">
        <v>7350</v>
      </c>
      <c r="D51" s="784" t="s">
        <v>3120</v>
      </c>
      <c r="E51" s="784"/>
      <c r="F51" s="784"/>
    </row>
  </sheetData>
  <sheetProtection selectLockedCells="1"/>
  <mergeCells count="23">
    <mergeCell ref="B48:C48"/>
    <mergeCell ref="D48:F48"/>
    <mergeCell ref="D49:F49"/>
    <mergeCell ref="D50:F50"/>
    <mergeCell ref="D51:F51"/>
    <mergeCell ref="B32:C32"/>
    <mergeCell ref="B14:D14"/>
    <mergeCell ref="E14:F14"/>
    <mergeCell ref="B15:D15"/>
    <mergeCell ref="E15:F15"/>
    <mergeCell ref="B16:D16"/>
    <mergeCell ref="E16:F16"/>
    <mergeCell ref="B24:E24"/>
    <mergeCell ref="B26:E26"/>
    <mergeCell ref="B27:F27"/>
    <mergeCell ref="B28:E28"/>
    <mergeCell ref="B30:E30"/>
    <mergeCell ref="B13:F13"/>
    <mergeCell ref="B2:F2"/>
    <mergeCell ref="B3:F3"/>
    <mergeCell ref="H7:I7"/>
    <mergeCell ref="B10:E10"/>
    <mergeCell ref="B11:E11"/>
  </mergeCells>
  <hyperlinks>
    <hyperlink ref="B47" r:id="rId1" display="http://legislacao.planalto.gov.br/legisla/legislacao.nsf/Viw_Identificacao/lei 15.270-2025?OpenDocument" xr:uid="{D0620C33-5AB3-4B70-9BEC-58D61950C00A}"/>
  </hyperlink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2"/>
  <legacyDrawing r:id="rId3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19</vt:i4>
      </vt:variant>
      <vt:variant>
        <vt:lpstr>Intervalos Nomeados</vt:lpstr>
      </vt:variant>
      <vt:variant>
        <vt:i4>40</vt:i4>
      </vt:variant>
    </vt:vector>
  </HeadingPairs>
  <TitlesOfParts>
    <vt:vector size="59" baseType="lpstr">
      <vt:lpstr>APONTAMENTO CREDENCIAMENTO</vt:lpstr>
      <vt:lpstr>APELIDOS</vt:lpstr>
      <vt:lpstr>CONTINUA</vt:lpstr>
      <vt:lpstr>BASE C</vt:lpstr>
      <vt:lpstr>DEMO C</vt:lpstr>
      <vt:lpstr>ATESTE-LIQ-FIS</vt:lpstr>
      <vt:lpstr>DEMO FIS</vt:lpstr>
      <vt:lpstr>EMPRESA C</vt:lpstr>
      <vt:lpstr>ATESTADO C</vt:lpstr>
      <vt:lpstr>Planilha1</vt:lpstr>
      <vt:lpstr>ProcRel</vt:lpstr>
      <vt:lpstr>ProcRel1</vt:lpstr>
      <vt:lpstr>ATESTE-LIQ</vt:lpstr>
      <vt:lpstr>VALORES TABELA</vt:lpstr>
      <vt:lpstr>REVISAO</vt:lpstr>
      <vt:lpstr>Plan1</vt:lpstr>
      <vt:lpstr>Cálculo IRRF -Jan.2026</vt:lpstr>
      <vt:lpstr>IR Deduções Legais-Maio.2025</vt:lpstr>
      <vt:lpstr>IR Desc. Simplificado-Maio.2025</vt:lpstr>
      <vt:lpstr>ApagaAtesteFis</vt:lpstr>
      <vt:lpstr>ApagaBaseC</vt:lpstr>
      <vt:lpstr>ApagaDadosA</vt:lpstr>
      <vt:lpstr>ApagaDadosC</vt:lpstr>
      <vt:lpstr>ApagaRegistroA</vt:lpstr>
      <vt:lpstr>ApagaRegistroC</vt:lpstr>
      <vt:lpstr>'APONTAMENTO CREDENCIAMENTO'!Area_de_impressao</vt:lpstr>
      <vt:lpstr>'ATESTADO C'!Area_de_impressao</vt:lpstr>
      <vt:lpstr>'Cálculo IRRF -Jan.2026'!Area_de_impressao</vt:lpstr>
      <vt:lpstr>CONTINUA!Area_de_impressao</vt:lpstr>
      <vt:lpstr>'DEMO C'!Area_de_impressao</vt:lpstr>
      <vt:lpstr>'DEMO FIS'!Area_de_impressao</vt:lpstr>
      <vt:lpstr>Cadeirante</vt:lpstr>
      <vt:lpstr>Cadeirantee</vt:lpstr>
      <vt:lpstr>CopiaDados</vt:lpstr>
      <vt:lpstr>CopiaDadosC</vt:lpstr>
      <vt:lpstr>CopiaFormulaA1</vt:lpstr>
      <vt:lpstr>CopiaFormulaC</vt:lpstr>
      <vt:lpstr>CopiaSomaC</vt:lpstr>
      <vt:lpstr>Crechee</vt:lpstr>
      <vt:lpstr>DataF</vt:lpstr>
      <vt:lpstr>DataFinal</vt:lpstr>
      <vt:lpstr>DataI</vt:lpstr>
      <vt:lpstr>Datainicial</vt:lpstr>
      <vt:lpstr>DiasMesC</vt:lpstr>
      <vt:lpstr>DRE</vt:lpstr>
      <vt:lpstr>Especiall</vt:lpstr>
      <vt:lpstr>'ATESTE-LIQ'!Excel_BuiltIn__FilterDatabase</vt:lpstr>
      <vt:lpstr>Fixo</vt:lpstr>
      <vt:lpstr>FormulaAtestadoC</vt:lpstr>
      <vt:lpstr>FormulaAtesteFis</vt:lpstr>
      <vt:lpstr>FormulaAtesteLiq</vt:lpstr>
      <vt:lpstr>FormulaBaseC</vt:lpstr>
      <vt:lpstr>FormulaEmpresaC</vt:lpstr>
      <vt:lpstr>km</vt:lpstr>
      <vt:lpstr>NomeDRE</vt:lpstr>
      <vt:lpstr>Percapita</vt:lpstr>
      <vt:lpstr>PontoA</vt:lpstr>
      <vt:lpstr>PontoC</vt:lpstr>
      <vt:lpstr>regular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Valter Carlos de Moraes</dc:creator>
  <cp:lastModifiedBy>vladimir martins</cp:lastModifiedBy>
  <cp:revision/>
  <cp:lastPrinted>2026-05-11T14:51:49Z</cp:lastPrinted>
  <dcterms:created xsi:type="dcterms:W3CDTF">2019-02-08T16:49:11Z</dcterms:created>
  <dcterms:modified xsi:type="dcterms:W3CDTF">2026-06-02T14:42:12Z</dcterms:modified>
</cp:coreProperties>
</file>