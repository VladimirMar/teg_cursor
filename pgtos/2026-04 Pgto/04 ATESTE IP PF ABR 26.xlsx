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C47D38EA-EFE6-4519-A797-28BED57C9A8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CREDENCIAMENTO'!$A$5:$IC$92</definedName>
    <definedName name="_xlnm._FilterDatabase" localSheetId="8" hidden="1">'ATESTADO C'!$A$17:$Z$17</definedName>
    <definedName name="_xlnm._FilterDatabase" localSheetId="12" hidden="1">'ATESTE-LIQ'!$A$1:$AT$20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CREDENCIAMENTO'!$Q$6:$EL$2949</definedName>
    <definedName name="ApagaDadosC">CONTINUA!$L$6:$BU$2967</definedName>
    <definedName name="ApagarDadosDigitados">#REF!</definedName>
    <definedName name="ApagaRegistroA">'APONTAMENTO CREDENCIAMENTO'!$A$6:$K$2949</definedName>
    <definedName name="ApagaRegistroC">CONTINUA!$A$6:$K$2967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CREDENCIAMENTO'!$M$91</definedName>
    <definedName name="CopiaSomaC" localSheetId="5">[1]CONTINUA!#REF!</definedName>
    <definedName name="CopiaSomaC">CONTINUA!$BV$92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CREDENCIAMENTO'!$DY$4:$EJ$3204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" i="13" l="1"/>
  <c r="L18" i="13"/>
  <c r="AB18" i="13" s="1"/>
  <c r="I18" i="13"/>
  <c r="H18" i="13"/>
  <c r="G18" i="13"/>
  <c r="F18" i="13"/>
  <c r="J18" i="13" s="1"/>
  <c r="D18" i="13"/>
  <c r="T18" i="13" s="1"/>
  <c r="C18" i="13"/>
  <c r="AA17" i="13"/>
  <c r="L17" i="13"/>
  <c r="AB17" i="13" s="1"/>
  <c r="I17" i="13"/>
  <c r="H17" i="13"/>
  <c r="G17" i="13"/>
  <c r="F17" i="13"/>
  <c r="J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J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J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U9" i="13" s="1"/>
  <c r="V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J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20" i="87"/>
  <c r="G20" i="87" s="1"/>
  <c r="D19" i="87"/>
  <c r="G19" i="87" s="1"/>
  <c r="D18" i="87"/>
  <c r="G18" i="87" s="1"/>
  <c r="D17" i="87"/>
  <c r="G17" i="87" s="1"/>
  <c r="D16" i="87"/>
  <c r="G16" i="87" s="1"/>
  <c r="D15" i="87"/>
  <c r="G15" i="87" s="1"/>
  <c r="D14" i="87"/>
  <c r="G14" i="87" s="1"/>
  <c r="D13" i="87"/>
  <c r="G13" i="87" s="1"/>
  <c r="D12" i="87"/>
  <c r="G12" i="87" s="1"/>
  <c r="D11" i="87"/>
  <c r="G11" i="87" s="1"/>
  <c r="D10" i="87"/>
  <c r="G10" i="87" s="1"/>
  <c r="D9" i="87"/>
  <c r="G9" i="87" s="1"/>
  <c r="D8" i="87"/>
  <c r="G8" i="87" s="1"/>
  <c r="D7" i="87"/>
  <c r="G7" i="87" s="1"/>
  <c r="D6" i="87"/>
  <c r="G6" i="87" s="1"/>
  <c r="D5" i="87"/>
  <c r="G5" i="87" s="1"/>
  <c r="U18" i="13" l="1"/>
  <c r="V18" i="13" s="1"/>
  <c r="U17" i="13"/>
  <c r="V17" i="13" s="1"/>
  <c r="U16" i="13"/>
  <c r="V16" i="13" s="1"/>
  <c r="U15" i="13"/>
  <c r="V15" i="13" s="1"/>
  <c r="U14" i="13"/>
  <c r="V14" i="13" s="1"/>
  <c r="U13" i="13"/>
  <c r="V13" i="13" s="1"/>
  <c r="U12" i="13"/>
  <c r="V12" i="13" s="1"/>
  <c r="U11" i="13"/>
  <c r="V11" i="13" s="1"/>
  <c r="U10" i="13"/>
  <c r="V10" i="13" s="1"/>
  <c r="J9" i="13"/>
  <c r="U8" i="13"/>
  <c r="V8" i="13" s="1"/>
  <c r="U7" i="13"/>
  <c r="V7" i="13" s="1"/>
  <c r="U6" i="13"/>
  <c r="V6" i="13" s="1"/>
  <c r="U5" i="13"/>
  <c r="V5" i="13" s="1"/>
  <c r="U4" i="13"/>
  <c r="V4" i="13" s="1"/>
  <c r="U3" i="13"/>
  <c r="V3" i="13" s="1"/>
  <c r="J10" i="87"/>
  <c r="J14" i="87"/>
  <c r="J18" i="87"/>
  <c r="J8" i="87"/>
  <c r="J12" i="87"/>
  <c r="J20" i="87"/>
  <c r="E5" i="87"/>
  <c r="H5" i="87" s="1"/>
  <c r="I5" i="87"/>
  <c r="E6" i="87"/>
  <c r="H6" i="87" s="1"/>
  <c r="I6" i="87"/>
  <c r="E7" i="87"/>
  <c r="H7" i="87" s="1"/>
  <c r="I7" i="87"/>
  <c r="E8" i="87"/>
  <c r="H8" i="87" s="1"/>
  <c r="I8" i="87"/>
  <c r="E9" i="87"/>
  <c r="H9" i="87" s="1"/>
  <c r="I9" i="87"/>
  <c r="E10" i="87"/>
  <c r="H10" i="87" s="1"/>
  <c r="I10" i="87"/>
  <c r="E11" i="87"/>
  <c r="H11" i="87" s="1"/>
  <c r="I11" i="87"/>
  <c r="E12" i="87"/>
  <c r="H12" i="87" s="1"/>
  <c r="I12" i="87"/>
  <c r="E13" i="87"/>
  <c r="H13" i="87" s="1"/>
  <c r="I13" i="87"/>
  <c r="E14" i="87"/>
  <c r="H14" i="87" s="1"/>
  <c r="I14" i="87"/>
  <c r="E15" i="87"/>
  <c r="H15" i="87" s="1"/>
  <c r="I15" i="87"/>
  <c r="E16" i="87"/>
  <c r="H16" i="87" s="1"/>
  <c r="I16" i="87"/>
  <c r="E17" i="87"/>
  <c r="H17" i="87" s="1"/>
  <c r="I17" i="87"/>
  <c r="E18" i="87"/>
  <c r="H18" i="87" s="1"/>
  <c r="I18" i="87"/>
  <c r="E19" i="87"/>
  <c r="H19" i="87" s="1"/>
  <c r="I19" i="87"/>
  <c r="E20" i="87"/>
  <c r="H20" i="87" s="1"/>
  <c r="I20" i="87"/>
  <c r="F5" i="87"/>
  <c r="F6" i="87"/>
  <c r="F7" i="87"/>
  <c r="F8" i="87"/>
  <c r="F9" i="87"/>
  <c r="F10" i="87"/>
  <c r="F11" i="87"/>
  <c r="F12" i="87"/>
  <c r="F13" i="87"/>
  <c r="F14" i="87"/>
  <c r="F15" i="87"/>
  <c r="F16" i="87"/>
  <c r="F17" i="87"/>
  <c r="F18" i="87"/>
  <c r="F19" i="87"/>
  <c r="F20" i="87"/>
  <c r="K8" i="87" l="1"/>
  <c r="J13" i="87"/>
  <c r="K14" i="87" s="1"/>
  <c r="J7" i="87"/>
  <c r="J16" i="87"/>
  <c r="J19" i="87"/>
  <c r="K20" i="87" s="1"/>
  <c r="J9" i="87"/>
  <c r="K10" i="87" s="1"/>
  <c r="J6" i="87"/>
  <c r="K19" i="87"/>
  <c r="K17" i="87"/>
  <c r="K15" i="87"/>
  <c r="K13" i="87"/>
  <c r="K11" i="87"/>
  <c r="K9" i="87"/>
  <c r="K7" i="87"/>
  <c r="K5" i="87"/>
  <c r="J15" i="87"/>
  <c r="K16" i="87" s="1"/>
  <c r="J17" i="87"/>
  <c r="K18" i="87" s="1"/>
  <c r="J11" i="87"/>
  <c r="K12" i="87" s="1"/>
  <c r="J5" i="87"/>
  <c r="K6" i="87" s="1"/>
  <c r="BU92" i="59" l="1"/>
  <c r="BT92" i="59"/>
  <c r="BS92" i="59"/>
  <c r="BR92" i="59"/>
  <c r="BQ92" i="59"/>
  <c r="BP92" i="59"/>
  <c r="BO92" i="59"/>
  <c r="BN92" i="59"/>
  <c r="BM92" i="59"/>
  <c r="BL92" i="59"/>
  <c r="BK92" i="59"/>
  <c r="BJ92" i="59"/>
  <c r="BI92" i="59"/>
  <c r="BH92" i="59"/>
  <c r="BG92" i="59"/>
  <c r="BF92" i="59"/>
  <c r="BE92" i="59"/>
  <c r="BD92" i="59"/>
  <c r="BC92" i="59"/>
  <c r="BB92" i="59"/>
  <c r="BA92" i="59"/>
  <c r="AZ92" i="59"/>
  <c r="AY92" i="59"/>
  <c r="AX92" i="59"/>
  <c r="AW92" i="59"/>
  <c r="AV92" i="59"/>
  <c r="AU92" i="59"/>
  <c r="AT92" i="59"/>
  <c r="AS92" i="59"/>
  <c r="AR92" i="59"/>
  <c r="AQ92" i="59"/>
  <c r="AP92" i="59"/>
  <c r="AO92" i="59"/>
  <c r="AN92" i="59"/>
  <c r="AM92" i="59"/>
  <c r="AL92" i="59"/>
  <c r="AK92" i="59"/>
  <c r="AJ92" i="59"/>
  <c r="AI92" i="59"/>
  <c r="AH92" i="59"/>
  <c r="AG92" i="59"/>
  <c r="AF92" i="59"/>
  <c r="AE92" i="59"/>
  <c r="AD92" i="59"/>
  <c r="AC92" i="59"/>
  <c r="AB92" i="59"/>
  <c r="AA92" i="59"/>
  <c r="Z92" i="59"/>
  <c r="Y92" i="59"/>
  <c r="X92" i="59"/>
  <c r="W92" i="59"/>
  <c r="V92" i="59"/>
  <c r="U92" i="59"/>
  <c r="T92" i="59"/>
  <c r="S92" i="59"/>
  <c r="R92" i="59"/>
  <c r="Q92" i="59"/>
  <c r="P92" i="59"/>
  <c r="O92" i="59"/>
  <c r="N92" i="59"/>
  <c r="M92" i="59"/>
  <c r="L92" i="59"/>
  <c r="BW90" i="59"/>
  <c r="BV90" i="59"/>
  <c r="BW89" i="59"/>
  <c r="BV89" i="59"/>
  <c r="L89" i="64" s="1"/>
  <c r="BW88" i="59"/>
  <c r="BV88" i="59"/>
  <c r="BW87" i="59"/>
  <c r="BV87" i="59"/>
  <c r="L87" i="64" s="1"/>
  <c r="EY87" i="64" s="1"/>
  <c r="BW86" i="59"/>
  <c r="BV86" i="59"/>
  <c r="BW85" i="59"/>
  <c r="BV85" i="59"/>
  <c r="BW84" i="59"/>
  <c r="BV84" i="59"/>
  <c r="L84" i="64" s="1"/>
  <c r="EY84" i="64" s="1"/>
  <c r="BW83" i="59"/>
  <c r="BV83" i="59"/>
  <c r="BW82" i="59"/>
  <c r="BV82" i="59"/>
  <c r="L82" i="64" s="1"/>
  <c r="EY82" i="64" s="1"/>
  <c r="BW81" i="59"/>
  <c r="BV81" i="59"/>
  <c r="BW80" i="59"/>
  <c r="BV80" i="59"/>
  <c r="BW79" i="59"/>
  <c r="BV79" i="59"/>
  <c r="L79" i="64" s="1"/>
  <c r="EY79" i="64" s="1"/>
  <c r="BW78" i="59"/>
  <c r="BV78" i="59"/>
  <c r="BW77" i="59"/>
  <c r="BV77" i="59"/>
  <c r="L77" i="64" s="1"/>
  <c r="BW76" i="59"/>
  <c r="BV76" i="59"/>
  <c r="BW75" i="59"/>
  <c r="BV75" i="59"/>
  <c r="BW74" i="59"/>
  <c r="BV74" i="59"/>
  <c r="L74" i="64" s="1"/>
  <c r="BW73" i="59"/>
  <c r="BV73" i="59"/>
  <c r="BW72" i="59"/>
  <c r="BV72" i="59"/>
  <c r="L72" i="64" s="1"/>
  <c r="EY72" i="64" s="1"/>
  <c r="BW71" i="59"/>
  <c r="BV71" i="59"/>
  <c r="BW70" i="59"/>
  <c r="BV70" i="59"/>
  <c r="BW69" i="59"/>
  <c r="M69" i="64" s="1"/>
  <c r="BV69" i="59"/>
  <c r="L69" i="64" s="1"/>
  <c r="EY69" i="64" s="1"/>
  <c r="BW68" i="59"/>
  <c r="M68" i="64" s="1"/>
  <c r="EY68" i="64" s="1"/>
  <c r="BV68" i="59"/>
  <c r="BW67" i="59"/>
  <c r="M67" i="64" s="1"/>
  <c r="BV67" i="59"/>
  <c r="L67" i="64" s="1"/>
  <c r="EY67" i="64" s="1"/>
  <c r="BW66" i="59"/>
  <c r="BV66" i="59"/>
  <c r="BW65" i="59"/>
  <c r="BV65" i="59"/>
  <c r="BW64" i="59"/>
  <c r="BV64" i="59"/>
  <c r="L64" i="64" s="1"/>
  <c r="EY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L54" i="64" s="1"/>
  <c r="EY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L44" i="64" s="1"/>
  <c r="EY44" i="64" s="1"/>
  <c r="BW43" i="59"/>
  <c r="BV43" i="59"/>
  <c r="BW42" i="59"/>
  <c r="BV42" i="59"/>
  <c r="L42" i="64" s="1"/>
  <c r="EY42" i="64" s="1"/>
  <c r="BW41" i="59"/>
  <c r="BV41" i="59"/>
  <c r="BW40" i="59"/>
  <c r="BV40" i="59"/>
  <c r="BW39" i="59"/>
  <c r="BV39" i="59"/>
  <c r="L39" i="64" s="1"/>
  <c r="BW38" i="59"/>
  <c r="BV38" i="59"/>
  <c r="BW37" i="59"/>
  <c r="BV37" i="59"/>
  <c r="L37" i="64" s="1"/>
  <c r="EY37" i="64" s="1"/>
  <c r="BW36" i="59"/>
  <c r="BV36" i="59"/>
  <c r="BW35" i="59"/>
  <c r="BV35" i="59"/>
  <c r="BW34" i="59"/>
  <c r="M34" i="64" s="1"/>
  <c r="BV34" i="59"/>
  <c r="L34" i="64" s="1"/>
  <c r="BW33" i="59"/>
  <c r="BV33" i="59"/>
  <c r="BW32" i="59"/>
  <c r="M32" i="64" s="1"/>
  <c r="BV32" i="59"/>
  <c r="L32" i="64" s="1"/>
  <c r="BW31" i="59"/>
  <c r="BV31" i="59"/>
  <c r="BW30" i="59"/>
  <c r="BV30" i="59"/>
  <c r="BW29" i="59"/>
  <c r="BV29" i="59"/>
  <c r="L29" i="64" s="1"/>
  <c r="BW28" i="59"/>
  <c r="BV28" i="59"/>
  <c r="BW27" i="59"/>
  <c r="BV27" i="59"/>
  <c r="L27" i="64" s="1"/>
  <c r="EY27" i="64" s="1"/>
  <c r="BW26" i="59"/>
  <c r="BV26" i="59"/>
  <c r="BW25" i="59"/>
  <c r="BV25" i="59"/>
  <c r="BW24" i="59"/>
  <c r="BV24" i="59"/>
  <c r="L24" i="64" s="1"/>
  <c r="EY24" i="64" s="1"/>
  <c r="BW23" i="59"/>
  <c r="BV23" i="59"/>
  <c r="BW22" i="59"/>
  <c r="BV22" i="59"/>
  <c r="L22" i="64" s="1"/>
  <c r="BW21" i="59"/>
  <c r="BV21" i="59"/>
  <c r="BW20" i="59"/>
  <c r="BV20" i="59"/>
  <c r="BW19" i="59"/>
  <c r="BV19" i="59"/>
  <c r="L19" i="64" s="1"/>
  <c r="BW18" i="59"/>
  <c r="BV18" i="59"/>
  <c r="BW17" i="59"/>
  <c r="BV17" i="59"/>
  <c r="L17" i="64" s="1"/>
  <c r="BW16" i="59"/>
  <c r="BV16" i="59"/>
  <c r="BW15" i="59"/>
  <c r="BV15" i="59"/>
  <c r="BW14" i="59"/>
  <c r="BV14" i="59"/>
  <c r="L14" i="64" s="1"/>
  <c r="EY14" i="64" s="1"/>
  <c r="BW13" i="59"/>
  <c r="BV13" i="59"/>
  <c r="BW12" i="59"/>
  <c r="BV12" i="59"/>
  <c r="L12" i="64" s="1"/>
  <c r="EY12" i="64" s="1"/>
  <c r="BW11" i="59"/>
  <c r="BV11" i="59"/>
  <c r="Q92" i="64"/>
  <c r="R92" i="64" s="1"/>
  <c r="S92" i="64" s="1"/>
  <c r="T92" i="64" s="1"/>
  <c r="U92" i="64" s="1"/>
  <c r="V92" i="64" s="1"/>
  <c r="W92" i="64" s="1"/>
  <c r="X92" i="64" s="1"/>
  <c r="Y92" i="64" s="1"/>
  <c r="Z92" i="64" s="1"/>
  <c r="AA92" i="64" s="1"/>
  <c r="AB92" i="64" s="1"/>
  <c r="AC92" i="64" s="1"/>
  <c r="AD92" i="64" s="1"/>
  <c r="AE92" i="64" s="1"/>
  <c r="AF92" i="64" s="1"/>
  <c r="AG92" i="64" s="1"/>
  <c r="AH92" i="64" s="1"/>
  <c r="AI92" i="64" s="1"/>
  <c r="AJ92" i="64" s="1"/>
  <c r="AK92" i="64" s="1"/>
  <c r="AL92" i="64" s="1"/>
  <c r="AM92" i="64" s="1"/>
  <c r="AN92" i="64" s="1"/>
  <c r="AO92" i="64" s="1"/>
  <c r="AP92" i="64" s="1"/>
  <c r="AQ92" i="64" s="1"/>
  <c r="AR92" i="64" s="1"/>
  <c r="AS92" i="64" s="1"/>
  <c r="AT92" i="64" s="1"/>
  <c r="AU92" i="64" s="1"/>
  <c r="AV92" i="64" s="1"/>
  <c r="AW92" i="64" s="1"/>
  <c r="AX92" i="64" s="1"/>
  <c r="AY92" i="64" s="1"/>
  <c r="AZ92" i="64" s="1"/>
  <c r="BA92" i="64" s="1"/>
  <c r="BB92" i="64" s="1"/>
  <c r="BC92" i="64" s="1"/>
  <c r="BD92" i="64" s="1"/>
  <c r="BE92" i="64" s="1"/>
  <c r="BF92" i="64" s="1"/>
  <c r="BG92" i="64" s="1"/>
  <c r="BH92" i="64" s="1"/>
  <c r="BI92" i="64" s="1"/>
  <c r="BJ92" i="64" s="1"/>
  <c r="BK92" i="64" s="1"/>
  <c r="BL92" i="64" s="1"/>
  <c r="BM92" i="64" s="1"/>
  <c r="BN92" i="64" s="1"/>
  <c r="BO92" i="64" s="1"/>
  <c r="BP92" i="64" s="1"/>
  <c r="BQ92" i="64" s="1"/>
  <c r="BR92" i="64" s="1"/>
  <c r="BS92" i="64" s="1"/>
  <c r="BT92" i="64" s="1"/>
  <c r="BU92" i="64" s="1"/>
  <c r="BV92" i="64" s="1"/>
  <c r="BW92" i="64" s="1"/>
  <c r="BX92" i="64" s="1"/>
  <c r="BY92" i="64" s="1"/>
  <c r="BZ92" i="64" s="1"/>
  <c r="CA92" i="64" s="1"/>
  <c r="CB92" i="64" s="1"/>
  <c r="CC92" i="64" s="1"/>
  <c r="CD92" i="64" s="1"/>
  <c r="CE92" i="64" s="1"/>
  <c r="CF92" i="64" s="1"/>
  <c r="CG92" i="64" s="1"/>
  <c r="CH92" i="64" s="1"/>
  <c r="CI92" i="64" s="1"/>
  <c r="CJ92" i="64" s="1"/>
  <c r="CK92" i="64" s="1"/>
  <c r="CL92" i="64" s="1"/>
  <c r="CM92" i="64" s="1"/>
  <c r="CN92" i="64" s="1"/>
  <c r="CO92" i="64" s="1"/>
  <c r="CP92" i="64" s="1"/>
  <c r="CQ92" i="64" s="1"/>
  <c r="CR92" i="64" s="1"/>
  <c r="CS92" i="64" s="1"/>
  <c r="CT92" i="64" s="1"/>
  <c r="CU92" i="64" s="1"/>
  <c r="CV92" i="64" s="1"/>
  <c r="CW92" i="64" s="1"/>
  <c r="CX92" i="64" s="1"/>
  <c r="CY92" i="64" s="1"/>
  <c r="CZ92" i="64" s="1"/>
  <c r="DA92" i="64" s="1"/>
  <c r="DB92" i="64" s="1"/>
  <c r="DC92" i="64" s="1"/>
  <c r="DD92" i="64" s="1"/>
  <c r="DE92" i="64" s="1"/>
  <c r="DF92" i="64" s="1"/>
  <c r="DG92" i="64" s="1"/>
  <c r="DH92" i="64" s="1"/>
  <c r="DI92" i="64" s="1"/>
  <c r="DJ92" i="64" s="1"/>
  <c r="DK92" i="64" s="1"/>
  <c r="DL92" i="64" s="1"/>
  <c r="DM92" i="64" s="1"/>
  <c r="DN92" i="64" s="1"/>
  <c r="DO92" i="64" s="1"/>
  <c r="DP92" i="64" s="1"/>
  <c r="DQ92" i="64" s="1"/>
  <c r="DR92" i="64" s="1"/>
  <c r="DS92" i="64" s="1"/>
  <c r="DT92" i="64" s="1"/>
  <c r="DU92" i="64" s="1"/>
  <c r="DV92" i="64" s="1"/>
  <c r="DW92" i="64" s="1"/>
  <c r="DX92" i="64" s="1"/>
  <c r="DY92" i="64" s="1"/>
  <c r="DZ92" i="64" s="1"/>
  <c r="EA92" i="64" s="1"/>
  <c r="EB92" i="64" s="1"/>
  <c r="EC92" i="64" s="1"/>
  <c r="ED92" i="64" s="1"/>
  <c r="EE92" i="64" s="1"/>
  <c r="EF92" i="64" s="1"/>
  <c r="EG92" i="64" s="1"/>
  <c r="EH92" i="64" s="1"/>
  <c r="EI92" i="64" s="1"/>
  <c r="EJ92" i="64" s="1"/>
  <c r="EK92" i="64" s="1"/>
  <c r="EL92" i="64" s="1"/>
  <c r="EM92" i="64" s="1"/>
  <c r="EN92" i="64" s="1"/>
  <c r="EO92" i="64" s="1"/>
  <c r="EP92" i="64" s="1"/>
  <c r="EQ92" i="64" s="1"/>
  <c r="M90" i="64"/>
  <c r="L90" i="64"/>
  <c r="M89" i="64"/>
  <c r="M88" i="64"/>
  <c r="L88" i="64"/>
  <c r="M87" i="64"/>
  <c r="M86" i="64"/>
  <c r="L86" i="64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EU90" i="64"/>
  <c r="ET90" i="64"/>
  <c r="ES90" i="64"/>
  <c r="ER90" i="64"/>
  <c r="EQ90" i="64"/>
  <c r="EV90" i="64" s="1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/>
  <c r="FC88" i="64"/>
  <c r="FA88" i="64"/>
  <c r="EZ88" i="64"/>
  <c r="EY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G86" i="64"/>
  <c r="FF86" i="64"/>
  <c r="FD86" i="64"/>
  <c r="FC86" i="64"/>
  <c r="EY86" i="64"/>
  <c r="EX86" i="64"/>
  <c r="EW86" i="64"/>
  <c r="EU86" i="64"/>
  <c r="ET86" i="64"/>
  <c r="ES86" i="64"/>
  <c r="ER86" i="64"/>
  <c r="EQ86" i="64"/>
  <c r="EP86" i="64"/>
  <c r="M85" i="64"/>
  <c r="L85" i="64"/>
  <c r="M84" i="64"/>
  <c r="M83" i="64"/>
  <c r="EY83" i="64" s="1"/>
  <c r="L83" i="64"/>
  <c r="M82" i="64"/>
  <c r="M81" i="64"/>
  <c r="EY81" i="64" s="1"/>
  <c r="L81" i="64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G81" i="64"/>
  <c r="FF81" i="64"/>
  <c r="FD81" i="64"/>
  <c r="FC81" i="64"/>
  <c r="EX81" i="64"/>
  <c r="EW81" i="64"/>
  <c r="EU81" i="64"/>
  <c r="ET81" i="64"/>
  <c r="ES81" i="64"/>
  <c r="ER81" i="64"/>
  <c r="EQ81" i="64"/>
  <c r="EP81" i="64"/>
  <c r="M80" i="64"/>
  <c r="L80" i="64"/>
  <c r="M79" i="64"/>
  <c r="M78" i="64"/>
  <c r="L78" i="64"/>
  <c r="EY78" i="64" s="1"/>
  <c r="M77" i="64"/>
  <c r="M76" i="64"/>
  <c r="L76" i="64"/>
  <c r="EY76" i="64" s="1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EU80" i="64"/>
  <c r="ET80" i="64"/>
  <c r="ES80" i="64"/>
  <c r="ER80" i="64"/>
  <c r="EQ80" i="64"/>
  <c r="EV80" i="64" s="1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/>
  <c r="FC78" i="64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G76" i="64"/>
  <c r="FF76" i="64"/>
  <c r="FD76" i="64"/>
  <c r="FC76" i="64"/>
  <c r="EX76" i="64"/>
  <c r="EW76" i="64"/>
  <c r="EU76" i="64"/>
  <c r="ET76" i="64"/>
  <c r="ES76" i="64"/>
  <c r="ER76" i="64"/>
  <c r="EQ76" i="64"/>
  <c r="EP76" i="64"/>
  <c r="M75" i="64"/>
  <c r="L75" i="64"/>
  <c r="M74" i="64"/>
  <c r="M73" i="64"/>
  <c r="EY73" i="64" s="1"/>
  <c r="L73" i="64"/>
  <c r="M72" i="64"/>
  <c r="M71" i="64"/>
  <c r="L71" i="64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G71" i="64"/>
  <c r="FA71" i="64" s="1"/>
  <c r="FF71" i="64"/>
  <c r="FD71" i="64"/>
  <c r="FC71" i="64"/>
  <c r="EX71" i="64"/>
  <c r="EW71" i="64"/>
  <c r="EU71" i="64"/>
  <c r="ET71" i="64"/>
  <c r="ES71" i="64"/>
  <c r="ER71" i="64"/>
  <c r="EQ71" i="64"/>
  <c r="EP71" i="64"/>
  <c r="EV71" i="64" s="1"/>
  <c r="M70" i="64"/>
  <c r="L70" i="64"/>
  <c r="L68" i="64"/>
  <c r="M66" i="64"/>
  <c r="EY66" i="64" s="1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EU70" i="64"/>
  <c r="ET70" i="64"/>
  <c r="ES70" i="64"/>
  <c r="ER70" i="64"/>
  <c r="EQ70" i="64"/>
  <c r="EV70" i="64" s="1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/>
  <c r="FC68" i="64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G66" i="64"/>
  <c r="FF66" i="64"/>
  <c r="FD66" i="64"/>
  <c r="FC66" i="64"/>
  <c r="EX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EY63" i="64" s="1"/>
  <c r="M62" i="64"/>
  <c r="M61" i="64"/>
  <c r="L61" i="64"/>
  <c r="EY61" i="64" s="1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G61" i="64"/>
  <c r="FF61" i="64"/>
  <c r="FD61" i="64"/>
  <c r="FC61" i="64"/>
  <c r="EX61" i="64"/>
  <c r="EW61" i="64"/>
  <c r="EU61" i="64"/>
  <c r="ET61" i="64"/>
  <c r="ES61" i="64"/>
  <c r="ER61" i="64"/>
  <c r="EQ61" i="64"/>
  <c r="EP61" i="64"/>
  <c r="M60" i="64"/>
  <c r="L60" i="64"/>
  <c r="M59" i="64"/>
  <c r="L59" i="64"/>
  <c r="EY59" i="64" s="1"/>
  <c r="M58" i="64"/>
  <c r="L58" i="64"/>
  <c r="M57" i="64"/>
  <c r="L57" i="64"/>
  <c r="EY57" i="64" s="1"/>
  <c r="M56" i="64"/>
  <c r="L56" i="64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Y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G56" i="64"/>
  <c r="FF56" i="64"/>
  <c r="FD56" i="64"/>
  <c r="FC56" i="64"/>
  <c r="EY56" i="64"/>
  <c r="EX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EY53" i="64" s="1"/>
  <c r="M52" i="64"/>
  <c r="M51" i="64"/>
  <c r="L51" i="64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G51" i="64"/>
  <c r="FA51" i="64" s="1"/>
  <c r="FF51" i="64"/>
  <c r="FD51" i="64"/>
  <c r="FC51" i="64"/>
  <c r="EX51" i="64"/>
  <c r="EW51" i="64"/>
  <c r="EU51" i="64"/>
  <c r="ET51" i="64"/>
  <c r="ES51" i="64"/>
  <c r="ER51" i="64"/>
  <c r="EQ51" i="64"/>
  <c r="EP51" i="64"/>
  <c r="M50" i="64"/>
  <c r="L50" i="64"/>
  <c r="M49" i="64"/>
  <c r="L49" i="64"/>
  <c r="EY49" i="64" s="1"/>
  <c r="M48" i="64"/>
  <c r="L48" i="64"/>
  <c r="M47" i="64"/>
  <c r="L47" i="64"/>
  <c r="EY47" i="64" s="1"/>
  <c r="M46" i="64"/>
  <c r="L46" i="64"/>
  <c r="EY46" i="64" s="1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EU50" i="64"/>
  <c r="ET50" i="64"/>
  <c r="ES50" i="64"/>
  <c r="ER50" i="64"/>
  <c r="EQ50" i="64"/>
  <c r="EV50" i="64" s="1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/>
  <c r="FC48" i="64"/>
  <c r="FA48" i="64"/>
  <c r="EZ48" i="64"/>
  <c r="EY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G46" i="64"/>
  <c r="FF46" i="64"/>
  <c r="FD46" i="64"/>
  <c r="FC46" i="64"/>
  <c r="EX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M42" i="64"/>
  <c r="M41" i="64"/>
  <c r="L41" i="64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FD41" i="64"/>
  <c r="FC41" i="64"/>
  <c r="EX41" i="64"/>
  <c r="EW41" i="64"/>
  <c r="EU41" i="64"/>
  <c r="ET41" i="64"/>
  <c r="ES41" i="64"/>
  <c r="ER41" i="64"/>
  <c r="EQ41" i="64"/>
  <c r="EP41" i="64"/>
  <c r="M40" i="64"/>
  <c r="L40" i="64"/>
  <c r="M39" i="64"/>
  <c r="M38" i="64"/>
  <c r="L38" i="64"/>
  <c r="M37" i="64"/>
  <c r="M36" i="64"/>
  <c r="EY36" i="64" s="1"/>
  <c r="L36" i="64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Y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G36" i="64"/>
  <c r="FA36" i="64" s="1"/>
  <c r="FF36" i="64"/>
  <c r="FD36" i="64"/>
  <c r="FC36" i="64"/>
  <c r="EX36" i="64"/>
  <c r="EW36" i="64"/>
  <c r="EU36" i="64"/>
  <c r="ET36" i="64"/>
  <c r="ES36" i="64"/>
  <c r="ER36" i="64"/>
  <c r="EQ36" i="64"/>
  <c r="EP36" i="64"/>
  <c r="M35" i="64"/>
  <c r="L35" i="64"/>
  <c r="M33" i="64"/>
  <c r="L33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G31" i="64"/>
  <c r="FA31" i="64" s="1"/>
  <c r="FF31" i="64"/>
  <c r="FD31" i="64"/>
  <c r="FC31" i="64"/>
  <c r="EX31" i="64"/>
  <c r="EW31" i="64"/>
  <c r="EU31" i="64"/>
  <c r="ET31" i="64"/>
  <c r="ES31" i="64"/>
  <c r="ER31" i="64"/>
  <c r="EQ31" i="64"/>
  <c r="EP31" i="64"/>
  <c r="M30" i="64"/>
  <c r="L30" i="64"/>
  <c r="M29" i="64"/>
  <c r="M28" i="64"/>
  <c r="L28" i="64"/>
  <c r="M27" i="64"/>
  <c r="M26" i="64"/>
  <c r="EY26" i="64" s="1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FD26" i="64" s="1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G26" i="64"/>
  <c r="FF26" i="64"/>
  <c r="FC26" i="64"/>
  <c r="EX26" i="64"/>
  <c r="EW26" i="64"/>
  <c r="EU26" i="64"/>
  <c r="ET26" i="64"/>
  <c r="ES26" i="64"/>
  <c r="ER26" i="64"/>
  <c r="EQ26" i="64"/>
  <c r="EP26" i="64"/>
  <c r="M25" i="64"/>
  <c r="L25" i="64"/>
  <c r="M24" i="64"/>
  <c r="M23" i="64"/>
  <c r="L23" i="64"/>
  <c r="M22" i="64"/>
  <c r="M21" i="64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FA21" i="64" s="1"/>
  <c r="FF21" i="64"/>
  <c r="FD21" i="64"/>
  <c r="FC21" i="64"/>
  <c r="EX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M17" i="64"/>
  <c r="M16" i="64"/>
  <c r="EY16" i="64" s="1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Y18" i="64"/>
  <c r="EX18" i="64"/>
  <c r="EU18" i="64"/>
  <c r="ET18" i="64"/>
  <c r="ES18" i="64"/>
  <c r="EV18" i="64" s="1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FD16" i="64" s="1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L11" i="64"/>
  <c r="IA15" i="64"/>
  <c r="HZ15" i="64"/>
  <c r="HY15" i="64"/>
  <c r="GL15" i="64"/>
  <c r="FD15" i="64" s="1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B15" i="64" s="1"/>
  <c r="FF15" i="64"/>
  <c r="FC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FF11" i="64"/>
  <c r="EX11" i="64" s="1"/>
  <c r="FD11" i="64"/>
  <c r="FC11" i="64"/>
  <c r="EW11" i="64"/>
  <c r="EU11" i="64"/>
  <c r="ET11" i="64"/>
  <c r="ES11" i="64"/>
  <c r="ER11" i="64"/>
  <c r="EQ11" i="64"/>
  <c r="EP11" i="64"/>
  <c r="EY89" i="64" l="1"/>
  <c r="EY77" i="64"/>
  <c r="EY71" i="64"/>
  <c r="EY74" i="64"/>
  <c r="EY62" i="64"/>
  <c r="EY52" i="64"/>
  <c r="EY51" i="64"/>
  <c r="EY43" i="64"/>
  <c r="EY41" i="64"/>
  <c r="EY39" i="64"/>
  <c r="EY32" i="64"/>
  <c r="EY34" i="64"/>
  <c r="EY33" i="64"/>
  <c r="EY31" i="64"/>
  <c r="EY29" i="64"/>
  <c r="EY22" i="64"/>
  <c r="EY23" i="64"/>
  <c r="EY21" i="64"/>
  <c r="EY17" i="64"/>
  <c r="EY19" i="64"/>
  <c r="EY13" i="64"/>
  <c r="EY11" i="64"/>
  <c r="EV88" i="64"/>
  <c r="EV87" i="64"/>
  <c r="EV86" i="64"/>
  <c r="FA86" i="64"/>
  <c r="EV89" i="64"/>
  <c r="FB90" i="64"/>
  <c r="EZ86" i="64"/>
  <c r="EV83" i="64"/>
  <c r="EV82" i="64"/>
  <c r="FB85" i="64"/>
  <c r="EV81" i="64"/>
  <c r="FA81" i="64"/>
  <c r="EV84" i="64"/>
  <c r="EV85" i="64"/>
  <c r="EZ81" i="64"/>
  <c r="FE81" i="64" s="1"/>
  <c r="IB81" i="64" s="1"/>
  <c r="EV78" i="64"/>
  <c r="EV77" i="64"/>
  <c r="EV76" i="64"/>
  <c r="FA76" i="64"/>
  <c r="EV79" i="64"/>
  <c r="FB80" i="64"/>
  <c r="EZ76" i="64"/>
  <c r="EV73" i="64"/>
  <c r="FB75" i="64"/>
  <c r="EV72" i="64"/>
  <c r="EV74" i="64"/>
  <c r="EV75" i="64"/>
  <c r="EZ71" i="64"/>
  <c r="FE71" i="64" s="1"/>
  <c r="IB71" i="64" s="1"/>
  <c r="EV68" i="64"/>
  <c r="EV67" i="64"/>
  <c r="EV66" i="64"/>
  <c r="FA66" i="64"/>
  <c r="EV69" i="64"/>
  <c r="FB70" i="64"/>
  <c r="EZ66" i="64"/>
  <c r="EV63" i="64"/>
  <c r="EV62" i="64"/>
  <c r="FB65" i="64"/>
  <c r="EV61" i="64"/>
  <c r="FA61" i="64"/>
  <c r="EV64" i="64"/>
  <c r="EV65" i="64"/>
  <c r="EZ61" i="64"/>
  <c r="FE61" i="64" s="1"/>
  <c r="IB61" i="64" s="1"/>
  <c r="EV58" i="64"/>
  <c r="EV57" i="64"/>
  <c r="FB60" i="64"/>
  <c r="EV56" i="64"/>
  <c r="FA56" i="64"/>
  <c r="EV59" i="64"/>
  <c r="EV60" i="64"/>
  <c r="EZ56" i="64"/>
  <c r="FE56" i="64" s="1"/>
  <c r="IB56" i="64" s="1"/>
  <c r="EV53" i="64"/>
  <c r="EV51" i="64"/>
  <c r="FB55" i="64"/>
  <c r="EV52" i="64"/>
  <c r="EV54" i="64"/>
  <c r="EV55" i="64"/>
  <c r="EZ51" i="64"/>
  <c r="FE51" i="64" s="1"/>
  <c r="IB51" i="64" s="1"/>
  <c r="EV48" i="64"/>
  <c r="EV47" i="64"/>
  <c r="EV46" i="64"/>
  <c r="FA46" i="64"/>
  <c r="EV49" i="64"/>
  <c r="FB50" i="64"/>
  <c r="EZ46" i="64"/>
  <c r="EV43" i="64"/>
  <c r="EV42" i="64"/>
  <c r="FB45" i="64"/>
  <c r="EV41" i="64"/>
  <c r="FA41" i="64"/>
  <c r="EV44" i="64"/>
  <c r="EV45" i="64"/>
  <c r="EZ41" i="64"/>
  <c r="FE41" i="64" s="1"/>
  <c r="IB41" i="64" s="1"/>
  <c r="EV36" i="64"/>
  <c r="EV38" i="64"/>
  <c r="FB40" i="64"/>
  <c r="EV37" i="64"/>
  <c r="EV39" i="64"/>
  <c r="EV40" i="64"/>
  <c r="EZ36" i="64"/>
  <c r="FE36" i="64" s="1"/>
  <c r="IB36" i="64" s="1"/>
  <c r="EV31" i="64"/>
  <c r="EV33" i="64"/>
  <c r="FB35" i="64"/>
  <c r="EV32" i="64"/>
  <c r="EV34" i="64"/>
  <c r="EV35" i="64"/>
  <c r="EZ31" i="64"/>
  <c r="EV28" i="64"/>
  <c r="FB30" i="64"/>
  <c r="EV26" i="64"/>
  <c r="EV27" i="64"/>
  <c r="FA26" i="64"/>
  <c r="EV29" i="64"/>
  <c r="EV30" i="64"/>
  <c r="EZ26" i="64"/>
  <c r="FE26" i="64" s="1"/>
  <c r="IB26" i="64" s="1"/>
  <c r="EV23" i="64"/>
  <c r="FB25" i="64"/>
  <c r="EV21" i="64"/>
  <c r="EV22" i="64"/>
  <c r="EV24" i="64"/>
  <c r="EV25" i="64"/>
  <c r="EZ21" i="64"/>
  <c r="EV16" i="64"/>
  <c r="EV17" i="64"/>
  <c r="EV19" i="64"/>
  <c r="FB20" i="64"/>
  <c r="FA16" i="64"/>
  <c r="EV20" i="64"/>
  <c r="EZ16" i="64"/>
  <c r="EV14" i="64"/>
  <c r="FA11" i="64"/>
  <c r="EV12" i="64"/>
  <c r="EV15" i="64"/>
  <c r="EV11" i="64"/>
  <c r="EV13" i="64"/>
  <c r="EZ11" i="64"/>
  <c r="FE11" i="64" s="1"/>
  <c r="IB11" i="64" s="1"/>
  <c r="FE31" i="64" l="1"/>
  <c r="IB31" i="64" s="1"/>
  <c r="FE21" i="64"/>
  <c r="IB21" i="64" s="1"/>
  <c r="FE86" i="64"/>
  <c r="IB86" i="64" s="1"/>
  <c r="FE76" i="64"/>
  <c r="IB76" i="64" s="1"/>
  <c r="FE66" i="64"/>
  <c r="IB66" i="64" s="1"/>
  <c r="FE46" i="64"/>
  <c r="IB46" i="64" s="1"/>
  <c r="FE16" i="64"/>
  <c r="IB16" i="64" s="1"/>
  <c r="GN6" i="64"/>
  <c r="H8" i="89"/>
  <c r="D23" i="89" s="1"/>
  <c r="I18" i="90"/>
  <c r="I17" i="90"/>
  <c r="E14" i="90"/>
  <c r="D25" i="89"/>
  <c r="D11" i="89" l="1"/>
  <c r="D13" i="89" s="1"/>
  <c r="E16" i="91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6" i="91"/>
  <c r="F28" i="91"/>
  <c r="C44" i="91" l="1"/>
  <c r="F30" i="91"/>
  <c r="F32" i="89" s="1"/>
  <c r="F33" i="89" s="1"/>
  <c r="F24" i="90"/>
  <c r="C42" i="90" l="1"/>
  <c r="C44" i="90" s="1"/>
  <c r="F26" i="90"/>
  <c r="F28" i="90"/>
  <c r="F30" i="90" l="1"/>
  <c r="D32" i="89" s="1"/>
  <c r="C36" i="89" s="1"/>
  <c r="D36" i="89" l="1"/>
  <c r="D33" i="89"/>
  <c r="I34" i="86" s="1"/>
  <c r="D37" i="89"/>
  <c r="D4" i="87"/>
  <c r="G4" i="87" s="1"/>
  <c r="I4" i="87" l="1"/>
  <c r="E4" i="87"/>
  <c r="J4" i="87" l="1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92" i="64"/>
  <c r="M92" i="64" s="1"/>
  <c r="N92" i="64" s="1"/>
  <c r="O92" i="64" s="1"/>
  <c r="P92" i="64" s="1"/>
  <c r="I26" i="86" l="1"/>
  <c r="I28" i="86"/>
  <c r="I27" i="86"/>
  <c r="B37" i="86"/>
  <c r="B39" i="86"/>
  <c r="D11" i="86"/>
  <c r="ER92" i="64"/>
  <c r="ES92" i="64" s="1"/>
  <c r="ET92" i="64" s="1"/>
  <c r="EU92" i="64" s="1"/>
  <c r="EV92" i="64" s="1"/>
  <c r="EW92" i="64" s="1"/>
  <c r="EX92" i="64" s="1"/>
  <c r="EY92" i="64" s="1"/>
  <c r="EZ92" i="64" s="1"/>
  <c r="FA92" i="64" s="1"/>
  <c r="FB92" i="64" s="1"/>
  <c r="FC92" i="64" s="1"/>
  <c r="FD92" i="64" s="1"/>
  <c r="FE92" i="64" s="1"/>
  <c r="FF92" i="64" s="1"/>
  <c r="FG92" i="64" s="1"/>
  <c r="FH92" i="64" s="1"/>
  <c r="FI92" i="64" s="1"/>
  <c r="FJ92" i="64" s="1"/>
  <c r="FK92" i="64" s="1"/>
  <c r="FL92" i="64" s="1"/>
  <c r="FM92" i="64" s="1"/>
  <c r="FN92" i="64" s="1"/>
  <c r="FO92" i="64" s="1"/>
  <c r="FP92" i="64" s="1"/>
  <c r="FQ92" i="64" s="1"/>
  <c r="FR92" i="64" s="1"/>
  <c r="FS92" i="64" s="1"/>
  <c r="FT92" i="64" s="1"/>
  <c r="FU92" i="64" s="1"/>
  <c r="FV92" i="64" s="1"/>
  <c r="FW92" i="64" s="1"/>
  <c r="FX92" i="64" s="1"/>
  <c r="FY92" i="64" s="1"/>
  <c r="F11" i="86"/>
  <c r="I20" i="86"/>
  <c r="C11" i="86"/>
  <c r="A11" i="68"/>
  <c r="F15" i="68" l="1"/>
  <c r="B35" i="68"/>
  <c r="B37" i="68"/>
  <c r="J3" i="87"/>
  <c r="K4" i="87" s="1"/>
  <c r="I3" i="87" l="1"/>
  <c r="K3" i="87" s="1"/>
  <c r="L91" i="64" l="1"/>
  <c r="M91" i="64" s="1"/>
  <c r="N91" i="64" s="1"/>
  <c r="O91" i="64" s="1"/>
  <c r="P91" i="64" s="1"/>
  <c r="EM91" i="64" s="1"/>
  <c r="EN91" i="64" s="1"/>
  <c r="EO91" i="64" s="1"/>
  <c r="EP91" i="64" s="1"/>
  <c r="EQ91" i="64" s="1"/>
  <c r="ER91" i="64" l="1"/>
  <c r="ES91" i="64" s="1"/>
  <c r="ET91" i="64" s="1"/>
  <c r="EU91" i="64" s="1"/>
  <c r="EV91" i="64" s="1"/>
  <c r="EW91" i="64" s="1"/>
  <c r="EX91" i="64" s="1"/>
  <c r="EY91" i="64" s="1"/>
  <c r="EZ91" i="64" s="1"/>
  <c r="FA91" i="64" s="1"/>
  <c r="FB91" i="64" s="1"/>
  <c r="FC91" i="64" s="1"/>
  <c r="FD91" i="64" s="1"/>
  <c r="FE91" i="64" s="1"/>
  <c r="FF91" i="64" s="1"/>
  <c r="FG91" i="64" s="1"/>
  <c r="FH91" i="64" s="1"/>
  <c r="FI91" i="64" s="1"/>
  <c r="FJ91" i="64" s="1"/>
  <c r="FK91" i="64" s="1"/>
  <c r="FL91" i="64" s="1"/>
  <c r="FM91" i="64" s="1"/>
  <c r="FN91" i="64" s="1"/>
  <c r="FO91" i="64" s="1"/>
  <c r="FP91" i="64" s="1"/>
  <c r="FQ91" i="64" s="1"/>
  <c r="FR91" i="64" s="1"/>
  <c r="FS91" i="64" s="1"/>
  <c r="FT91" i="64" s="1"/>
  <c r="FU91" i="64" s="1"/>
  <c r="FV91" i="64" s="1"/>
  <c r="FW91" i="64" s="1"/>
  <c r="FX91" i="64" s="1"/>
  <c r="FY91" i="64" s="1"/>
  <c r="FZ91" i="64" s="1"/>
  <c r="GA91" i="64" s="1"/>
  <c r="GB91" i="64" s="1"/>
  <c r="GC91" i="64" s="1"/>
  <c r="GD91" i="64" s="1"/>
  <c r="GE91" i="64" s="1"/>
  <c r="GF91" i="64" s="1"/>
  <c r="GG91" i="64" s="1"/>
  <c r="GH91" i="64" s="1"/>
  <c r="GI91" i="64" s="1"/>
  <c r="GJ91" i="64" s="1"/>
  <c r="GK91" i="64" s="1"/>
  <c r="GL91" i="64" s="1"/>
  <c r="GM91" i="64" s="1"/>
  <c r="GN91" i="64" s="1"/>
  <c r="GO91" i="64" s="1"/>
  <c r="GP91" i="64" s="1"/>
  <c r="GQ91" i="64" s="1"/>
  <c r="GR91" i="64" s="1"/>
  <c r="GS91" i="64" s="1"/>
  <c r="GT91" i="64" s="1"/>
  <c r="GU91" i="64" s="1"/>
  <c r="GV91" i="64" s="1"/>
  <c r="GW91" i="64" s="1"/>
  <c r="GX91" i="64" s="1"/>
  <c r="GY91" i="64" s="1"/>
  <c r="GZ91" i="64" s="1"/>
  <c r="HA91" i="64" s="1"/>
  <c r="HB91" i="64" s="1"/>
  <c r="HC91" i="64" s="1"/>
  <c r="HD91" i="64" s="1"/>
  <c r="HE91" i="64" s="1"/>
  <c r="HF91" i="64" s="1"/>
  <c r="HG91" i="64" s="1"/>
  <c r="HH91" i="64" s="1"/>
  <c r="HI91" i="64" s="1"/>
  <c r="HJ91" i="64" s="1"/>
  <c r="HK91" i="64" s="1"/>
  <c r="HL91" i="64" s="1"/>
  <c r="HM91" i="64" s="1"/>
  <c r="HN91" i="64" s="1"/>
  <c r="HO91" i="64" s="1"/>
  <c r="HP91" i="64" s="1"/>
  <c r="HQ91" i="64" s="1"/>
  <c r="HR91" i="64" s="1"/>
  <c r="HS91" i="64" s="1"/>
  <c r="HT91" i="64" s="1"/>
  <c r="HU91" i="64" s="1"/>
  <c r="HV91" i="64" s="1"/>
  <c r="HW91" i="64" s="1"/>
  <c r="HX91" i="64" s="1"/>
  <c r="HY91" i="64" s="1"/>
  <c r="HZ91" i="64" s="1"/>
  <c r="IA9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92" i="59"/>
  <c r="L6" i="64"/>
  <c r="E29" i="86" s="1"/>
  <c r="BV9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20" i="13"/>
  <c r="J2" i="13"/>
  <c r="J20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<sst xmlns="http://schemas.openxmlformats.org/spreadsheetml/2006/main" count="10517" uniqueCount="3296">
  <si>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</si>
  <si>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</si>
  <si>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</si>
  <si>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</si>
  <si>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</si>
  <si>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</si>
  <si>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</si>
  <si>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</si>
  <si>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</si>
  <si>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</si>
  <si>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</si>
  <si>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</si>
  <si>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</si>
  <si>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</si>
  <si>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</si>
  <si>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</si>
  <si>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</si>
  <si>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</si>
  <si>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</si>
  <si>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</si>
  <si>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</si>
  <si>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</si>
  <si>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</si>
  <si>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</si>
  <si>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</si>
  <si>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</si>
  <si>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</si>
  <si>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</si>
  <si>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</si>
  <si>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</si>
  <si>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</si>
  <si>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</si>
  <si>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</si>
  <si>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</si>
  <si>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</si>
  <si>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</si>
  <si>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</si>
  <si>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</si>
  <si>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</si>
  <si>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</si>
  <si>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</si>
  <si>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</si>
  <si>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</si>
  <si>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</si>
  <si>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</si>
  <si>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</si>
  <si>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</si>
  <si>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</si>
  <si>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</si>
  <si>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</si>
  <si>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</si>
  <si>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</si>
  <si>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</si>
  <si>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</si>
  <si>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</si>
  <si>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</si>
  <si>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</si>
  <si>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</si>
  <si>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</si>
  <si>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</si>
  <si>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</si>
  <si>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</si>
  <si>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</si>
  <si>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</si>
  <si>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</si>
  <si>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</si>
  <si>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</si>
  <si>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</si>
  <si>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</si>
  <si>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</si>
  <si>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</si>
  <si>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</si>
  <si>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</si>
  <si>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</si>
  <si>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</si>
  <si>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</si>
  <si>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</si>
  <si>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</si>
  <si>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</si>
  <si>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</si>
  <si>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</si>
  <si>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</si>
  <si>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</si>
  <si>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</si>
  <si>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</si>
  <si>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</si>
  <si>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</si>
  <si>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</si>
  <si>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</si>
  <si>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</si>
  <si>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</si>
  <si>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</si>
  <si>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</si>
  <si>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</si>
  <si>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</si>
  <si>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</si>
  <si>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</si>
  <si>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</si>
  <si>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</si>
  <si>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</si>
  <si>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</si>
  <si>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</si>
  <si>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</si>
  <si>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</si>
  <si>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</si>
  <si>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</si>
  <si>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</si>
  <si>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</si>
  <si>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</si>
  <si>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</si>
  <si>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</si>
  <si>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</si>
  <si>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</si>
  <si>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</si>
  <si>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</si>
  <si>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</si>
  <si>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</si>
  <si>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</si>
  <si>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</si>
  <si>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</si>
  <si>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</si>
  <si>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</si>
  <si>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</si>
  <si>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</si>
  <si>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</si>
  <si>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</si>
  <si>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</si>
  <si>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</si>
  <si>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</si>
  <si>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</si>
  <si>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</si>
  <si>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</si>
  <si>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</si>
  <si>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</si>
  <si>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</si>
  <si>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</si>
  <si>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</si>
  <si>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</si>
  <si>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</si>
  <si>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</si>
  <si>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</si>
  <si>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</si>
  <si>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</si>
  <si>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</si>
  <si>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</si>
  <si>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</si>
  <si>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</si>
  <si>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</si>
  <si>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</si>
  <si>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</si>
  <si>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</si>
  <si>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</si>
  <si>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</si>
  <si>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</si>
  <si>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</si>
  <si>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</si>
  <si>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</si>
  <si>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</si>
  <si>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</si>
  <si>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</si>
  <si>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</si>
  <si>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</si>
  <si>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</si>
  <si>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</si>
  <si>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</si>
  <si>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</si>
  <si>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</si>
  <si>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</si>
  <si>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</si>
  <si>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</si>
  <si>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</si>
  <si>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</si>
  <si>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</si>
  <si>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</si>
  <si>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</si>
  <si>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</si>
  <si>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</si>
  <si>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</si>
  <si>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</si>
  <si>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</si>
  <si>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</si>
  <si>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</si>
  <si>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</si>
  <si>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</si>
  <si>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</si>
  <si>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</si>
  <si>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</si>
  <si>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</si>
  <si>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</si>
  <si>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</si>
  <si>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</si>
  <si>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</si>
  <si>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</si>
  <si>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</si>
  <si>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</si>
  <si>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</si>
  <si>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</si>
  <si>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</si>
  <si>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</si>
  <si>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</si>
  <si>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</si>
  <si>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</si>
  <si>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</si>
  <si>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</si>
  <si>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</si>
  <si>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</si>
  <si>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</si>
  <si>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</si>
  <si>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</si>
  <si>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</si>
  <si>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</si>
  <si>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</si>
  <si>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</si>
  <si>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</si>
  <si>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</si>
  <si>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</si>
  <si>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</si>
  <si>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</si>
  <si>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</si>
  <si>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</si>
  <si>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</si>
  <si>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</si>
  <si>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</si>
  <si>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</si>
  <si>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</si>
  <si>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</si>
  <si>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</si>
  <si>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</si>
  <si>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</si>
  <si>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</si>
  <si>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</si>
  <si>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</si>
  <si>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</si>
  <si>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</si>
  <si>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</si>
  <si>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</si>
  <si>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</si>
  <si>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</si>
  <si>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</si>
  <si>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</si>
  <si>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</si>
  <si>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</si>
  <si>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</si>
  <si>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</si>
  <si>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</si>
  <si>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</si>
  <si>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</si>
  <si>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</si>
  <si>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</si>
  <si>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</si>
  <si>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</si>
  <si>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</si>
  <si>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</si>
  <si>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</si>
  <si>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</si>
  <si>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</si>
  <si>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</si>
  <si>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</si>
  <si>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</si>
  <si>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</si>
  <si>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</si>
  <si>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</si>
  <si>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</si>
  <si>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</si>
  <si>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</si>
  <si>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</si>
  <si>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</si>
  <si>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</si>
  <si>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</si>
  <si>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</si>
  <si>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</si>
  <si>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</si>
  <si>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</si>
  <si>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</si>
  <si>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</si>
  <si>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</si>
  <si>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</si>
  <si>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</si>
  <si>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</si>
  <si>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</si>
  <si>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</si>
  <si>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</si>
  <si>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</si>
  <si>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</si>
  <si>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</si>
  <si>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</si>
  <si>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</si>
  <si>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</si>
  <si>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</si>
  <si>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</si>
  <si>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</si>
  <si>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</si>
  <si>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</si>
  <si>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</si>
  <si>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</si>
  <si>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</si>
  <si>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</si>
  <si>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</si>
  <si>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</si>
  <si>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</si>
  <si>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</si>
  <si>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</si>
  <si>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</si>
  <si>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</si>
  <si>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</si>
  <si>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</si>
  <si>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</si>
  <si>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</si>
  <si>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</si>
  <si>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</si>
  <si>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</si>
  <si>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</si>
  <si>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</si>
  <si>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</si>
  <si>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</si>
  <si>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</si>
  <si>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</si>
  <si>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</si>
  <si>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</si>
  <si>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</si>
  <si>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</si>
  <si>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</si>
  <si>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</si>
  <si>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</si>
  <si>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</si>
  <si>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</si>
  <si>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</si>
  <si>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</si>
  <si>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</si>
  <si>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</si>
  <si>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</si>
  <si>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</si>
  <si>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</si>
  <si>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</si>
  <si>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</si>
  <si>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</si>
  <si>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</si>
  <si>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</si>
  <si>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</si>
  <si>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</si>
  <si>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</si>
  <si>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</si>
  <si>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</si>
  <si>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</si>
  <si>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</si>
  <si>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</si>
  <si>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</si>
  <si>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</si>
  <si>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</si>
  <si>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</si>
  <si>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</si>
  <si>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</si>
  <si>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</si>
  <si>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</si>
  <si>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</si>
  <si>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</si>
  <si>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</si>
  <si>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</si>
  <si>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</si>
  <si>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</si>
  <si>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</si>
  <si>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</si>
  <si>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</si>
  <si>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</si>
  <si>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</si>
  <si>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</si>
  <si>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</si>
  <si>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</si>
  <si>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</si>
  <si>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</si>
  <si>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</si>
  <si>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</si>
  <si>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</si>
  <si>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</si>
  <si>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</si>
  <si>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</si>
  <si>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</si>
  <si>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</si>
  <si>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</si>
  <si>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</si>
  <si>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</si>
  <si>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</si>
  <si>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</si>
  <si>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</si>
  <si>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</si>
  <si>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</si>
  <si>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</si>
  <si>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</si>
  <si>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</si>
  <si>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</si>
  <si>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</si>
  <si>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</si>
  <si>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</si>
  <si>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</si>
  <si>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</si>
  <si>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</si>
  <si>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</si>
  <si>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</si>
  <si>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</si>
  <si>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</si>
  <si>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</si>
  <si>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</si>
  <si>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</si>
  <si>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</si>
  <si>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</si>
  <si>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</si>
  <si>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</si>
  <si>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</si>
  <si>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</si>
  <si>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</si>
  <si>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</si>
  <si>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</si>
  <si>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</si>
  <si>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</si>
  <si>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</si>
  <si>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</si>
  <si>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</si>
  <si>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</si>
  <si>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</si>
  <si>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</si>
  <si>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</si>
  <si>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</si>
  <si>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</si>
  <si>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</si>
  <si>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</si>
  <si>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</si>
  <si>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</si>
  <si>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</si>
  <si>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</si>
  <si>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</si>
  <si>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</si>
  <si>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</si>
  <si>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</si>
  <si>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</si>
  <si>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</si>
  <si>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</si>
  <si>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</si>
  <si>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</si>
  <si>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</si>
  <si>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</si>
  <si>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</si>
  <si>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</si>
  <si>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</si>
  <si>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</si>
  <si>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</si>
  <si>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</si>
  <si>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</si>
  <si>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</si>
  <si>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</si>
  <si>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</si>
  <si>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</si>
  <si>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</si>
  <si>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</si>
  <si>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</si>
  <si>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</si>
  <si>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</si>
  <si>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</si>
  <si>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</si>
  <si>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</si>
  <si>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</si>
  <si>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</si>
  <si>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</si>
  <si>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</si>
  <si>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</si>
  <si>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</si>
  <si>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</si>
  <si>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</si>
  <si>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</si>
  <si>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</si>
  <si>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</si>
  <si>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</si>
  <si>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</si>
  <si>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</si>
  <si>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</si>
  <si>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</si>
  <si>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</si>
  <si>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</si>
  <si>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</si>
  <si>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</si>
  <si>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</si>
  <si>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</si>
  <si>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</si>
  <si>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</si>
  <si>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</si>
  <si>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</si>
  <si>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</si>
  <si>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</si>
  <si>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</si>
  <si>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</si>
  <si>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</si>
  <si>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</si>
  <si>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</si>
  <si>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</si>
  <si>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</si>
  <si>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</si>
  <si>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</si>
  <si>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</si>
  <si>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</si>
  <si>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</si>
  <si>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</si>
  <si>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</si>
  <si>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</si>
  <si>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</si>
  <si>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</si>
  <si>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</si>
  <si>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</si>
  <si>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</si>
  <si>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</si>
  <si>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</si>
  <si>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</si>
  <si>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</si>
  <si>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</si>
  <si>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</si>
  <si>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</si>
  <si>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</si>
  <si>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</si>
  <si>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</si>
  <si>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</si>
  <si>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</si>
  <si>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</si>
  <si>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</si>
  <si>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</si>
  <si>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</si>
  <si>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</si>
  <si>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</si>
  <si>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</si>
  <si>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</si>
  <si>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</si>
  <si>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</si>
  <si>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</si>
  <si>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</si>
  <si>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</si>
  <si>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</si>
  <si>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</si>
  <si>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</si>
  <si>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</si>
  <si>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</si>
  <si>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</si>
  <si>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</si>
  <si>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</si>
  <si>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</si>
  <si>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</si>
  <si>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</si>
  <si>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</si>
  <si>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</si>
  <si>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</si>
  <si>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</si>
  <si>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</si>
  <si>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</si>
  <si>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</si>
  <si>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</si>
  <si>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</si>
  <si>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</si>
  <si>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</si>
  <si>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</si>
  <si>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</si>
  <si>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</si>
  <si>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</si>
  <si>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</si>
  <si>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</si>
  <si>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</si>
  <si>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</si>
  <si>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</si>
  <si>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</si>
  <si>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</si>
  <si>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</si>
  <si>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</si>
  <si>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</si>
  <si>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</si>
  <si>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</si>
  <si>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</si>
  <si>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</si>
  <si>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</si>
  <si>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</si>
  <si>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</si>
  <si>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</si>
  <si>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</si>
  <si>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</si>
  <si>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</si>
  <si>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</si>
  <si>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</si>
  <si>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</si>
  <si>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</si>
  <si>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</si>
  <si>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</si>
  <si>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</si>
  <si>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</si>
  <si>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</si>
  <si>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</si>
  <si>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</si>
  <si>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</si>
  <si>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</si>
  <si>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</si>
  <si>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</si>
  <si>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</si>
  <si>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</si>
  <si>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</si>
  <si>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</si>
  <si>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</si>
  <si>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</si>
  <si>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</si>
  <si>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</si>
  <si>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</si>
  <si>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</si>
  <si>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</si>
  <si>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</si>
  <si>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</si>
  <si>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</si>
  <si>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</si>
  <si>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</si>
  <si>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</si>
  <si>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</si>
  <si>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</si>
  <si>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</si>
  <si>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</si>
  <si>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</si>
  <si>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</si>
  <si>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</si>
  <si>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</si>
  <si>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</si>
  <si>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</si>
  <si>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</si>
  <si>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</si>
  <si>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</si>
  <si>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</si>
  <si>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</si>
  <si>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</si>
  <si>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</si>
  <si>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</si>
  <si>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</si>
  <si>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</si>
  <si>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</si>
  <si>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</si>
  <si>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</si>
  <si>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</si>
  <si>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</si>
  <si>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</si>
  <si>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</si>
  <si>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</si>
  <si>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</si>
  <si>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</si>
  <si>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</si>
  <si>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</si>
  <si>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</si>
  <si>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</si>
  <si>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</si>
  <si>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</si>
  <si>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</si>
  <si>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</si>
  <si>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</si>
  <si>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</si>
  <si>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</si>
  <si>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</si>
  <si>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</si>
  <si>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</si>
  <si>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</si>
  <si>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</si>
  <si>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</si>
  <si>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</si>
  <si>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</si>
  <si>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</si>
  <si>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</si>
  <si>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</si>
  <si>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</si>
  <si>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</si>
  <si>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</si>
  <si>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</si>
  <si>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</si>
  <si>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</si>
  <si>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</si>
  <si>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</si>
  <si>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</si>
  <si>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</si>
  <si>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</si>
  <si>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</si>
  <si>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</si>
  <si>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</si>
  <si>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</si>
  <si>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</si>
  <si>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</si>
  <si>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</si>
  <si>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</si>
  <si>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</si>
  <si>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</si>
  <si>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</si>
  <si>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</si>
  <si>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</si>
  <si>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</si>
  <si>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</si>
  <si>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</si>
  <si>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</si>
  <si>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</si>
  <si>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</si>
  <si>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</si>
  <si>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</si>
  <si>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</si>
  <si>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</si>
  <si>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</si>
  <si>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</si>
  <si>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</si>
  <si>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</si>
  <si>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</si>
  <si>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</si>
  <si>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</si>
  <si>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</si>
  <si>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</si>
  <si>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</si>
  <si>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</si>
  <si>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</si>
  <si>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</si>
  <si>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</si>
  <si>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</si>
  <si>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</si>
  <si>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</si>
  <si>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</si>
  <si>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</si>
  <si>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</si>
  <si>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</si>
  <si>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</si>
  <si>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</si>
  <si>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</si>
  <si>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</si>
  <si>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</si>
  <si>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</si>
  <si>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</si>
  <si>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</si>
  <si>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</si>
  <si>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</si>
  <si>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</si>
  <si>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</si>
  <si>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</si>
  <si>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</si>
  <si>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</si>
  <si>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</si>
  <si>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</si>
  <si>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</si>
  <si>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</si>
  <si>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</si>
  <si>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</si>
  <si>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</si>
  <si>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</si>
  <si>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</si>
  <si>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</si>
  <si>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</si>
  <si>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</si>
  <si>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</si>
  <si>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</si>
  <si>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</si>
  <si>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</si>
  <si>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</si>
  <si>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</si>
  <si>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</si>
  <si>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</si>
  <si>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</si>
  <si>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</si>
  <si>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</si>
  <si>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</si>
  <si>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</si>
  <si>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</si>
  <si>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</si>
  <si>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</si>
  <si>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</si>
  <si>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</si>
  <si>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</si>
  <si>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</si>
  <si>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</si>
  <si>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</si>
  <si>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</si>
  <si>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</si>
  <si>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</si>
  <si>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</si>
  <si>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</si>
  <si>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</si>
  <si>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</si>
  <si>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</si>
  <si>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</si>
  <si>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</si>
  <si>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</si>
  <si>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</si>
  <si>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</si>
  <si>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</si>
  <si>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</si>
  <si>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</si>
  <si>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</si>
  <si>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</si>
  <si>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</si>
  <si>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</si>
  <si>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</si>
  <si>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</si>
  <si>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</si>
  <si>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</si>
  <si>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</si>
  <si>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</si>
  <si>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</si>
  <si>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</si>
  <si>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</si>
  <si>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</si>
  <si>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</si>
  <si>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</si>
  <si>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</si>
  <si>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</si>
  <si>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</si>
  <si>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</si>
  <si>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</si>
  <si>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</si>
  <si>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</si>
  <si>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</si>
  <si>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</si>
  <si>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</si>
  <si>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</si>
  <si>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</si>
  <si>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</si>
  <si>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</si>
  <si>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</si>
  <si>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</si>
  <si>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</si>
  <si>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</si>
  <si>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</si>
  <si>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</si>
  <si>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</si>
  <si>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</si>
  <si>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</si>
  <si>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</si>
  <si>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</si>
  <si>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</si>
  <si>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</si>
  <si>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</si>
  <si>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</si>
  <si>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</si>
  <si>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</si>
  <si>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</si>
  <si>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</si>
  <si>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</si>
  <si>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</si>
  <si>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</si>
  <si>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</si>
  <si>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</si>
  <si>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</si>
  <si>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</si>
  <si>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</si>
  <si>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</si>
  <si>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</si>
  <si>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</si>
  <si>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</si>
  <si>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</si>
  <si>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</si>
  <si>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</si>
  <si>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</si>
  <si>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</si>
  <si>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</si>
  <si>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</si>
  <si>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</si>
  <si>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</si>
  <si>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</si>
  <si>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</si>
  <si>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</si>
  <si>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</si>
  <si>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</si>
  <si>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</si>
  <si>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</si>
  <si>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</si>
  <si>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</si>
  <si>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</si>
  <si>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</si>
  <si>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</si>
  <si>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</si>
  <si>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</si>
  <si>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</si>
  <si>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</si>
  <si>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</si>
  <si>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</si>
  <si>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</si>
  <si>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</si>
  <si>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</si>
  <si>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</si>
  <si>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</si>
  <si>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</si>
  <si>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</si>
  <si>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</si>
  <si>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</si>
  <si>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</si>
  <si>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</si>
  <si>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</si>
  <si>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</si>
  <si>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</si>
  <si>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</si>
  <si>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</si>
  <si>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</si>
  <si>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</si>
  <si>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</si>
  <si>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</si>
  <si>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</si>
  <si>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</si>
  <si>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</si>
  <si>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</si>
  <si>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</si>
  <si>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</si>
  <si>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</si>
  <si>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</si>
  <si>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</si>
  <si>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</si>
  <si>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</si>
  <si>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</si>
  <si>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</si>
  <si>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</si>
  <si>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</si>
  <si>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</si>
  <si>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</si>
  <si>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</si>
  <si>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</si>
  <si>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</si>
  <si>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</si>
  <si>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</si>
  <si>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</si>
  <si>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</si>
  <si>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</si>
  <si>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</si>
  <si>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</si>
  <si>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</si>
  <si>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</si>
  <si>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</si>
  <si>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</si>
  <si>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</si>
  <si>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</si>
  <si>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</si>
  <si>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</si>
  <si>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</si>
  <si>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</si>
  <si>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</si>
  <si>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</si>
  <si>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</si>
  <si>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</si>
  <si>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</si>
  <si>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</si>
  <si>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</si>
  <si>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</si>
  <si>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</si>
  <si>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</si>
  <si>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</si>
  <si>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</si>
  <si>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</si>
  <si>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</si>
  <si>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</si>
  <si>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</si>
  <si>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</si>
  <si>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</si>
  <si>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</si>
  <si>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</si>
  <si>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</si>
  <si>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</si>
  <si>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</si>
  <si>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</si>
  <si>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</si>
  <si>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</si>
  <si>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</si>
  <si>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</si>
  <si>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</si>
  <si>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</si>
  <si>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</si>
  <si>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</si>
  <si>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</si>
  <si>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</si>
  <si>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</si>
  <si>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</si>
  <si>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</si>
  <si>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</si>
  <si>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</si>
  <si>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</si>
  <si>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</si>
  <si>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</si>
  <si>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</si>
  <si>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</si>
  <si>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</si>
  <si>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</si>
  <si>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</si>
  <si>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</si>
  <si>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</si>
  <si>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</si>
  <si>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</si>
  <si>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</si>
  <si>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</si>
  <si>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</si>
  <si>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</si>
  <si>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</si>
  <si>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</si>
  <si>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</si>
  <si>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</si>
  <si>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</si>
  <si>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</si>
  <si>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</si>
  <si>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</si>
  <si>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</si>
  <si>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</si>
  <si>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</si>
  <si>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</si>
  <si>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</si>
  <si>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</si>
  <si>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</si>
  <si>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</si>
  <si>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</si>
  <si>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</si>
  <si>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</si>
  <si>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</si>
  <si>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</si>
  <si>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</si>
  <si>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</si>
  <si>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</si>
  <si>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</si>
  <si>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</si>
  <si>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</si>
  <si>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</si>
  <si>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</si>
  <si>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</si>
  <si>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</si>
  <si>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</si>
  <si>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</si>
  <si>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</si>
  <si>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</si>
  <si>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</si>
  <si>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</si>
  <si>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</si>
  <si>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</si>
  <si>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</si>
  <si>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</si>
  <si>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</si>
  <si>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</si>
  <si>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</si>
  <si>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</si>
  <si>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</si>
  <si>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</si>
  <si>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</si>
  <si>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</si>
  <si>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</si>
  <si>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</si>
  <si>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</si>
  <si>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</si>
  <si>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</si>
  <si>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</si>
  <si>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</si>
  <si>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</si>
  <si>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</si>
  <si>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</si>
  <si>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</si>
  <si>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</si>
  <si>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</si>
  <si>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</si>
  <si>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</si>
  <si>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</si>
  <si>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</si>
  <si>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</si>
  <si>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</si>
  <si>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</si>
  <si>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</si>
  <si>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</si>
  <si>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</si>
  <si>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</si>
  <si>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</si>
  <si>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</si>
  <si>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</si>
  <si>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</si>
  <si>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</si>
  <si>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</si>
  <si>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</si>
  <si>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</si>
  <si>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</si>
  <si>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</si>
  <si>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</si>
  <si>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</si>
  <si>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</si>
  <si>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</si>
  <si>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</si>
  <si>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</si>
  <si>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</si>
  <si>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</si>
  <si>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</si>
  <si>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</si>
  <si>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</si>
  <si>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</si>
  <si>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</si>
  <si>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</si>
  <si>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</si>
  <si>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</si>
  <si>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</si>
  <si>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</si>
  <si>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</si>
  <si>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</si>
  <si>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</si>
  <si>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</si>
  <si>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</si>
  <si>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</si>
  <si>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</si>
  <si>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</si>
  <si>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</si>
  <si>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</si>
  <si>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</si>
  <si>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</si>
  <si>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</si>
  <si>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</si>
  <si>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</si>
  <si>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</si>
  <si>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</si>
  <si>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</si>
  <si>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</si>
  <si>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</si>
  <si>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</si>
  <si>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</si>
  <si>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</si>
  <si>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</si>
  <si>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</si>
  <si>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</si>
  <si>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</si>
  <si>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</si>
  <si>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</si>
  <si>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</si>
  <si>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</si>
  <si>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</si>
  <si>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</si>
  <si>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</si>
  <si>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</si>
  <si>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</si>
  <si>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</si>
  <si>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</si>
  <si>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</si>
  <si>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</si>
  <si>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</si>
  <si>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</si>
  <si>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</si>
  <si>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</si>
  <si>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</si>
  <si>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</si>
  <si>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</si>
  <si>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</si>
  <si>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</si>
  <si>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</si>
  <si>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</si>
  <si>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</si>
  <si>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</si>
  <si>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</si>
  <si>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</si>
  <si>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</si>
  <si>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</si>
  <si>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</si>
  <si>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</si>
  <si>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</si>
  <si>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</si>
  <si>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</si>
  <si>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</si>
  <si>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</si>
  <si>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</si>
  <si>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</si>
  <si>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</si>
  <si>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</si>
  <si>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</si>
  <si>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</si>
  <si>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</si>
  <si>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</si>
  <si>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</si>
  <si>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</si>
  <si>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</si>
  <si>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</si>
  <si>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</si>
  <si>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</si>
  <si>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</si>
  <si>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</si>
  <si>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</si>
  <si>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</si>
  <si>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</si>
  <si>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</si>
  <si>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</si>
  <si>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</si>
  <si>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</si>
  <si>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</si>
  <si>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</si>
  <si>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</si>
  <si>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</si>
  <si>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</si>
  <si>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</si>
  <si>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</si>
  <si>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</si>
  <si>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</si>
  <si>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</si>
  <si>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</si>
  <si>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</si>
  <si>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</si>
  <si>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</si>
  <si>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</si>
  <si>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</si>
  <si>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</si>
  <si>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</si>
  <si>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</si>
  <si>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</si>
  <si>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</si>
  <si>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</si>
  <si>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</si>
  <si>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</si>
  <si>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</si>
  <si>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</si>
  <si>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</si>
  <si>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</si>
  <si>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</si>
  <si>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</si>
  <si>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</si>
  <si>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</si>
  <si>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</si>
  <si>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</si>
  <si>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</si>
  <si>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</si>
  <si>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</si>
  <si>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</si>
  <si>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</si>
  <si>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</si>
  <si>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</si>
  <si>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</si>
  <si>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</si>
  <si>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</si>
  <si>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</si>
  <si>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</si>
  <si>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</si>
  <si>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</si>
  <si>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</si>
  <si>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</si>
  <si>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</si>
  <si>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</si>
  <si>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</si>
  <si>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</si>
  <si>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</si>
  <si>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</si>
  <si>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</si>
  <si>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</si>
  <si>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</si>
  <si>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</si>
  <si>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</si>
  <si>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</si>
  <si>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</si>
  <si>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</si>
  <si>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</si>
  <si>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</si>
  <si>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</si>
  <si>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</si>
  <si>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</si>
  <si>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</si>
  <si>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</si>
  <si>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</si>
  <si>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</si>
  <si>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</si>
  <si>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</si>
  <si>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</si>
  <si>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</si>
  <si>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</si>
  <si>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</si>
  <si>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</si>
  <si>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</si>
  <si>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</si>
  <si>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</si>
  <si>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</si>
  <si>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</si>
  <si>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</si>
  <si>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</si>
  <si>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</si>
  <si>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</si>
  <si>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</si>
  <si>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</si>
  <si>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</si>
  <si>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</si>
  <si>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</si>
  <si>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</si>
  <si>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</si>
  <si>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</si>
  <si>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</si>
  <si>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</si>
  <si>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</si>
  <si>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</si>
  <si>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</si>
  <si>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</si>
  <si>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</si>
  <si>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</si>
  <si>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</si>
  <si>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</si>
  <si>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</si>
  <si>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</si>
  <si>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</si>
  <si>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</si>
  <si>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</si>
  <si>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</si>
  <si>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</si>
  <si>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</si>
  <si>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</si>
  <si>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</si>
  <si>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</si>
  <si>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</si>
  <si>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</si>
  <si>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</si>
  <si>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</si>
  <si>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</si>
  <si>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</si>
  <si>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</si>
  <si>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</si>
  <si>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</si>
  <si>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</si>
  <si>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</si>
  <si>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</si>
  <si>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</si>
  <si>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</si>
  <si>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</si>
  <si>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</si>
  <si>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</si>
  <si>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</si>
  <si>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</si>
  <si>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</si>
  <si>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</si>
  <si>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</si>
  <si>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</si>
  <si>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</si>
  <si>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</si>
  <si>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</si>
  <si>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</si>
  <si>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</si>
  <si>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</si>
  <si>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</si>
  <si>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</si>
  <si>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</si>
  <si>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</si>
  <si>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</si>
  <si>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</si>
  <si>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</si>
  <si>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</si>
  <si>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</si>
  <si>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</si>
  <si>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</si>
  <si>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</si>
  <si>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</si>
  <si>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</si>
  <si>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</si>
  <si>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</si>
  <si>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</si>
  <si>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</si>
  <si>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</si>
  <si>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</si>
  <si>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</si>
  <si>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</si>
  <si>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</si>
  <si>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</si>
  <si>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</si>
  <si>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</si>
  <si>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</si>
  <si>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</si>
  <si>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</si>
  <si>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</si>
  <si>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</si>
  <si>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</si>
  <si>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</si>
  <si>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</si>
  <si>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</si>
  <si>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</si>
  <si>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</si>
  <si>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</si>
  <si>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</si>
  <si>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</si>
  <si>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</si>
  <si>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</si>
  <si>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</si>
  <si>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</si>
  <si>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</si>
  <si>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</si>
  <si>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</si>
  <si>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</si>
  <si>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</si>
  <si>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</si>
  <si>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</si>
  <si>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</si>
  <si>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</si>
  <si>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</si>
  <si>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</si>
  <si>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</si>
  <si>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</si>
  <si>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</si>
  <si>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</si>
  <si>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</si>
  <si>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</si>
  <si>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</si>
  <si>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</si>
  <si>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</si>
  <si>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</si>
  <si>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</si>
  <si>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</si>
  <si>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</si>
  <si>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</si>
  <si>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</si>
  <si>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</si>
  <si>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</si>
  <si>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</si>
  <si>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</si>
  <si>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</si>
  <si>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</si>
  <si>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</si>
  <si>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</si>
  <si>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</si>
  <si>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</si>
  <si>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</si>
  <si>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</si>
  <si>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</si>
  <si>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</si>
  <si>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</si>
  <si>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</si>
  <si>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</si>
  <si>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</si>
  <si>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</si>
  <si>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</si>
  <si>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</si>
  <si>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</si>
  <si>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</si>
  <si>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</si>
  <si>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</si>
  <si>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</si>
  <si>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</si>
  <si>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</si>
  <si>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</si>
  <si>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</si>
  <si>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</si>
  <si>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</si>
  <si>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</si>
  <si>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</si>
  <si>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</si>
  <si>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</si>
  <si>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</si>
  <si>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</si>
  <si>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</si>
  <si>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</si>
  <si>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</si>
  <si>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</si>
  <si>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</si>
  <si>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</si>
  <si>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</si>
  <si>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</si>
  <si>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</si>
  <si>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</si>
  <si>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</si>
  <si>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</si>
  <si>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</si>
  <si>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</si>
  <si>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</si>
  <si>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</si>
  <si>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</si>
  <si>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</si>
  <si>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</si>
  <si>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</si>
  <si>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</si>
  <si>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</si>
  <si>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</si>
  <si>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</si>
  <si>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</si>
  <si>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</si>
  <si>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</si>
  <si>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</si>
  <si>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</si>
  <si>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</si>
  <si>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</si>
  <si>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</si>
  <si>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</si>
  <si>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</si>
  <si>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</si>
  <si>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</si>
  <si>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</si>
  <si>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</si>
  <si>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</si>
  <si>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</si>
  <si>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</si>
  <si>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</si>
  <si>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</si>
  <si>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</si>
  <si>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</si>
  <si>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</si>
  <si>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</si>
  <si>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</si>
  <si>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</si>
  <si>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</si>
  <si>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</si>
  <si>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</si>
  <si>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</si>
  <si>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</si>
  <si>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</si>
  <si>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</si>
  <si>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</si>
  <si>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</si>
  <si>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</si>
  <si>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</si>
  <si>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</si>
  <si>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</si>
  <si>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</si>
  <si>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</si>
  <si>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</si>
  <si>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</si>
  <si>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</si>
  <si>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</si>
  <si>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</si>
  <si>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</si>
  <si>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</si>
  <si>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</si>
  <si>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</si>
  <si>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</si>
  <si>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</si>
  <si>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</si>
  <si>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</si>
  <si>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</si>
  <si>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</si>
  <si>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</si>
  <si>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</si>
  <si>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</si>
  <si>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</si>
  <si>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</si>
  <si>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</si>
  <si>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</si>
  <si>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</si>
  <si>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</si>
  <si>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</si>
  <si>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</si>
  <si>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</si>
  <si>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</si>
  <si>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</si>
  <si>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</si>
  <si>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</si>
  <si>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</si>
  <si>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</si>
  <si>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</si>
  <si>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</si>
  <si>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</si>
  <si>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</si>
  <si>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</si>
  <si>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</si>
  <si>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</si>
  <si>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</si>
  <si>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</si>
  <si>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</si>
  <si>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</si>
  <si>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</si>
  <si>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</si>
  <si>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</si>
  <si>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</si>
  <si>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</si>
  <si>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</si>
  <si>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</si>
  <si>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</si>
  <si>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</si>
  <si>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</si>
  <si>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</si>
  <si>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</si>
  <si>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</si>
  <si>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</si>
  <si>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</si>
  <si>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</si>
  <si>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</si>
  <si>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</si>
  <si>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</si>
  <si>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</si>
  <si>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</si>
  <si>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</si>
  <si>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</si>
  <si>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</si>
  <si>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</si>
  <si>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</si>
  <si>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</si>
  <si>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</si>
  <si>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</si>
  <si>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</si>
  <si>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</si>
  <si>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</si>
  <si>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</si>
  <si>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</si>
  <si>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</si>
  <si>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</si>
  <si>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</si>
  <si>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</si>
  <si>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</si>
  <si>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</si>
  <si>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</si>
  <si>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</si>
  <si>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</si>
  <si>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</si>
  <si>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</si>
  <si>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</si>
  <si>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</si>
  <si>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</si>
  <si>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</si>
  <si>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</si>
  <si>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</si>
  <si>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</si>
  <si>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</si>
  <si>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</si>
  <si>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</si>
  <si>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</si>
  <si>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</si>
  <si>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</si>
  <si>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</si>
  <si>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</si>
  <si>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</si>
  <si>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</si>
  <si>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</si>
  <si>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</si>
  <si>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</si>
  <si>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</si>
  <si>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</si>
  <si>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</si>
  <si>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</si>
  <si>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</si>
  <si>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</si>
  <si>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</si>
  <si>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</si>
  <si>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</si>
  <si>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</si>
  <si>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</si>
  <si>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</si>
  <si>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</si>
  <si>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</si>
  <si>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</si>
  <si>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</si>
  <si>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</si>
  <si>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</si>
  <si>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</si>
  <si>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</si>
  <si>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</si>
  <si>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</si>
  <si>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</si>
  <si>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</si>
  <si>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</si>
  <si>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</si>
  <si>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</si>
  <si>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</si>
  <si>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</si>
  <si>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</si>
  <si>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</si>
  <si>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</si>
  <si>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</si>
  <si>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</si>
  <si>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</si>
  <si>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</si>
  <si>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</si>
  <si>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</si>
  <si>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</si>
  <si>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</si>
  <si>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</si>
  <si>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</si>
  <si>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</si>
  <si>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</si>
  <si>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</si>
  <si>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</si>
  <si>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</si>
  <si>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</si>
  <si>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</si>
  <si>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</si>
  <si>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</si>
  <si>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</si>
  <si>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</si>
  <si>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</si>
  <si>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</si>
  <si>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</si>
  <si>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</si>
  <si>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</si>
  <si>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</si>
  <si>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</si>
  <si>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</si>
  <si>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</si>
  <si>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</si>
  <si>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</si>
  <si>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</si>
  <si>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</si>
  <si>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</si>
  <si>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</si>
  <si>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</si>
  <si>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</si>
  <si>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</si>
  <si>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</si>
  <si>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</si>
  <si>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</si>
  <si>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</si>
  <si>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</si>
  <si>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</si>
  <si>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</si>
  <si>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</si>
  <si>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</si>
  <si>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</si>
  <si>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</si>
  <si>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</si>
  <si>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</si>
  <si>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</si>
  <si>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</si>
  <si>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</si>
  <si>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</si>
  <si>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</si>
  <si>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</si>
  <si>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</si>
  <si>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</si>
  <si>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</si>
  <si>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</si>
  <si>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</si>
  <si>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</si>
  <si>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</si>
  <si>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</si>
  <si>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</si>
  <si>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</si>
  <si>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</si>
  <si>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</si>
  <si>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</si>
  <si>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</si>
  <si>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</si>
  <si>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</si>
  <si>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</si>
  <si>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</si>
  <si>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</si>
  <si>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</si>
  <si>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</si>
  <si>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</si>
  <si>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</si>
  <si>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</si>
  <si>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</si>
  <si>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</si>
  <si>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</si>
  <si>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</si>
  <si>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</si>
  <si>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</si>
  <si>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</si>
  <si>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</si>
  <si>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</si>
  <si>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</si>
  <si>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</si>
  <si>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</si>
  <si>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</si>
  <si>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</si>
  <si>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</si>
  <si>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</si>
  <si>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</si>
  <si>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</si>
  <si>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</si>
  <si>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</si>
  <si>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</si>
  <si>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</si>
  <si>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</si>
  <si>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</si>
  <si>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</si>
  <si>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</si>
  <si>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</si>
  <si>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</si>
  <si>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</si>
  <si>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</si>
  <si>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</si>
  <si>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</si>
  <si>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</si>
  <si>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</si>
  <si>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</si>
  <si>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</si>
  <si>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</si>
  <si>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</si>
  <si>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</si>
  <si>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</si>
  <si>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</si>
  <si>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</si>
  <si>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</si>
  <si>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</si>
  <si>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</si>
  <si>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</si>
  <si>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</si>
  <si>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</si>
  <si>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</si>
  <si>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</si>
  <si>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</si>
  <si>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</si>
  <si>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</si>
  <si>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</si>
  <si>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</si>
  <si>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</si>
  <si>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</si>
  <si>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</si>
  <si>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</si>
  <si>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</si>
  <si>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</si>
  <si>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</si>
  <si>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</si>
  <si>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</si>
  <si>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</si>
  <si>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</si>
  <si>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</si>
  <si>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</si>
  <si>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</si>
  <si>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</si>
  <si>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</si>
  <si>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</si>
  <si>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</si>
  <si>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</si>
  <si>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</si>
  <si>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</si>
  <si>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</si>
  <si>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</si>
  <si>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</si>
  <si>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</si>
  <si>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</si>
  <si>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</si>
  <si>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</si>
  <si>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</si>
  <si>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</si>
  <si>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</si>
  <si>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</si>
  <si>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</si>
  <si>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</si>
  <si>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</si>
  <si>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</si>
  <si>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</si>
  <si>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</si>
  <si>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</si>
  <si>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</si>
  <si>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</si>
  <si>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</si>
  <si>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</si>
  <si>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</si>
  <si>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</si>
  <si>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</si>
  <si>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</si>
  <si>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</si>
  <si>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</si>
  <si>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</si>
  <si>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</si>
  <si>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</si>
  <si>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</si>
  <si>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</si>
  <si>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</si>
  <si>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</si>
  <si>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</si>
  <si>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</si>
  <si>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</si>
  <si>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</si>
  <si>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</si>
  <si>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</si>
  <si>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</si>
  <si>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</si>
  <si>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</si>
  <si>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</si>
  <si>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</si>
  <si>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</si>
  <si>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</si>
  <si>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</si>
  <si>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</si>
  <si>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</si>
  <si>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</si>
  <si>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</si>
  <si>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</si>
  <si>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</si>
  <si>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</si>
  <si>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</si>
  <si>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</si>
  <si>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</si>
  <si>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</si>
  <si>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</si>
  <si>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</si>
  <si>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</si>
  <si>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</si>
  <si>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</si>
  <si>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</si>
  <si>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</si>
  <si>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</si>
  <si>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</si>
  <si>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</si>
  <si>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</si>
  <si>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</si>
  <si>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</si>
  <si>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</si>
  <si>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</si>
  <si>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</si>
  <si>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</si>
  <si>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</si>
  <si>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</si>
  <si>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</si>
  <si>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</si>
  <si>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</si>
  <si>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</si>
  <si>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</si>
  <si>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</si>
  <si>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</si>
  <si>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</si>
  <si>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</si>
  <si>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</si>
  <si>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</si>
  <si>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</si>
  <si>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</si>
  <si>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</si>
  <si>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</si>
  <si>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</si>
  <si>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</si>
  <si>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</si>
  <si>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</si>
  <si>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</si>
  <si>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</si>
  <si>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</si>
  <si>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</si>
  <si>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</si>
  <si>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</si>
  <si>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</si>
  <si>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</si>
  <si>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</si>
  <si>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</si>
  <si>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</si>
  <si>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</si>
  <si>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</si>
  <si>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</si>
  <si>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</si>
  <si>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</si>
  <si>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</si>
  <si>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</si>
  <si>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</si>
  <si>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</si>
  <si>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</si>
  <si>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</si>
  <si>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</si>
  <si>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</si>
  <si>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</si>
  <si>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</si>
  <si>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</si>
  <si>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</si>
  <si>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</si>
  <si>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</si>
  <si>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</si>
  <si>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</si>
  <si>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</si>
  <si>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</si>
  <si>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</si>
  <si>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</si>
  <si>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</si>
  <si>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</si>
  <si>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</si>
  <si>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</si>
  <si>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</si>
  <si>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</si>
  <si>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</si>
  <si>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</si>
  <si>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</si>
  <si>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</si>
  <si>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</si>
  <si>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</si>
  <si>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</si>
  <si>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</si>
  <si>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</si>
  <si>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</si>
  <si>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</si>
  <si>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</si>
  <si>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</si>
  <si>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</si>
  <si>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</si>
  <si>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</si>
  <si>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</si>
  <si>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</si>
  <si>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</si>
  <si>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</si>
  <si>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</si>
  <si>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</si>
  <si>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</si>
  <si>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</si>
  <si>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</si>
  <si>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</si>
  <si>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</si>
  <si>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</si>
  <si>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</si>
  <si>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</si>
  <si>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</si>
  <si>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</si>
  <si>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</si>
  <si>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</si>
  <si>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</si>
  <si>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</si>
  <si>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</si>
  <si>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</si>
  <si>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</si>
  <si>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</si>
  <si>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</si>
  <si>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</si>
  <si>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</si>
  <si>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</si>
  <si>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</si>
  <si>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</si>
  <si>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</si>
  <si>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</si>
  <si>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</si>
  <si>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</si>
  <si>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</si>
  <si>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</si>
  <si>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</si>
  <si>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</si>
  <si>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</si>
  <si>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</si>
  <si>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</si>
  <si>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</si>
  <si>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</si>
  <si>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</si>
  <si>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</si>
  <si>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</si>
  <si>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</si>
  <si>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</si>
  <si>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</si>
  <si>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</si>
  <si>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</si>
  <si>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</si>
  <si>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</si>
  <si>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</si>
  <si>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</si>
  <si>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</si>
  <si>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</si>
  <si>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</si>
  <si>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</si>
  <si>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</si>
  <si>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</si>
  <si>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</si>
  <si>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</si>
  <si>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</si>
  <si>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</si>
  <si>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</si>
  <si>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</si>
  <si>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</si>
  <si>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</si>
  <si>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</si>
  <si>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</si>
  <si>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</si>
  <si>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</si>
  <si>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</si>
  <si>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</si>
  <si>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</si>
  <si>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</si>
  <si>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</si>
  <si>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</si>
  <si>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</si>
  <si>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</si>
  <si>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</si>
  <si>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</si>
  <si>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</si>
  <si>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</si>
  <si>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</si>
  <si>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</si>
  <si>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</si>
  <si>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</si>
  <si>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</si>
  <si>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</si>
  <si>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</si>
  <si>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</si>
  <si>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</si>
  <si>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</si>
  <si>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</si>
  <si>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</si>
  <si>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</si>
  <si>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</si>
  <si>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</si>
  <si>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</si>
  <si>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</si>
  <si>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</si>
  <si>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</si>
  <si>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</si>
  <si>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</si>
  <si>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</si>
  <si>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</si>
  <si>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</si>
  <si>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</si>
  <si>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</si>
  <si>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</si>
  <si>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</si>
  <si>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</si>
  <si>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</si>
  <si>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</si>
  <si>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</si>
  <si>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</si>
  <si>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</si>
  <si>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</si>
  <si>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</si>
  <si>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</si>
  <si>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</si>
  <si>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</si>
  <si>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</si>
  <si>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</si>
  <si>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</si>
  <si>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</si>
  <si>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</si>
  <si>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</si>
  <si>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</si>
  <si>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</si>
  <si>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</si>
  <si>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</si>
  <si>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</si>
  <si>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</si>
  <si>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</si>
  <si>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</si>
  <si>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</si>
  <si>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</si>
  <si>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</si>
  <si>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</si>
  <si>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</si>
  <si>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</si>
  <si>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</si>
  <si>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</si>
  <si>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</si>
  <si>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</si>
  <si>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</si>
  <si>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</si>
  <si>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</si>
  <si>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</si>
  <si>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</si>
  <si>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</si>
  <si>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</si>
  <si>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</si>
  <si>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</si>
  <si>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</si>
  <si>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</si>
  <si>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</si>
  <si>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</si>
  <si>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</si>
  <si>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</si>
  <si>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</si>
  <si>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</si>
  <si>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</si>
  <si>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</si>
  <si>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</si>
  <si>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</si>
  <si>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</si>
  <si>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</si>
  <si>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</si>
  <si>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</si>
  <si>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</si>
  <si>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</si>
  <si>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</si>
  <si>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</si>
  <si>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</si>
  <si>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</si>
  <si>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</si>
  <si>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</si>
  <si>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</si>
  <si>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</si>
  <si>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</si>
  <si>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</si>
  <si>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</si>
  <si>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</si>
  <si>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</si>
  <si>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</si>
  <si>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</si>
  <si>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</si>
  <si>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</si>
  <si>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</si>
  <si>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</si>
  <si>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</si>
  <si>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</si>
  <si>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</si>
  <si>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</si>
  <si>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</si>
  <si>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</si>
  <si>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</si>
  <si>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</si>
  <si>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</si>
  <si>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</si>
  <si>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</si>
  <si>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</si>
  <si>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</si>
  <si>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</si>
  <si>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</si>
  <si>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</si>
  <si>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</si>
  <si>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</si>
  <si>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</si>
  <si>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</si>
  <si>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</si>
  <si>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</si>
  <si>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</si>
  <si>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</si>
  <si>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</si>
  <si>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</si>
  <si>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</si>
  <si>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</si>
  <si>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</si>
  <si>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</si>
  <si>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</si>
  <si>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</si>
  <si>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</si>
  <si>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</si>
  <si>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</si>
  <si>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</si>
  <si>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</si>
  <si>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</si>
  <si>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</si>
  <si>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</si>
  <si>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</si>
  <si>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</si>
  <si>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</si>
  <si>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</si>
  <si>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</si>
  <si>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</si>
  <si>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</si>
  <si>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</si>
  <si>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</si>
  <si>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</si>
  <si>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</si>
  <si>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</si>
  <si>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</si>
  <si>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</si>
  <si>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</si>
  <si>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</si>
  <si>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</si>
  <si>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</si>
  <si>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</si>
  <si>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</si>
  <si>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</si>
  <si>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</si>
  <si>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</si>
  <si>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</si>
  <si>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</si>
  <si>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</si>
  <si>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</si>
  <si>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</si>
  <si>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</si>
  <si>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</si>
  <si>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</si>
  <si>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</si>
  <si>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</si>
  <si>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</si>
  <si>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</si>
  <si>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</si>
  <si>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</si>
  <si>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</si>
  <si>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</si>
  <si>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</si>
  <si>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</si>
  <si>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</si>
  <si>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</si>
  <si>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</si>
  <si>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</si>
  <si>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</si>
  <si>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</si>
  <si>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</si>
  <si>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</si>
  <si>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</si>
  <si>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</si>
  <si>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</si>
  <si>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</si>
  <si>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</si>
  <si>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</si>
  <si>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</si>
  <si>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</si>
  <si>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</si>
  <si>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</si>
  <si>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</si>
  <si>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</si>
  <si>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</si>
  <si>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</si>
  <si>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</si>
  <si>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</si>
  <si>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</si>
  <si>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</si>
  <si>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</si>
  <si>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</si>
  <si>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</si>
  <si>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</si>
  <si>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</si>
  <si>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</si>
  <si>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</si>
  <si>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</si>
  <si>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</si>
  <si>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</si>
  <si>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</si>
  <si>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</si>
  <si>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</si>
  <si>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</si>
  <si>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</si>
  <si>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</si>
  <si>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</si>
  <si>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</si>
  <si>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</si>
  <si>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</si>
  <si>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</si>
  <si>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</si>
  <si>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</si>
  <si>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</si>
  <si>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</si>
  <si>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</si>
  <si>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</si>
  <si>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</si>
  <si>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</si>
  <si>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</si>
  <si>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</si>
  <si>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</si>
  <si>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</si>
  <si>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</si>
  <si>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</si>
  <si>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</si>
  <si>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</si>
  <si>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</si>
  <si>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</si>
  <si>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</si>
  <si>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</si>
  <si>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</si>
  <si>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</si>
  <si>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</si>
  <si>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</si>
  <si>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</si>
  <si>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</si>
  <si>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</si>
  <si>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</si>
  <si>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</si>
  <si>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</si>
  <si>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</si>
  <si>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</si>
  <si>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</si>
  <si>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</si>
  <si>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</si>
  <si>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</si>
  <si>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</si>
  <si>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</si>
  <si>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</si>
  <si>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</si>
  <si>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</si>
  <si>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</si>
  <si>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</si>
  <si>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</si>
  <si>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</si>
  <si>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</si>
  <si>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</si>
  <si>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</si>
  <si>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</si>
  <si>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</si>
  <si>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</si>
  <si>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</si>
  <si>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</si>
  <si>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</si>
  <si>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</si>
  <si>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</si>
  <si>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</si>
  <si>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</si>
  <si>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</si>
  <si>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</si>
  <si>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</si>
  <si>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</si>
  <si>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</si>
  <si>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</si>
  <si>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</si>
  <si>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</si>
  <si>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</si>
  <si>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</si>
  <si>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</si>
  <si>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</si>
  <si>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</si>
  <si>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</si>
  <si>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</si>
  <si>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</si>
  <si>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</si>
  <si>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</si>
  <si>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</si>
  <si>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</si>
  <si>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</si>
  <si>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</si>
  <si>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</si>
  <si>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</si>
  <si>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</si>
  <si>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</si>
  <si>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</si>
  <si>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</si>
  <si>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</si>
  <si>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</si>
  <si>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</si>
  <si>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</si>
  <si>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</si>
  <si>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</si>
  <si>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</si>
  <si>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</si>
  <si>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</si>
  <si>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</si>
  <si>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</si>
  <si>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</si>
  <si>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</si>
  <si>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</si>
  <si>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</si>
  <si>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</si>
  <si>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</si>
  <si>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</si>
  <si>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</si>
  <si>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</si>
  <si>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</si>
  <si>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</si>
  <si>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</si>
  <si>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</si>
  <si>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</si>
  <si>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</si>
  <si>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</si>
  <si>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</si>
  <si>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</si>
  <si>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</si>
  <si>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</si>
  <si>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</si>
  <si>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</si>
  <si>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</si>
  <si>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</si>
  <si>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</si>
  <si>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</si>
  <si>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</si>
  <si>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</si>
  <si>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</si>
  <si>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</si>
  <si>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</si>
  <si>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</si>
  <si>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</si>
  <si>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</si>
  <si>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</si>
  <si>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</si>
  <si>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</si>
  <si>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</si>
  <si>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</si>
  <si>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</si>
  <si>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</si>
  <si>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</si>
  <si>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</si>
  <si>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</si>
  <si>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</si>
  <si>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</si>
  <si>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</si>
  <si>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</si>
  <si>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</si>
  <si>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</si>
  <si>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</si>
  <si>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</si>
  <si>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</si>
  <si>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</si>
  <si>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</si>
  <si>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</si>
  <si>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</si>
  <si>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</si>
  <si>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</si>
  <si>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</si>
  <si>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</si>
  <si>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</si>
  <si>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</si>
  <si>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</si>
  <si>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</si>
  <si>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</si>
  <si>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</si>
  <si>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</si>
  <si>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</si>
  <si>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</si>
  <si>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</si>
  <si>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</si>
  <si>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</si>
  <si>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</si>
  <si>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</si>
  <si>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</si>
  <si>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</si>
  <si>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</si>
  <si>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</si>
  <si>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</si>
  <si>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</si>
  <si>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</si>
  <si>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</si>
  <si>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</si>
  <si>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</si>
  <si>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</si>
  <si>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</si>
  <si>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</si>
  <si>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</si>
  <si>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</si>
  <si>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</si>
  <si>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</si>
  <si>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</si>
  <si>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</si>
  <si>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</si>
  <si>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</si>
  <si>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</si>
  <si>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</si>
  <si>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</si>
  <si>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</si>
  <si>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</si>
  <si>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</si>
  <si>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</si>
  <si>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</si>
  <si>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</si>
  <si>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</si>
  <si>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</si>
  <si>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</si>
  <si>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</si>
  <si>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</si>
  <si>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</si>
  <si>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</si>
  <si>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</si>
  <si>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</si>
  <si>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</si>
  <si>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</si>
  <si>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</si>
  <si>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</si>
  <si>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</si>
  <si>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</si>
  <si>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</si>
  <si>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</si>
  <si>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</si>
  <si>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</si>
  <si>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</si>
  <si>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</si>
  <si>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</si>
  <si>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</si>
  <si>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</si>
  <si>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</si>
  <si>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</si>
  <si>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</si>
  <si>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</si>
  <si>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</si>
  <si>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</si>
  <si>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</si>
  <si>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</si>
  <si>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</si>
  <si>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</si>
  <si>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</si>
  <si>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</si>
  <si>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</si>
  <si>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</si>
  <si>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</si>
  <si>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</si>
  <si>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</si>
  <si>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</si>
  <si>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</si>
  <si>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</si>
  <si>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</si>
  <si>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</si>
  <si>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</si>
  <si>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</si>
  <si>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</si>
  <si>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</si>
  <si>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</si>
  <si>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</si>
  <si>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</si>
  <si>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</si>
  <si>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</si>
  <si>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</si>
  <si>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</si>
  <si>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</si>
  <si>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</si>
  <si>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</si>
  <si>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</si>
  <si>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</si>
  <si>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</si>
  <si>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</si>
  <si>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</si>
  <si>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</si>
  <si>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</si>
  <si>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</si>
  <si>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</si>
  <si>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</si>
  <si>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</si>
  <si>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</si>
  <si>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</si>
  <si>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</si>
  <si>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</si>
  <si>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</si>
  <si>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</si>
  <si>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</si>
  <si>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</si>
  <si>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</si>
  <si>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</si>
  <si>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</si>
  <si>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</si>
  <si>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</si>
  <si>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</si>
  <si>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</si>
  <si>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</si>
  <si>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</si>
  <si>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</si>
  <si>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</si>
  <si>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</si>
  <si>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</si>
  <si>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</si>
  <si>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</si>
  <si>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</si>
  <si>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</si>
  <si>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</si>
  <si>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</si>
  <si>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</si>
  <si>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</si>
  <si>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</si>
  <si>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</si>
  <si>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</si>
  <si>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</si>
  <si>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</si>
  <si>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</si>
  <si>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</si>
  <si>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</si>
  <si>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</si>
  <si>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</si>
  <si>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</si>
  <si>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</si>
  <si>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</si>
  <si>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</si>
  <si>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</si>
  <si>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</si>
  <si>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</si>
  <si>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</si>
  <si>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</si>
  <si>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</si>
  <si>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</si>
  <si>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</si>
  <si>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</si>
  <si>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</si>
  <si>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</si>
  <si>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</si>
  <si>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</si>
  <si>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</si>
  <si>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</si>
  <si>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</si>
  <si>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</si>
  <si>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</si>
  <si>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</si>
  <si>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</si>
  <si>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</si>
  <si>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</si>
  <si>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</si>
  <si>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</si>
  <si>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</si>
  <si>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</si>
  <si>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</si>
  <si>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</si>
  <si>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</si>
  <si>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</si>
  <si>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</si>
  <si>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</si>
  <si>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</si>
  <si>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</si>
  <si>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</si>
  <si>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</si>
  <si>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</si>
  <si>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</si>
  <si>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</si>
  <si>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</si>
  <si>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</si>
  <si>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</si>
  <si>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</si>
  <si>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</si>
  <si>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</si>
  <si>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</si>
  <si>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</si>
  <si>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</si>
  <si>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</si>
  <si>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</si>
  <si>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</si>
  <si>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</si>
  <si>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</si>
  <si>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</si>
  <si>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</si>
  <si>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</si>
  <si>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</si>
  <si>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</si>
  <si>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</si>
  <si>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</si>
  <si>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</si>
  <si>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</si>
  <si>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</si>
  <si>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</si>
  <si>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</si>
  <si>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</si>
  <si>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</si>
  <si>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</si>
  <si>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</si>
  <si>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</si>
  <si>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</si>
  <si>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</si>
  <si>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</si>
  <si>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</si>
  <si>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</si>
  <si>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</si>
  <si>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</si>
  <si>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</si>
  <si>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</si>
  <si>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</si>
  <si>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</si>
  <si>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</si>
  <si>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</si>
  <si>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</si>
  <si>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</si>
  <si>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</si>
  <si>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</si>
  <si>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</si>
  <si>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</si>
  <si>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</si>
  <si>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</si>
  <si>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</si>
  <si>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</si>
  <si>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</si>
  <si>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</si>
  <si>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</si>
  <si>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</si>
  <si>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</si>
  <si>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</si>
  <si>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</si>
  <si>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</si>
  <si>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</si>
  <si>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</si>
  <si>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</si>
  <si>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</si>
  <si>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</si>
  <si>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</si>
  <si>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</si>
  <si>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</si>
  <si>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</si>
  <si>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</si>
  <si>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</si>
  <si>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</si>
  <si>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</si>
  <si>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</si>
  <si>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</si>
  <si>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</si>
  <si>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</si>
  <si>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</si>
  <si>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</si>
  <si>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</si>
  <si>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</si>
  <si>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</si>
  <si>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</si>
  <si>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</si>
  <si>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</si>
  <si>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</si>
  <si>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</si>
  <si>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</si>
  <si>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</si>
  <si>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</si>
  <si>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</si>
  <si>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</si>
  <si>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</si>
  <si>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</si>
  <si>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</si>
  <si>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</si>
  <si>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</si>
  <si>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</si>
  <si>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</si>
  <si>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</si>
  <si>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</si>
  <si>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</si>
  <si>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</si>
  <si>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</si>
  <si>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</si>
  <si>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</si>
  <si>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</si>
  <si>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</si>
  <si>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</si>
  <si>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</si>
  <si>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</si>
  <si>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</si>
  <si>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</si>
  <si>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</si>
  <si>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</si>
  <si>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</si>
  <si>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</si>
  <si>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</si>
  <si>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</si>
  <si>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</si>
  <si>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</si>
  <si>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</si>
  <si>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</si>
  <si>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</si>
  <si>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</si>
  <si>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</si>
  <si>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</si>
  <si>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</si>
  <si>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</si>
  <si>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</si>
  <si>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</si>
  <si>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</si>
  <si>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</si>
  <si>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</si>
  <si>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</si>
  <si>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</si>
  <si>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</si>
  <si>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</si>
  <si>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</si>
  <si>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</si>
  <si>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</si>
  <si>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</si>
  <si>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</si>
  <si>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</si>
  <si>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</si>
  <si>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</si>
  <si>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</si>
  <si>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</si>
  <si>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</si>
  <si>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</si>
  <si>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</si>
  <si>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</si>
  <si>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</si>
  <si>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</si>
  <si>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</si>
  <si>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</si>
  <si>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</si>
  <si>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</si>
  <si>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</si>
  <si>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</si>
  <si>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</si>
  <si>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</si>
  <si>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</si>
  <si>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</si>
  <si>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</si>
  <si>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</si>
  <si>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</si>
  <si>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</si>
  <si>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</si>
  <si>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</si>
  <si>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</si>
  <si>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</si>
  <si>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</si>
  <si>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</si>
  <si>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</si>
  <si>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</si>
  <si>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</si>
  <si>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</si>
  <si>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</si>
  <si>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</si>
  <si>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</si>
  <si>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</si>
  <si>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</si>
  <si>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</si>
  <si>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</si>
  <si>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</si>
  <si>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</si>
  <si>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</si>
  <si>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</si>
  <si>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</si>
  <si>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</si>
  <si>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</si>
  <si>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</si>
  <si>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</si>
  <si>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</si>
  <si>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</si>
  <si>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</si>
  <si>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</si>
  <si>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</si>
  <si>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</si>
  <si>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</si>
  <si>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</si>
  <si>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</si>
  <si>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</si>
  <si>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</si>
  <si>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</si>
  <si>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</si>
  <si>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</si>
  <si>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</si>
  <si>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</si>
  <si>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</si>
  <si>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</si>
  <si>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</si>
  <si>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</si>
  <si>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</si>
  <si>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</si>
  <si>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</si>
  <si>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</si>
  <si>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</si>
  <si>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</si>
  <si>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</si>
  <si>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</si>
  <si>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</si>
  <si>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</si>
  <si>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</si>
  <si>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</si>
  <si>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</si>
  <si>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</si>
  <si>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</si>
  <si>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</si>
  <si>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</si>
  <si>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</si>
  <si>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</si>
  <si>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</si>
  <si>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</si>
  <si>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</si>
  <si>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</si>
  <si>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</si>
  <si>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</si>
  <si>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</si>
  <si>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</si>
  <si>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</si>
  <si>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</si>
  <si>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</si>
  <si>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</si>
  <si>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</si>
  <si>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</si>
  <si>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</si>
  <si>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</si>
  <si>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</si>
  <si>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</si>
  <si>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</si>
  <si>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</si>
  <si>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</si>
  <si>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</si>
  <si>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</si>
  <si>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</si>
  <si>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</si>
  <si>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</si>
  <si>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</si>
  <si>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</si>
  <si>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</si>
  <si>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</si>
  <si>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</si>
  <si>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</si>
  <si>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</si>
  <si>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</si>
  <si>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</si>
  <si>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</si>
  <si>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</si>
  <si>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</si>
  <si>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</si>
  <si>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</si>
  <si>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</si>
  <si>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</si>
  <si>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</si>
  <si>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</si>
  <si>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</si>
  <si>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</si>
  <si>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</si>
  <si>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</si>
  <si>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</si>
  <si>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</si>
  <si>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</si>
  <si>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</si>
  <si>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</si>
  <si>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</si>
  <si>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</si>
  <si>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</si>
  <si>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</si>
  <si>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</si>
  <si>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</si>
  <si>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</si>
  <si>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</si>
  <si>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</si>
  <si>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</si>
  <si>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</si>
  <si>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</si>
  <si>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</si>
  <si>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</si>
  <si>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</si>
  <si>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</si>
  <si>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</si>
  <si>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</si>
  <si>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</si>
  <si>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</si>
  <si>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</si>
  <si>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</si>
  <si>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</si>
  <si>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</si>
  <si>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</si>
  <si>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</si>
  <si>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</si>
  <si>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</si>
  <si>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</si>
  <si>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</si>
  <si>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</si>
  <si>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</si>
  <si>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</si>
  <si>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</si>
  <si>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</si>
  <si>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</si>
  <si>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</si>
  <si>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</si>
  <si>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</si>
  <si>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</si>
  <si>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</si>
  <si>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</si>
  <si>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</si>
  <si>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</si>
  <si>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</si>
  <si>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</si>
  <si>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</si>
  <si>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</si>
  <si>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</si>
  <si>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</si>
  <si>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</si>
  <si>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</si>
  <si>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</si>
  <si>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</si>
  <si>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</si>
  <si>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</si>
  <si>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</si>
  <si>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</si>
  <si>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</si>
  <si>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</si>
  <si>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</si>
  <si>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</si>
  <si>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</si>
  <si>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</si>
  <si>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</si>
  <si>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</si>
  <si>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</si>
  <si>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</si>
  <si>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</si>
  <si>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</si>
  <si>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</si>
  <si>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</si>
  <si>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</si>
  <si>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</si>
  <si>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</si>
  <si>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</si>
  <si>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</si>
  <si>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</si>
  <si>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</si>
  <si>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</si>
  <si>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</si>
  <si>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</si>
  <si>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</si>
  <si>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</si>
  <si>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</si>
  <si>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</si>
  <si>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</si>
  <si>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</si>
  <si>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</si>
  <si>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</si>
  <si>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</si>
  <si>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</si>
  <si>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</si>
  <si>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</si>
  <si>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</si>
  <si>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</si>
  <si>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</si>
  <si>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</si>
  <si>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</si>
  <si>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</si>
  <si>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</si>
  <si>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</si>
  <si>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</si>
  <si>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</si>
  <si>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</si>
  <si>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</si>
  <si>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</si>
  <si>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</si>
  <si>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</si>
  <si>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</si>
  <si>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</si>
  <si>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</si>
  <si>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</si>
  <si>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</si>
  <si>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</si>
  <si>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</si>
  <si>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</si>
  <si>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</si>
  <si>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</si>
  <si>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</si>
  <si>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</si>
  <si>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</si>
  <si>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</si>
  <si>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</si>
  <si>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</si>
  <si>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</si>
  <si>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</si>
  <si>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</si>
  <si>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</si>
  <si>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</si>
  <si>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</si>
  <si>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</si>
  <si>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</si>
  <si>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</si>
  <si>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</si>
  <si>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</si>
  <si>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</si>
  <si>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</si>
  <si>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</si>
  <si>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</si>
  <si>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</si>
  <si>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</si>
  <si>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</si>
  <si>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</si>
  <si>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</si>
  <si>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</si>
  <si>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</si>
  <si>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</si>
  <si>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</si>
  <si>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</si>
  <si>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</si>
  <si>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</si>
  <si>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</si>
  <si>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</si>
  <si>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</si>
  <si>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</si>
  <si>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</si>
  <si>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</si>
  <si>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</si>
  <si>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</si>
  <si>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</si>
  <si>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</si>
  <si>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</si>
  <si>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</si>
  <si>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</si>
  <si>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</si>
  <si>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</si>
  <si>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</si>
  <si>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</si>
  <si>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</si>
  <si>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</si>
  <si>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</si>
  <si>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</si>
  <si>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</si>
  <si>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</si>
  <si>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</si>
  <si>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</si>
  <si>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</si>
  <si>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</si>
  <si>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</si>
  <si>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</si>
  <si>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</si>
  <si>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</si>
  <si>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</si>
  <si>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</si>
  <si>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</si>
  <si>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</si>
  <si>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</si>
  <si>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</si>
  <si>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</si>
  <si>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</si>
  <si>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</si>
  <si>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</si>
  <si>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</si>
  <si>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</si>
  <si>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</si>
  <si>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</si>
  <si>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</si>
  <si>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</si>
  <si>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</si>
  <si>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</si>
  <si>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</si>
  <si>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</si>
  <si>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</si>
  <si>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</si>
  <si>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</si>
  <si>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</si>
  <si>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</si>
  <si>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</si>
  <si>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</si>
  <si>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</si>
  <si>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</si>
  <si>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</si>
  <si>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</si>
  <si>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</si>
  <si>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</si>
  <si>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</si>
  <si>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</si>
  <si>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</si>
  <si>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</si>
  <si>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</si>
  <si>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</si>
  <si>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</si>
  <si>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</si>
  <si>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</si>
  <si>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</si>
  <si>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</si>
  <si>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</si>
  <si>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</si>
  <si>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</si>
  <si>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</si>
  <si>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</si>
  <si>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</si>
  <si>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</si>
  <si>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</si>
  <si>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</si>
  <si>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</si>
  <si>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</si>
  <si>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</si>
  <si>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</si>
  <si>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</si>
  <si>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</si>
  <si>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</si>
  <si>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</si>
  <si>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</si>
  <si>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</si>
  <si>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</si>
  <si>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</si>
  <si>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</si>
  <si>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</si>
  <si>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</si>
  <si>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</si>
  <si>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</si>
  <si>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</si>
  <si>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</si>
  <si>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</si>
  <si>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</si>
  <si>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</si>
  <si>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</si>
  <si>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</si>
  <si>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</si>
  <si>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</si>
  <si>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</si>
  <si>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</si>
  <si>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</si>
  <si>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</si>
  <si>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</si>
  <si>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</si>
  <si>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</si>
  <si>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</si>
  <si>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</si>
  <si>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Ipiranga</t>
  </si>
  <si>
    <t>01/04/2026</t>
  </si>
  <si>
    <t>30/04/2026</t>
  </si>
  <si>
    <t>NORMAL</t>
  </si>
  <si>
    <t>EMEI</t>
  </si>
  <si>
    <t>IP</t>
  </si>
  <si>
    <t>EMEF</t>
  </si>
  <si>
    <t>EMEE</t>
  </si>
  <si>
    <t>CEI</t>
  </si>
  <si>
    <t>IPE</t>
  </si>
  <si>
    <t>ADAPTADO</t>
  </si>
  <si>
    <t>030.370-00</t>
  </si>
  <si>
    <t>2022/0052506-001</t>
  </si>
  <si>
    <t>2022/0052506</t>
  </si>
  <si>
    <t>GKA8530</t>
  </si>
  <si>
    <t>019.777-00</t>
  </si>
  <si>
    <t>2022/0031283-001</t>
  </si>
  <si>
    <t>2022/0031283</t>
  </si>
  <si>
    <t>EUL1409</t>
  </si>
  <si>
    <t>016.563-00</t>
  </si>
  <si>
    <t>2022/0027180-001</t>
  </si>
  <si>
    <t>2022/0027180</t>
  </si>
  <si>
    <t>CZZ2570</t>
  </si>
  <si>
    <t>020.334-00</t>
  </si>
  <si>
    <t>2022/0027780-001A</t>
  </si>
  <si>
    <t>2022/0027780</t>
  </si>
  <si>
    <t>EJY5640</t>
  </si>
  <si>
    <t>020.678-00</t>
  </si>
  <si>
    <t>2022/0029425-001</t>
  </si>
  <si>
    <t>2022/0029425</t>
  </si>
  <si>
    <t>EYN7646</t>
  </si>
  <si>
    <t>029.285-00</t>
  </si>
  <si>
    <t>2022/0027079-001C</t>
  </si>
  <si>
    <t>2022/0027079</t>
  </si>
  <si>
    <t>DPF7354</t>
  </si>
  <si>
    <t>018.385-00</t>
  </si>
  <si>
    <t>2022/0033953-001</t>
  </si>
  <si>
    <t>2022/0033953</t>
  </si>
  <si>
    <t>FFE0330</t>
  </si>
  <si>
    <t>008.848-00</t>
  </si>
  <si>
    <t>2022/0030729-001</t>
  </si>
  <si>
    <t>2022/0030729</t>
  </si>
  <si>
    <t>EMU2730</t>
  </si>
  <si>
    <t>016.874-00</t>
  </si>
  <si>
    <t>2022/0029787-001B</t>
  </si>
  <si>
    <t>2022/0029787</t>
  </si>
  <si>
    <t>ELW7180</t>
  </si>
  <si>
    <t>014.954-00</t>
  </si>
  <si>
    <t>2022/0031140-001</t>
  </si>
  <si>
    <t>2022/0031140</t>
  </si>
  <si>
    <t>OOX9923</t>
  </si>
  <si>
    <t>029.493-00</t>
  </si>
  <si>
    <t>2022/0027008-001A</t>
  </si>
  <si>
    <t>2022/0027008</t>
  </si>
  <si>
    <t>EQL1559</t>
  </si>
  <si>
    <t>006.327-00</t>
  </si>
  <si>
    <t>2022/0027495-001</t>
  </si>
  <si>
    <t>2022/0027495</t>
  </si>
  <si>
    <t>CZZ2569</t>
  </si>
  <si>
    <t>030.711-00</t>
  </si>
  <si>
    <t>2022/0034469-001</t>
  </si>
  <si>
    <t>2022/0034469</t>
  </si>
  <si>
    <t>EVU7790</t>
  </si>
  <si>
    <t>028.548-00</t>
  </si>
  <si>
    <t>2023/0008690-001A</t>
  </si>
  <si>
    <t>2023/0008690</t>
  </si>
  <si>
    <t>DTE1797</t>
  </si>
  <si>
    <t>037.071-00</t>
  </si>
  <si>
    <t>2022/0031307-001</t>
  </si>
  <si>
    <t>2022/0031307</t>
  </si>
  <si>
    <t>GAX2044</t>
  </si>
  <si>
    <t>016.807-00</t>
  </si>
  <si>
    <t>2022/0032820-001B</t>
  </si>
  <si>
    <t>2022/0032820</t>
  </si>
  <si>
    <t>EES4661</t>
  </si>
  <si>
    <t>020.466-00</t>
  </si>
  <si>
    <t>2022/0026382-001</t>
  </si>
  <si>
    <t>2022/0026382</t>
  </si>
  <si>
    <t>DJF5990</t>
  </si>
  <si>
    <t>FALTA 17/04</t>
  </si>
  <si>
    <t>441,09</t>
  </si>
  <si>
    <t>6020.2022/0052506-3</t>
  </si>
  <si>
    <t>6020.2022/0031283-3</t>
  </si>
  <si>
    <t>6020.2022/0027180-0</t>
  </si>
  <si>
    <t>6020.2022/0027780-9</t>
  </si>
  <si>
    <t>6020.2022/0029425-8</t>
  </si>
  <si>
    <t>6020.2022/0027079-0</t>
  </si>
  <si>
    <t>6020.2022/0033953-7</t>
  </si>
  <si>
    <t>6020.2022/0030729-5</t>
  </si>
  <si>
    <t>6020.2022/0029787-7</t>
  </si>
  <si>
    <t>6020.2022/0031140-3</t>
  </si>
  <si>
    <t>6020.2022/0027008-1</t>
  </si>
  <si>
    <t>6020.2022/0027495-8</t>
  </si>
  <si>
    <t>6020.2022/0034469-7</t>
  </si>
  <si>
    <t>6020.2023/0008690-8</t>
  </si>
  <si>
    <t>6020.2022/0031307-4</t>
  </si>
  <si>
    <t>6020.2022/0032820-9</t>
  </si>
  <si>
    <t>6020.2022/0026382-4</t>
  </si>
  <si>
    <t>332.009.608-76</t>
  </si>
  <si>
    <t>161.670.405-59</t>
  </si>
  <si>
    <t>108.205.788-60</t>
  </si>
  <si>
    <t>143.673.188-77</t>
  </si>
  <si>
    <t>080.262.658-07</t>
  </si>
  <si>
    <t>068.966.837-67</t>
  </si>
  <si>
    <t>046.767.858-87</t>
  </si>
  <si>
    <t>012.374.328-12</t>
  </si>
  <si>
    <t>198.622.348-57</t>
  </si>
  <si>
    <t>015.119.868-32</t>
  </si>
  <si>
    <t>280.132.538-48</t>
  </si>
  <si>
    <t>111.908.898-46</t>
  </si>
  <si>
    <t>094.971.998-64</t>
  </si>
  <si>
    <t>695.308.406-59</t>
  </si>
  <si>
    <t>770.297.205-04</t>
  </si>
  <si>
    <t>101.215.488-21</t>
  </si>
  <si>
    <t>091.595.618-74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</si>
</sst>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25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153"/>
  <sheetViews>
    <sheetView showGridLines="0" zoomScale="85" zoomScaleNormal="85" workbookViewId="0">
      <selection activeCell="Q86" sqref="Q86:EO9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3181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3192</v>
      </c>
      <c r="B6" s="522" t="s">
        <v>3193</v>
      </c>
      <c r="C6" s="523">
        <v>1</v>
      </c>
      <c r="D6" s="524" t="s">
        <v>3194</v>
      </c>
      <c r="E6" s="524" t="s">
        <v>3195</v>
      </c>
      <c r="F6" s="525" t="s">
        <v>3182</v>
      </c>
      <c r="G6" s="525" t="s">
        <v>3183</v>
      </c>
      <c r="H6" s="350" t="s">
        <v>1635</v>
      </c>
      <c r="I6" s="351" t="s">
        <v>1635</v>
      </c>
      <c r="J6" s="409" t="s">
        <v>3184</v>
      </c>
      <c r="K6" s="410" t="s">
        <v>3185</v>
      </c>
      <c r="L6" s="329">
        <f>CONTINUA!BV6</f>
        <v>0</v>
      </c>
      <c r="M6" s="329">
        <f>CONTINUA!BW6</f>
        <v>0</v>
      </c>
      <c r="N6" s="342"/>
      <c r="O6" s="288" t="s">
        <v>3262</v>
      </c>
      <c r="P6" s="330">
        <v>0</v>
      </c>
      <c r="Q6" s="400">
        <v>37</v>
      </c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37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37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15582.35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15582.35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15582.35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3192</v>
      </c>
      <c r="B7" s="369" t="s">
        <v>3193</v>
      </c>
      <c r="C7" s="370" t="s">
        <v>3186</v>
      </c>
      <c r="D7" s="371" t="s">
        <v>3194</v>
      </c>
      <c r="E7" s="371" t="s">
        <v>3195</v>
      </c>
      <c r="F7" s="372" t="s">
        <v>3182</v>
      </c>
      <c r="G7" s="372" t="s">
        <v>3183</v>
      </c>
      <c r="H7" s="373" t="s">
        <v>1635</v>
      </c>
      <c r="I7" s="374" t="s">
        <v>1635</v>
      </c>
      <c r="J7" s="421" t="s">
        <v>3184</v>
      </c>
      <c r="K7" s="421" t="s">
        <v>3187</v>
      </c>
      <c r="L7" s="329">
        <f>CONTINUA!BV7</f>
        <v>0</v>
      </c>
      <c r="M7" s="329">
        <f>CONTINUA!BW7</f>
        <v>0</v>
      </c>
      <c r="N7" s="342"/>
      <c r="O7" s="289" t="s">
        <v>3262</v>
      </c>
      <c r="P7" s="330">
        <v>0</v>
      </c>
      <c r="Q7" s="400"/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0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0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3192</v>
      </c>
      <c r="B8" s="369" t="s">
        <v>3193</v>
      </c>
      <c r="C8" s="375" t="s">
        <v>3186</v>
      </c>
      <c r="D8" s="371" t="s">
        <v>3194</v>
      </c>
      <c r="E8" s="371" t="s">
        <v>3195</v>
      </c>
      <c r="F8" s="376" t="s">
        <v>3182</v>
      </c>
      <c r="G8" s="376" t="s">
        <v>3183</v>
      </c>
      <c r="H8" s="373" t="s">
        <v>1635</v>
      </c>
      <c r="I8" s="374" t="s">
        <v>1635</v>
      </c>
      <c r="J8" s="421" t="s">
        <v>3184</v>
      </c>
      <c r="K8" s="422" t="s">
        <v>3188</v>
      </c>
      <c r="L8" s="329">
        <f>CONTINUA!BV8</f>
        <v>0</v>
      </c>
      <c r="M8" s="329">
        <f>CONTINUA!BW8</f>
        <v>0</v>
      </c>
      <c r="N8" s="342"/>
      <c r="O8" s="289" t="s">
        <v>3262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3192</v>
      </c>
      <c r="B9" s="369" t="s">
        <v>3193</v>
      </c>
      <c r="C9" s="375" t="s">
        <v>3186</v>
      </c>
      <c r="D9" s="371" t="s">
        <v>3194</v>
      </c>
      <c r="E9" s="371" t="s">
        <v>3195</v>
      </c>
      <c r="F9" s="376" t="s">
        <v>3182</v>
      </c>
      <c r="G9" s="376" t="s">
        <v>3183</v>
      </c>
      <c r="H9" s="373" t="s">
        <v>1635</v>
      </c>
      <c r="I9" s="374" t="s">
        <v>1635</v>
      </c>
      <c r="J9" s="421" t="s">
        <v>3184</v>
      </c>
      <c r="K9" s="423" t="s">
        <v>3189</v>
      </c>
      <c r="L9" s="329">
        <f>CONTINUA!BV9</f>
        <v>0</v>
      </c>
      <c r="M9" s="329">
        <f>CONTINUA!BW9</f>
        <v>0</v>
      </c>
      <c r="N9" s="342"/>
      <c r="O9" s="289" t="s">
        <v>3262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3192</v>
      </c>
      <c r="B10" s="378" t="s">
        <v>3193</v>
      </c>
      <c r="C10" s="379" t="s">
        <v>3186</v>
      </c>
      <c r="D10" s="380" t="s">
        <v>3194</v>
      </c>
      <c r="E10" s="380" t="s">
        <v>3195</v>
      </c>
      <c r="F10" s="381" t="s">
        <v>3182</v>
      </c>
      <c r="G10" s="381" t="s">
        <v>3183</v>
      </c>
      <c r="H10" s="382" t="s">
        <v>1635</v>
      </c>
      <c r="I10" s="383" t="s">
        <v>1635</v>
      </c>
      <c r="J10" s="421" t="s">
        <v>3184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3262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3196</v>
      </c>
      <c r="B11" s="522" t="s">
        <v>3197</v>
      </c>
      <c r="C11" s="523">
        <v>1</v>
      </c>
      <c r="D11" s="524" t="s">
        <v>3198</v>
      </c>
      <c r="E11" s="524" t="s">
        <v>3199</v>
      </c>
      <c r="F11" s="525" t="s">
        <v>3182</v>
      </c>
      <c r="G11" s="525" t="s">
        <v>3183</v>
      </c>
      <c r="H11" s="350" t="s">
        <v>1636</v>
      </c>
      <c r="I11" s="351" t="s">
        <v>1636</v>
      </c>
      <c r="J11" s="409" t="s">
        <v>3184</v>
      </c>
      <c r="K11" s="410" t="s">
        <v>3185</v>
      </c>
      <c r="L11" s="329">
        <f>CONTINUA!BV11</f>
        <v>0</v>
      </c>
      <c r="M11" s="329">
        <f>CONTINUA!BW11</f>
        <v>0</v>
      </c>
      <c r="N11" s="895"/>
      <c r="O11" s="896" t="s">
        <v>3263</v>
      </c>
      <c r="P11" s="897">
        <v>0</v>
      </c>
      <c r="Q11" s="400">
        <v>28</v>
      </c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28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28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12115.28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12115.28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12115.28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3196</v>
      </c>
      <c r="B12" s="369" t="s">
        <v>3197</v>
      </c>
      <c r="C12" s="370" t="s">
        <v>3186</v>
      </c>
      <c r="D12" s="371" t="s">
        <v>3198</v>
      </c>
      <c r="E12" s="371" t="s">
        <v>3199</v>
      </c>
      <c r="F12" s="372" t="s">
        <v>3182</v>
      </c>
      <c r="G12" s="372" t="s">
        <v>3183</v>
      </c>
      <c r="H12" s="373" t="s">
        <v>1636</v>
      </c>
      <c r="I12" s="374" t="s">
        <v>1636</v>
      </c>
      <c r="J12" s="421" t="s">
        <v>3184</v>
      </c>
      <c r="K12" s="421" t="s">
        <v>3187</v>
      </c>
      <c r="L12" s="329">
        <f>CONTINUA!BV12</f>
        <v>0</v>
      </c>
      <c r="M12" s="329">
        <f>CONTINUA!BW12</f>
        <v>0</v>
      </c>
      <c r="N12" s="895"/>
      <c r="O12" s="896" t="s">
        <v>3263</v>
      </c>
      <c r="P12" s="897">
        <v>0</v>
      </c>
      <c r="Q12" s="400"/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3196</v>
      </c>
      <c r="B13" s="369" t="s">
        <v>3197</v>
      </c>
      <c r="C13" s="375" t="s">
        <v>3186</v>
      </c>
      <c r="D13" s="371" t="s">
        <v>3198</v>
      </c>
      <c r="E13" s="371" t="s">
        <v>3199</v>
      </c>
      <c r="F13" s="376" t="s">
        <v>3182</v>
      </c>
      <c r="G13" s="376" t="s">
        <v>3183</v>
      </c>
      <c r="H13" s="373" t="s">
        <v>1636</v>
      </c>
      <c r="I13" s="374" t="s">
        <v>1636</v>
      </c>
      <c r="J13" s="421" t="s">
        <v>3184</v>
      </c>
      <c r="K13" s="422" t="s">
        <v>3188</v>
      </c>
      <c r="L13" s="329">
        <f>CONTINUA!BV13</f>
        <v>0</v>
      </c>
      <c r="M13" s="329">
        <f>CONTINUA!BW13</f>
        <v>0</v>
      </c>
      <c r="N13" s="895"/>
      <c r="O13" s="896" t="s">
        <v>3263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3196</v>
      </c>
      <c r="B14" s="369" t="s">
        <v>3197</v>
      </c>
      <c r="C14" s="375" t="s">
        <v>3186</v>
      </c>
      <c r="D14" s="371" t="s">
        <v>3198</v>
      </c>
      <c r="E14" s="371" t="s">
        <v>3199</v>
      </c>
      <c r="F14" s="376" t="s">
        <v>3182</v>
      </c>
      <c r="G14" s="376" t="s">
        <v>3183</v>
      </c>
      <c r="H14" s="373" t="s">
        <v>1636</v>
      </c>
      <c r="I14" s="374" t="s">
        <v>1636</v>
      </c>
      <c r="J14" s="421" t="s">
        <v>3184</v>
      </c>
      <c r="K14" s="423" t="s">
        <v>3189</v>
      </c>
      <c r="L14" s="329">
        <f>CONTINUA!BV14</f>
        <v>0</v>
      </c>
      <c r="M14" s="329">
        <f>CONTINUA!BW14</f>
        <v>0</v>
      </c>
      <c r="N14" s="895"/>
      <c r="O14" s="896" t="s">
        <v>3263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3196</v>
      </c>
      <c r="B15" s="378" t="s">
        <v>3197</v>
      </c>
      <c r="C15" s="379" t="s">
        <v>3186</v>
      </c>
      <c r="D15" s="380" t="s">
        <v>3198</v>
      </c>
      <c r="E15" s="380" t="s">
        <v>3199</v>
      </c>
      <c r="F15" s="381" t="s">
        <v>3182</v>
      </c>
      <c r="G15" s="381" t="s">
        <v>3183</v>
      </c>
      <c r="H15" s="382" t="s">
        <v>1636</v>
      </c>
      <c r="I15" s="383" t="s">
        <v>1636</v>
      </c>
      <c r="J15" s="421" t="s">
        <v>3184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3263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3200</v>
      </c>
      <c r="B16" s="522" t="s">
        <v>3201</v>
      </c>
      <c r="C16" s="523">
        <v>4</v>
      </c>
      <c r="D16" s="524" t="s">
        <v>3202</v>
      </c>
      <c r="E16" s="524" t="s">
        <v>3203</v>
      </c>
      <c r="F16" s="525" t="s">
        <v>3182</v>
      </c>
      <c r="G16" s="525" t="s">
        <v>3183</v>
      </c>
      <c r="H16" s="350" t="s">
        <v>1637</v>
      </c>
      <c r="I16" s="351" t="s">
        <v>1637</v>
      </c>
      <c r="J16" s="409" t="s">
        <v>3184</v>
      </c>
      <c r="K16" s="410" t="s">
        <v>3185</v>
      </c>
      <c r="L16" s="329">
        <f>CONTINUA!BV16</f>
        <v>0</v>
      </c>
      <c r="M16" s="329">
        <f>CONTINUA!BW16</f>
        <v>0</v>
      </c>
      <c r="N16" s="895"/>
      <c r="O16" s="896" t="s">
        <v>3264</v>
      </c>
      <c r="P16" s="897">
        <v>0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11465.63</v>
      </c>
      <c r="EX16" s="248">
        <f t="shared" ref="EX16:EX19" si="35">FF16</f>
        <v>4622.76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-308.18400000000003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15780.206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4622.76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-308.18400000000003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3200</v>
      </c>
      <c r="B17" s="369" t="s">
        <v>3201</v>
      </c>
      <c r="C17" s="370" t="s">
        <v>3190</v>
      </c>
      <c r="D17" s="371" t="s">
        <v>3202</v>
      </c>
      <c r="E17" s="371" t="s">
        <v>3203</v>
      </c>
      <c r="F17" s="372" t="s">
        <v>3182</v>
      </c>
      <c r="G17" s="372" t="s">
        <v>3183</v>
      </c>
      <c r="H17" s="373" t="s">
        <v>1637</v>
      </c>
      <c r="I17" s="374" t="s">
        <v>1637</v>
      </c>
      <c r="J17" s="421" t="s">
        <v>3184</v>
      </c>
      <c r="K17" s="421" t="s">
        <v>3187</v>
      </c>
      <c r="L17" s="329">
        <f>CONTINUA!BV17</f>
        <v>0</v>
      </c>
      <c r="M17" s="329">
        <f>CONTINUA!BW17</f>
        <v>0</v>
      </c>
      <c r="N17" s="895"/>
      <c r="O17" s="896" t="s">
        <v>3264</v>
      </c>
      <c r="P17" s="897">
        <v>0</v>
      </c>
      <c r="Q17" s="400"/>
      <c r="R17" s="401"/>
      <c r="S17" s="400"/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0</v>
      </c>
      <c r="EQ17" s="171">
        <f t="shared" si="23"/>
        <v>0</v>
      </c>
      <c r="ER17" s="171">
        <f t="shared" si="24"/>
        <v>0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0</v>
      </c>
      <c r="EW17" s="173"/>
      <c r="EX17" s="248">
        <f t="shared" si="35"/>
        <v>0</v>
      </c>
      <c r="EY17" s="174">
        <f>(L17*regular)+(M17*Cadeirantee)</f>
        <v>0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3200</v>
      </c>
      <c r="B18" s="369" t="s">
        <v>3201</v>
      </c>
      <c r="C18" s="375" t="s">
        <v>3190</v>
      </c>
      <c r="D18" s="371" t="s">
        <v>3202</v>
      </c>
      <c r="E18" s="371" t="s">
        <v>3203</v>
      </c>
      <c r="F18" s="376" t="s">
        <v>3182</v>
      </c>
      <c r="G18" s="376" t="s">
        <v>3183</v>
      </c>
      <c r="H18" s="373" t="s">
        <v>1637</v>
      </c>
      <c r="I18" s="374" t="s">
        <v>1637</v>
      </c>
      <c r="J18" s="421" t="s">
        <v>3184</v>
      </c>
      <c r="K18" s="422" t="s">
        <v>3188</v>
      </c>
      <c r="L18" s="329">
        <f>CONTINUA!BV18</f>
        <v>0</v>
      </c>
      <c r="M18" s="329">
        <f>CONTINUA!BW18</f>
        <v>0</v>
      </c>
      <c r="N18" s="895"/>
      <c r="O18" s="896" t="s">
        <v>3264</v>
      </c>
      <c r="P18" s="897">
        <v>0</v>
      </c>
      <c r="Q18" s="400">
        <v>12</v>
      </c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>
        <v>-1</v>
      </c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12</v>
      </c>
      <c r="EQ18" s="171">
        <f t="shared" si="23"/>
        <v>-1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11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3200</v>
      </c>
      <c r="B19" s="369" t="s">
        <v>3201</v>
      </c>
      <c r="C19" s="375" t="s">
        <v>3190</v>
      </c>
      <c r="D19" s="371" t="s">
        <v>3202</v>
      </c>
      <c r="E19" s="371" t="s">
        <v>3203</v>
      </c>
      <c r="F19" s="376" t="s">
        <v>3182</v>
      </c>
      <c r="G19" s="376" t="s">
        <v>3183</v>
      </c>
      <c r="H19" s="373" t="s">
        <v>1637</v>
      </c>
      <c r="I19" s="374" t="s">
        <v>1637</v>
      </c>
      <c r="J19" s="421" t="s">
        <v>3184</v>
      </c>
      <c r="K19" s="423" t="s">
        <v>3189</v>
      </c>
      <c r="L19" s="329">
        <f>CONTINUA!BV19</f>
        <v>0</v>
      </c>
      <c r="M19" s="329">
        <f>CONTINUA!BW19</f>
        <v>0</v>
      </c>
      <c r="N19" s="895"/>
      <c r="O19" s="896" t="s">
        <v>3264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3200</v>
      </c>
      <c r="B20" s="378" t="s">
        <v>3201</v>
      </c>
      <c r="C20" s="379" t="s">
        <v>3190</v>
      </c>
      <c r="D20" s="380" t="s">
        <v>3202</v>
      </c>
      <c r="E20" s="380" t="s">
        <v>3203</v>
      </c>
      <c r="F20" s="381" t="s">
        <v>3182</v>
      </c>
      <c r="G20" s="381" t="s">
        <v>3183</v>
      </c>
      <c r="H20" s="382" t="s">
        <v>1637</v>
      </c>
      <c r="I20" s="383" t="s">
        <v>1637</v>
      </c>
      <c r="J20" s="421" t="s">
        <v>3184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3264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3204</v>
      </c>
      <c r="B21" s="522" t="s">
        <v>3205</v>
      </c>
      <c r="C21" s="523">
        <v>1</v>
      </c>
      <c r="D21" s="524" t="s">
        <v>3206</v>
      </c>
      <c r="E21" s="524" t="s">
        <v>3207</v>
      </c>
      <c r="F21" s="525" t="s">
        <v>3182</v>
      </c>
      <c r="G21" s="525" t="s">
        <v>3183</v>
      </c>
      <c r="H21" s="350" t="s">
        <v>1640</v>
      </c>
      <c r="I21" s="351" t="s">
        <v>1640</v>
      </c>
      <c r="J21" s="409" t="s">
        <v>3184</v>
      </c>
      <c r="K21" s="410" t="s">
        <v>3185</v>
      </c>
      <c r="L21" s="329">
        <f>CONTINUA!BV21</f>
        <v>0</v>
      </c>
      <c r="M21" s="329">
        <f>CONTINUA!BW21</f>
        <v>0</v>
      </c>
      <c r="N21" s="895"/>
      <c r="O21" s="896" t="s">
        <v>3265</v>
      </c>
      <c r="P21" s="897">
        <v>0</v>
      </c>
      <c r="Q21" s="400">
        <v>28</v>
      </c>
      <c r="R21" s="401"/>
      <c r="S21" s="400"/>
      <c r="T21" s="401"/>
      <c r="U21" s="400">
        <v>3</v>
      </c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 t="s">
        <v>3260</v>
      </c>
      <c r="EL21" s="513"/>
      <c r="EM21" s="520"/>
      <c r="EN21" s="520"/>
      <c r="EO21" s="520" t="s">
        <v>3261</v>
      </c>
      <c r="EP21" s="171">
        <f t="shared" si="22"/>
        <v>28</v>
      </c>
      <c r="EQ21" s="171">
        <f t="shared" si="23"/>
        <v>3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31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12115.28</v>
      </c>
      <c r="EY21" s="174">
        <f>(L21*regular)+(M21*Cadeirantee)</f>
        <v>0</v>
      </c>
      <c r="EZ21" s="249">
        <f>SUMIF(FG21:GJ21,"&gt;0")</f>
        <v>1117.1670000000001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12791.357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12115.28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1117.1670000000001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441.09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3204</v>
      </c>
      <c r="B22" s="369" t="s">
        <v>3205</v>
      </c>
      <c r="C22" s="370" t="s">
        <v>3186</v>
      </c>
      <c r="D22" s="371" t="s">
        <v>3206</v>
      </c>
      <c r="E22" s="371" t="s">
        <v>3207</v>
      </c>
      <c r="F22" s="372" t="s">
        <v>3182</v>
      </c>
      <c r="G22" s="372" t="s">
        <v>3183</v>
      </c>
      <c r="H22" s="373" t="s">
        <v>1640</v>
      </c>
      <c r="I22" s="374" t="s">
        <v>1640</v>
      </c>
      <c r="J22" s="421" t="s">
        <v>3184</v>
      </c>
      <c r="K22" s="421" t="s">
        <v>3187</v>
      </c>
      <c r="L22" s="329">
        <f>CONTINUA!BV22</f>
        <v>0</v>
      </c>
      <c r="M22" s="329">
        <f>CONTINUA!BW22</f>
        <v>0</v>
      </c>
      <c r="N22" s="895"/>
      <c r="O22" s="896" t="s">
        <v>3265</v>
      </c>
      <c r="P22" s="897">
        <v>0</v>
      </c>
      <c r="Q22" s="400"/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3204</v>
      </c>
      <c r="B23" s="369" t="s">
        <v>3205</v>
      </c>
      <c r="C23" s="375" t="s">
        <v>3186</v>
      </c>
      <c r="D23" s="371" t="s">
        <v>3206</v>
      </c>
      <c r="E23" s="371" t="s">
        <v>3207</v>
      </c>
      <c r="F23" s="376" t="s">
        <v>3182</v>
      </c>
      <c r="G23" s="376" t="s">
        <v>3183</v>
      </c>
      <c r="H23" s="373" t="s">
        <v>1640</v>
      </c>
      <c r="I23" s="374" t="s">
        <v>1640</v>
      </c>
      <c r="J23" s="421" t="s">
        <v>3184</v>
      </c>
      <c r="K23" s="422" t="s">
        <v>3188</v>
      </c>
      <c r="L23" s="329">
        <f>CONTINUA!BV23</f>
        <v>0</v>
      </c>
      <c r="M23" s="329">
        <f>CONTINUA!BW23</f>
        <v>0</v>
      </c>
      <c r="N23" s="895"/>
      <c r="O23" s="896" t="s">
        <v>3265</v>
      </c>
      <c r="P23" s="897">
        <v>0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3204</v>
      </c>
      <c r="B24" s="369" t="s">
        <v>3205</v>
      </c>
      <c r="C24" s="375" t="s">
        <v>3186</v>
      </c>
      <c r="D24" s="371" t="s">
        <v>3206</v>
      </c>
      <c r="E24" s="371" t="s">
        <v>3207</v>
      </c>
      <c r="F24" s="376" t="s">
        <v>3182</v>
      </c>
      <c r="G24" s="376" t="s">
        <v>3183</v>
      </c>
      <c r="H24" s="373" t="s">
        <v>1640</v>
      </c>
      <c r="I24" s="374" t="s">
        <v>1640</v>
      </c>
      <c r="J24" s="421" t="s">
        <v>3184</v>
      </c>
      <c r="K24" s="423" t="s">
        <v>3189</v>
      </c>
      <c r="L24" s="329">
        <f>CONTINUA!BV24</f>
        <v>0</v>
      </c>
      <c r="M24" s="329">
        <f>CONTINUA!BW24</f>
        <v>0</v>
      </c>
      <c r="N24" s="895"/>
      <c r="O24" s="896" t="s">
        <v>3265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3204</v>
      </c>
      <c r="B25" s="378" t="s">
        <v>3205</v>
      </c>
      <c r="C25" s="379" t="s">
        <v>3186</v>
      </c>
      <c r="D25" s="380" t="s">
        <v>3206</v>
      </c>
      <c r="E25" s="380" t="s">
        <v>3207</v>
      </c>
      <c r="F25" s="381" t="s">
        <v>3182</v>
      </c>
      <c r="G25" s="381" t="s">
        <v>3183</v>
      </c>
      <c r="H25" s="382" t="s">
        <v>1640</v>
      </c>
      <c r="I25" s="383" t="s">
        <v>1640</v>
      </c>
      <c r="J25" s="421" t="s">
        <v>3184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3265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3208</v>
      </c>
      <c r="B26" s="522" t="s">
        <v>3209</v>
      </c>
      <c r="C26" s="523">
        <v>4</v>
      </c>
      <c r="D26" s="524" t="s">
        <v>3210</v>
      </c>
      <c r="E26" s="524" t="s">
        <v>3211</v>
      </c>
      <c r="F26" s="525" t="s">
        <v>3182</v>
      </c>
      <c r="G26" s="525" t="s">
        <v>3183</v>
      </c>
      <c r="H26" s="350" t="s">
        <v>1641</v>
      </c>
      <c r="I26" s="351" t="s">
        <v>1641</v>
      </c>
      <c r="J26" s="409" t="s">
        <v>3184</v>
      </c>
      <c r="K26" s="410" t="s">
        <v>3185</v>
      </c>
      <c r="L26" s="329">
        <f>CONTINUA!BV26</f>
        <v>0</v>
      </c>
      <c r="M26" s="329">
        <f>CONTINUA!BW26</f>
        <v>0</v>
      </c>
      <c r="N26" s="895"/>
      <c r="O26" s="896" t="s">
        <v>3266</v>
      </c>
      <c r="P26" s="897">
        <v>0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11465.63</v>
      </c>
      <c r="EX26" s="248">
        <f t="shared" ref="EX26:EX29" si="45">FF26</f>
        <v>4622.76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16088.39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4622.76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3208</v>
      </c>
      <c r="B27" s="369" t="s">
        <v>3209</v>
      </c>
      <c r="C27" s="370" t="s">
        <v>3190</v>
      </c>
      <c r="D27" s="371" t="s">
        <v>3210</v>
      </c>
      <c r="E27" s="371" t="s">
        <v>3211</v>
      </c>
      <c r="F27" s="372" t="s">
        <v>3182</v>
      </c>
      <c r="G27" s="372" t="s">
        <v>3183</v>
      </c>
      <c r="H27" s="373" t="s">
        <v>1641</v>
      </c>
      <c r="I27" s="374" t="s">
        <v>1641</v>
      </c>
      <c r="J27" s="421" t="s">
        <v>3184</v>
      </c>
      <c r="K27" s="421" t="s">
        <v>3187</v>
      </c>
      <c r="L27" s="329">
        <f>CONTINUA!BV27</f>
        <v>0</v>
      </c>
      <c r="M27" s="329">
        <f>CONTINUA!BW27</f>
        <v>0</v>
      </c>
      <c r="N27" s="895"/>
      <c r="O27" s="896" t="s">
        <v>3266</v>
      </c>
      <c r="P27" s="897">
        <v>0</v>
      </c>
      <c r="Q27" s="400"/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0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0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3208</v>
      </c>
      <c r="B28" s="369" t="s">
        <v>3209</v>
      </c>
      <c r="C28" s="375" t="s">
        <v>3190</v>
      </c>
      <c r="D28" s="371" t="s">
        <v>3210</v>
      </c>
      <c r="E28" s="371" t="s">
        <v>3211</v>
      </c>
      <c r="F28" s="376" t="s">
        <v>3182</v>
      </c>
      <c r="G28" s="376" t="s">
        <v>3183</v>
      </c>
      <c r="H28" s="373" t="s">
        <v>1641</v>
      </c>
      <c r="I28" s="374" t="s">
        <v>1641</v>
      </c>
      <c r="J28" s="421" t="s">
        <v>3184</v>
      </c>
      <c r="K28" s="422" t="s">
        <v>3188</v>
      </c>
      <c r="L28" s="329">
        <f>CONTINUA!BV28</f>
        <v>0</v>
      </c>
      <c r="M28" s="329">
        <f>CONTINUA!BW28</f>
        <v>0</v>
      </c>
      <c r="N28" s="895"/>
      <c r="O28" s="896" t="s">
        <v>3266</v>
      </c>
      <c r="P28" s="897">
        <v>0</v>
      </c>
      <c r="Q28" s="400">
        <v>12</v>
      </c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12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12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3208</v>
      </c>
      <c r="B29" s="369" t="s">
        <v>3209</v>
      </c>
      <c r="C29" s="375" t="s">
        <v>3190</v>
      </c>
      <c r="D29" s="371" t="s">
        <v>3210</v>
      </c>
      <c r="E29" s="371" t="s">
        <v>3211</v>
      </c>
      <c r="F29" s="376" t="s">
        <v>3182</v>
      </c>
      <c r="G29" s="376" t="s">
        <v>3183</v>
      </c>
      <c r="H29" s="373" t="s">
        <v>1641</v>
      </c>
      <c r="I29" s="374" t="s">
        <v>1641</v>
      </c>
      <c r="J29" s="421" t="s">
        <v>3184</v>
      </c>
      <c r="K29" s="423" t="s">
        <v>3189</v>
      </c>
      <c r="L29" s="329">
        <f>CONTINUA!BV29</f>
        <v>0</v>
      </c>
      <c r="M29" s="329">
        <f>CONTINUA!BW29</f>
        <v>0</v>
      </c>
      <c r="N29" s="895"/>
      <c r="O29" s="896" t="s">
        <v>3266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3208</v>
      </c>
      <c r="B30" s="378" t="s">
        <v>3209</v>
      </c>
      <c r="C30" s="379" t="s">
        <v>3190</v>
      </c>
      <c r="D30" s="380" t="s">
        <v>3210</v>
      </c>
      <c r="E30" s="380" t="s">
        <v>3211</v>
      </c>
      <c r="F30" s="381" t="s">
        <v>3182</v>
      </c>
      <c r="G30" s="381" t="s">
        <v>3183</v>
      </c>
      <c r="H30" s="382" t="s">
        <v>1641</v>
      </c>
      <c r="I30" s="383" t="s">
        <v>1641</v>
      </c>
      <c r="J30" s="421" t="s">
        <v>3184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3266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3212</v>
      </c>
      <c r="B31" s="522" t="s">
        <v>3213</v>
      </c>
      <c r="C31" s="523">
        <v>1</v>
      </c>
      <c r="D31" s="524" t="s">
        <v>3214</v>
      </c>
      <c r="E31" s="524" t="s">
        <v>3215</v>
      </c>
      <c r="F31" s="525" t="s">
        <v>3182</v>
      </c>
      <c r="G31" s="525" t="s">
        <v>3183</v>
      </c>
      <c r="H31" s="350" t="s">
        <v>1642</v>
      </c>
      <c r="I31" s="351" t="s">
        <v>1642</v>
      </c>
      <c r="J31" s="409" t="s">
        <v>3184</v>
      </c>
      <c r="K31" s="410" t="s">
        <v>3185</v>
      </c>
      <c r="L31" s="329">
        <f>CONTINUA!BV31</f>
        <v>0</v>
      </c>
      <c r="M31" s="329">
        <f>CONTINUA!BW31</f>
        <v>0</v>
      </c>
      <c r="N31" s="895"/>
      <c r="O31" s="896" t="s">
        <v>3267</v>
      </c>
      <c r="P31" s="897">
        <v>0</v>
      </c>
      <c r="Q31" s="400">
        <v>39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>
        <v>-1</v>
      </c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>
        <v>-1</v>
      </c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>
        <v>1</v>
      </c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39</v>
      </c>
      <c r="EQ31" s="171">
        <f t="shared" si="23"/>
        <v>-1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38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16738.04</v>
      </c>
      <c r="EY31" s="174">
        <f>(L31*regular)+(M31*Cadeirantee)</f>
        <v>0</v>
      </c>
      <c r="EZ31" s="249">
        <f>SUMIF(FG31:GJ31,"&gt;0")</f>
        <v>359.548</v>
      </c>
      <c r="FA31" s="249">
        <f>SUMIF(FG31:GJ31,"&lt;0")+SUMIF(GN31:HP31,"&lt;0")</f>
        <v>-526.48099999999999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16571.107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16738.04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-321.02500000000003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218.29700000000003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-205.45600000000002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89.887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51.364000000000004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3212</v>
      </c>
      <c r="B32" s="369" t="s">
        <v>3213</v>
      </c>
      <c r="C32" s="370" t="s">
        <v>3186</v>
      </c>
      <c r="D32" s="371" t="s">
        <v>3214</v>
      </c>
      <c r="E32" s="371" t="s">
        <v>3215</v>
      </c>
      <c r="F32" s="372" t="s">
        <v>3182</v>
      </c>
      <c r="G32" s="372" t="s">
        <v>3183</v>
      </c>
      <c r="H32" s="373" t="s">
        <v>1642</v>
      </c>
      <c r="I32" s="374" t="s">
        <v>1642</v>
      </c>
      <c r="J32" s="421" t="s">
        <v>3184</v>
      </c>
      <c r="K32" s="421" t="s">
        <v>3187</v>
      </c>
      <c r="L32" s="329">
        <f>CONTINUA!BV32</f>
        <v>0</v>
      </c>
      <c r="M32" s="329">
        <f>CONTINUA!BW32</f>
        <v>0</v>
      </c>
      <c r="N32" s="895"/>
      <c r="O32" s="896" t="s">
        <v>3267</v>
      </c>
      <c r="P32" s="897">
        <v>0</v>
      </c>
      <c r="Q32" s="400"/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0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0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3212</v>
      </c>
      <c r="B33" s="369" t="s">
        <v>3213</v>
      </c>
      <c r="C33" s="375" t="s">
        <v>3186</v>
      </c>
      <c r="D33" s="371" t="s">
        <v>3214</v>
      </c>
      <c r="E33" s="371" t="s">
        <v>3215</v>
      </c>
      <c r="F33" s="376" t="s">
        <v>3182</v>
      </c>
      <c r="G33" s="376" t="s">
        <v>3183</v>
      </c>
      <c r="H33" s="373" t="s">
        <v>1642</v>
      </c>
      <c r="I33" s="374" t="s">
        <v>1642</v>
      </c>
      <c r="J33" s="421" t="s">
        <v>3184</v>
      </c>
      <c r="K33" s="422" t="s">
        <v>3188</v>
      </c>
      <c r="L33" s="329">
        <f>CONTINUA!BV33</f>
        <v>0</v>
      </c>
      <c r="M33" s="329">
        <f>CONTINUA!BW33</f>
        <v>0</v>
      </c>
      <c r="N33" s="895"/>
      <c r="O33" s="896" t="s">
        <v>3267</v>
      </c>
      <c r="P33" s="897">
        <v>0</v>
      </c>
      <c r="Q33" s="400">
        <v>1</v>
      </c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>
        <v>1</v>
      </c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>
        <v>1</v>
      </c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1</v>
      </c>
      <c r="EQ33" s="171">
        <f t="shared" si="23"/>
        <v>2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3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3212</v>
      </c>
      <c r="B34" s="369" t="s">
        <v>3213</v>
      </c>
      <c r="C34" s="375" t="s">
        <v>3186</v>
      </c>
      <c r="D34" s="371" t="s">
        <v>3214</v>
      </c>
      <c r="E34" s="371" t="s">
        <v>3215</v>
      </c>
      <c r="F34" s="376" t="s">
        <v>3182</v>
      </c>
      <c r="G34" s="376" t="s">
        <v>3183</v>
      </c>
      <c r="H34" s="373" t="s">
        <v>1642</v>
      </c>
      <c r="I34" s="374" t="s">
        <v>1642</v>
      </c>
      <c r="J34" s="421" t="s">
        <v>3184</v>
      </c>
      <c r="K34" s="423" t="s">
        <v>3189</v>
      </c>
      <c r="L34" s="329">
        <f>CONTINUA!BV34</f>
        <v>0</v>
      </c>
      <c r="M34" s="329">
        <f>CONTINUA!BW34</f>
        <v>0</v>
      </c>
      <c r="N34" s="895"/>
      <c r="O34" s="896" t="s">
        <v>3267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3212</v>
      </c>
      <c r="B35" s="378" t="s">
        <v>3213</v>
      </c>
      <c r="C35" s="379" t="s">
        <v>3186</v>
      </c>
      <c r="D35" s="380" t="s">
        <v>3214</v>
      </c>
      <c r="E35" s="380" t="s">
        <v>3215</v>
      </c>
      <c r="F35" s="381" t="s">
        <v>3182</v>
      </c>
      <c r="G35" s="381" t="s">
        <v>3183</v>
      </c>
      <c r="H35" s="382" t="s">
        <v>1642</v>
      </c>
      <c r="I35" s="383" t="s">
        <v>1642</v>
      </c>
      <c r="J35" s="421" t="s">
        <v>3184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3267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3216</v>
      </c>
      <c r="B36" s="522" t="s">
        <v>3217</v>
      </c>
      <c r="C36" s="523">
        <v>4</v>
      </c>
      <c r="D36" s="524" t="s">
        <v>3218</v>
      </c>
      <c r="E36" s="524" t="s">
        <v>3219</v>
      </c>
      <c r="F36" s="525" t="s">
        <v>3182</v>
      </c>
      <c r="G36" s="525" t="s">
        <v>3183</v>
      </c>
      <c r="H36" s="350" t="s">
        <v>1644</v>
      </c>
      <c r="I36" s="351" t="s">
        <v>1644</v>
      </c>
      <c r="J36" s="409" t="s">
        <v>3184</v>
      </c>
      <c r="K36" s="410" t="s">
        <v>3185</v>
      </c>
      <c r="L36" s="329">
        <f>CONTINUA!BV36</f>
        <v>0</v>
      </c>
      <c r="M36" s="329">
        <f>CONTINUA!BW36</f>
        <v>0</v>
      </c>
      <c r="N36" s="895"/>
      <c r="O36" s="896" t="s">
        <v>3268</v>
      </c>
      <c r="P36" s="897">
        <v>0</v>
      </c>
      <c r="Q36" s="400"/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0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0</v>
      </c>
      <c r="EW36" s="367">
        <f>IF(C36=4,IF(MAX(Q36:EJ38)&gt;0,(Especiall/30*(IF(($G36-$F36)=($G$5-$F$5),30,IF(DAY($G36)=31,($G36-$F36),($G36-$F36)+1)))),0),0)</f>
        <v>11465.63</v>
      </c>
      <c r="EX36" s="248">
        <f t="shared" ref="EX36:EX39" si="55">FF36</f>
        <v>385.23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0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11850.859999999999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385.23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3216</v>
      </c>
      <c r="B37" s="369" t="s">
        <v>3217</v>
      </c>
      <c r="C37" s="370" t="s">
        <v>3190</v>
      </c>
      <c r="D37" s="371" t="s">
        <v>3218</v>
      </c>
      <c r="E37" s="371" t="s">
        <v>3219</v>
      </c>
      <c r="F37" s="372" t="s">
        <v>3182</v>
      </c>
      <c r="G37" s="372" t="s">
        <v>3183</v>
      </c>
      <c r="H37" s="373" t="s">
        <v>1644</v>
      </c>
      <c r="I37" s="374" t="s">
        <v>1644</v>
      </c>
      <c r="J37" s="421" t="s">
        <v>3184</v>
      </c>
      <c r="K37" s="421" t="s">
        <v>3187</v>
      </c>
      <c r="L37" s="329">
        <f>CONTINUA!BV37</f>
        <v>0</v>
      </c>
      <c r="M37" s="329">
        <f>CONTINUA!BW37</f>
        <v>0</v>
      </c>
      <c r="N37" s="895"/>
      <c r="O37" s="896" t="s">
        <v>3268</v>
      </c>
      <c r="P37" s="897">
        <v>0</v>
      </c>
      <c r="Q37" s="400"/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0</v>
      </c>
      <c r="EQ37" s="171">
        <f t="shared" si="23"/>
        <v>0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0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3216</v>
      </c>
      <c r="B38" s="369" t="s">
        <v>3217</v>
      </c>
      <c r="C38" s="375" t="s">
        <v>3190</v>
      </c>
      <c r="D38" s="371" t="s">
        <v>3218</v>
      </c>
      <c r="E38" s="371" t="s">
        <v>3219</v>
      </c>
      <c r="F38" s="376" t="s">
        <v>3182</v>
      </c>
      <c r="G38" s="376" t="s">
        <v>3183</v>
      </c>
      <c r="H38" s="373" t="s">
        <v>1644</v>
      </c>
      <c r="I38" s="374" t="s">
        <v>1644</v>
      </c>
      <c r="J38" s="421" t="s">
        <v>3184</v>
      </c>
      <c r="K38" s="422" t="s">
        <v>3188</v>
      </c>
      <c r="L38" s="329">
        <f>CONTINUA!BV38</f>
        <v>0</v>
      </c>
      <c r="M38" s="329">
        <f>CONTINUA!BW38</f>
        <v>0</v>
      </c>
      <c r="N38" s="895"/>
      <c r="O38" s="896" t="s">
        <v>3268</v>
      </c>
      <c r="P38" s="897">
        <v>0</v>
      </c>
      <c r="Q38" s="400">
        <v>1</v>
      </c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1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1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3216</v>
      </c>
      <c r="B39" s="369" t="s">
        <v>3217</v>
      </c>
      <c r="C39" s="375" t="s">
        <v>3190</v>
      </c>
      <c r="D39" s="371" t="s">
        <v>3218</v>
      </c>
      <c r="E39" s="371" t="s">
        <v>3219</v>
      </c>
      <c r="F39" s="376" t="s">
        <v>3182</v>
      </c>
      <c r="G39" s="376" t="s">
        <v>3183</v>
      </c>
      <c r="H39" s="373" t="s">
        <v>1644</v>
      </c>
      <c r="I39" s="374" t="s">
        <v>1644</v>
      </c>
      <c r="J39" s="421" t="s">
        <v>3184</v>
      </c>
      <c r="K39" s="423" t="s">
        <v>3189</v>
      </c>
      <c r="L39" s="329">
        <f>CONTINUA!BV39</f>
        <v>0</v>
      </c>
      <c r="M39" s="329">
        <f>CONTINUA!BW39</f>
        <v>0</v>
      </c>
      <c r="N39" s="895"/>
      <c r="O39" s="896" t="s">
        <v>3268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3216</v>
      </c>
      <c r="B40" s="378" t="s">
        <v>3217</v>
      </c>
      <c r="C40" s="379" t="s">
        <v>3190</v>
      </c>
      <c r="D40" s="380" t="s">
        <v>3218</v>
      </c>
      <c r="E40" s="380" t="s">
        <v>3219</v>
      </c>
      <c r="F40" s="381" t="s">
        <v>3182</v>
      </c>
      <c r="G40" s="381" t="s">
        <v>3183</v>
      </c>
      <c r="H40" s="382" t="s">
        <v>1644</v>
      </c>
      <c r="I40" s="383" t="s">
        <v>1644</v>
      </c>
      <c r="J40" s="421" t="s">
        <v>3184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3268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3220</v>
      </c>
      <c r="B41" s="522" t="s">
        <v>3221</v>
      </c>
      <c r="C41" s="523">
        <v>1</v>
      </c>
      <c r="D41" s="524" t="s">
        <v>3222</v>
      </c>
      <c r="E41" s="524" t="s">
        <v>3223</v>
      </c>
      <c r="F41" s="525" t="s">
        <v>3182</v>
      </c>
      <c r="G41" s="525" t="s">
        <v>3183</v>
      </c>
      <c r="H41" s="350" t="s">
        <v>1645</v>
      </c>
      <c r="I41" s="351" t="s">
        <v>1645</v>
      </c>
      <c r="J41" s="409" t="s">
        <v>3184</v>
      </c>
      <c r="K41" s="410" t="s">
        <v>3185</v>
      </c>
      <c r="L41" s="329">
        <f>CONTINUA!BV41</f>
        <v>0</v>
      </c>
      <c r="M41" s="329">
        <f>CONTINUA!BW41</f>
        <v>0</v>
      </c>
      <c r="N41" s="895"/>
      <c r="O41" s="896" t="s">
        <v>3269</v>
      </c>
      <c r="P41" s="897">
        <v>0</v>
      </c>
      <c r="Q41" s="400"/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0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9418.67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-218.29700000000003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9200.3729999999996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9418.67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-218.29700000000003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3220</v>
      </c>
      <c r="B42" s="369" t="s">
        <v>3221</v>
      </c>
      <c r="C42" s="370" t="s">
        <v>3186</v>
      </c>
      <c r="D42" s="371" t="s">
        <v>3222</v>
      </c>
      <c r="E42" s="371" t="s">
        <v>3223</v>
      </c>
      <c r="F42" s="372" t="s">
        <v>3182</v>
      </c>
      <c r="G42" s="372" t="s">
        <v>3183</v>
      </c>
      <c r="H42" s="373" t="s">
        <v>1645</v>
      </c>
      <c r="I42" s="374" t="s">
        <v>1645</v>
      </c>
      <c r="J42" s="421" t="s">
        <v>3184</v>
      </c>
      <c r="K42" s="421" t="s">
        <v>3187</v>
      </c>
      <c r="L42" s="329">
        <f>CONTINUA!BV42</f>
        <v>0</v>
      </c>
      <c r="M42" s="329">
        <f>CONTINUA!BW42</f>
        <v>0</v>
      </c>
      <c r="N42" s="895"/>
      <c r="O42" s="896" t="s">
        <v>3269</v>
      </c>
      <c r="P42" s="897">
        <v>0</v>
      </c>
      <c r="Q42" s="400">
        <v>21</v>
      </c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>
        <v>-1</v>
      </c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21</v>
      </c>
      <c r="EQ42" s="171">
        <f t="shared" si="23"/>
        <v>-1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20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3220</v>
      </c>
      <c r="B43" s="369" t="s">
        <v>3221</v>
      </c>
      <c r="C43" s="375" t="s">
        <v>3186</v>
      </c>
      <c r="D43" s="371" t="s">
        <v>3222</v>
      </c>
      <c r="E43" s="371" t="s">
        <v>3223</v>
      </c>
      <c r="F43" s="376" t="s">
        <v>3182</v>
      </c>
      <c r="G43" s="376" t="s">
        <v>3183</v>
      </c>
      <c r="H43" s="373" t="s">
        <v>1645</v>
      </c>
      <c r="I43" s="374" t="s">
        <v>1645</v>
      </c>
      <c r="J43" s="421" t="s">
        <v>3184</v>
      </c>
      <c r="K43" s="422" t="s">
        <v>3188</v>
      </c>
      <c r="L43" s="329">
        <f>CONTINUA!BV43</f>
        <v>0</v>
      </c>
      <c r="M43" s="329">
        <f>CONTINUA!BW43</f>
        <v>0</v>
      </c>
      <c r="N43" s="895"/>
      <c r="O43" s="896" t="s">
        <v>3269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3220</v>
      </c>
      <c r="B44" s="369" t="s">
        <v>3221</v>
      </c>
      <c r="C44" s="375" t="s">
        <v>3186</v>
      </c>
      <c r="D44" s="371" t="s">
        <v>3222</v>
      </c>
      <c r="E44" s="371" t="s">
        <v>3223</v>
      </c>
      <c r="F44" s="376" t="s">
        <v>3182</v>
      </c>
      <c r="G44" s="376" t="s">
        <v>3183</v>
      </c>
      <c r="H44" s="373" t="s">
        <v>1645</v>
      </c>
      <c r="I44" s="374" t="s">
        <v>1645</v>
      </c>
      <c r="J44" s="421" t="s">
        <v>3184</v>
      </c>
      <c r="K44" s="423" t="s">
        <v>3189</v>
      </c>
      <c r="L44" s="329">
        <f>CONTINUA!BV44</f>
        <v>0</v>
      </c>
      <c r="M44" s="329">
        <f>CONTINUA!BW44</f>
        <v>0</v>
      </c>
      <c r="N44" s="895"/>
      <c r="O44" s="896" t="s">
        <v>3269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3220</v>
      </c>
      <c r="B45" s="378" t="s">
        <v>3221</v>
      </c>
      <c r="C45" s="379" t="s">
        <v>3186</v>
      </c>
      <c r="D45" s="380" t="s">
        <v>3222</v>
      </c>
      <c r="E45" s="380" t="s">
        <v>3223</v>
      </c>
      <c r="F45" s="381" t="s">
        <v>3182</v>
      </c>
      <c r="G45" s="381" t="s">
        <v>3183</v>
      </c>
      <c r="H45" s="382" t="s">
        <v>1645</v>
      </c>
      <c r="I45" s="383" t="s">
        <v>1645</v>
      </c>
      <c r="J45" s="421" t="s">
        <v>3184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3269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3224</v>
      </c>
      <c r="B46" s="522" t="s">
        <v>3225</v>
      </c>
      <c r="C46" s="523">
        <v>4</v>
      </c>
      <c r="D46" s="524" t="s">
        <v>3226</v>
      </c>
      <c r="E46" s="524" t="s">
        <v>3227</v>
      </c>
      <c r="F46" s="525" t="s">
        <v>3182</v>
      </c>
      <c r="G46" s="525" t="s">
        <v>3183</v>
      </c>
      <c r="H46" s="350" t="s">
        <v>1646</v>
      </c>
      <c r="I46" s="351" t="s">
        <v>1646</v>
      </c>
      <c r="J46" s="409" t="s">
        <v>3184</v>
      </c>
      <c r="K46" s="410" t="s">
        <v>3185</v>
      </c>
      <c r="L46" s="329">
        <f>CONTINUA!BV46</f>
        <v>0</v>
      </c>
      <c r="M46" s="329">
        <f>CONTINUA!BW46</f>
        <v>0</v>
      </c>
      <c r="N46" s="895"/>
      <c r="O46" s="896" t="s">
        <v>3270</v>
      </c>
      <c r="P46" s="897">
        <v>0</v>
      </c>
      <c r="Q46" s="400"/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0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0</v>
      </c>
      <c r="EW46" s="367">
        <f>IF(C46=4,IF(MAX(Q46:EJ48)&gt;0,(Especiall/30*(IF(($G46-$F46)=($G$5-$F$5),30,IF(DAY($G46)=31,($G46-$F46),($G46-$F46)+1)))),0),0)</f>
        <v>11465.63</v>
      </c>
      <c r="EX46" s="248">
        <f t="shared" ref="EX46:EX49" si="65">FF46</f>
        <v>5007.99</v>
      </c>
      <c r="EY46" s="174">
        <f>(L46*regular)+(M46*Cadeirantee)</f>
        <v>0</v>
      </c>
      <c r="EZ46" s="249">
        <f>SUMIF(FG46:GJ46,"&gt;0")</f>
        <v>0</v>
      </c>
      <c r="FA46" s="249">
        <f>SUMIF(FG46:GJ46,"&lt;0")+SUMIF(GN46:HP46,"&lt;0")</f>
        <v>-590.68600000000004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15882.933999999999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5007.99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-308.18400000000003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-282.50200000000001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3224</v>
      </c>
      <c r="B47" s="369" t="s">
        <v>3225</v>
      </c>
      <c r="C47" s="370" t="s">
        <v>3190</v>
      </c>
      <c r="D47" s="371" t="s">
        <v>3226</v>
      </c>
      <c r="E47" s="371" t="s">
        <v>3227</v>
      </c>
      <c r="F47" s="372" t="s">
        <v>3182</v>
      </c>
      <c r="G47" s="372" t="s">
        <v>3183</v>
      </c>
      <c r="H47" s="373" t="s">
        <v>1646</v>
      </c>
      <c r="I47" s="374" t="s">
        <v>1646</v>
      </c>
      <c r="J47" s="421" t="s">
        <v>3184</v>
      </c>
      <c r="K47" s="421" t="s">
        <v>3187</v>
      </c>
      <c r="L47" s="329">
        <f>CONTINUA!BV47</f>
        <v>0</v>
      </c>
      <c r="M47" s="329">
        <f>CONTINUA!BW47</f>
        <v>0</v>
      </c>
      <c r="N47" s="895"/>
      <c r="O47" s="896" t="s">
        <v>3270</v>
      </c>
      <c r="P47" s="897">
        <v>0</v>
      </c>
      <c r="Q47" s="400"/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0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3224</v>
      </c>
      <c r="B48" s="369" t="s">
        <v>3225</v>
      </c>
      <c r="C48" s="375" t="s">
        <v>3190</v>
      </c>
      <c r="D48" s="371" t="s">
        <v>3226</v>
      </c>
      <c r="E48" s="371" t="s">
        <v>3227</v>
      </c>
      <c r="F48" s="376" t="s">
        <v>3182</v>
      </c>
      <c r="G48" s="376" t="s">
        <v>3183</v>
      </c>
      <c r="H48" s="373" t="s">
        <v>1646</v>
      </c>
      <c r="I48" s="374" t="s">
        <v>1646</v>
      </c>
      <c r="J48" s="421" t="s">
        <v>3184</v>
      </c>
      <c r="K48" s="422" t="s">
        <v>3188</v>
      </c>
      <c r="L48" s="329">
        <f>CONTINUA!BV48</f>
        <v>0</v>
      </c>
      <c r="M48" s="329">
        <f>CONTINUA!BW48</f>
        <v>0</v>
      </c>
      <c r="N48" s="895"/>
      <c r="O48" s="896" t="s">
        <v>3270</v>
      </c>
      <c r="P48" s="897">
        <v>0</v>
      </c>
      <c r="Q48" s="400">
        <v>13</v>
      </c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>
        <v>-1</v>
      </c>
      <c r="AP48" s="401"/>
      <c r="AQ48" s="400"/>
      <c r="AR48" s="401"/>
      <c r="AS48" s="400"/>
      <c r="AT48" s="401"/>
      <c r="AU48" s="400"/>
      <c r="AV48" s="401"/>
      <c r="AW48" s="400">
        <v>-1</v>
      </c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13</v>
      </c>
      <c r="EQ48" s="171">
        <f t="shared" si="23"/>
        <v>-2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11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3224</v>
      </c>
      <c r="B49" s="369" t="s">
        <v>3225</v>
      </c>
      <c r="C49" s="375" t="s">
        <v>3190</v>
      </c>
      <c r="D49" s="371" t="s">
        <v>3226</v>
      </c>
      <c r="E49" s="371" t="s">
        <v>3227</v>
      </c>
      <c r="F49" s="376" t="s">
        <v>3182</v>
      </c>
      <c r="G49" s="376" t="s">
        <v>3183</v>
      </c>
      <c r="H49" s="373" t="s">
        <v>1646</v>
      </c>
      <c r="I49" s="374" t="s">
        <v>1646</v>
      </c>
      <c r="J49" s="421" t="s">
        <v>3184</v>
      </c>
      <c r="K49" s="423" t="s">
        <v>3189</v>
      </c>
      <c r="L49" s="329">
        <f>CONTINUA!BV49</f>
        <v>0</v>
      </c>
      <c r="M49" s="329">
        <f>CONTINUA!BW49</f>
        <v>0</v>
      </c>
      <c r="N49" s="895"/>
      <c r="O49" s="896" t="s">
        <v>3270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3224</v>
      </c>
      <c r="B50" s="378" t="s">
        <v>3225</v>
      </c>
      <c r="C50" s="379" t="s">
        <v>3190</v>
      </c>
      <c r="D50" s="380" t="s">
        <v>3226</v>
      </c>
      <c r="E50" s="380" t="s">
        <v>3227</v>
      </c>
      <c r="F50" s="381" t="s">
        <v>3182</v>
      </c>
      <c r="G50" s="381" t="s">
        <v>3183</v>
      </c>
      <c r="H50" s="382" t="s">
        <v>1646</v>
      </c>
      <c r="I50" s="383" t="s">
        <v>1646</v>
      </c>
      <c r="J50" s="421" t="s">
        <v>3184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3270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3228</v>
      </c>
      <c r="B51" s="522" t="s">
        <v>3229</v>
      </c>
      <c r="C51" s="523">
        <v>4</v>
      </c>
      <c r="D51" s="524" t="s">
        <v>3230</v>
      </c>
      <c r="E51" s="524" t="s">
        <v>3231</v>
      </c>
      <c r="F51" s="525" t="s">
        <v>3182</v>
      </c>
      <c r="G51" s="525" t="s">
        <v>3183</v>
      </c>
      <c r="H51" s="350" t="s">
        <v>1649</v>
      </c>
      <c r="I51" s="351" t="s">
        <v>1649</v>
      </c>
      <c r="J51" s="409" t="s">
        <v>3184</v>
      </c>
      <c r="K51" s="410" t="s">
        <v>3185</v>
      </c>
      <c r="L51" s="329">
        <f>CONTINUA!BV51</f>
        <v>0</v>
      </c>
      <c r="M51" s="329">
        <f>CONTINUA!BW51</f>
        <v>0</v>
      </c>
      <c r="N51" s="895"/>
      <c r="O51" s="896" t="s">
        <v>3271</v>
      </c>
      <c r="P51" s="897">
        <v>0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11465.63</v>
      </c>
      <c r="EX51" s="248">
        <f t="shared" ref="EX51:EX54" si="70">FF51</f>
        <v>5393.22</v>
      </c>
      <c r="EY51" s="174">
        <f>(L51*regular)+(M51*Cadeirantee)</f>
        <v>0</v>
      </c>
      <c r="EZ51" s="249">
        <f>SUMIF(FG51:GJ51,"&gt;0")</f>
        <v>359.54800000000006</v>
      </c>
      <c r="FA51" s="249">
        <f>SUMIF(FG51:GJ51,"&lt;0")+SUMIF(GN51:HP51,"&lt;0")</f>
        <v>0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17218.397999999997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5393.22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321.02500000000003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38.523000000000003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3228</v>
      </c>
      <c r="B52" s="369" t="s">
        <v>3229</v>
      </c>
      <c r="C52" s="370" t="s">
        <v>3190</v>
      </c>
      <c r="D52" s="371" t="s">
        <v>3230</v>
      </c>
      <c r="E52" s="371" t="s">
        <v>3231</v>
      </c>
      <c r="F52" s="372" t="s">
        <v>3182</v>
      </c>
      <c r="G52" s="372" t="s">
        <v>3183</v>
      </c>
      <c r="H52" s="373" t="s">
        <v>1649</v>
      </c>
      <c r="I52" s="374" t="s">
        <v>1649</v>
      </c>
      <c r="J52" s="421" t="s">
        <v>3184</v>
      </c>
      <c r="K52" s="421" t="s">
        <v>3187</v>
      </c>
      <c r="L52" s="329">
        <f>CONTINUA!BV52</f>
        <v>0</v>
      </c>
      <c r="M52" s="329">
        <f>CONTINUA!BW52</f>
        <v>0</v>
      </c>
      <c r="N52" s="895"/>
      <c r="O52" s="896" t="s">
        <v>3271</v>
      </c>
      <c r="P52" s="897">
        <v>0</v>
      </c>
      <c r="Q52" s="400"/>
      <c r="R52" s="401"/>
      <c r="S52" s="400"/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0</v>
      </c>
      <c r="EQ52" s="171">
        <f t="shared" si="23"/>
        <v>0</v>
      </c>
      <c r="ER52" s="171">
        <f t="shared" si="24"/>
        <v>0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0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3228</v>
      </c>
      <c r="B53" s="369" t="s">
        <v>3229</v>
      </c>
      <c r="C53" s="375" t="s">
        <v>3190</v>
      </c>
      <c r="D53" s="371" t="s">
        <v>3230</v>
      </c>
      <c r="E53" s="371" t="s">
        <v>3231</v>
      </c>
      <c r="F53" s="376" t="s">
        <v>3182</v>
      </c>
      <c r="G53" s="376" t="s">
        <v>3183</v>
      </c>
      <c r="H53" s="373" t="s">
        <v>1649</v>
      </c>
      <c r="I53" s="374" t="s">
        <v>1649</v>
      </c>
      <c r="J53" s="421" t="s">
        <v>3184</v>
      </c>
      <c r="K53" s="422" t="s">
        <v>3188</v>
      </c>
      <c r="L53" s="329">
        <f>CONTINUA!BV53</f>
        <v>0</v>
      </c>
      <c r="M53" s="329">
        <f>CONTINUA!BW53</f>
        <v>0</v>
      </c>
      <c r="N53" s="895"/>
      <c r="O53" s="896" t="s">
        <v>3271</v>
      </c>
      <c r="P53" s="897">
        <v>0</v>
      </c>
      <c r="Q53" s="400">
        <v>14</v>
      </c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>
        <v>1</v>
      </c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>
        <v>1</v>
      </c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14</v>
      </c>
      <c r="EQ53" s="171">
        <f t="shared" si="23"/>
        <v>2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16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3228</v>
      </c>
      <c r="B54" s="369" t="s">
        <v>3229</v>
      </c>
      <c r="C54" s="375" t="s">
        <v>3190</v>
      </c>
      <c r="D54" s="371" t="s">
        <v>3230</v>
      </c>
      <c r="E54" s="371" t="s">
        <v>3231</v>
      </c>
      <c r="F54" s="376" t="s">
        <v>3182</v>
      </c>
      <c r="G54" s="376" t="s">
        <v>3183</v>
      </c>
      <c r="H54" s="373" t="s">
        <v>1649</v>
      </c>
      <c r="I54" s="374" t="s">
        <v>1649</v>
      </c>
      <c r="J54" s="421" t="s">
        <v>3184</v>
      </c>
      <c r="K54" s="423" t="s">
        <v>3189</v>
      </c>
      <c r="L54" s="329">
        <f>CONTINUA!BV54</f>
        <v>0</v>
      </c>
      <c r="M54" s="329">
        <f>CONTINUA!BW54</f>
        <v>0</v>
      </c>
      <c r="N54" s="895"/>
      <c r="O54" s="896" t="s">
        <v>3271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3228</v>
      </c>
      <c r="B55" s="378" t="s">
        <v>3229</v>
      </c>
      <c r="C55" s="379" t="s">
        <v>3190</v>
      </c>
      <c r="D55" s="380" t="s">
        <v>3230</v>
      </c>
      <c r="E55" s="380" t="s">
        <v>3231</v>
      </c>
      <c r="F55" s="381" t="s">
        <v>3182</v>
      </c>
      <c r="G55" s="381" t="s">
        <v>3183</v>
      </c>
      <c r="H55" s="382" t="s">
        <v>1649</v>
      </c>
      <c r="I55" s="383" t="s">
        <v>1649</v>
      </c>
      <c r="J55" s="421" t="s">
        <v>3184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3271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3232</v>
      </c>
      <c r="B56" s="522" t="s">
        <v>3233</v>
      </c>
      <c r="C56" s="523">
        <v>4</v>
      </c>
      <c r="D56" s="524" t="s">
        <v>3234</v>
      </c>
      <c r="E56" s="524" t="s">
        <v>3235</v>
      </c>
      <c r="F56" s="525" t="s">
        <v>3182</v>
      </c>
      <c r="G56" s="525" t="s">
        <v>3183</v>
      </c>
      <c r="H56" s="350" t="s">
        <v>1650</v>
      </c>
      <c r="I56" s="351" t="s">
        <v>1650</v>
      </c>
      <c r="J56" s="409" t="s">
        <v>3184</v>
      </c>
      <c r="K56" s="410" t="s">
        <v>3185</v>
      </c>
      <c r="L56" s="329">
        <f>CONTINUA!BV56</f>
        <v>0</v>
      </c>
      <c r="M56" s="329">
        <f>CONTINUA!BW56</f>
        <v>0</v>
      </c>
      <c r="N56" s="895"/>
      <c r="O56" s="896" t="s">
        <v>3272</v>
      </c>
      <c r="P56" s="897">
        <v>0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11465.63</v>
      </c>
      <c r="EX56" s="248">
        <f t="shared" ref="EX56:EX59" si="75">FF56</f>
        <v>770.46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12236.09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770.46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3232</v>
      </c>
      <c r="B57" s="369" t="s">
        <v>3233</v>
      </c>
      <c r="C57" s="370" t="s">
        <v>3190</v>
      </c>
      <c r="D57" s="371" t="s">
        <v>3234</v>
      </c>
      <c r="E57" s="371" t="s">
        <v>3235</v>
      </c>
      <c r="F57" s="372" t="s">
        <v>3182</v>
      </c>
      <c r="G57" s="372" t="s">
        <v>3183</v>
      </c>
      <c r="H57" s="373" t="s">
        <v>1650</v>
      </c>
      <c r="I57" s="374" t="s">
        <v>1650</v>
      </c>
      <c r="J57" s="421" t="s">
        <v>3184</v>
      </c>
      <c r="K57" s="421" t="s">
        <v>3187</v>
      </c>
      <c r="L57" s="329">
        <f>CONTINUA!BV57</f>
        <v>0</v>
      </c>
      <c r="M57" s="329">
        <f>CONTINUA!BW57</f>
        <v>0</v>
      </c>
      <c r="N57" s="895"/>
      <c r="O57" s="896" t="s">
        <v>3272</v>
      </c>
      <c r="P57" s="897">
        <v>0</v>
      </c>
      <c r="Q57" s="400"/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0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0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3232</v>
      </c>
      <c r="B58" s="369" t="s">
        <v>3233</v>
      </c>
      <c r="C58" s="375" t="s">
        <v>3190</v>
      </c>
      <c r="D58" s="371" t="s">
        <v>3234</v>
      </c>
      <c r="E58" s="371" t="s">
        <v>3235</v>
      </c>
      <c r="F58" s="376" t="s">
        <v>3182</v>
      </c>
      <c r="G58" s="376" t="s">
        <v>3183</v>
      </c>
      <c r="H58" s="373" t="s">
        <v>1650</v>
      </c>
      <c r="I58" s="374" t="s">
        <v>1650</v>
      </c>
      <c r="J58" s="421" t="s">
        <v>3184</v>
      </c>
      <c r="K58" s="422" t="s">
        <v>3188</v>
      </c>
      <c r="L58" s="329">
        <f>CONTINUA!BV58</f>
        <v>0</v>
      </c>
      <c r="M58" s="329">
        <f>CONTINUA!BW58</f>
        <v>0</v>
      </c>
      <c r="N58" s="895"/>
      <c r="O58" s="896" t="s">
        <v>3272</v>
      </c>
      <c r="P58" s="897">
        <v>0</v>
      </c>
      <c r="Q58" s="400">
        <v>2</v>
      </c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2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2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3232</v>
      </c>
      <c r="B59" s="369" t="s">
        <v>3233</v>
      </c>
      <c r="C59" s="375" t="s">
        <v>3190</v>
      </c>
      <c r="D59" s="371" t="s">
        <v>3234</v>
      </c>
      <c r="E59" s="371" t="s">
        <v>3235</v>
      </c>
      <c r="F59" s="376" t="s">
        <v>3182</v>
      </c>
      <c r="G59" s="376" t="s">
        <v>3183</v>
      </c>
      <c r="H59" s="373" t="s">
        <v>1650</v>
      </c>
      <c r="I59" s="374" t="s">
        <v>1650</v>
      </c>
      <c r="J59" s="421" t="s">
        <v>3184</v>
      </c>
      <c r="K59" s="423" t="s">
        <v>3189</v>
      </c>
      <c r="L59" s="329">
        <f>CONTINUA!BV59</f>
        <v>0</v>
      </c>
      <c r="M59" s="329">
        <f>CONTINUA!BW59</f>
        <v>0</v>
      </c>
      <c r="N59" s="895"/>
      <c r="O59" s="896" t="s">
        <v>3272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3232</v>
      </c>
      <c r="B60" s="378" t="s">
        <v>3233</v>
      </c>
      <c r="C60" s="379" t="s">
        <v>3190</v>
      </c>
      <c r="D60" s="380" t="s">
        <v>3234</v>
      </c>
      <c r="E60" s="380" t="s">
        <v>3235</v>
      </c>
      <c r="F60" s="381" t="s">
        <v>3182</v>
      </c>
      <c r="G60" s="381" t="s">
        <v>3183</v>
      </c>
      <c r="H60" s="382" t="s">
        <v>1650</v>
      </c>
      <c r="I60" s="383" t="s">
        <v>1650</v>
      </c>
      <c r="J60" s="421" t="s">
        <v>3184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3272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3236</v>
      </c>
      <c r="B61" s="522" t="s">
        <v>3237</v>
      </c>
      <c r="C61" s="523">
        <v>4</v>
      </c>
      <c r="D61" s="524" t="s">
        <v>3238</v>
      </c>
      <c r="E61" s="524" t="s">
        <v>3239</v>
      </c>
      <c r="F61" s="525" t="s">
        <v>3182</v>
      </c>
      <c r="G61" s="525" t="s">
        <v>3183</v>
      </c>
      <c r="H61" s="350" t="s">
        <v>1651</v>
      </c>
      <c r="I61" s="351" t="s">
        <v>1651</v>
      </c>
      <c r="J61" s="409" t="s">
        <v>3184</v>
      </c>
      <c r="K61" s="410" t="s">
        <v>3185</v>
      </c>
      <c r="L61" s="329">
        <f>CONTINUA!BV61</f>
        <v>0</v>
      </c>
      <c r="M61" s="329">
        <f>CONTINUA!BW61</f>
        <v>0</v>
      </c>
      <c r="N61" s="895"/>
      <c r="O61" s="896" t="s">
        <v>3273</v>
      </c>
      <c r="P61" s="897">
        <v>0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11465.63</v>
      </c>
      <c r="EX61" s="248">
        <f t="shared" ref="EX61:EX64" si="80">FF61</f>
        <v>3852.2999999999997</v>
      </c>
      <c r="EY61" s="174">
        <f>(L61*regular)+(M61*Cadeirantee)</f>
        <v>0</v>
      </c>
      <c r="EZ61" s="249">
        <f>SUMIF(FG61:GJ61,"&gt;0")</f>
        <v>205.45600000000002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15523.385999999999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3852.2999999999997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205.45600000000002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3236</v>
      </c>
      <c r="B62" s="369" t="s">
        <v>3237</v>
      </c>
      <c r="C62" s="370" t="s">
        <v>3190</v>
      </c>
      <c r="D62" s="371" t="s">
        <v>3238</v>
      </c>
      <c r="E62" s="371" t="s">
        <v>3239</v>
      </c>
      <c r="F62" s="372" t="s">
        <v>3182</v>
      </c>
      <c r="G62" s="372" t="s">
        <v>3183</v>
      </c>
      <c r="H62" s="373" t="s">
        <v>1651</v>
      </c>
      <c r="I62" s="374" t="s">
        <v>1651</v>
      </c>
      <c r="J62" s="421" t="s">
        <v>3184</v>
      </c>
      <c r="K62" s="421" t="s">
        <v>3187</v>
      </c>
      <c r="L62" s="329">
        <f>CONTINUA!BV62</f>
        <v>0</v>
      </c>
      <c r="M62" s="329">
        <f>CONTINUA!BW62</f>
        <v>0</v>
      </c>
      <c r="N62" s="895"/>
      <c r="O62" s="896" t="s">
        <v>3273</v>
      </c>
      <c r="P62" s="897">
        <v>0</v>
      </c>
      <c r="Q62" s="400"/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3236</v>
      </c>
      <c r="B63" s="369" t="s">
        <v>3237</v>
      </c>
      <c r="C63" s="375" t="s">
        <v>3190</v>
      </c>
      <c r="D63" s="371" t="s">
        <v>3238</v>
      </c>
      <c r="E63" s="371" t="s">
        <v>3239</v>
      </c>
      <c r="F63" s="376" t="s">
        <v>3182</v>
      </c>
      <c r="G63" s="376" t="s">
        <v>3183</v>
      </c>
      <c r="H63" s="373" t="s">
        <v>1651</v>
      </c>
      <c r="I63" s="374" t="s">
        <v>1651</v>
      </c>
      <c r="J63" s="421" t="s">
        <v>3184</v>
      </c>
      <c r="K63" s="422" t="s">
        <v>3188</v>
      </c>
      <c r="L63" s="329">
        <f>CONTINUA!BV63</f>
        <v>0</v>
      </c>
      <c r="M63" s="329">
        <f>CONTINUA!BW63</f>
        <v>0</v>
      </c>
      <c r="N63" s="895"/>
      <c r="O63" s="896" t="s">
        <v>3273</v>
      </c>
      <c r="P63" s="897">
        <v>0</v>
      </c>
      <c r="Q63" s="400">
        <v>10</v>
      </c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>
        <v>1</v>
      </c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10</v>
      </c>
      <c r="EQ63" s="171">
        <f t="shared" si="23"/>
        <v>1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11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3236</v>
      </c>
      <c r="B64" s="369" t="s">
        <v>3237</v>
      </c>
      <c r="C64" s="375" t="s">
        <v>3190</v>
      </c>
      <c r="D64" s="371" t="s">
        <v>3238</v>
      </c>
      <c r="E64" s="371" t="s">
        <v>3239</v>
      </c>
      <c r="F64" s="376" t="s">
        <v>3182</v>
      </c>
      <c r="G64" s="376" t="s">
        <v>3183</v>
      </c>
      <c r="H64" s="373" t="s">
        <v>1651</v>
      </c>
      <c r="I64" s="374" t="s">
        <v>1651</v>
      </c>
      <c r="J64" s="421" t="s">
        <v>3184</v>
      </c>
      <c r="K64" s="423" t="s">
        <v>3189</v>
      </c>
      <c r="L64" s="329">
        <f>CONTINUA!BV64</f>
        <v>0</v>
      </c>
      <c r="M64" s="329">
        <f>CONTINUA!BW64</f>
        <v>0</v>
      </c>
      <c r="N64" s="895"/>
      <c r="O64" s="896" t="s">
        <v>3273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3236</v>
      </c>
      <c r="B65" s="378" t="s">
        <v>3237</v>
      </c>
      <c r="C65" s="379" t="s">
        <v>3190</v>
      </c>
      <c r="D65" s="380" t="s">
        <v>3238</v>
      </c>
      <c r="E65" s="380" t="s">
        <v>3239</v>
      </c>
      <c r="F65" s="381" t="s">
        <v>3182</v>
      </c>
      <c r="G65" s="381" t="s">
        <v>3183</v>
      </c>
      <c r="H65" s="382" t="s">
        <v>1651</v>
      </c>
      <c r="I65" s="383" t="s">
        <v>1651</v>
      </c>
      <c r="J65" s="421" t="s">
        <v>3184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3273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3240</v>
      </c>
      <c r="B66" s="522" t="s">
        <v>3241</v>
      </c>
      <c r="C66" s="523">
        <v>4</v>
      </c>
      <c r="D66" s="524" t="s">
        <v>3242</v>
      </c>
      <c r="E66" s="524" t="s">
        <v>3243</v>
      </c>
      <c r="F66" s="525" t="s">
        <v>3182</v>
      </c>
      <c r="G66" s="525" t="s">
        <v>3183</v>
      </c>
      <c r="H66" s="350" t="s">
        <v>1654</v>
      </c>
      <c r="I66" s="351" t="s">
        <v>1654</v>
      </c>
      <c r="J66" s="409" t="s">
        <v>3184</v>
      </c>
      <c r="K66" s="410" t="s">
        <v>3185</v>
      </c>
      <c r="L66" s="329">
        <f>CONTINUA!BV66</f>
        <v>0</v>
      </c>
      <c r="M66" s="329">
        <f>CONTINUA!BW66</f>
        <v>0</v>
      </c>
      <c r="N66" s="895"/>
      <c r="O66" s="896" t="s">
        <v>3274</v>
      </c>
      <c r="P66" s="897">
        <v>0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11465.63</v>
      </c>
      <c r="EX66" s="248">
        <f t="shared" ref="EX66:EX69" si="85">FF66</f>
        <v>4237.5300000000007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15703.16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4237.5300000000007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3240</v>
      </c>
      <c r="B67" s="369" t="s">
        <v>3241</v>
      </c>
      <c r="C67" s="370" t="s">
        <v>3190</v>
      </c>
      <c r="D67" s="371" t="s">
        <v>3242</v>
      </c>
      <c r="E67" s="371" t="s">
        <v>3243</v>
      </c>
      <c r="F67" s="372" t="s">
        <v>3182</v>
      </c>
      <c r="G67" s="372" t="s">
        <v>3183</v>
      </c>
      <c r="H67" s="373" t="s">
        <v>1654</v>
      </c>
      <c r="I67" s="374" t="s">
        <v>1654</v>
      </c>
      <c r="J67" s="421" t="s">
        <v>3184</v>
      </c>
      <c r="K67" s="421" t="s">
        <v>3187</v>
      </c>
      <c r="L67" s="329">
        <f>CONTINUA!BV67</f>
        <v>0</v>
      </c>
      <c r="M67" s="329">
        <f>CONTINUA!BW67</f>
        <v>0</v>
      </c>
      <c r="N67" s="895"/>
      <c r="O67" s="896" t="s">
        <v>3274</v>
      </c>
      <c r="P67" s="897">
        <v>0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3240</v>
      </c>
      <c r="B68" s="369" t="s">
        <v>3241</v>
      </c>
      <c r="C68" s="375" t="s">
        <v>3190</v>
      </c>
      <c r="D68" s="371" t="s">
        <v>3242</v>
      </c>
      <c r="E68" s="371" t="s">
        <v>3243</v>
      </c>
      <c r="F68" s="376" t="s">
        <v>3182</v>
      </c>
      <c r="G68" s="376" t="s">
        <v>3183</v>
      </c>
      <c r="H68" s="373" t="s">
        <v>1654</v>
      </c>
      <c r="I68" s="374" t="s">
        <v>1654</v>
      </c>
      <c r="J68" s="421" t="s">
        <v>3184</v>
      </c>
      <c r="K68" s="422" t="s">
        <v>3188</v>
      </c>
      <c r="L68" s="329">
        <f>CONTINUA!BV68</f>
        <v>0</v>
      </c>
      <c r="M68" s="329">
        <f>CONTINUA!BW68</f>
        <v>0</v>
      </c>
      <c r="N68" s="895"/>
      <c r="O68" s="896" t="s">
        <v>3274</v>
      </c>
      <c r="P68" s="897">
        <v>0</v>
      </c>
      <c r="Q68" s="400">
        <v>11</v>
      </c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11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11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3240</v>
      </c>
      <c r="B69" s="369" t="s">
        <v>3241</v>
      </c>
      <c r="C69" s="375" t="s">
        <v>3190</v>
      </c>
      <c r="D69" s="371" t="s">
        <v>3242</v>
      </c>
      <c r="E69" s="371" t="s">
        <v>3243</v>
      </c>
      <c r="F69" s="376" t="s">
        <v>3182</v>
      </c>
      <c r="G69" s="376" t="s">
        <v>3183</v>
      </c>
      <c r="H69" s="373" t="s">
        <v>1654</v>
      </c>
      <c r="I69" s="374" t="s">
        <v>1654</v>
      </c>
      <c r="J69" s="421" t="s">
        <v>3184</v>
      </c>
      <c r="K69" s="423" t="s">
        <v>3189</v>
      </c>
      <c r="L69" s="329">
        <f>CONTINUA!BV69</f>
        <v>0</v>
      </c>
      <c r="M69" s="329">
        <f>CONTINUA!BW69</f>
        <v>0</v>
      </c>
      <c r="N69" s="895"/>
      <c r="O69" s="896" t="s">
        <v>3274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3240</v>
      </c>
      <c r="B70" s="378" t="s">
        <v>3241</v>
      </c>
      <c r="C70" s="379" t="s">
        <v>3190</v>
      </c>
      <c r="D70" s="380" t="s">
        <v>3242</v>
      </c>
      <c r="E70" s="380" t="s">
        <v>3243</v>
      </c>
      <c r="F70" s="381" t="s">
        <v>3182</v>
      </c>
      <c r="G70" s="381" t="s">
        <v>3183</v>
      </c>
      <c r="H70" s="382" t="s">
        <v>1654</v>
      </c>
      <c r="I70" s="383" t="s">
        <v>1654</v>
      </c>
      <c r="J70" s="421" t="s">
        <v>3184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3274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3244</v>
      </c>
      <c r="B71" s="522" t="s">
        <v>3245</v>
      </c>
      <c r="C71" s="523">
        <v>2</v>
      </c>
      <c r="D71" s="524" t="s">
        <v>3246</v>
      </c>
      <c r="E71" s="524" t="s">
        <v>3247</v>
      </c>
      <c r="F71" s="525" t="s">
        <v>3182</v>
      </c>
      <c r="G71" s="525" t="s">
        <v>3183</v>
      </c>
      <c r="H71" s="350" t="s">
        <v>1655</v>
      </c>
      <c r="I71" s="351" t="s">
        <v>1655</v>
      </c>
      <c r="J71" s="409" t="s">
        <v>3191</v>
      </c>
      <c r="K71" s="410" t="s">
        <v>3185</v>
      </c>
      <c r="L71" s="329">
        <f>CONTINUA!BV71</f>
        <v>0</v>
      </c>
      <c r="M71" s="329">
        <f>CONTINUA!BW71</f>
        <v>0</v>
      </c>
      <c r="N71" s="895"/>
      <c r="O71" s="896" t="s">
        <v>3275</v>
      </c>
      <c r="P71" s="897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30305.86</v>
      </c>
      <c r="EY71" s="174">
        <f>(L71*regular)+(M71*Cadeirantee)</f>
        <v>0</v>
      </c>
      <c r="EZ71" s="249">
        <f>SUMIF(FG71:GJ71,"&gt;0")</f>
        <v>51.364000000000004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30357.224000000002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30305.86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51.364000000000004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3244</v>
      </c>
      <c r="B72" s="369" t="s">
        <v>3245</v>
      </c>
      <c r="C72" s="370" t="s">
        <v>3186</v>
      </c>
      <c r="D72" s="371" t="s">
        <v>3246</v>
      </c>
      <c r="E72" s="371" t="s">
        <v>3247</v>
      </c>
      <c r="F72" s="372" t="s">
        <v>3182</v>
      </c>
      <c r="G72" s="372" t="s">
        <v>3183</v>
      </c>
      <c r="H72" s="373" t="s">
        <v>1655</v>
      </c>
      <c r="I72" s="374" t="s">
        <v>1655</v>
      </c>
      <c r="J72" s="421" t="s">
        <v>3191</v>
      </c>
      <c r="K72" s="421" t="s">
        <v>3187</v>
      </c>
      <c r="L72" s="329">
        <f>CONTINUA!BV72</f>
        <v>0</v>
      </c>
      <c r="M72" s="329">
        <f>CONTINUA!BW72</f>
        <v>0</v>
      </c>
      <c r="N72" s="895"/>
      <c r="O72" s="896" t="s">
        <v>3275</v>
      </c>
      <c r="P72" s="897">
        <v>0</v>
      </c>
      <c r="Q72" s="400">
        <v>27</v>
      </c>
      <c r="R72" s="401">
        <v>6</v>
      </c>
      <c r="S72" s="400">
        <v>11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>
        <v>1</v>
      </c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27</v>
      </c>
      <c r="EQ72" s="171">
        <f t="shared" si="23"/>
        <v>1</v>
      </c>
      <c r="ER72" s="171">
        <f t="shared" si="24"/>
        <v>11</v>
      </c>
      <c r="ES72" s="171">
        <f t="shared" si="25"/>
        <v>6</v>
      </c>
      <c r="ET72" s="171">
        <f t="shared" si="26"/>
        <v>0</v>
      </c>
      <c r="EU72" s="171">
        <f t="shared" si="27"/>
        <v>0</v>
      </c>
      <c r="EV72" s="172">
        <f t="shared" si="28"/>
        <v>45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3244</v>
      </c>
      <c r="B73" s="369" t="s">
        <v>3245</v>
      </c>
      <c r="C73" s="375" t="s">
        <v>3186</v>
      </c>
      <c r="D73" s="371" t="s">
        <v>3246</v>
      </c>
      <c r="E73" s="371" t="s">
        <v>3247</v>
      </c>
      <c r="F73" s="376" t="s">
        <v>3182</v>
      </c>
      <c r="G73" s="376" t="s">
        <v>3183</v>
      </c>
      <c r="H73" s="373" t="s">
        <v>1655</v>
      </c>
      <c r="I73" s="374" t="s">
        <v>1655</v>
      </c>
      <c r="J73" s="421" t="s">
        <v>3191</v>
      </c>
      <c r="K73" s="422" t="s">
        <v>3188</v>
      </c>
      <c r="L73" s="329">
        <f>CONTINUA!BV73</f>
        <v>0</v>
      </c>
      <c r="M73" s="329">
        <f>CONTINUA!BW73</f>
        <v>0</v>
      </c>
      <c r="N73" s="895"/>
      <c r="O73" s="896" t="s">
        <v>3275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3244</v>
      </c>
      <c r="B74" s="369" t="s">
        <v>3245</v>
      </c>
      <c r="C74" s="375" t="s">
        <v>3186</v>
      </c>
      <c r="D74" s="371" t="s">
        <v>3246</v>
      </c>
      <c r="E74" s="371" t="s">
        <v>3247</v>
      </c>
      <c r="F74" s="376" t="s">
        <v>3182</v>
      </c>
      <c r="G74" s="376" t="s">
        <v>3183</v>
      </c>
      <c r="H74" s="373" t="s">
        <v>1655</v>
      </c>
      <c r="I74" s="374" t="s">
        <v>1655</v>
      </c>
      <c r="J74" s="421" t="s">
        <v>3191</v>
      </c>
      <c r="K74" s="423" t="s">
        <v>3189</v>
      </c>
      <c r="L74" s="329">
        <f>CONTINUA!BV74</f>
        <v>0</v>
      </c>
      <c r="M74" s="329">
        <f>CONTINUA!BW74</f>
        <v>0</v>
      </c>
      <c r="N74" s="895"/>
      <c r="O74" s="896" t="s">
        <v>3275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3244</v>
      </c>
      <c r="B75" s="378" t="s">
        <v>3245</v>
      </c>
      <c r="C75" s="379" t="s">
        <v>3186</v>
      </c>
      <c r="D75" s="380" t="s">
        <v>3246</v>
      </c>
      <c r="E75" s="380" t="s">
        <v>3247</v>
      </c>
      <c r="F75" s="381" t="s">
        <v>3182</v>
      </c>
      <c r="G75" s="381" t="s">
        <v>3183</v>
      </c>
      <c r="H75" s="382" t="s">
        <v>1655</v>
      </c>
      <c r="I75" s="383" t="s">
        <v>1655</v>
      </c>
      <c r="J75" s="421" t="s">
        <v>3191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3275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90" si="95">Q75</f>
        <v>0</v>
      </c>
      <c r="EQ75" s="179">
        <f t="shared" ref="EQ75:EQ90" si="96">U75+Y75+AC75+AG75+AK75+AO75+AS75+AW75+BA75+BE75+BI75+BM75+BQ75+BU75+BY75+CC75+CG75+CK75+CO75+CS75+CW75+DA75+DE75+DI75+DM75+DQ75+DU75+DY75+EC75+EG75</f>
        <v>0</v>
      </c>
      <c r="ER75" s="179">
        <f t="shared" ref="ER75:ER90" si="97">S75+W75+AA75+AE75+AI75+AM75+AQ75+AU75+AY75+BC75+BG75+BK75+BO75+BS75+BW75+CA75+CE75+CI75+CM75+CQ75+CU75+CY75+DC75+DG75+DK75+DO75+DS75+DW75+EA75+EE75+EI75</f>
        <v>0</v>
      </c>
      <c r="ES75" s="179">
        <f t="shared" ref="ES75:ES90" si="98">R75</f>
        <v>0</v>
      </c>
      <c r="ET75" s="179">
        <f t="shared" ref="ET75:ET90" si="99">V75+Z75+AD75+AH75+AL75+AP75+AT75+AX75+BB75+BF75+BJ75+BN75+BR75+BV75+BZ75+CD75+CH75+CL75+CP75+CT75+CX75+DB75+DF75+DJ75+DN75+DR75+DV75+DZ75+ED75+EH75</f>
        <v>0</v>
      </c>
      <c r="EU75" s="179">
        <f t="shared" ref="EU75:EU90" si="100">T75+X75+AB75+AF75+AJ75+AN75+AR75+AV75+AZ75+BD75+BH75+BL75+BP75+BT75+BX75+CB75+CF75+CJ75+CN75+CR75+CV75+CZ75+DD75+DH75+DL75+DP75+DT75+DX75+EB75+EF75+EJ75</f>
        <v>0</v>
      </c>
      <c r="EV75" s="172">
        <f t="shared" ref="EV75:EV90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90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3248</v>
      </c>
      <c r="B76" s="522" t="s">
        <v>3249</v>
      </c>
      <c r="C76" s="523">
        <v>1</v>
      </c>
      <c r="D76" s="524" t="s">
        <v>3250</v>
      </c>
      <c r="E76" s="524" t="s">
        <v>3251</v>
      </c>
      <c r="F76" s="525" t="s">
        <v>3182</v>
      </c>
      <c r="G76" s="525" t="s">
        <v>3183</v>
      </c>
      <c r="H76" s="350" t="s">
        <v>1657</v>
      </c>
      <c r="I76" s="351" t="s">
        <v>1657</v>
      </c>
      <c r="J76" s="409" t="s">
        <v>3184</v>
      </c>
      <c r="K76" s="410" t="s">
        <v>3185</v>
      </c>
      <c r="L76" s="329">
        <f>CONTINUA!BV76</f>
        <v>0</v>
      </c>
      <c r="M76" s="329">
        <f>CONTINUA!BW76</f>
        <v>0</v>
      </c>
      <c r="N76" s="895"/>
      <c r="O76" s="896" t="s">
        <v>3276</v>
      </c>
      <c r="P76" s="897">
        <v>0</v>
      </c>
      <c r="Q76" s="400">
        <v>7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>
        <v>1</v>
      </c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7</v>
      </c>
      <c r="EQ76" s="171">
        <f t="shared" si="96"/>
        <v>1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8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16352.810000000001</v>
      </c>
      <c r="EY76" s="174">
        <f>(L76*regular)+(M76*Cadeirantee)</f>
        <v>0</v>
      </c>
      <c r="EZ76" s="249">
        <f>SUMIF(FG76:GJ76,"&gt;0")</f>
        <v>937.39300000000003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17290.203000000001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16352.810000000001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321.02500000000003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231.13800000000003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385.23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0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3248</v>
      </c>
      <c r="B77" s="369" t="s">
        <v>3249</v>
      </c>
      <c r="C77" s="370" t="s">
        <v>3186</v>
      </c>
      <c r="D77" s="371" t="s">
        <v>3250</v>
      </c>
      <c r="E77" s="371" t="s">
        <v>3251</v>
      </c>
      <c r="F77" s="372" t="s">
        <v>3182</v>
      </c>
      <c r="G77" s="372" t="s">
        <v>3183</v>
      </c>
      <c r="H77" s="373" t="s">
        <v>1657</v>
      </c>
      <c r="I77" s="374" t="s">
        <v>1657</v>
      </c>
      <c r="J77" s="421" t="s">
        <v>3184</v>
      </c>
      <c r="K77" s="421" t="s">
        <v>3187</v>
      </c>
      <c r="L77" s="329">
        <f>CONTINUA!BV77</f>
        <v>0</v>
      </c>
      <c r="M77" s="329">
        <f>CONTINUA!BW77</f>
        <v>0</v>
      </c>
      <c r="N77" s="895"/>
      <c r="O77" s="896" t="s">
        <v>3276</v>
      </c>
      <c r="P77" s="897">
        <v>0</v>
      </c>
      <c r="Q77" s="400">
        <v>27</v>
      </c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>
        <v>1</v>
      </c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>
        <v>2</v>
      </c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27</v>
      </c>
      <c r="EQ77" s="171">
        <f t="shared" si="96"/>
        <v>3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30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3248</v>
      </c>
      <c r="B78" s="369" t="s">
        <v>3249</v>
      </c>
      <c r="C78" s="375" t="s">
        <v>3186</v>
      </c>
      <c r="D78" s="371" t="s">
        <v>3250</v>
      </c>
      <c r="E78" s="371" t="s">
        <v>3251</v>
      </c>
      <c r="F78" s="376" t="s">
        <v>3182</v>
      </c>
      <c r="G78" s="376" t="s">
        <v>3183</v>
      </c>
      <c r="H78" s="373" t="s">
        <v>1657</v>
      </c>
      <c r="I78" s="374" t="s">
        <v>1657</v>
      </c>
      <c r="J78" s="421" t="s">
        <v>3184</v>
      </c>
      <c r="K78" s="422" t="s">
        <v>3188</v>
      </c>
      <c r="L78" s="329">
        <f>CONTINUA!BV78</f>
        <v>0</v>
      </c>
      <c r="M78" s="329">
        <f>CONTINUA!BW78</f>
        <v>0</v>
      </c>
      <c r="N78" s="895"/>
      <c r="O78" s="896" t="s">
        <v>3276</v>
      </c>
      <c r="P78" s="897">
        <v>0</v>
      </c>
      <c r="Q78" s="400">
        <v>5</v>
      </c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5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5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3248</v>
      </c>
      <c r="B79" s="369" t="s">
        <v>3249</v>
      </c>
      <c r="C79" s="375" t="s">
        <v>3186</v>
      </c>
      <c r="D79" s="371" t="s">
        <v>3250</v>
      </c>
      <c r="E79" s="371" t="s">
        <v>3251</v>
      </c>
      <c r="F79" s="376" t="s">
        <v>3182</v>
      </c>
      <c r="G79" s="376" t="s">
        <v>3183</v>
      </c>
      <c r="H79" s="373" t="s">
        <v>1657</v>
      </c>
      <c r="I79" s="374" t="s">
        <v>1657</v>
      </c>
      <c r="J79" s="421" t="s">
        <v>3184</v>
      </c>
      <c r="K79" s="423" t="s">
        <v>3189</v>
      </c>
      <c r="L79" s="329">
        <f>CONTINUA!BV79</f>
        <v>0</v>
      </c>
      <c r="M79" s="329">
        <f>CONTINUA!BW79</f>
        <v>0</v>
      </c>
      <c r="N79" s="895"/>
      <c r="O79" s="896" t="s">
        <v>3276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3248</v>
      </c>
      <c r="B80" s="378" t="s">
        <v>3249</v>
      </c>
      <c r="C80" s="379" t="s">
        <v>3186</v>
      </c>
      <c r="D80" s="380" t="s">
        <v>3250</v>
      </c>
      <c r="E80" s="380" t="s">
        <v>3251</v>
      </c>
      <c r="F80" s="381" t="s">
        <v>3182</v>
      </c>
      <c r="G80" s="381" t="s">
        <v>3183</v>
      </c>
      <c r="H80" s="382" t="s">
        <v>1657</v>
      </c>
      <c r="I80" s="383" t="s">
        <v>1657</v>
      </c>
      <c r="J80" s="421" t="s">
        <v>3184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3276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3252</v>
      </c>
      <c r="B81" s="522" t="s">
        <v>3253</v>
      </c>
      <c r="C81" s="523">
        <v>1</v>
      </c>
      <c r="D81" s="524" t="s">
        <v>3254</v>
      </c>
      <c r="E81" s="524" t="s">
        <v>3255</v>
      </c>
      <c r="F81" s="525" t="s">
        <v>3182</v>
      </c>
      <c r="G81" s="525" t="s">
        <v>3183</v>
      </c>
      <c r="H81" s="350" t="s">
        <v>1660</v>
      </c>
      <c r="I81" s="351" t="s">
        <v>1660</v>
      </c>
      <c r="J81" s="409" t="s">
        <v>3184</v>
      </c>
      <c r="K81" s="410" t="s">
        <v>3185</v>
      </c>
      <c r="L81" s="329">
        <f>CONTINUA!BV81</f>
        <v>0</v>
      </c>
      <c r="M81" s="329">
        <f>CONTINUA!BW81</f>
        <v>0</v>
      </c>
      <c r="N81" s="895"/>
      <c r="O81" s="896" t="s">
        <v>3277</v>
      </c>
      <c r="P81" s="897">
        <v>0</v>
      </c>
      <c r="Q81" s="400">
        <v>40</v>
      </c>
      <c r="R81" s="401"/>
      <c r="S81" s="400"/>
      <c r="T81" s="401"/>
      <c r="U81" s="400">
        <v>-3</v>
      </c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40</v>
      </c>
      <c r="EQ81" s="171">
        <f t="shared" si="96"/>
        <v>-3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37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16738.04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-1117.1670000000001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15620.873000000001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16738.04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-1117.1670000000001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3252</v>
      </c>
      <c r="B82" s="369" t="s">
        <v>3253</v>
      </c>
      <c r="C82" s="370" t="s">
        <v>3186</v>
      </c>
      <c r="D82" s="371" t="s">
        <v>3254</v>
      </c>
      <c r="E82" s="371" t="s">
        <v>3255</v>
      </c>
      <c r="F82" s="372" t="s">
        <v>3182</v>
      </c>
      <c r="G82" s="372" t="s">
        <v>3183</v>
      </c>
      <c r="H82" s="373" t="s">
        <v>1660</v>
      </c>
      <c r="I82" s="374" t="s">
        <v>1660</v>
      </c>
      <c r="J82" s="421" t="s">
        <v>3184</v>
      </c>
      <c r="K82" s="421" t="s">
        <v>3187</v>
      </c>
      <c r="L82" s="329">
        <f>CONTINUA!BV82</f>
        <v>0</v>
      </c>
      <c r="M82" s="329">
        <f>CONTINUA!BW82</f>
        <v>0</v>
      </c>
      <c r="N82" s="895"/>
      <c r="O82" s="896" t="s">
        <v>3277</v>
      </c>
      <c r="P82" s="897">
        <v>0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3252</v>
      </c>
      <c r="B83" s="369" t="s">
        <v>3253</v>
      </c>
      <c r="C83" s="375" t="s">
        <v>3186</v>
      </c>
      <c r="D83" s="371" t="s">
        <v>3254</v>
      </c>
      <c r="E83" s="371" t="s">
        <v>3255</v>
      </c>
      <c r="F83" s="376" t="s">
        <v>3182</v>
      </c>
      <c r="G83" s="376" t="s">
        <v>3183</v>
      </c>
      <c r="H83" s="373" t="s">
        <v>1660</v>
      </c>
      <c r="I83" s="374" t="s">
        <v>1660</v>
      </c>
      <c r="J83" s="421" t="s">
        <v>3184</v>
      </c>
      <c r="K83" s="422" t="s">
        <v>3188</v>
      </c>
      <c r="L83" s="329">
        <f>CONTINUA!BV83</f>
        <v>0</v>
      </c>
      <c r="M83" s="329">
        <f>CONTINUA!BW83</f>
        <v>0</v>
      </c>
      <c r="N83" s="895"/>
      <c r="O83" s="896" t="s">
        <v>3277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3252</v>
      </c>
      <c r="B84" s="369" t="s">
        <v>3253</v>
      </c>
      <c r="C84" s="375" t="s">
        <v>3186</v>
      </c>
      <c r="D84" s="371" t="s">
        <v>3254</v>
      </c>
      <c r="E84" s="371" t="s">
        <v>3255</v>
      </c>
      <c r="F84" s="376" t="s">
        <v>3182</v>
      </c>
      <c r="G84" s="376" t="s">
        <v>3183</v>
      </c>
      <c r="H84" s="373" t="s">
        <v>1660</v>
      </c>
      <c r="I84" s="374" t="s">
        <v>1660</v>
      </c>
      <c r="J84" s="421" t="s">
        <v>3184</v>
      </c>
      <c r="K84" s="423" t="s">
        <v>3189</v>
      </c>
      <c r="L84" s="329">
        <f>CONTINUA!BV84</f>
        <v>0</v>
      </c>
      <c r="M84" s="329">
        <f>CONTINUA!BW84</f>
        <v>0</v>
      </c>
      <c r="N84" s="895"/>
      <c r="O84" s="896" t="s">
        <v>3277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3252</v>
      </c>
      <c r="B85" s="378" t="s">
        <v>3253</v>
      </c>
      <c r="C85" s="379" t="s">
        <v>3186</v>
      </c>
      <c r="D85" s="380" t="s">
        <v>3254</v>
      </c>
      <c r="E85" s="380" t="s">
        <v>3255</v>
      </c>
      <c r="F85" s="381" t="s">
        <v>3182</v>
      </c>
      <c r="G85" s="381" t="s">
        <v>3183</v>
      </c>
      <c r="H85" s="382" t="s">
        <v>1660</v>
      </c>
      <c r="I85" s="383" t="s">
        <v>1660</v>
      </c>
      <c r="J85" s="421" t="s">
        <v>3184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3277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3256</v>
      </c>
      <c r="B86" s="522" t="s">
        <v>3257</v>
      </c>
      <c r="C86" s="523">
        <v>1</v>
      </c>
      <c r="D86" s="524" t="s">
        <v>3258</v>
      </c>
      <c r="E86" s="524" t="s">
        <v>3259</v>
      </c>
      <c r="F86" s="525" t="s">
        <v>3182</v>
      </c>
      <c r="G86" s="525" t="s">
        <v>3183</v>
      </c>
      <c r="H86" s="350" t="s">
        <v>1663</v>
      </c>
      <c r="I86" s="351" t="s">
        <v>1663</v>
      </c>
      <c r="J86" s="409" t="s">
        <v>3184</v>
      </c>
      <c r="K86" s="410" t="s">
        <v>3185</v>
      </c>
      <c r="L86" s="329">
        <f>CONTINUA!BV86</f>
        <v>0</v>
      </c>
      <c r="M86" s="329">
        <f>CONTINUA!BW86</f>
        <v>0</v>
      </c>
      <c r="N86" s="895"/>
      <c r="O86" s="896" t="s">
        <v>3278</v>
      </c>
      <c r="P86" s="897">
        <v>0</v>
      </c>
      <c r="Q86" s="400">
        <v>29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29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29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12500.51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12500.51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12500.51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3256</v>
      </c>
      <c r="B87" s="369" t="s">
        <v>3257</v>
      </c>
      <c r="C87" s="370" t="s">
        <v>3186</v>
      </c>
      <c r="D87" s="371" t="s">
        <v>3258</v>
      </c>
      <c r="E87" s="371" t="s">
        <v>3259</v>
      </c>
      <c r="F87" s="372" t="s">
        <v>3182</v>
      </c>
      <c r="G87" s="372" t="s">
        <v>3183</v>
      </c>
      <c r="H87" s="373" t="s">
        <v>1663</v>
      </c>
      <c r="I87" s="374" t="s">
        <v>1663</v>
      </c>
      <c r="J87" s="421" t="s">
        <v>3184</v>
      </c>
      <c r="K87" s="421" t="s">
        <v>3187</v>
      </c>
      <c r="L87" s="329">
        <f>CONTINUA!BV87</f>
        <v>0</v>
      </c>
      <c r="M87" s="329">
        <f>CONTINUA!BW87</f>
        <v>0</v>
      </c>
      <c r="N87" s="895"/>
      <c r="O87" s="896" t="s">
        <v>3278</v>
      </c>
      <c r="P87" s="897">
        <v>0</v>
      </c>
      <c r="Q87" s="400"/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0</v>
      </c>
      <c r="EQ87" s="171">
        <f t="shared" si="96"/>
        <v>0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0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3256</v>
      </c>
      <c r="B88" s="369" t="s">
        <v>3257</v>
      </c>
      <c r="C88" s="375" t="s">
        <v>3186</v>
      </c>
      <c r="D88" s="371" t="s">
        <v>3258</v>
      </c>
      <c r="E88" s="371" t="s">
        <v>3259</v>
      </c>
      <c r="F88" s="376" t="s">
        <v>3182</v>
      </c>
      <c r="G88" s="376" t="s">
        <v>3183</v>
      </c>
      <c r="H88" s="373" t="s">
        <v>1663</v>
      </c>
      <c r="I88" s="374" t="s">
        <v>1663</v>
      </c>
      <c r="J88" s="421" t="s">
        <v>3184</v>
      </c>
      <c r="K88" s="422" t="s">
        <v>3188</v>
      </c>
      <c r="L88" s="329">
        <f>CONTINUA!BV88</f>
        <v>0</v>
      </c>
      <c r="M88" s="329">
        <f>CONTINUA!BW88</f>
        <v>0</v>
      </c>
      <c r="N88" s="895"/>
      <c r="O88" s="896" t="s">
        <v>3278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3256</v>
      </c>
      <c r="B89" s="369" t="s">
        <v>3257</v>
      </c>
      <c r="C89" s="375" t="s">
        <v>3186</v>
      </c>
      <c r="D89" s="371" t="s">
        <v>3258</v>
      </c>
      <c r="E89" s="371" t="s">
        <v>3259</v>
      </c>
      <c r="F89" s="376" t="s">
        <v>3182</v>
      </c>
      <c r="G89" s="376" t="s">
        <v>3183</v>
      </c>
      <c r="H89" s="373" t="s">
        <v>1663</v>
      </c>
      <c r="I89" s="374" t="s">
        <v>1663</v>
      </c>
      <c r="J89" s="421" t="s">
        <v>3184</v>
      </c>
      <c r="K89" s="423" t="s">
        <v>3189</v>
      </c>
      <c r="L89" s="329">
        <f>CONTINUA!BV89</f>
        <v>0</v>
      </c>
      <c r="M89" s="329">
        <f>CONTINUA!BW89</f>
        <v>0</v>
      </c>
      <c r="N89" s="895"/>
      <c r="O89" s="896" t="s">
        <v>3278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3256</v>
      </c>
      <c r="B90" s="378" t="s">
        <v>3257</v>
      </c>
      <c r="C90" s="379" t="s">
        <v>3186</v>
      </c>
      <c r="D90" s="380" t="s">
        <v>3258</v>
      </c>
      <c r="E90" s="380" t="s">
        <v>3259</v>
      </c>
      <c r="F90" s="381" t="s">
        <v>3182</v>
      </c>
      <c r="G90" s="381" t="s">
        <v>3183</v>
      </c>
      <c r="H90" s="382" t="s">
        <v>1663</v>
      </c>
      <c r="I90" s="383" t="s">
        <v>1663</v>
      </c>
      <c r="J90" s="421" t="s">
        <v>3184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3278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ht="11.25" x14ac:dyDescent="0.2">
      <c r="G91" s="7"/>
      <c r="H91" s="7"/>
      <c r="I91" s="7"/>
      <c r="J91" s="7"/>
      <c r="K91" s="7"/>
      <c r="L91" s="7">
        <f t="shared" ref="L91:P92" si="118">K91+1</f>
        <v>1</v>
      </c>
      <c r="M91" s="7">
        <f t="shared" si="118"/>
        <v>2</v>
      </c>
      <c r="N91" s="7">
        <f t="shared" si="118"/>
        <v>3</v>
      </c>
      <c r="O91" s="7">
        <f t="shared" si="118"/>
        <v>4</v>
      </c>
      <c r="P91" s="7">
        <f t="shared" si="118"/>
        <v>5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>
        <f t="shared" ref="EM91:EQ92" si="119">EL91+1</f>
        <v>1</v>
      </c>
      <c r="EN91" s="7">
        <f t="shared" si="119"/>
        <v>2</v>
      </c>
      <c r="EO91" s="7">
        <f t="shared" si="119"/>
        <v>3</v>
      </c>
      <c r="EP91" s="7">
        <f t="shared" si="119"/>
        <v>4</v>
      </c>
      <c r="EQ91" s="7">
        <f t="shared" si="119"/>
        <v>5</v>
      </c>
      <c r="ER91" s="7">
        <f t="shared" ref="ER91:GO92" si="120">EQ91+1</f>
        <v>6</v>
      </c>
      <c r="ES91" s="7">
        <f t="shared" si="120"/>
        <v>7</v>
      </c>
      <c r="ET91" s="7">
        <f t="shared" si="120"/>
        <v>8</v>
      </c>
      <c r="EU91" s="7">
        <f t="shared" si="120"/>
        <v>9</v>
      </c>
      <c r="EV91" s="7">
        <f t="shared" si="120"/>
        <v>10</v>
      </c>
      <c r="EW91" s="7">
        <f t="shared" si="120"/>
        <v>11</v>
      </c>
      <c r="EX91" s="7">
        <f t="shared" si="120"/>
        <v>12</v>
      </c>
      <c r="EY91" s="7">
        <f t="shared" si="120"/>
        <v>13</v>
      </c>
      <c r="EZ91" s="7">
        <f t="shared" si="120"/>
        <v>14</v>
      </c>
      <c r="FA91" s="7">
        <f t="shared" si="120"/>
        <v>15</v>
      </c>
      <c r="FB91" s="7">
        <f t="shared" si="120"/>
        <v>16</v>
      </c>
      <c r="FC91" s="7">
        <f t="shared" si="120"/>
        <v>17</v>
      </c>
      <c r="FD91" s="7">
        <f t="shared" si="120"/>
        <v>18</v>
      </c>
      <c r="FE91" s="7">
        <f t="shared" si="120"/>
        <v>19</v>
      </c>
      <c r="FF91" s="7">
        <f t="shared" si="120"/>
        <v>20</v>
      </c>
      <c r="FG91" s="7">
        <f t="shared" si="120"/>
        <v>21</v>
      </c>
      <c r="FH91" s="7">
        <f t="shared" si="120"/>
        <v>22</v>
      </c>
      <c r="FI91" s="7">
        <f t="shared" si="120"/>
        <v>23</v>
      </c>
      <c r="FJ91" s="7">
        <f t="shared" si="120"/>
        <v>24</v>
      </c>
      <c r="FK91" s="7">
        <f t="shared" si="120"/>
        <v>25</v>
      </c>
      <c r="FL91" s="7">
        <f t="shared" si="120"/>
        <v>26</v>
      </c>
      <c r="FM91" s="7">
        <f t="shared" si="120"/>
        <v>27</v>
      </c>
      <c r="FN91" s="7">
        <f t="shared" si="120"/>
        <v>28</v>
      </c>
      <c r="FO91" s="7">
        <f t="shared" si="120"/>
        <v>29</v>
      </c>
      <c r="FP91" s="7">
        <f t="shared" si="120"/>
        <v>30</v>
      </c>
      <c r="FQ91" s="7">
        <f t="shared" si="120"/>
        <v>31</v>
      </c>
      <c r="FR91" s="7">
        <f t="shared" si="120"/>
        <v>32</v>
      </c>
      <c r="FS91" s="7">
        <f t="shared" si="120"/>
        <v>33</v>
      </c>
      <c r="FT91" s="7">
        <f t="shared" si="120"/>
        <v>34</v>
      </c>
      <c r="FU91" s="7">
        <f t="shared" si="120"/>
        <v>35</v>
      </c>
      <c r="FV91" s="7">
        <f t="shared" si="120"/>
        <v>36</v>
      </c>
      <c r="FW91" s="7">
        <f t="shared" si="120"/>
        <v>37</v>
      </c>
      <c r="FX91" s="7">
        <f t="shared" si="120"/>
        <v>38</v>
      </c>
      <c r="FY91" s="7">
        <f t="shared" si="120"/>
        <v>39</v>
      </c>
      <c r="FZ91" s="7">
        <f t="shared" si="120"/>
        <v>40</v>
      </c>
      <c r="GA91" s="7">
        <f t="shared" si="120"/>
        <v>41</v>
      </c>
      <c r="GB91" s="7">
        <f t="shared" si="120"/>
        <v>42</v>
      </c>
      <c r="GC91" s="7">
        <f t="shared" si="120"/>
        <v>43</v>
      </c>
      <c r="GD91" s="7">
        <f t="shared" si="120"/>
        <v>44</v>
      </c>
      <c r="GE91" s="7">
        <f t="shared" si="120"/>
        <v>45</v>
      </c>
      <c r="GF91" s="7">
        <f t="shared" si="120"/>
        <v>46</v>
      </c>
      <c r="GG91" s="7">
        <f t="shared" si="120"/>
        <v>47</v>
      </c>
      <c r="GH91" s="7">
        <f t="shared" si="120"/>
        <v>48</v>
      </c>
      <c r="GI91" s="7">
        <f t="shared" si="120"/>
        <v>49</v>
      </c>
      <c r="GJ91" s="7">
        <f t="shared" si="120"/>
        <v>50</v>
      </c>
      <c r="GK91" s="7">
        <f t="shared" si="120"/>
        <v>51</v>
      </c>
      <c r="GL91" s="7">
        <f t="shared" si="120"/>
        <v>52</v>
      </c>
      <c r="GM91" s="7">
        <f t="shared" si="120"/>
        <v>53</v>
      </c>
      <c r="GN91" s="7">
        <f t="shared" si="120"/>
        <v>54</v>
      </c>
      <c r="GO91" s="7">
        <f t="shared" si="120"/>
        <v>55</v>
      </c>
      <c r="GP91" s="7">
        <f t="shared" ref="GP91:IA91" si="121">GO91+1</f>
        <v>56</v>
      </c>
      <c r="GQ91" s="7">
        <f t="shared" si="121"/>
        <v>57</v>
      </c>
      <c r="GR91" s="7">
        <f t="shared" si="121"/>
        <v>58</v>
      </c>
      <c r="GS91" s="7">
        <f t="shared" si="121"/>
        <v>59</v>
      </c>
      <c r="GT91" s="7">
        <f t="shared" si="121"/>
        <v>60</v>
      </c>
      <c r="GU91" s="7">
        <f t="shared" si="121"/>
        <v>61</v>
      </c>
      <c r="GV91" s="7">
        <f t="shared" si="121"/>
        <v>62</v>
      </c>
      <c r="GW91" s="7">
        <f t="shared" si="121"/>
        <v>63</v>
      </c>
      <c r="GX91" s="7">
        <f t="shared" si="121"/>
        <v>64</v>
      </c>
      <c r="GY91" s="7">
        <f t="shared" si="121"/>
        <v>65</v>
      </c>
      <c r="GZ91" s="7">
        <f t="shared" si="121"/>
        <v>66</v>
      </c>
      <c r="HA91" s="7">
        <f t="shared" si="121"/>
        <v>67</v>
      </c>
      <c r="HB91" s="7">
        <f t="shared" si="121"/>
        <v>68</v>
      </c>
      <c r="HC91" s="7">
        <f t="shared" si="121"/>
        <v>69</v>
      </c>
      <c r="HD91" s="7">
        <f t="shared" si="121"/>
        <v>70</v>
      </c>
      <c r="HE91" s="7">
        <f t="shared" si="121"/>
        <v>71</v>
      </c>
      <c r="HF91" s="7">
        <f t="shared" si="121"/>
        <v>72</v>
      </c>
      <c r="HG91" s="7">
        <f t="shared" si="121"/>
        <v>73</v>
      </c>
      <c r="HH91" s="7">
        <f t="shared" si="121"/>
        <v>74</v>
      </c>
      <c r="HI91" s="7">
        <f t="shared" si="121"/>
        <v>75</v>
      </c>
      <c r="HJ91" s="7">
        <f t="shared" si="121"/>
        <v>76</v>
      </c>
      <c r="HK91" s="7">
        <f t="shared" si="121"/>
        <v>77</v>
      </c>
      <c r="HL91" s="7">
        <f t="shared" si="121"/>
        <v>78</v>
      </c>
      <c r="HM91" s="7">
        <f t="shared" si="121"/>
        <v>79</v>
      </c>
      <c r="HN91" s="7">
        <f t="shared" si="121"/>
        <v>80</v>
      </c>
      <c r="HO91" s="7">
        <f t="shared" si="121"/>
        <v>81</v>
      </c>
      <c r="HP91" s="7">
        <f t="shared" si="121"/>
        <v>82</v>
      </c>
      <c r="HQ91" s="7">
        <f t="shared" si="121"/>
        <v>83</v>
      </c>
      <c r="HR91" s="7">
        <f t="shared" si="121"/>
        <v>84</v>
      </c>
      <c r="HS91" s="7">
        <f t="shared" si="121"/>
        <v>85</v>
      </c>
      <c r="HT91" s="7">
        <f t="shared" si="121"/>
        <v>86</v>
      </c>
      <c r="HU91" s="7">
        <f t="shared" si="121"/>
        <v>87</v>
      </c>
      <c r="HV91" s="7">
        <f t="shared" si="121"/>
        <v>88</v>
      </c>
      <c r="HW91" s="7">
        <f t="shared" si="121"/>
        <v>89</v>
      </c>
      <c r="HX91" s="7">
        <f t="shared" si="121"/>
        <v>90</v>
      </c>
      <c r="HY91" s="7">
        <f t="shared" si="121"/>
        <v>91</v>
      </c>
      <c r="HZ91" s="7">
        <f t="shared" si="121"/>
        <v>92</v>
      </c>
      <c r="IA91" s="7">
        <f t="shared" si="121"/>
        <v>93</v>
      </c>
    </row>
    <row r="92" spans="1:237" ht="11.25" x14ac:dyDescent="0.2">
      <c r="G92" s="7"/>
      <c r="H92" s="7"/>
      <c r="I92" s="7"/>
      <c r="J92" s="7"/>
      <c r="K92" s="7"/>
      <c r="L92" s="7">
        <f t="shared" si="118"/>
        <v>1</v>
      </c>
      <c r="M92" s="7">
        <f t="shared" si="118"/>
        <v>2</v>
      </c>
      <c r="N92" s="7">
        <f t="shared" si="118"/>
        <v>3</v>
      </c>
      <c r="O92" s="7">
        <f t="shared" si="118"/>
        <v>4</v>
      </c>
      <c r="P92" s="7">
        <f t="shared" si="118"/>
        <v>5</v>
      </c>
      <c r="Q92" s="7">
        <f t="shared" ref="Q92" si="122">P92+1</f>
        <v>6</v>
      </c>
      <c r="R92" s="7">
        <f t="shared" ref="R92" si="123">Q92+1</f>
        <v>7</v>
      </c>
      <c r="S92" s="7">
        <f t="shared" ref="S92" si="124">R92+1</f>
        <v>8</v>
      </c>
      <c r="T92" s="7">
        <f t="shared" ref="T92" si="125">S92+1</f>
        <v>9</v>
      </c>
      <c r="U92" s="7">
        <f t="shared" ref="U92" si="126">T92+1</f>
        <v>10</v>
      </c>
      <c r="V92" s="7">
        <f t="shared" ref="V92" si="127">U92+1</f>
        <v>11</v>
      </c>
      <c r="W92" s="7">
        <f t="shared" ref="W92" si="128">V92+1</f>
        <v>12</v>
      </c>
      <c r="X92" s="7">
        <f t="shared" ref="X92" si="129">W92+1</f>
        <v>13</v>
      </c>
      <c r="Y92" s="7">
        <f t="shared" ref="Y92" si="130">X92+1</f>
        <v>14</v>
      </c>
      <c r="Z92" s="7">
        <f t="shared" ref="Z92" si="131">Y92+1</f>
        <v>15</v>
      </c>
      <c r="AA92" s="7">
        <f t="shared" ref="AA92" si="132">Z92+1</f>
        <v>16</v>
      </c>
      <c r="AB92" s="7">
        <f t="shared" ref="AB92" si="133">AA92+1</f>
        <v>17</v>
      </c>
      <c r="AC92" s="7">
        <f t="shared" ref="AC92" si="134">AB92+1</f>
        <v>18</v>
      </c>
      <c r="AD92" s="7">
        <f t="shared" ref="AD92" si="135">AC92+1</f>
        <v>19</v>
      </c>
      <c r="AE92" s="7">
        <f t="shared" ref="AE92" si="136">AD92+1</f>
        <v>20</v>
      </c>
      <c r="AF92" s="7">
        <f t="shared" ref="AF92" si="137">AE92+1</f>
        <v>21</v>
      </c>
      <c r="AG92" s="7">
        <f t="shared" ref="AG92" si="138">AF92+1</f>
        <v>22</v>
      </c>
      <c r="AH92" s="7">
        <f t="shared" ref="AH92" si="139">AG92+1</f>
        <v>23</v>
      </c>
      <c r="AI92" s="7">
        <f t="shared" ref="AI92" si="140">AH92+1</f>
        <v>24</v>
      </c>
      <c r="AJ92" s="7">
        <f t="shared" ref="AJ92" si="141">AI92+1</f>
        <v>25</v>
      </c>
      <c r="AK92" s="7">
        <f t="shared" ref="AK92" si="142">AJ92+1</f>
        <v>26</v>
      </c>
      <c r="AL92" s="7">
        <f t="shared" ref="AL92" si="143">AK92+1</f>
        <v>27</v>
      </c>
      <c r="AM92" s="7">
        <f t="shared" ref="AM92" si="144">AL92+1</f>
        <v>28</v>
      </c>
      <c r="AN92" s="7">
        <f t="shared" ref="AN92" si="145">AM92+1</f>
        <v>29</v>
      </c>
      <c r="AO92" s="7">
        <f t="shared" ref="AO92" si="146">AN92+1</f>
        <v>30</v>
      </c>
      <c r="AP92" s="7">
        <f t="shared" ref="AP92" si="147">AO92+1</f>
        <v>31</v>
      </c>
      <c r="AQ92" s="7">
        <f t="shared" ref="AQ92" si="148">AP92+1</f>
        <v>32</v>
      </c>
      <c r="AR92" s="7">
        <f t="shared" ref="AR92" si="149">AQ92+1</f>
        <v>33</v>
      </c>
      <c r="AS92" s="7">
        <f t="shared" ref="AS92" si="150">AR92+1</f>
        <v>34</v>
      </c>
      <c r="AT92" s="7">
        <f t="shared" ref="AT92" si="151">AS92+1</f>
        <v>35</v>
      </c>
      <c r="AU92" s="7">
        <f t="shared" ref="AU92" si="152">AT92+1</f>
        <v>36</v>
      </c>
      <c r="AV92" s="7">
        <f t="shared" ref="AV92" si="153">AU92+1</f>
        <v>37</v>
      </c>
      <c r="AW92" s="7">
        <f t="shared" ref="AW92" si="154">AV92+1</f>
        <v>38</v>
      </c>
      <c r="AX92" s="7">
        <f t="shared" ref="AX92" si="155">AW92+1</f>
        <v>39</v>
      </c>
      <c r="AY92" s="7">
        <f t="shared" ref="AY92" si="156">AX92+1</f>
        <v>40</v>
      </c>
      <c r="AZ92" s="7">
        <f t="shared" ref="AZ92" si="157">AY92+1</f>
        <v>41</v>
      </c>
      <c r="BA92" s="7">
        <f t="shared" ref="BA92" si="158">AZ92+1</f>
        <v>42</v>
      </c>
      <c r="BB92" s="7">
        <f t="shared" ref="BB92" si="159">BA92+1</f>
        <v>43</v>
      </c>
      <c r="BC92" s="7">
        <f t="shared" ref="BC92" si="160">BB92+1</f>
        <v>44</v>
      </c>
      <c r="BD92" s="7">
        <f t="shared" ref="BD92" si="161">BC92+1</f>
        <v>45</v>
      </c>
      <c r="BE92" s="7">
        <f t="shared" ref="BE92" si="162">BD92+1</f>
        <v>46</v>
      </c>
      <c r="BF92" s="7">
        <f t="shared" ref="BF92" si="163">BE92+1</f>
        <v>47</v>
      </c>
      <c r="BG92" s="7">
        <f t="shared" ref="BG92" si="164">BF92+1</f>
        <v>48</v>
      </c>
      <c r="BH92" s="7">
        <f t="shared" ref="BH92" si="165">BG92+1</f>
        <v>49</v>
      </c>
      <c r="BI92" s="7">
        <f t="shared" ref="BI92" si="166">BH92+1</f>
        <v>50</v>
      </c>
      <c r="BJ92" s="7">
        <f t="shared" ref="BJ92" si="167">BI92+1</f>
        <v>51</v>
      </c>
      <c r="BK92" s="7">
        <f t="shared" ref="BK92" si="168">BJ92+1</f>
        <v>52</v>
      </c>
      <c r="BL92" s="7">
        <f t="shared" ref="BL92" si="169">BK92+1</f>
        <v>53</v>
      </c>
      <c r="BM92" s="7">
        <f t="shared" ref="BM92" si="170">BL92+1</f>
        <v>54</v>
      </c>
      <c r="BN92" s="7">
        <f t="shared" ref="BN92" si="171">BM92+1</f>
        <v>55</v>
      </c>
      <c r="BO92" s="7">
        <f t="shared" ref="BO92" si="172">BN92+1</f>
        <v>56</v>
      </c>
      <c r="BP92" s="7">
        <f t="shared" ref="BP92" si="173">BO92+1</f>
        <v>57</v>
      </c>
      <c r="BQ92" s="7">
        <f t="shared" ref="BQ92" si="174">BP92+1</f>
        <v>58</v>
      </c>
      <c r="BR92" s="7">
        <f t="shared" ref="BR92" si="175">BQ92+1</f>
        <v>59</v>
      </c>
      <c r="BS92" s="7">
        <f t="shared" ref="BS92" si="176">BR92+1</f>
        <v>60</v>
      </c>
      <c r="BT92" s="7">
        <f t="shared" ref="BT92" si="177">BS92+1</f>
        <v>61</v>
      </c>
      <c r="BU92" s="7">
        <f t="shared" ref="BU92" si="178">BT92+1</f>
        <v>62</v>
      </c>
      <c r="BV92" s="7">
        <f t="shared" ref="BV92" si="179">BU92+1</f>
        <v>63</v>
      </c>
      <c r="BW92" s="7">
        <f t="shared" ref="BW92" si="180">BV92+1</f>
        <v>64</v>
      </c>
      <c r="BX92" s="7">
        <f t="shared" ref="BX92" si="181">BW92+1</f>
        <v>65</v>
      </c>
      <c r="BY92" s="7">
        <f t="shared" ref="BY92" si="182">BX92+1</f>
        <v>66</v>
      </c>
      <c r="BZ92" s="7">
        <f t="shared" ref="BZ92" si="183">BY92+1</f>
        <v>67</v>
      </c>
      <c r="CA92" s="7">
        <f t="shared" ref="CA92" si="184">BZ92+1</f>
        <v>68</v>
      </c>
      <c r="CB92" s="7">
        <f t="shared" ref="CB92" si="185">CA92+1</f>
        <v>69</v>
      </c>
      <c r="CC92" s="7">
        <f t="shared" ref="CC92" si="186">CB92+1</f>
        <v>70</v>
      </c>
      <c r="CD92" s="7">
        <f t="shared" ref="CD92" si="187">CC92+1</f>
        <v>71</v>
      </c>
      <c r="CE92" s="7">
        <f t="shared" ref="CE92" si="188">CD92+1</f>
        <v>72</v>
      </c>
      <c r="CF92" s="7">
        <f t="shared" ref="CF92" si="189">CE92+1</f>
        <v>73</v>
      </c>
      <c r="CG92" s="7">
        <f t="shared" ref="CG92" si="190">CF92+1</f>
        <v>74</v>
      </c>
      <c r="CH92" s="7">
        <f t="shared" ref="CH92" si="191">CG92+1</f>
        <v>75</v>
      </c>
      <c r="CI92" s="7">
        <f t="shared" ref="CI92" si="192">CH92+1</f>
        <v>76</v>
      </c>
      <c r="CJ92" s="7">
        <f t="shared" ref="CJ92" si="193">CI92+1</f>
        <v>77</v>
      </c>
      <c r="CK92" s="7">
        <f t="shared" ref="CK92" si="194">CJ92+1</f>
        <v>78</v>
      </c>
      <c r="CL92" s="7">
        <f t="shared" ref="CL92" si="195">CK92+1</f>
        <v>79</v>
      </c>
      <c r="CM92" s="7">
        <f t="shared" ref="CM92" si="196">CL92+1</f>
        <v>80</v>
      </c>
      <c r="CN92" s="7">
        <f t="shared" ref="CN92" si="197">CM92+1</f>
        <v>81</v>
      </c>
      <c r="CO92" s="7">
        <f t="shared" ref="CO92" si="198">CN92+1</f>
        <v>82</v>
      </c>
      <c r="CP92" s="7">
        <f t="shared" ref="CP92" si="199">CO92+1</f>
        <v>83</v>
      </c>
      <c r="CQ92" s="7">
        <f t="shared" ref="CQ92" si="200">CP92+1</f>
        <v>84</v>
      </c>
      <c r="CR92" s="7">
        <f t="shared" ref="CR92" si="201">CQ92+1</f>
        <v>85</v>
      </c>
      <c r="CS92" s="7">
        <f t="shared" ref="CS92" si="202">CR92+1</f>
        <v>86</v>
      </c>
      <c r="CT92" s="7">
        <f t="shared" ref="CT92" si="203">CS92+1</f>
        <v>87</v>
      </c>
      <c r="CU92" s="7">
        <f t="shared" ref="CU92" si="204">CT92+1</f>
        <v>88</v>
      </c>
      <c r="CV92" s="7">
        <f t="shared" ref="CV92" si="205">CU92+1</f>
        <v>89</v>
      </c>
      <c r="CW92" s="7">
        <f t="shared" ref="CW92" si="206">CV92+1</f>
        <v>90</v>
      </c>
      <c r="CX92" s="7">
        <f t="shared" ref="CX92" si="207">CW92+1</f>
        <v>91</v>
      </c>
      <c r="CY92" s="7">
        <f t="shared" ref="CY92" si="208">CX92+1</f>
        <v>92</v>
      </c>
      <c r="CZ92" s="7">
        <f t="shared" ref="CZ92" si="209">CY92+1</f>
        <v>93</v>
      </c>
      <c r="DA92" s="7">
        <f t="shared" ref="DA92" si="210">CZ92+1</f>
        <v>94</v>
      </c>
      <c r="DB92" s="7">
        <f t="shared" ref="DB92" si="211">DA92+1</f>
        <v>95</v>
      </c>
      <c r="DC92" s="7">
        <f t="shared" ref="DC92" si="212">DB92+1</f>
        <v>96</v>
      </c>
      <c r="DD92" s="7">
        <f t="shared" ref="DD92" si="213">DC92+1</f>
        <v>97</v>
      </c>
      <c r="DE92" s="7">
        <f t="shared" ref="DE92" si="214">DD92+1</f>
        <v>98</v>
      </c>
      <c r="DF92" s="7">
        <f t="shared" ref="DF92" si="215">DE92+1</f>
        <v>99</v>
      </c>
      <c r="DG92" s="7">
        <f t="shared" ref="DG92" si="216">DF92+1</f>
        <v>100</v>
      </c>
      <c r="DH92" s="7">
        <f t="shared" ref="DH92" si="217">DG92+1</f>
        <v>101</v>
      </c>
      <c r="DI92" s="7">
        <f t="shared" ref="DI92" si="218">DH92+1</f>
        <v>102</v>
      </c>
      <c r="DJ92" s="7">
        <f t="shared" ref="DJ92" si="219">DI92+1</f>
        <v>103</v>
      </c>
      <c r="DK92" s="7">
        <f t="shared" ref="DK92" si="220">DJ92+1</f>
        <v>104</v>
      </c>
      <c r="DL92" s="7">
        <f t="shared" ref="DL92" si="221">DK92+1</f>
        <v>105</v>
      </c>
      <c r="DM92" s="7">
        <f t="shared" ref="DM92" si="222">DL92+1</f>
        <v>106</v>
      </c>
      <c r="DN92" s="7">
        <f t="shared" ref="DN92" si="223">DM92+1</f>
        <v>107</v>
      </c>
      <c r="DO92" s="7">
        <f t="shared" ref="DO92" si="224">DN92+1</f>
        <v>108</v>
      </c>
      <c r="DP92" s="7">
        <f t="shared" ref="DP92" si="225">DO92+1</f>
        <v>109</v>
      </c>
      <c r="DQ92" s="7">
        <f t="shared" ref="DQ92" si="226">DP92+1</f>
        <v>110</v>
      </c>
      <c r="DR92" s="7">
        <f t="shared" ref="DR92" si="227">DQ92+1</f>
        <v>111</v>
      </c>
      <c r="DS92" s="7">
        <f t="shared" ref="DS92" si="228">DR92+1</f>
        <v>112</v>
      </c>
      <c r="DT92" s="7">
        <f t="shared" ref="DT92" si="229">DS92+1</f>
        <v>113</v>
      </c>
      <c r="DU92" s="7">
        <f t="shared" ref="DU92" si="230">DT92+1</f>
        <v>114</v>
      </c>
      <c r="DV92" s="7">
        <f t="shared" ref="DV92" si="231">DU92+1</f>
        <v>115</v>
      </c>
      <c r="DW92" s="7">
        <f t="shared" ref="DW92" si="232">DV92+1</f>
        <v>116</v>
      </c>
      <c r="DX92" s="7">
        <f t="shared" ref="DX92" si="233">DW92+1</f>
        <v>117</v>
      </c>
      <c r="DY92" s="7">
        <f t="shared" ref="DY92" si="234">DX92+1</f>
        <v>118</v>
      </c>
      <c r="DZ92" s="7">
        <f t="shared" ref="DZ92" si="235">DY92+1</f>
        <v>119</v>
      </c>
      <c r="EA92" s="7">
        <f t="shared" ref="EA92" si="236">DZ92+1</f>
        <v>120</v>
      </c>
      <c r="EB92" s="7">
        <f t="shared" ref="EB92" si="237">EA92+1</f>
        <v>121</v>
      </c>
      <c r="EC92" s="7">
        <f t="shared" ref="EC92" si="238">EB92+1</f>
        <v>122</v>
      </c>
      <c r="ED92" s="7">
        <f t="shared" ref="ED92" si="239">EC92+1</f>
        <v>123</v>
      </c>
      <c r="EE92" s="7">
        <f t="shared" ref="EE92" si="240">ED92+1</f>
        <v>124</v>
      </c>
      <c r="EF92" s="7">
        <f t="shared" ref="EF92" si="241">EE92+1</f>
        <v>125</v>
      </c>
      <c r="EG92" s="7">
        <f t="shared" ref="EG92" si="242">EF92+1</f>
        <v>126</v>
      </c>
      <c r="EH92" s="7">
        <f t="shared" ref="EH92" si="243">EG92+1</f>
        <v>127</v>
      </c>
      <c r="EI92" s="7">
        <f t="shared" ref="EI92" si="244">EH92+1</f>
        <v>128</v>
      </c>
      <c r="EJ92" s="7">
        <f t="shared" ref="EJ92" si="245">EI92+1</f>
        <v>129</v>
      </c>
      <c r="EK92" s="7">
        <f t="shared" ref="EK92" si="246">EJ92+1</f>
        <v>130</v>
      </c>
      <c r="EL92" s="7">
        <f t="shared" ref="EL92" si="247">EK92+1</f>
        <v>131</v>
      </c>
      <c r="EM92" s="7">
        <f t="shared" si="119"/>
        <v>132</v>
      </c>
      <c r="EN92" s="7">
        <f t="shared" si="119"/>
        <v>133</v>
      </c>
      <c r="EO92" s="7">
        <f t="shared" si="119"/>
        <v>134</v>
      </c>
      <c r="EP92" s="7">
        <f t="shared" si="119"/>
        <v>135</v>
      </c>
      <c r="EQ92" s="7">
        <f t="shared" si="119"/>
        <v>136</v>
      </c>
      <c r="ER92" s="7">
        <f t="shared" si="120"/>
        <v>137</v>
      </c>
      <c r="ES92" s="7">
        <f t="shared" si="120"/>
        <v>138</v>
      </c>
      <c r="ET92" s="7">
        <f t="shared" si="120"/>
        <v>139</v>
      </c>
      <c r="EU92" s="7">
        <f t="shared" si="120"/>
        <v>140</v>
      </c>
      <c r="EV92" s="7">
        <f t="shared" si="120"/>
        <v>141</v>
      </c>
      <c r="EW92" s="7">
        <f t="shared" si="120"/>
        <v>142</v>
      </c>
      <c r="EX92" s="7">
        <f t="shared" si="120"/>
        <v>143</v>
      </c>
      <c r="EY92" s="7">
        <f t="shared" si="120"/>
        <v>144</v>
      </c>
      <c r="EZ92" s="7">
        <f t="shared" si="120"/>
        <v>145</v>
      </c>
      <c r="FA92" s="7">
        <f t="shared" si="120"/>
        <v>146</v>
      </c>
      <c r="FB92" s="7">
        <f t="shared" si="120"/>
        <v>147</v>
      </c>
      <c r="FC92" s="7">
        <f t="shared" si="120"/>
        <v>148</v>
      </c>
      <c r="FD92" s="7">
        <f t="shared" si="120"/>
        <v>149</v>
      </c>
      <c r="FE92" s="7">
        <f t="shared" si="120"/>
        <v>150</v>
      </c>
      <c r="FF92" s="7">
        <f t="shared" si="120"/>
        <v>151</v>
      </c>
      <c r="FG92" s="7">
        <f t="shared" si="120"/>
        <v>152</v>
      </c>
      <c r="FH92" s="7">
        <f t="shared" si="120"/>
        <v>153</v>
      </c>
      <c r="FI92" s="7">
        <f t="shared" si="120"/>
        <v>154</v>
      </c>
      <c r="FJ92" s="7">
        <f t="shared" si="120"/>
        <v>155</v>
      </c>
      <c r="FK92" s="7">
        <f t="shared" si="120"/>
        <v>156</v>
      </c>
      <c r="FL92" s="7">
        <f t="shared" si="120"/>
        <v>157</v>
      </c>
      <c r="FM92" s="7">
        <f t="shared" si="120"/>
        <v>158</v>
      </c>
      <c r="FN92" s="7">
        <f t="shared" si="120"/>
        <v>159</v>
      </c>
      <c r="FO92" s="7">
        <f t="shared" si="120"/>
        <v>160</v>
      </c>
      <c r="FP92" s="7">
        <f t="shared" si="120"/>
        <v>161</v>
      </c>
      <c r="FQ92" s="7">
        <f t="shared" si="120"/>
        <v>162</v>
      </c>
      <c r="FR92" s="7">
        <f t="shared" si="120"/>
        <v>163</v>
      </c>
      <c r="FS92" s="7">
        <f t="shared" si="120"/>
        <v>164</v>
      </c>
      <c r="FT92" s="7">
        <f t="shared" si="120"/>
        <v>165</v>
      </c>
      <c r="FU92" s="7">
        <f t="shared" si="120"/>
        <v>166</v>
      </c>
      <c r="FV92" s="7">
        <f t="shared" si="120"/>
        <v>167</v>
      </c>
      <c r="FW92" s="7">
        <f t="shared" si="120"/>
        <v>168</v>
      </c>
      <c r="FX92" s="7">
        <f t="shared" si="120"/>
        <v>169</v>
      </c>
      <c r="FY92" s="7">
        <f t="shared" si="120"/>
        <v>170</v>
      </c>
    </row>
    <row r="93" spans="1:237" x14ac:dyDescent="0.25">
      <c r="N93"/>
      <c r="P93" s="84"/>
    </row>
    <row r="94" spans="1:237" x14ac:dyDescent="0.25">
      <c r="P94" s="84"/>
    </row>
    <row r="95" spans="1:237" x14ac:dyDescent="0.25">
      <c r="P95" s="84"/>
    </row>
    <row r="96" spans="1:237" x14ac:dyDescent="0.25">
      <c r="P96" s="84"/>
    </row>
    <row r="97" spans="16:16" x14ac:dyDescent="0.25">
      <c r="P97" s="84"/>
    </row>
    <row r="98" spans="16:16" x14ac:dyDescent="0.25">
      <c r="P98" s="84"/>
    </row>
    <row r="99" spans="16:16" x14ac:dyDescent="0.25">
      <c r="P99" s="84"/>
    </row>
    <row r="100" spans="16:16" x14ac:dyDescent="0.25">
      <c r="P100" s="84"/>
    </row>
    <row r="101" spans="16:16" x14ac:dyDescent="0.25">
      <c r="P101" s="84"/>
    </row>
    <row r="102" spans="16:16" x14ac:dyDescent="0.25">
      <c r="P102" s="84"/>
    </row>
    <row r="103" spans="16:16" x14ac:dyDescent="0.25">
      <c r="P103" s="84"/>
    </row>
    <row r="104" spans="16:16" x14ac:dyDescent="0.25">
      <c r="P104" s="84"/>
    </row>
    <row r="105" spans="16:16" x14ac:dyDescent="0.25">
      <c r="P105" s="84"/>
    </row>
    <row r="106" spans="16:16" x14ac:dyDescent="0.25">
      <c r="P106" s="84"/>
    </row>
    <row r="107" spans="16:16" x14ac:dyDescent="0.25">
      <c r="P107" s="84"/>
    </row>
    <row r="108" spans="16:16" x14ac:dyDescent="0.25">
      <c r="P108" s="84"/>
    </row>
    <row r="109" spans="16:16" x14ac:dyDescent="0.25">
      <c r="P109" s="84"/>
    </row>
    <row r="110" spans="16:16" x14ac:dyDescent="0.25">
      <c r="P110" s="84"/>
    </row>
    <row r="111" spans="16:16" x14ac:dyDescent="0.25">
      <c r="P111" s="84"/>
    </row>
    <row r="112" spans="16:16" x14ac:dyDescent="0.25">
      <c r="P112" s="84"/>
    </row>
    <row r="113" spans="16:16" x14ac:dyDescent="0.25">
      <c r="P113" s="84"/>
    </row>
    <row r="114" spans="16:16" x14ac:dyDescent="0.25">
      <c r="P114" s="84"/>
    </row>
    <row r="115" spans="16:16" x14ac:dyDescent="0.25">
      <c r="P115" s="84"/>
    </row>
    <row r="116" spans="16:16" x14ac:dyDescent="0.25">
      <c r="P116" s="84"/>
    </row>
    <row r="117" spans="16:16" x14ac:dyDescent="0.25">
      <c r="P117" s="84"/>
    </row>
    <row r="118" spans="16:16" x14ac:dyDescent="0.25">
      <c r="P118" s="84"/>
    </row>
    <row r="119" spans="16:16" x14ac:dyDescent="0.25">
      <c r="P119" s="84"/>
    </row>
    <row r="120" spans="16:16" x14ac:dyDescent="0.25">
      <c r="P120" s="84"/>
    </row>
    <row r="121" spans="16:16" x14ac:dyDescent="0.25">
      <c r="P121" s="84"/>
    </row>
    <row r="122" spans="16:16" x14ac:dyDescent="0.25">
      <c r="P122" s="84"/>
    </row>
    <row r="123" spans="16:16" x14ac:dyDescent="0.25">
      <c r="P123" s="84"/>
    </row>
    <row r="124" spans="16:16" x14ac:dyDescent="0.25">
      <c r="P124" s="84"/>
    </row>
    <row r="125" spans="16:16" x14ac:dyDescent="0.25">
      <c r="P125" s="84"/>
    </row>
    <row r="126" spans="16:16" x14ac:dyDescent="0.25">
      <c r="P126" s="84"/>
    </row>
    <row r="127" spans="16:16" x14ac:dyDescent="0.25">
      <c r="P127" s="84"/>
    </row>
    <row r="128" spans="16:16" x14ac:dyDescent="0.25">
      <c r="P128" s="84"/>
    </row>
    <row r="129" spans="16:16" x14ac:dyDescent="0.25">
      <c r="P129" s="84"/>
    </row>
    <row r="130" spans="16:16" x14ac:dyDescent="0.25">
      <c r="P130" s="84"/>
    </row>
    <row r="131" spans="16:16" x14ac:dyDescent="0.25">
      <c r="P131" s="84"/>
    </row>
    <row r="132" spans="16:16" x14ac:dyDescent="0.25">
      <c r="P132" s="84"/>
    </row>
    <row r="133" spans="16:16" x14ac:dyDescent="0.25">
      <c r="P133" s="84"/>
    </row>
    <row r="134" spans="16:16" x14ac:dyDescent="0.25">
      <c r="P134" s="84"/>
    </row>
    <row r="135" spans="16:16" x14ac:dyDescent="0.25">
      <c r="P135" s="84"/>
    </row>
    <row r="136" spans="16:16" x14ac:dyDescent="0.25">
      <c r="P136" s="84"/>
    </row>
    <row r="137" spans="16:16" x14ac:dyDescent="0.25">
      <c r="P137" s="84"/>
    </row>
    <row r="138" spans="16:16" x14ac:dyDescent="0.25">
      <c r="P138" s="84"/>
    </row>
    <row r="139" spans="16:16" x14ac:dyDescent="0.25">
      <c r="P139" s="84"/>
    </row>
    <row r="140" spans="16:16" x14ac:dyDescent="0.25">
      <c r="P140" s="84"/>
    </row>
    <row r="141" spans="16:16" x14ac:dyDescent="0.25">
      <c r="P141" s="84"/>
    </row>
    <row r="142" spans="16:16" x14ac:dyDescent="0.25">
      <c r="P142" s="84"/>
    </row>
    <row r="143" spans="16:16" x14ac:dyDescent="0.25">
      <c r="P143" s="84"/>
    </row>
    <row r="144" spans="16:16" x14ac:dyDescent="0.25">
      <c r="P144" s="84"/>
    </row>
    <row r="145" spans="16:16" x14ac:dyDescent="0.25">
      <c r="P145" s="84"/>
    </row>
    <row r="146" spans="16:16" x14ac:dyDescent="0.25">
      <c r="P146" s="84"/>
    </row>
    <row r="147" spans="16:16" x14ac:dyDescent="0.25">
      <c r="P147" s="84"/>
    </row>
    <row r="148" spans="16:16" x14ac:dyDescent="0.25">
      <c r="P148" s="84"/>
    </row>
    <row r="149" spans="16:16" x14ac:dyDescent="0.25">
      <c r="P149" s="84"/>
    </row>
    <row r="150" spans="16:16" x14ac:dyDescent="0.25">
      <c r="P150" s="84"/>
    </row>
    <row r="151" spans="16:16" x14ac:dyDescent="0.25">
      <c r="P151" s="84"/>
    </row>
    <row r="152" spans="16:16" x14ac:dyDescent="0.25">
      <c r="P152" s="84"/>
    </row>
    <row r="153" spans="16:16" x14ac:dyDescent="0.25">
      <c r="P15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90">
    <cfRule type="cellIs" dxfId="256" priority="8119" operator="greaterThan">
      <formula>0</formula>
    </cfRule>
  </conditionalFormatting>
  <conditionalFormatting sqref="J6:J90">
    <cfRule type="cellIs" dxfId="255" priority="1" operator="equal">
      <formula>"CRECHE"</formula>
    </cfRule>
    <cfRule type="cellIs" dxfId="25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90 EJ6:EJ90 EH6:EH90 EF6:EF90 ED6:ED90 EB6:EB90 DZ6:DZ90 DX6:DX90 DV6:DV90 DT6:DT90 DR6:DR90 DP6:DP90 DN6:DN90 DL6:DL90 DJ6:DJ90 DH6:DH90 DF6:DF90 DD6:DD90 DB6:DB90 CZ6:CZ90 CX6:CX90 CV6:CV90 CT6:CT90 CR6:CR90 CP6:CP90 CN6:CN90 CL6:CL90 CJ6:CJ90 CH6:CH90 CF6:CF90 CD6:CD90 CB6:CB90 BZ6:BZ90 BX6:BX90 BV6:BV90 BT6:BT90 BR6:BR90 BP6:BP90 BN6:BN90 BL6:BL90 BJ6:BJ90 BH6:BH90 BF6:BF90 BD6:BD90 BB6:BB90 AZ6:AZ90 AX6:AX90 AV6:AV90 AT6:AT90 AR6:AR90 AP6:AP90 AN6:AN90 AL6:AL90 AJ6:AJ90 AH6:AH90 AF6:AF90 AD6:AD90 AB6:AB90 Z6:Z90 X6:X90 V6:V90 T6:T9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94"/>
  <sheetViews>
    <sheetView showGridLines="0" topLeftCell="R1" zoomScale="80" zoomScaleNormal="80" workbookViewId="0">
      <selection activeCell="L86" sqref="L86:BU9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Ipiranga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3192</v>
      </c>
      <c r="B6" s="526" t="s">
        <v>3193</v>
      </c>
      <c r="C6" s="527">
        <v>1</v>
      </c>
      <c r="D6" s="528" t="s">
        <v>3194</v>
      </c>
      <c r="E6" s="426" t="s">
        <v>3195</v>
      </c>
      <c r="F6" s="529" t="s">
        <v>3182</v>
      </c>
      <c r="G6" s="529" t="s">
        <v>3183</v>
      </c>
      <c r="H6" s="530" t="s">
        <v>1635</v>
      </c>
      <c r="I6" s="384" t="s">
        <v>1635</v>
      </c>
      <c r="J6" s="353" t="s">
        <v>3184</v>
      </c>
      <c r="K6" s="354" t="s">
        <v>3185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3192</v>
      </c>
      <c r="B7" s="386" t="s">
        <v>3193</v>
      </c>
      <c r="C7" s="352" t="s">
        <v>3186</v>
      </c>
      <c r="D7" s="387" t="s">
        <v>3194</v>
      </c>
      <c r="E7" s="388" t="s">
        <v>3195</v>
      </c>
      <c r="F7" s="389" t="s">
        <v>3182</v>
      </c>
      <c r="G7" s="389" t="s">
        <v>3183</v>
      </c>
      <c r="H7" s="390" t="s">
        <v>1635</v>
      </c>
      <c r="I7" s="391" t="s">
        <v>1635</v>
      </c>
      <c r="J7" s="353" t="s">
        <v>3184</v>
      </c>
      <c r="K7" s="353" t="s">
        <v>3187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3192</v>
      </c>
      <c r="B8" s="386" t="s">
        <v>3193</v>
      </c>
      <c r="C8" s="392" t="s">
        <v>3186</v>
      </c>
      <c r="D8" s="387" t="s">
        <v>3194</v>
      </c>
      <c r="E8" s="388" t="s">
        <v>3195</v>
      </c>
      <c r="F8" s="389" t="s">
        <v>3182</v>
      </c>
      <c r="G8" s="389" t="s">
        <v>3183</v>
      </c>
      <c r="H8" s="390" t="s">
        <v>1635</v>
      </c>
      <c r="I8" s="391" t="s">
        <v>1635</v>
      </c>
      <c r="J8" s="353" t="s">
        <v>3184</v>
      </c>
      <c r="K8" s="355" t="s">
        <v>3188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3192</v>
      </c>
      <c r="B9" s="386" t="s">
        <v>3193</v>
      </c>
      <c r="C9" s="392" t="s">
        <v>3186</v>
      </c>
      <c r="D9" s="387" t="s">
        <v>3194</v>
      </c>
      <c r="E9" s="388" t="s">
        <v>3195</v>
      </c>
      <c r="F9" s="389" t="s">
        <v>3182</v>
      </c>
      <c r="G9" s="389" t="s">
        <v>3183</v>
      </c>
      <c r="H9" s="390" t="s">
        <v>1635</v>
      </c>
      <c r="I9" s="391" t="s">
        <v>1635</v>
      </c>
      <c r="J9" s="353" t="s">
        <v>3184</v>
      </c>
      <c r="K9" s="356" t="s">
        <v>3189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3192</v>
      </c>
      <c r="B10" s="393" t="s">
        <v>3193</v>
      </c>
      <c r="C10" s="394" t="s">
        <v>3186</v>
      </c>
      <c r="D10" s="395" t="s">
        <v>3194</v>
      </c>
      <c r="E10" s="411" t="s">
        <v>3195</v>
      </c>
      <c r="F10" s="396" t="s">
        <v>3182</v>
      </c>
      <c r="G10" s="396" t="s">
        <v>3183</v>
      </c>
      <c r="H10" s="397" t="s">
        <v>1635</v>
      </c>
      <c r="I10" s="899" t="s">
        <v>1635</v>
      </c>
      <c r="J10" s="353" t="s">
        <v>3184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3196</v>
      </c>
      <c r="B11" s="526" t="s">
        <v>3197</v>
      </c>
      <c r="C11" s="527">
        <v>1</v>
      </c>
      <c r="D11" s="528" t="s">
        <v>3198</v>
      </c>
      <c r="E11" s="426" t="s">
        <v>3199</v>
      </c>
      <c r="F11" s="529" t="s">
        <v>3182</v>
      </c>
      <c r="G11" s="529" t="s">
        <v>3183</v>
      </c>
      <c r="H11" s="530" t="s">
        <v>1636</v>
      </c>
      <c r="I11" s="384" t="s">
        <v>1636</v>
      </c>
      <c r="J11" s="353" t="s">
        <v>3184</v>
      </c>
      <c r="K11" s="354" t="s">
        <v>3185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3196</v>
      </c>
      <c r="B12" s="386" t="s">
        <v>3197</v>
      </c>
      <c r="C12" s="352" t="s">
        <v>3186</v>
      </c>
      <c r="D12" s="387" t="s">
        <v>3198</v>
      </c>
      <c r="E12" s="388" t="s">
        <v>3199</v>
      </c>
      <c r="F12" s="389" t="s">
        <v>3182</v>
      </c>
      <c r="G12" s="389" t="s">
        <v>3183</v>
      </c>
      <c r="H12" s="390" t="s">
        <v>1636</v>
      </c>
      <c r="I12" s="391" t="s">
        <v>1636</v>
      </c>
      <c r="J12" s="353" t="s">
        <v>3184</v>
      </c>
      <c r="K12" s="353" t="s">
        <v>3187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3196</v>
      </c>
      <c r="B13" s="386" t="s">
        <v>3197</v>
      </c>
      <c r="C13" s="392" t="s">
        <v>3186</v>
      </c>
      <c r="D13" s="387" t="s">
        <v>3198</v>
      </c>
      <c r="E13" s="388" t="s">
        <v>3199</v>
      </c>
      <c r="F13" s="389" t="s">
        <v>3182</v>
      </c>
      <c r="G13" s="389" t="s">
        <v>3183</v>
      </c>
      <c r="H13" s="390" t="s">
        <v>1636</v>
      </c>
      <c r="I13" s="391" t="s">
        <v>1636</v>
      </c>
      <c r="J13" s="353" t="s">
        <v>3184</v>
      </c>
      <c r="K13" s="355" t="s">
        <v>3188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3196</v>
      </c>
      <c r="B14" s="386" t="s">
        <v>3197</v>
      </c>
      <c r="C14" s="392" t="s">
        <v>3186</v>
      </c>
      <c r="D14" s="387" t="s">
        <v>3198</v>
      </c>
      <c r="E14" s="388" t="s">
        <v>3199</v>
      </c>
      <c r="F14" s="389" t="s">
        <v>3182</v>
      </c>
      <c r="G14" s="389" t="s">
        <v>3183</v>
      </c>
      <c r="H14" s="390" t="s">
        <v>1636</v>
      </c>
      <c r="I14" s="391" t="s">
        <v>1636</v>
      </c>
      <c r="J14" s="353" t="s">
        <v>3184</v>
      </c>
      <c r="K14" s="356" t="s">
        <v>3189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3196</v>
      </c>
      <c r="B15" s="393" t="s">
        <v>3197</v>
      </c>
      <c r="C15" s="394" t="s">
        <v>3186</v>
      </c>
      <c r="D15" s="395" t="s">
        <v>3198</v>
      </c>
      <c r="E15" s="411" t="s">
        <v>3199</v>
      </c>
      <c r="F15" s="396" t="s">
        <v>3182</v>
      </c>
      <c r="G15" s="396" t="s">
        <v>3183</v>
      </c>
      <c r="H15" s="397" t="s">
        <v>1636</v>
      </c>
      <c r="I15" s="899" t="s">
        <v>1636</v>
      </c>
      <c r="J15" s="353" t="s">
        <v>3184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3200</v>
      </c>
      <c r="B16" s="526" t="s">
        <v>3201</v>
      </c>
      <c r="C16" s="527">
        <v>4</v>
      </c>
      <c r="D16" s="528" t="s">
        <v>3202</v>
      </c>
      <c r="E16" s="426" t="s">
        <v>3203</v>
      </c>
      <c r="F16" s="529" t="s">
        <v>3182</v>
      </c>
      <c r="G16" s="529" t="s">
        <v>3183</v>
      </c>
      <c r="H16" s="530" t="s">
        <v>1637</v>
      </c>
      <c r="I16" s="384" t="s">
        <v>1637</v>
      </c>
      <c r="J16" s="353" t="s">
        <v>3184</v>
      </c>
      <c r="K16" s="354" t="s">
        <v>3185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3200</v>
      </c>
      <c r="B17" s="386" t="s">
        <v>3201</v>
      </c>
      <c r="C17" s="352" t="s">
        <v>3190</v>
      </c>
      <c r="D17" s="387" t="s">
        <v>3202</v>
      </c>
      <c r="E17" s="388" t="s">
        <v>3203</v>
      </c>
      <c r="F17" s="389" t="s">
        <v>3182</v>
      </c>
      <c r="G17" s="389" t="s">
        <v>3183</v>
      </c>
      <c r="H17" s="390" t="s">
        <v>1637</v>
      </c>
      <c r="I17" s="391" t="s">
        <v>1637</v>
      </c>
      <c r="J17" s="353" t="s">
        <v>3184</v>
      </c>
      <c r="K17" s="353" t="s">
        <v>3187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/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/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0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3200</v>
      </c>
      <c r="B18" s="386" t="s">
        <v>3201</v>
      </c>
      <c r="C18" s="392" t="s">
        <v>3190</v>
      </c>
      <c r="D18" s="387" t="s">
        <v>3202</v>
      </c>
      <c r="E18" s="388" t="s">
        <v>3203</v>
      </c>
      <c r="F18" s="389" t="s">
        <v>3182</v>
      </c>
      <c r="G18" s="389" t="s">
        <v>3183</v>
      </c>
      <c r="H18" s="390" t="s">
        <v>1637</v>
      </c>
      <c r="I18" s="391" t="s">
        <v>1637</v>
      </c>
      <c r="J18" s="353" t="s">
        <v>3184</v>
      </c>
      <c r="K18" s="355" t="s">
        <v>3188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3200</v>
      </c>
      <c r="B19" s="386" t="s">
        <v>3201</v>
      </c>
      <c r="C19" s="392" t="s">
        <v>3190</v>
      </c>
      <c r="D19" s="387" t="s">
        <v>3202</v>
      </c>
      <c r="E19" s="388" t="s">
        <v>3203</v>
      </c>
      <c r="F19" s="389" t="s">
        <v>3182</v>
      </c>
      <c r="G19" s="389" t="s">
        <v>3183</v>
      </c>
      <c r="H19" s="390" t="s">
        <v>1637</v>
      </c>
      <c r="I19" s="391" t="s">
        <v>1637</v>
      </c>
      <c r="J19" s="353" t="s">
        <v>3184</v>
      </c>
      <c r="K19" s="356" t="s">
        <v>3189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3200</v>
      </c>
      <c r="B20" s="393" t="s">
        <v>3201</v>
      </c>
      <c r="C20" s="394" t="s">
        <v>3190</v>
      </c>
      <c r="D20" s="395" t="s">
        <v>3202</v>
      </c>
      <c r="E20" s="411" t="s">
        <v>3203</v>
      </c>
      <c r="F20" s="396" t="s">
        <v>3182</v>
      </c>
      <c r="G20" s="396" t="s">
        <v>3183</v>
      </c>
      <c r="H20" s="397" t="s">
        <v>1637</v>
      </c>
      <c r="I20" s="899" t="s">
        <v>1637</v>
      </c>
      <c r="J20" s="353" t="s">
        <v>3184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3204</v>
      </c>
      <c r="B21" s="526" t="s">
        <v>3205</v>
      </c>
      <c r="C21" s="527">
        <v>1</v>
      </c>
      <c r="D21" s="528" t="s">
        <v>3206</v>
      </c>
      <c r="E21" s="426" t="s">
        <v>3207</v>
      </c>
      <c r="F21" s="529" t="s">
        <v>3182</v>
      </c>
      <c r="G21" s="529" t="s">
        <v>3183</v>
      </c>
      <c r="H21" s="530" t="s">
        <v>1640</v>
      </c>
      <c r="I21" s="384" t="s">
        <v>1640</v>
      </c>
      <c r="J21" s="353" t="s">
        <v>3184</v>
      </c>
      <c r="K21" s="354" t="s">
        <v>3185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3204</v>
      </c>
      <c r="B22" s="386" t="s">
        <v>3205</v>
      </c>
      <c r="C22" s="352" t="s">
        <v>3186</v>
      </c>
      <c r="D22" s="387" t="s">
        <v>3206</v>
      </c>
      <c r="E22" s="388" t="s">
        <v>3207</v>
      </c>
      <c r="F22" s="389" t="s">
        <v>3182</v>
      </c>
      <c r="G22" s="389" t="s">
        <v>3183</v>
      </c>
      <c r="H22" s="390" t="s">
        <v>1640</v>
      </c>
      <c r="I22" s="391" t="s">
        <v>1640</v>
      </c>
      <c r="J22" s="353" t="s">
        <v>3184</v>
      </c>
      <c r="K22" s="353" t="s">
        <v>3187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3204</v>
      </c>
      <c r="B23" s="386" t="s">
        <v>3205</v>
      </c>
      <c r="C23" s="392" t="s">
        <v>3186</v>
      </c>
      <c r="D23" s="387" t="s">
        <v>3206</v>
      </c>
      <c r="E23" s="388" t="s">
        <v>3207</v>
      </c>
      <c r="F23" s="389" t="s">
        <v>3182</v>
      </c>
      <c r="G23" s="389" t="s">
        <v>3183</v>
      </c>
      <c r="H23" s="390" t="s">
        <v>1640</v>
      </c>
      <c r="I23" s="391" t="s">
        <v>1640</v>
      </c>
      <c r="J23" s="353" t="s">
        <v>3184</v>
      </c>
      <c r="K23" s="355" t="s">
        <v>3188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3204</v>
      </c>
      <c r="B24" s="386" t="s">
        <v>3205</v>
      </c>
      <c r="C24" s="392" t="s">
        <v>3186</v>
      </c>
      <c r="D24" s="387" t="s">
        <v>3206</v>
      </c>
      <c r="E24" s="388" t="s">
        <v>3207</v>
      </c>
      <c r="F24" s="389" t="s">
        <v>3182</v>
      </c>
      <c r="G24" s="389" t="s">
        <v>3183</v>
      </c>
      <c r="H24" s="390" t="s">
        <v>1640</v>
      </c>
      <c r="I24" s="391" t="s">
        <v>1640</v>
      </c>
      <c r="J24" s="353" t="s">
        <v>3184</v>
      </c>
      <c r="K24" s="356" t="s">
        <v>3189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3204</v>
      </c>
      <c r="B25" s="393" t="s">
        <v>3205</v>
      </c>
      <c r="C25" s="394" t="s">
        <v>3186</v>
      </c>
      <c r="D25" s="395" t="s">
        <v>3206</v>
      </c>
      <c r="E25" s="411" t="s">
        <v>3207</v>
      </c>
      <c r="F25" s="396" t="s">
        <v>3182</v>
      </c>
      <c r="G25" s="396" t="s">
        <v>3183</v>
      </c>
      <c r="H25" s="397" t="s">
        <v>1640</v>
      </c>
      <c r="I25" s="899" t="s">
        <v>1640</v>
      </c>
      <c r="J25" s="353" t="s">
        <v>3184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3208</v>
      </c>
      <c r="B26" s="526" t="s">
        <v>3209</v>
      </c>
      <c r="C26" s="527">
        <v>4</v>
      </c>
      <c r="D26" s="528" t="s">
        <v>3210</v>
      </c>
      <c r="E26" s="426" t="s">
        <v>3211</v>
      </c>
      <c r="F26" s="529" t="s">
        <v>3182</v>
      </c>
      <c r="G26" s="529" t="s">
        <v>3183</v>
      </c>
      <c r="H26" s="530" t="s">
        <v>1641</v>
      </c>
      <c r="I26" s="384" t="s">
        <v>1641</v>
      </c>
      <c r="J26" s="353" t="s">
        <v>3184</v>
      </c>
      <c r="K26" s="354" t="s">
        <v>3185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3208</v>
      </c>
      <c r="B27" s="386" t="s">
        <v>3209</v>
      </c>
      <c r="C27" s="352" t="s">
        <v>3190</v>
      </c>
      <c r="D27" s="387" t="s">
        <v>3210</v>
      </c>
      <c r="E27" s="388" t="s">
        <v>3211</v>
      </c>
      <c r="F27" s="389" t="s">
        <v>3182</v>
      </c>
      <c r="G27" s="389" t="s">
        <v>3183</v>
      </c>
      <c r="H27" s="390" t="s">
        <v>1641</v>
      </c>
      <c r="I27" s="391" t="s">
        <v>1641</v>
      </c>
      <c r="J27" s="353" t="s">
        <v>3184</v>
      </c>
      <c r="K27" s="353" t="s">
        <v>3187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3208</v>
      </c>
      <c r="B28" s="386" t="s">
        <v>3209</v>
      </c>
      <c r="C28" s="392" t="s">
        <v>3190</v>
      </c>
      <c r="D28" s="387" t="s">
        <v>3210</v>
      </c>
      <c r="E28" s="388" t="s">
        <v>3211</v>
      </c>
      <c r="F28" s="389" t="s">
        <v>3182</v>
      </c>
      <c r="G28" s="389" t="s">
        <v>3183</v>
      </c>
      <c r="H28" s="390" t="s">
        <v>1641</v>
      </c>
      <c r="I28" s="391" t="s">
        <v>1641</v>
      </c>
      <c r="J28" s="353" t="s">
        <v>3184</v>
      </c>
      <c r="K28" s="355" t="s">
        <v>3188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3208</v>
      </c>
      <c r="B29" s="386" t="s">
        <v>3209</v>
      </c>
      <c r="C29" s="392" t="s">
        <v>3190</v>
      </c>
      <c r="D29" s="387" t="s">
        <v>3210</v>
      </c>
      <c r="E29" s="388" t="s">
        <v>3211</v>
      </c>
      <c r="F29" s="389" t="s">
        <v>3182</v>
      </c>
      <c r="G29" s="389" t="s">
        <v>3183</v>
      </c>
      <c r="H29" s="390" t="s">
        <v>1641</v>
      </c>
      <c r="I29" s="391" t="s">
        <v>1641</v>
      </c>
      <c r="J29" s="353" t="s">
        <v>3184</v>
      </c>
      <c r="K29" s="356" t="s">
        <v>3189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3208</v>
      </c>
      <c r="B30" s="393" t="s">
        <v>3209</v>
      </c>
      <c r="C30" s="394" t="s">
        <v>3190</v>
      </c>
      <c r="D30" s="395" t="s">
        <v>3210</v>
      </c>
      <c r="E30" s="411" t="s">
        <v>3211</v>
      </c>
      <c r="F30" s="396" t="s">
        <v>3182</v>
      </c>
      <c r="G30" s="396" t="s">
        <v>3183</v>
      </c>
      <c r="H30" s="397" t="s">
        <v>1641</v>
      </c>
      <c r="I30" s="899" t="s">
        <v>1641</v>
      </c>
      <c r="J30" s="353" t="s">
        <v>3184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3212</v>
      </c>
      <c r="B31" s="526" t="s">
        <v>3213</v>
      </c>
      <c r="C31" s="527">
        <v>1</v>
      </c>
      <c r="D31" s="528" t="s">
        <v>3214</v>
      </c>
      <c r="E31" s="426" t="s">
        <v>3215</v>
      </c>
      <c r="F31" s="529" t="s">
        <v>3182</v>
      </c>
      <c r="G31" s="529" t="s">
        <v>3183</v>
      </c>
      <c r="H31" s="530" t="s">
        <v>1642</v>
      </c>
      <c r="I31" s="384" t="s">
        <v>1642</v>
      </c>
      <c r="J31" s="353" t="s">
        <v>3184</v>
      </c>
      <c r="K31" s="354" t="s">
        <v>3185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3212</v>
      </c>
      <c r="B32" s="386" t="s">
        <v>3213</v>
      </c>
      <c r="C32" s="352" t="s">
        <v>3186</v>
      </c>
      <c r="D32" s="387" t="s">
        <v>3214</v>
      </c>
      <c r="E32" s="388" t="s">
        <v>3215</v>
      </c>
      <c r="F32" s="389" t="s">
        <v>3182</v>
      </c>
      <c r="G32" s="389" t="s">
        <v>3183</v>
      </c>
      <c r="H32" s="390" t="s">
        <v>1642</v>
      </c>
      <c r="I32" s="391" t="s">
        <v>1642</v>
      </c>
      <c r="J32" s="353" t="s">
        <v>3184</v>
      </c>
      <c r="K32" s="353" t="s">
        <v>3187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3212</v>
      </c>
      <c r="B33" s="386" t="s">
        <v>3213</v>
      </c>
      <c r="C33" s="392" t="s">
        <v>3186</v>
      </c>
      <c r="D33" s="387" t="s">
        <v>3214</v>
      </c>
      <c r="E33" s="388" t="s">
        <v>3215</v>
      </c>
      <c r="F33" s="389" t="s">
        <v>3182</v>
      </c>
      <c r="G33" s="389" t="s">
        <v>3183</v>
      </c>
      <c r="H33" s="390" t="s">
        <v>1642</v>
      </c>
      <c r="I33" s="391" t="s">
        <v>1642</v>
      </c>
      <c r="J33" s="353" t="s">
        <v>3184</v>
      </c>
      <c r="K33" s="355" t="s">
        <v>3188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3212</v>
      </c>
      <c r="B34" s="386" t="s">
        <v>3213</v>
      </c>
      <c r="C34" s="392" t="s">
        <v>3186</v>
      </c>
      <c r="D34" s="387" t="s">
        <v>3214</v>
      </c>
      <c r="E34" s="388" t="s">
        <v>3215</v>
      </c>
      <c r="F34" s="389" t="s">
        <v>3182</v>
      </c>
      <c r="G34" s="389" t="s">
        <v>3183</v>
      </c>
      <c r="H34" s="390" t="s">
        <v>1642</v>
      </c>
      <c r="I34" s="391" t="s">
        <v>1642</v>
      </c>
      <c r="J34" s="353" t="s">
        <v>3184</v>
      </c>
      <c r="K34" s="356" t="s">
        <v>3189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3212</v>
      </c>
      <c r="B35" s="393" t="s">
        <v>3213</v>
      </c>
      <c r="C35" s="394" t="s">
        <v>3186</v>
      </c>
      <c r="D35" s="395" t="s">
        <v>3214</v>
      </c>
      <c r="E35" s="411" t="s">
        <v>3215</v>
      </c>
      <c r="F35" s="396" t="s">
        <v>3182</v>
      </c>
      <c r="G35" s="396" t="s">
        <v>3183</v>
      </c>
      <c r="H35" s="397" t="s">
        <v>1642</v>
      </c>
      <c r="I35" s="899" t="s">
        <v>1642</v>
      </c>
      <c r="J35" s="353" t="s">
        <v>3184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3216</v>
      </c>
      <c r="B36" s="526" t="s">
        <v>3217</v>
      </c>
      <c r="C36" s="527">
        <v>4</v>
      </c>
      <c r="D36" s="528" t="s">
        <v>3218</v>
      </c>
      <c r="E36" s="426" t="s">
        <v>3219</v>
      </c>
      <c r="F36" s="529" t="s">
        <v>3182</v>
      </c>
      <c r="G36" s="529" t="s">
        <v>3183</v>
      </c>
      <c r="H36" s="530" t="s">
        <v>1644</v>
      </c>
      <c r="I36" s="384" t="s">
        <v>1644</v>
      </c>
      <c r="J36" s="353" t="s">
        <v>3184</v>
      </c>
      <c r="K36" s="354" t="s">
        <v>3185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3216</v>
      </c>
      <c r="B37" s="386" t="s">
        <v>3217</v>
      </c>
      <c r="C37" s="352" t="s">
        <v>3190</v>
      </c>
      <c r="D37" s="387" t="s">
        <v>3218</v>
      </c>
      <c r="E37" s="388" t="s">
        <v>3219</v>
      </c>
      <c r="F37" s="389" t="s">
        <v>3182</v>
      </c>
      <c r="G37" s="389" t="s">
        <v>3183</v>
      </c>
      <c r="H37" s="390" t="s">
        <v>1644</v>
      </c>
      <c r="I37" s="391" t="s">
        <v>1644</v>
      </c>
      <c r="J37" s="353" t="s">
        <v>3184</v>
      </c>
      <c r="K37" s="353" t="s">
        <v>3187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3216</v>
      </c>
      <c r="B38" s="386" t="s">
        <v>3217</v>
      </c>
      <c r="C38" s="392" t="s">
        <v>3190</v>
      </c>
      <c r="D38" s="387" t="s">
        <v>3218</v>
      </c>
      <c r="E38" s="388" t="s">
        <v>3219</v>
      </c>
      <c r="F38" s="389" t="s">
        <v>3182</v>
      </c>
      <c r="G38" s="389" t="s">
        <v>3183</v>
      </c>
      <c r="H38" s="390" t="s">
        <v>1644</v>
      </c>
      <c r="I38" s="391" t="s">
        <v>1644</v>
      </c>
      <c r="J38" s="353" t="s">
        <v>3184</v>
      </c>
      <c r="K38" s="355" t="s">
        <v>3188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3216</v>
      </c>
      <c r="B39" s="386" t="s">
        <v>3217</v>
      </c>
      <c r="C39" s="392" t="s">
        <v>3190</v>
      </c>
      <c r="D39" s="387" t="s">
        <v>3218</v>
      </c>
      <c r="E39" s="388" t="s">
        <v>3219</v>
      </c>
      <c r="F39" s="389" t="s">
        <v>3182</v>
      </c>
      <c r="G39" s="389" t="s">
        <v>3183</v>
      </c>
      <c r="H39" s="390" t="s">
        <v>1644</v>
      </c>
      <c r="I39" s="391" t="s">
        <v>1644</v>
      </c>
      <c r="J39" s="353" t="s">
        <v>3184</v>
      </c>
      <c r="K39" s="356" t="s">
        <v>3189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3216</v>
      </c>
      <c r="B40" s="393" t="s">
        <v>3217</v>
      </c>
      <c r="C40" s="394" t="s">
        <v>3190</v>
      </c>
      <c r="D40" s="395" t="s">
        <v>3218</v>
      </c>
      <c r="E40" s="411" t="s">
        <v>3219</v>
      </c>
      <c r="F40" s="396" t="s">
        <v>3182</v>
      </c>
      <c r="G40" s="396" t="s">
        <v>3183</v>
      </c>
      <c r="H40" s="397" t="s">
        <v>1644</v>
      </c>
      <c r="I40" s="899" t="s">
        <v>1644</v>
      </c>
      <c r="J40" s="353" t="s">
        <v>3184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3220</v>
      </c>
      <c r="B41" s="526" t="s">
        <v>3221</v>
      </c>
      <c r="C41" s="527">
        <v>1</v>
      </c>
      <c r="D41" s="528" t="s">
        <v>3222</v>
      </c>
      <c r="E41" s="426" t="s">
        <v>3223</v>
      </c>
      <c r="F41" s="529" t="s">
        <v>3182</v>
      </c>
      <c r="G41" s="529" t="s">
        <v>3183</v>
      </c>
      <c r="H41" s="530" t="s">
        <v>1645</v>
      </c>
      <c r="I41" s="384" t="s">
        <v>1645</v>
      </c>
      <c r="J41" s="353" t="s">
        <v>3184</v>
      </c>
      <c r="K41" s="354" t="s">
        <v>3185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3220</v>
      </c>
      <c r="B42" s="386" t="s">
        <v>3221</v>
      </c>
      <c r="C42" s="352" t="s">
        <v>3186</v>
      </c>
      <c r="D42" s="387" t="s">
        <v>3222</v>
      </c>
      <c r="E42" s="388" t="s">
        <v>3223</v>
      </c>
      <c r="F42" s="389" t="s">
        <v>3182</v>
      </c>
      <c r="G42" s="389" t="s">
        <v>3183</v>
      </c>
      <c r="H42" s="390" t="s">
        <v>1645</v>
      </c>
      <c r="I42" s="391" t="s">
        <v>1645</v>
      </c>
      <c r="J42" s="353" t="s">
        <v>3184</v>
      </c>
      <c r="K42" s="353" t="s">
        <v>3187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3220</v>
      </c>
      <c r="B43" s="386" t="s">
        <v>3221</v>
      </c>
      <c r="C43" s="392" t="s">
        <v>3186</v>
      </c>
      <c r="D43" s="387" t="s">
        <v>3222</v>
      </c>
      <c r="E43" s="388" t="s">
        <v>3223</v>
      </c>
      <c r="F43" s="389" t="s">
        <v>3182</v>
      </c>
      <c r="G43" s="389" t="s">
        <v>3183</v>
      </c>
      <c r="H43" s="390" t="s">
        <v>1645</v>
      </c>
      <c r="I43" s="391" t="s">
        <v>1645</v>
      </c>
      <c r="J43" s="353" t="s">
        <v>3184</v>
      </c>
      <c r="K43" s="355" t="s">
        <v>3188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3220</v>
      </c>
      <c r="B44" s="386" t="s">
        <v>3221</v>
      </c>
      <c r="C44" s="392" t="s">
        <v>3186</v>
      </c>
      <c r="D44" s="387" t="s">
        <v>3222</v>
      </c>
      <c r="E44" s="388" t="s">
        <v>3223</v>
      </c>
      <c r="F44" s="389" t="s">
        <v>3182</v>
      </c>
      <c r="G44" s="389" t="s">
        <v>3183</v>
      </c>
      <c r="H44" s="390" t="s">
        <v>1645</v>
      </c>
      <c r="I44" s="391" t="s">
        <v>1645</v>
      </c>
      <c r="J44" s="353" t="s">
        <v>3184</v>
      </c>
      <c r="K44" s="356" t="s">
        <v>3189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3220</v>
      </c>
      <c r="B45" s="393" t="s">
        <v>3221</v>
      </c>
      <c r="C45" s="394" t="s">
        <v>3186</v>
      </c>
      <c r="D45" s="395" t="s">
        <v>3222</v>
      </c>
      <c r="E45" s="411" t="s">
        <v>3223</v>
      </c>
      <c r="F45" s="396" t="s">
        <v>3182</v>
      </c>
      <c r="G45" s="396" t="s">
        <v>3183</v>
      </c>
      <c r="H45" s="397" t="s">
        <v>1645</v>
      </c>
      <c r="I45" s="899" t="s">
        <v>1645</v>
      </c>
      <c r="J45" s="353" t="s">
        <v>3184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3224</v>
      </c>
      <c r="B46" s="526" t="s">
        <v>3225</v>
      </c>
      <c r="C46" s="527">
        <v>4</v>
      </c>
      <c r="D46" s="528" t="s">
        <v>3226</v>
      </c>
      <c r="E46" s="426" t="s">
        <v>3227</v>
      </c>
      <c r="F46" s="529" t="s">
        <v>3182</v>
      </c>
      <c r="G46" s="529" t="s">
        <v>3183</v>
      </c>
      <c r="H46" s="530" t="s">
        <v>1646</v>
      </c>
      <c r="I46" s="384" t="s">
        <v>1646</v>
      </c>
      <c r="J46" s="353" t="s">
        <v>3184</v>
      </c>
      <c r="K46" s="354" t="s">
        <v>3185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3224</v>
      </c>
      <c r="B47" s="386" t="s">
        <v>3225</v>
      </c>
      <c r="C47" s="352" t="s">
        <v>3190</v>
      </c>
      <c r="D47" s="387" t="s">
        <v>3226</v>
      </c>
      <c r="E47" s="388" t="s">
        <v>3227</v>
      </c>
      <c r="F47" s="389" t="s">
        <v>3182</v>
      </c>
      <c r="G47" s="389" t="s">
        <v>3183</v>
      </c>
      <c r="H47" s="390" t="s">
        <v>1646</v>
      </c>
      <c r="I47" s="391" t="s">
        <v>1646</v>
      </c>
      <c r="J47" s="353" t="s">
        <v>3184</v>
      </c>
      <c r="K47" s="353" t="s">
        <v>3187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3224</v>
      </c>
      <c r="B48" s="386" t="s">
        <v>3225</v>
      </c>
      <c r="C48" s="392" t="s">
        <v>3190</v>
      </c>
      <c r="D48" s="387" t="s">
        <v>3226</v>
      </c>
      <c r="E48" s="388" t="s">
        <v>3227</v>
      </c>
      <c r="F48" s="389" t="s">
        <v>3182</v>
      </c>
      <c r="G48" s="389" t="s">
        <v>3183</v>
      </c>
      <c r="H48" s="390" t="s">
        <v>1646</v>
      </c>
      <c r="I48" s="391" t="s">
        <v>1646</v>
      </c>
      <c r="J48" s="353" t="s">
        <v>3184</v>
      </c>
      <c r="K48" s="355" t="s">
        <v>3188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3224</v>
      </c>
      <c r="B49" s="386" t="s">
        <v>3225</v>
      </c>
      <c r="C49" s="392" t="s">
        <v>3190</v>
      </c>
      <c r="D49" s="387" t="s">
        <v>3226</v>
      </c>
      <c r="E49" s="388" t="s">
        <v>3227</v>
      </c>
      <c r="F49" s="389" t="s">
        <v>3182</v>
      </c>
      <c r="G49" s="389" t="s">
        <v>3183</v>
      </c>
      <c r="H49" s="390" t="s">
        <v>1646</v>
      </c>
      <c r="I49" s="391" t="s">
        <v>1646</v>
      </c>
      <c r="J49" s="353" t="s">
        <v>3184</v>
      </c>
      <c r="K49" s="356" t="s">
        <v>3189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3224</v>
      </c>
      <c r="B50" s="393" t="s">
        <v>3225</v>
      </c>
      <c r="C50" s="394" t="s">
        <v>3190</v>
      </c>
      <c r="D50" s="395" t="s">
        <v>3226</v>
      </c>
      <c r="E50" s="411" t="s">
        <v>3227</v>
      </c>
      <c r="F50" s="396" t="s">
        <v>3182</v>
      </c>
      <c r="G50" s="396" t="s">
        <v>3183</v>
      </c>
      <c r="H50" s="397" t="s">
        <v>1646</v>
      </c>
      <c r="I50" s="899" t="s">
        <v>1646</v>
      </c>
      <c r="J50" s="353" t="s">
        <v>3184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3228</v>
      </c>
      <c r="B51" s="526" t="s">
        <v>3229</v>
      </c>
      <c r="C51" s="527">
        <v>4</v>
      </c>
      <c r="D51" s="528" t="s">
        <v>3230</v>
      </c>
      <c r="E51" s="426" t="s">
        <v>3231</v>
      </c>
      <c r="F51" s="529" t="s">
        <v>3182</v>
      </c>
      <c r="G51" s="529" t="s">
        <v>3183</v>
      </c>
      <c r="H51" s="530" t="s">
        <v>1649</v>
      </c>
      <c r="I51" s="384" t="s">
        <v>1649</v>
      </c>
      <c r="J51" s="353" t="s">
        <v>3184</v>
      </c>
      <c r="K51" s="354" t="s">
        <v>3185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3228</v>
      </c>
      <c r="B52" s="386" t="s">
        <v>3229</v>
      </c>
      <c r="C52" s="352" t="s">
        <v>3190</v>
      </c>
      <c r="D52" s="387" t="s">
        <v>3230</v>
      </c>
      <c r="E52" s="388" t="s">
        <v>3231</v>
      </c>
      <c r="F52" s="389" t="s">
        <v>3182</v>
      </c>
      <c r="G52" s="389" t="s">
        <v>3183</v>
      </c>
      <c r="H52" s="390" t="s">
        <v>1649</v>
      </c>
      <c r="I52" s="391" t="s">
        <v>1649</v>
      </c>
      <c r="J52" s="353" t="s">
        <v>3184</v>
      </c>
      <c r="K52" s="353" t="s">
        <v>3187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3228</v>
      </c>
      <c r="B53" s="386" t="s">
        <v>3229</v>
      </c>
      <c r="C53" s="392" t="s">
        <v>3190</v>
      </c>
      <c r="D53" s="387" t="s">
        <v>3230</v>
      </c>
      <c r="E53" s="388" t="s">
        <v>3231</v>
      </c>
      <c r="F53" s="389" t="s">
        <v>3182</v>
      </c>
      <c r="G53" s="389" t="s">
        <v>3183</v>
      </c>
      <c r="H53" s="390" t="s">
        <v>1649</v>
      </c>
      <c r="I53" s="391" t="s">
        <v>1649</v>
      </c>
      <c r="J53" s="353" t="s">
        <v>3184</v>
      </c>
      <c r="K53" s="355" t="s">
        <v>3188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3228</v>
      </c>
      <c r="B54" s="386" t="s">
        <v>3229</v>
      </c>
      <c r="C54" s="392" t="s">
        <v>3190</v>
      </c>
      <c r="D54" s="387" t="s">
        <v>3230</v>
      </c>
      <c r="E54" s="388" t="s">
        <v>3231</v>
      </c>
      <c r="F54" s="389" t="s">
        <v>3182</v>
      </c>
      <c r="G54" s="389" t="s">
        <v>3183</v>
      </c>
      <c r="H54" s="390" t="s">
        <v>1649</v>
      </c>
      <c r="I54" s="391" t="s">
        <v>1649</v>
      </c>
      <c r="J54" s="353" t="s">
        <v>3184</v>
      </c>
      <c r="K54" s="356" t="s">
        <v>3189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3228</v>
      </c>
      <c r="B55" s="393" t="s">
        <v>3229</v>
      </c>
      <c r="C55" s="394" t="s">
        <v>3190</v>
      </c>
      <c r="D55" s="395" t="s">
        <v>3230</v>
      </c>
      <c r="E55" s="411" t="s">
        <v>3231</v>
      </c>
      <c r="F55" s="396" t="s">
        <v>3182</v>
      </c>
      <c r="G55" s="396" t="s">
        <v>3183</v>
      </c>
      <c r="H55" s="397" t="s">
        <v>1649</v>
      </c>
      <c r="I55" s="899" t="s">
        <v>1649</v>
      </c>
      <c r="J55" s="353" t="s">
        <v>3184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3232</v>
      </c>
      <c r="B56" s="526" t="s">
        <v>3233</v>
      </c>
      <c r="C56" s="527">
        <v>4</v>
      </c>
      <c r="D56" s="528" t="s">
        <v>3234</v>
      </c>
      <c r="E56" s="426" t="s">
        <v>3235</v>
      </c>
      <c r="F56" s="529" t="s">
        <v>3182</v>
      </c>
      <c r="G56" s="529" t="s">
        <v>3183</v>
      </c>
      <c r="H56" s="530" t="s">
        <v>1650</v>
      </c>
      <c r="I56" s="384" t="s">
        <v>1650</v>
      </c>
      <c r="J56" s="353" t="s">
        <v>3184</v>
      </c>
      <c r="K56" s="354" t="s">
        <v>3185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3232</v>
      </c>
      <c r="B57" s="386" t="s">
        <v>3233</v>
      </c>
      <c r="C57" s="352" t="s">
        <v>3190</v>
      </c>
      <c r="D57" s="387" t="s">
        <v>3234</v>
      </c>
      <c r="E57" s="388" t="s">
        <v>3235</v>
      </c>
      <c r="F57" s="389" t="s">
        <v>3182</v>
      </c>
      <c r="G57" s="389" t="s">
        <v>3183</v>
      </c>
      <c r="H57" s="390" t="s">
        <v>1650</v>
      </c>
      <c r="I57" s="391" t="s">
        <v>1650</v>
      </c>
      <c r="J57" s="353" t="s">
        <v>3184</v>
      </c>
      <c r="K57" s="353" t="s">
        <v>3187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3232</v>
      </c>
      <c r="B58" s="386" t="s">
        <v>3233</v>
      </c>
      <c r="C58" s="392" t="s">
        <v>3190</v>
      </c>
      <c r="D58" s="387" t="s">
        <v>3234</v>
      </c>
      <c r="E58" s="388" t="s">
        <v>3235</v>
      </c>
      <c r="F58" s="389" t="s">
        <v>3182</v>
      </c>
      <c r="G58" s="389" t="s">
        <v>3183</v>
      </c>
      <c r="H58" s="390" t="s">
        <v>1650</v>
      </c>
      <c r="I58" s="391" t="s">
        <v>1650</v>
      </c>
      <c r="J58" s="353" t="s">
        <v>3184</v>
      </c>
      <c r="K58" s="355" t="s">
        <v>3188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3232</v>
      </c>
      <c r="B59" s="386" t="s">
        <v>3233</v>
      </c>
      <c r="C59" s="392" t="s">
        <v>3190</v>
      </c>
      <c r="D59" s="387" t="s">
        <v>3234</v>
      </c>
      <c r="E59" s="388" t="s">
        <v>3235</v>
      </c>
      <c r="F59" s="389" t="s">
        <v>3182</v>
      </c>
      <c r="G59" s="389" t="s">
        <v>3183</v>
      </c>
      <c r="H59" s="390" t="s">
        <v>1650</v>
      </c>
      <c r="I59" s="391" t="s">
        <v>1650</v>
      </c>
      <c r="J59" s="353" t="s">
        <v>3184</v>
      </c>
      <c r="K59" s="356" t="s">
        <v>3189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3232</v>
      </c>
      <c r="B60" s="393" t="s">
        <v>3233</v>
      </c>
      <c r="C60" s="394" t="s">
        <v>3190</v>
      </c>
      <c r="D60" s="395" t="s">
        <v>3234</v>
      </c>
      <c r="E60" s="411" t="s">
        <v>3235</v>
      </c>
      <c r="F60" s="396" t="s">
        <v>3182</v>
      </c>
      <c r="G60" s="396" t="s">
        <v>3183</v>
      </c>
      <c r="H60" s="397" t="s">
        <v>1650</v>
      </c>
      <c r="I60" s="899" t="s">
        <v>1650</v>
      </c>
      <c r="J60" s="353" t="s">
        <v>3184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3236</v>
      </c>
      <c r="B61" s="526" t="s">
        <v>3237</v>
      </c>
      <c r="C61" s="527">
        <v>4</v>
      </c>
      <c r="D61" s="528" t="s">
        <v>3238</v>
      </c>
      <c r="E61" s="426" t="s">
        <v>3239</v>
      </c>
      <c r="F61" s="529" t="s">
        <v>3182</v>
      </c>
      <c r="G61" s="529" t="s">
        <v>3183</v>
      </c>
      <c r="H61" s="530" t="s">
        <v>1651</v>
      </c>
      <c r="I61" s="384" t="s">
        <v>1651</v>
      </c>
      <c r="J61" s="353" t="s">
        <v>3184</v>
      </c>
      <c r="K61" s="354" t="s">
        <v>3185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3236</v>
      </c>
      <c r="B62" s="386" t="s">
        <v>3237</v>
      </c>
      <c r="C62" s="352" t="s">
        <v>3190</v>
      </c>
      <c r="D62" s="387" t="s">
        <v>3238</v>
      </c>
      <c r="E62" s="388" t="s">
        <v>3239</v>
      </c>
      <c r="F62" s="389" t="s">
        <v>3182</v>
      </c>
      <c r="G62" s="389" t="s">
        <v>3183</v>
      </c>
      <c r="H62" s="390" t="s">
        <v>1651</v>
      </c>
      <c r="I62" s="391" t="s">
        <v>1651</v>
      </c>
      <c r="J62" s="353" t="s">
        <v>3184</v>
      </c>
      <c r="K62" s="353" t="s">
        <v>3187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3236</v>
      </c>
      <c r="B63" s="386" t="s">
        <v>3237</v>
      </c>
      <c r="C63" s="392" t="s">
        <v>3190</v>
      </c>
      <c r="D63" s="387" t="s">
        <v>3238</v>
      </c>
      <c r="E63" s="388" t="s">
        <v>3239</v>
      </c>
      <c r="F63" s="389" t="s">
        <v>3182</v>
      </c>
      <c r="G63" s="389" t="s">
        <v>3183</v>
      </c>
      <c r="H63" s="390" t="s">
        <v>1651</v>
      </c>
      <c r="I63" s="391" t="s">
        <v>1651</v>
      </c>
      <c r="J63" s="353" t="s">
        <v>3184</v>
      </c>
      <c r="K63" s="355" t="s">
        <v>3188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3236</v>
      </c>
      <c r="B64" s="386" t="s">
        <v>3237</v>
      </c>
      <c r="C64" s="392" t="s">
        <v>3190</v>
      </c>
      <c r="D64" s="387" t="s">
        <v>3238</v>
      </c>
      <c r="E64" s="388" t="s">
        <v>3239</v>
      </c>
      <c r="F64" s="389" t="s">
        <v>3182</v>
      </c>
      <c r="G64" s="389" t="s">
        <v>3183</v>
      </c>
      <c r="H64" s="390" t="s">
        <v>1651</v>
      </c>
      <c r="I64" s="391" t="s">
        <v>1651</v>
      </c>
      <c r="J64" s="353" t="s">
        <v>3184</v>
      </c>
      <c r="K64" s="356" t="s">
        <v>3189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3236</v>
      </c>
      <c r="B65" s="393" t="s">
        <v>3237</v>
      </c>
      <c r="C65" s="394" t="s">
        <v>3190</v>
      </c>
      <c r="D65" s="395" t="s">
        <v>3238</v>
      </c>
      <c r="E65" s="411" t="s">
        <v>3239</v>
      </c>
      <c r="F65" s="396" t="s">
        <v>3182</v>
      </c>
      <c r="G65" s="396" t="s">
        <v>3183</v>
      </c>
      <c r="H65" s="397" t="s">
        <v>1651</v>
      </c>
      <c r="I65" s="899" t="s">
        <v>1651</v>
      </c>
      <c r="J65" s="353" t="s">
        <v>3184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3240</v>
      </c>
      <c r="B66" s="526" t="s">
        <v>3241</v>
      </c>
      <c r="C66" s="527">
        <v>4</v>
      </c>
      <c r="D66" s="528" t="s">
        <v>3242</v>
      </c>
      <c r="E66" s="426" t="s">
        <v>3243</v>
      </c>
      <c r="F66" s="529" t="s">
        <v>3182</v>
      </c>
      <c r="G66" s="529" t="s">
        <v>3183</v>
      </c>
      <c r="H66" s="530" t="s">
        <v>1654</v>
      </c>
      <c r="I66" s="384" t="s">
        <v>1654</v>
      </c>
      <c r="J66" s="353" t="s">
        <v>3184</v>
      </c>
      <c r="K66" s="354" t="s">
        <v>3185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3240</v>
      </c>
      <c r="B67" s="386" t="s">
        <v>3241</v>
      </c>
      <c r="C67" s="352" t="s">
        <v>3190</v>
      </c>
      <c r="D67" s="387" t="s">
        <v>3242</v>
      </c>
      <c r="E67" s="388" t="s">
        <v>3243</v>
      </c>
      <c r="F67" s="389" t="s">
        <v>3182</v>
      </c>
      <c r="G67" s="389" t="s">
        <v>3183</v>
      </c>
      <c r="H67" s="390" t="s">
        <v>1654</v>
      </c>
      <c r="I67" s="391" t="s">
        <v>1654</v>
      </c>
      <c r="J67" s="353" t="s">
        <v>3184</v>
      </c>
      <c r="K67" s="353" t="s">
        <v>3187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3240</v>
      </c>
      <c r="B68" s="386" t="s">
        <v>3241</v>
      </c>
      <c r="C68" s="392" t="s">
        <v>3190</v>
      </c>
      <c r="D68" s="387" t="s">
        <v>3242</v>
      </c>
      <c r="E68" s="388" t="s">
        <v>3243</v>
      </c>
      <c r="F68" s="389" t="s">
        <v>3182</v>
      </c>
      <c r="G68" s="389" t="s">
        <v>3183</v>
      </c>
      <c r="H68" s="390" t="s">
        <v>1654</v>
      </c>
      <c r="I68" s="391" t="s">
        <v>1654</v>
      </c>
      <c r="J68" s="353" t="s">
        <v>3184</v>
      </c>
      <c r="K68" s="355" t="s">
        <v>3188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3240</v>
      </c>
      <c r="B69" s="386" t="s">
        <v>3241</v>
      </c>
      <c r="C69" s="392" t="s">
        <v>3190</v>
      </c>
      <c r="D69" s="387" t="s">
        <v>3242</v>
      </c>
      <c r="E69" s="388" t="s">
        <v>3243</v>
      </c>
      <c r="F69" s="389" t="s">
        <v>3182</v>
      </c>
      <c r="G69" s="389" t="s">
        <v>3183</v>
      </c>
      <c r="H69" s="390" t="s">
        <v>1654</v>
      </c>
      <c r="I69" s="391" t="s">
        <v>1654</v>
      </c>
      <c r="J69" s="353" t="s">
        <v>3184</v>
      </c>
      <c r="K69" s="356" t="s">
        <v>3189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3240</v>
      </c>
      <c r="B70" s="393" t="s">
        <v>3241</v>
      </c>
      <c r="C70" s="394" t="s">
        <v>3190</v>
      </c>
      <c r="D70" s="395" t="s">
        <v>3242</v>
      </c>
      <c r="E70" s="411" t="s">
        <v>3243</v>
      </c>
      <c r="F70" s="396" t="s">
        <v>3182</v>
      </c>
      <c r="G70" s="396" t="s">
        <v>3183</v>
      </c>
      <c r="H70" s="397" t="s">
        <v>1654</v>
      </c>
      <c r="I70" s="899" t="s">
        <v>1654</v>
      </c>
      <c r="J70" s="353" t="s">
        <v>3184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3244</v>
      </c>
      <c r="B71" s="526" t="s">
        <v>3245</v>
      </c>
      <c r="C71" s="527">
        <v>2</v>
      </c>
      <c r="D71" s="528" t="s">
        <v>3246</v>
      </c>
      <c r="E71" s="426" t="s">
        <v>3247</v>
      </c>
      <c r="F71" s="529" t="s">
        <v>3182</v>
      </c>
      <c r="G71" s="529" t="s">
        <v>3183</v>
      </c>
      <c r="H71" s="530" t="s">
        <v>1655</v>
      </c>
      <c r="I71" s="384" t="s">
        <v>1655</v>
      </c>
      <c r="J71" s="353" t="s">
        <v>3191</v>
      </c>
      <c r="K71" s="354" t="s">
        <v>3185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3244</v>
      </c>
      <c r="B72" s="386" t="s">
        <v>3245</v>
      </c>
      <c r="C72" s="352" t="s">
        <v>3186</v>
      </c>
      <c r="D72" s="387" t="s">
        <v>3246</v>
      </c>
      <c r="E72" s="388" t="s">
        <v>3247</v>
      </c>
      <c r="F72" s="389" t="s">
        <v>3182</v>
      </c>
      <c r="G72" s="389" t="s">
        <v>3183</v>
      </c>
      <c r="H72" s="390" t="s">
        <v>1655</v>
      </c>
      <c r="I72" s="391" t="s">
        <v>1655</v>
      </c>
      <c r="J72" s="353" t="s">
        <v>3191</v>
      </c>
      <c r="K72" s="353" t="s">
        <v>3187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3244</v>
      </c>
      <c r="B73" s="386" t="s">
        <v>3245</v>
      </c>
      <c r="C73" s="392" t="s">
        <v>3186</v>
      </c>
      <c r="D73" s="387" t="s">
        <v>3246</v>
      </c>
      <c r="E73" s="388" t="s">
        <v>3247</v>
      </c>
      <c r="F73" s="389" t="s">
        <v>3182</v>
      </c>
      <c r="G73" s="389" t="s">
        <v>3183</v>
      </c>
      <c r="H73" s="390" t="s">
        <v>1655</v>
      </c>
      <c r="I73" s="391" t="s">
        <v>1655</v>
      </c>
      <c r="J73" s="353" t="s">
        <v>3191</v>
      </c>
      <c r="K73" s="355" t="s">
        <v>3188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3244</v>
      </c>
      <c r="B74" s="386" t="s">
        <v>3245</v>
      </c>
      <c r="C74" s="392" t="s">
        <v>3186</v>
      </c>
      <c r="D74" s="387" t="s">
        <v>3246</v>
      </c>
      <c r="E74" s="388" t="s">
        <v>3247</v>
      </c>
      <c r="F74" s="389" t="s">
        <v>3182</v>
      </c>
      <c r="G74" s="389" t="s">
        <v>3183</v>
      </c>
      <c r="H74" s="390" t="s">
        <v>1655</v>
      </c>
      <c r="I74" s="391" t="s">
        <v>1655</v>
      </c>
      <c r="J74" s="353" t="s">
        <v>3191</v>
      </c>
      <c r="K74" s="356" t="s">
        <v>3189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3244</v>
      </c>
      <c r="B75" s="393" t="s">
        <v>3245</v>
      </c>
      <c r="C75" s="394" t="s">
        <v>3186</v>
      </c>
      <c r="D75" s="395" t="s">
        <v>3246</v>
      </c>
      <c r="E75" s="411" t="s">
        <v>3247</v>
      </c>
      <c r="F75" s="396" t="s">
        <v>3182</v>
      </c>
      <c r="G75" s="396" t="s">
        <v>3183</v>
      </c>
      <c r="H75" s="397" t="s">
        <v>1655</v>
      </c>
      <c r="I75" s="899" t="s">
        <v>1655</v>
      </c>
      <c r="J75" s="353" t="s">
        <v>3191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3248</v>
      </c>
      <c r="B76" s="526" t="s">
        <v>3249</v>
      </c>
      <c r="C76" s="527">
        <v>1</v>
      </c>
      <c r="D76" s="528" t="s">
        <v>3250</v>
      </c>
      <c r="E76" s="426" t="s">
        <v>3251</v>
      </c>
      <c r="F76" s="529" t="s">
        <v>3182</v>
      </c>
      <c r="G76" s="529" t="s">
        <v>3183</v>
      </c>
      <c r="H76" s="530" t="s">
        <v>1657</v>
      </c>
      <c r="I76" s="384" t="s">
        <v>1657</v>
      </c>
      <c r="J76" s="353" t="s">
        <v>3184</v>
      </c>
      <c r="K76" s="354" t="s">
        <v>3185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3248</v>
      </c>
      <c r="B77" s="386" t="s">
        <v>3249</v>
      </c>
      <c r="C77" s="352" t="s">
        <v>3186</v>
      </c>
      <c r="D77" s="387" t="s">
        <v>3250</v>
      </c>
      <c r="E77" s="388" t="s">
        <v>3251</v>
      </c>
      <c r="F77" s="389" t="s">
        <v>3182</v>
      </c>
      <c r="G77" s="389" t="s">
        <v>3183</v>
      </c>
      <c r="H77" s="390" t="s">
        <v>1657</v>
      </c>
      <c r="I77" s="391" t="s">
        <v>1657</v>
      </c>
      <c r="J77" s="353" t="s">
        <v>3184</v>
      </c>
      <c r="K77" s="353" t="s">
        <v>3187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3248</v>
      </c>
      <c r="B78" s="386" t="s">
        <v>3249</v>
      </c>
      <c r="C78" s="392" t="s">
        <v>3186</v>
      </c>
      <c r="D78" s="387" t="s">
        <v>3250</v>
      </c>
      <c r="E78" s="388" t="s">
        <v>3251</v>
      </c>
      <c r="F78" s="389" t="s">
        <v>3182</v>
      </c>
      <c r="G78" s="389" t="s">
        <v>3183</v>
      </c>
      <c r="H78" s="390" t="s">
        <v>1657</v>
      </c>
      <c r="I78" s="391" t="s">
        <v>1657</v>
      </c>
      <c r="J78" s="353" t="s">
        <v>3184</v>
      </c>
      <c r="K78" s="355" t="s">
        <v>3188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3248</v>
      </c>
      <c r="B79" s="386" t="s">
        <v>3249</v>
      </c>
      <c r="C79" s="392" t="s">
        <v>3186</v>
      </c>
      <c r="D79" s="387" t="s">
        <v>3250</v>
      </c>
      <c r="E79" s="388" t="s">
        <v>3251</v>
      </c>
      <c r="F79" s="389" t="s">
        <v>3182</v>
      </c>
      <c r="G79" s="389" t="s">
        <v>3183</v>
      </c>
      <c r="H79" s="390" t="s">
        <v>1657</v>
      </c>
      <c r="I79" s="391" t="s">
        <v>1657</v>
      </c>
      <c r="J79" s="353" t="s">
        <v>3184</v>
      </c>
      <c r="K79" s="356" t="s">
        <v>3189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3248</v>
      </c>
      <c r="B80" s="393" t="s">
        <v>3249</v>
      </c>
      <c r="C80" s="394" t="s">
        <v>3186</v>
      </c>
      <c r="D80" s="395" t="s">
        <v>3250</v>
      </c>
      <c r="E80" s="411" t="s">
        <v>3251</v>
      </c>
      <c r="F80" s="396" t="s">
        <v>3182</v>
      </c>
      <c r="G80" s="396" t="s">
        <v>3183</v>
      </c>
      <c r="H80" s="397" t="s">
        <v>1657</v>
      </c>
      <c r="I80" s="899" t="s">
        <v>1657</v>
      </c>
      <c r="J80" s="353" t="s">
        <v>3184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3252</v>
      </c>
      <c r="B81" s="526" t="s">
        <v>3253</v>
      </c>
      <c r="C81" s="527">
        <v>1</v>
      </c>
      <c r="D81" s="528" t="s">
        <v>3254</v>
      </c>
      <c r="E81" s="426" t="s">
        <v>3255</v>
      </c>
      <c r="F81" s="529" t="s">
        <v>3182</v>
      </c>
      <c r="G81" s="529" t="s">
        <v>3183</v>
      </c>
      <c r="H81" s="530" t="s">
        <v>1660</v>
      </c>
      <c r="I81" s="384" t="s">
        <v>1660</v>
      </c>
      <c r="J81" s="353" t="s">
        <v>3184</v>
      </c>
      <c r="K81" s="354" t="s">
        <v>3185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3252</v>
      </c>
      <c r="B82" s="386" t="s">
        <v>3253</v>
      </c>
      <c r="C82" s="352" t="s">
        <v>3186</v>
      </c>
      <c r="D82" s="387" t="s">
        <v>3254</v>
      </c>
      <c r="E82" s="388" t="s">
        <v>3255</v>
      </c>
      <c r="F82" s="389" t="s">
        <v>3182</v>
      </c>
      <c r="G82" s="389" t="s">
        <v>3183</v>
      </c>
      <c r="H82" s="390" t="s">
        <v>1660</v>
      </c>
      <c r="I82" s="391" t="s">
        <v>1660</v>
      </c>
      <c r="J82" s="353" t="s">
        <v>3184</v>
      </c>
      <c r="K82" s="353" t="s">
        <v>3187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3252</v>
      </c>
      <c r="B83" s="386" t="s">
        <v>3253</v>
      </c>
      <c r="C83" s="392" t="s">
        <v>3186</v>
      </c>
      <c r="D83" s="387" t="s">
        <v>3254</v>
      </c>
      <c r="E83" s="388" t="s">
        <v>3255</v>
      </c>
      <c r="F83" s="389" t="s">
        <v>3182</v>
      </c>
      <c r="G83" s="389" t="s">
        <v>3183</v>
      </c>
      <c r="H83" s="390" t="s">
        <v>1660</v>
      </c>
      <c r="I83" s="391" t="s">
        <v>1660</v>
      </c>
      <c r="J83" s="353" t="s">
        <v>3184</v>
      </c>
      <c r="K83" s="355" t="s">
        <v>3188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3252</v>
      </c>
      <c r="B84" s="386" t="s">
        <v>3253</v>
      </c>
      <c r="C84" s="392" t="s">
        <v>3186</v>
      </c>
      <c r="D84" s="387" t="s">
        <v>3254</v>
      </c>
      <c r="E84" s="388" t="s">
        <v>3255</v>
      </c>
      <c r="F84" s="389" t="s">
        <v>3182</v>
      </c>
      <c r="G84" s="389" t="s">
        <v>3183</v>
      </c>
      <c r="H84" s="390" t="s">
        <v>1660</v>
      </c>
      <c r="I84" s="391" t="s">
        <v>1660</v>
      </c>
      <c r="J84" s="353" t="s">
        <v>3184</v>
      </c>
      <c r="K84" s="356" t="s">
        <v>3189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3252</v>
      </c>
      <c r="B85" s="393" t="s">
        <v>3253</v>
      </c>
      <c r="C85" s="394" t="s">
        <v>3186</v>
      </c>
      <c r="D85" s="395" t="s">
        <v>3254</v>
      </c>
      <c r="E85" s="411" t="s">
        <v>3255</v>
      </c>
      <c r="F85" s="396" t="s">
        <v>3182</v>
      </c>
      <c r="G85" s="396" t="s">
        <v>3183</v>
      </c>
      <c r="H85" s="397" t="s">
        <v>1660</v>
      </c>
      <c r="I85" s="899" t="s">
        <v>1660</v>
      </c>
      <c r="J85" s="353" t="s">
        <v>3184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3256</v>
      </c>
      <c r="B86" s="526" t="s">
        <v>3257</v>
      </c>
      <c r="C86" s="527">
        <v>1</v>
      </c>
      <c r="D86" s="528" t="s">
        <v>3258</v>
      </c>
      <c r="E86" s="426" t="s">
        <v>3259</v>
      </c>
      <c r="F86" s="529" t="s">
        <v>3182</v>
      </c>
      <c r="G86" s="529" t="s">
        <v>3183</v>
      </c>
      <c r="H86" s="530" t="s">
        <v>1663</v>
      </c>
      <c r="I86" s="384" t="s">
        <v>1663</v>
      </c>
      <c r="J86" s="353" t="s">
        <v>3184</v>
      </c>
      <c r="K86" s="354" t="s">
        <v>3185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3256</v>
      </c>
      <c r="B87" s="386" t="s">
        <v>3257</v>
      </c>
      <c r="C87" s="352" t="s">
        <v>3186</v>
      </c>
      <c r="D87" s="387" t="s">
        <v>3258</v>
      </c>
      <c r="E87" s="388" t="s">
        <v>3259</v>
      </c>
      <c r="F87" s="389" t="s">
        <v>3182</v>
      </c>
      <c r="G87" s="389" t="s">
        <v>3183</v>
      </c>
      <c r="H87" s="390" t="s">
        <v>1663</v>
      </c>
      <c r="I87" s="391" t="s">
        <v>1663</v>
      </c>
      <c r="J87" s="353" t="s">
        <v>3184</v>
      </c>
      <c r="K87" s="353" t="s">
        <v>3187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3256</v>
      </c>
      <c r="B88" s="386" t="s">
        <v>3257</v>
      </c>
      <c r="C88" s="392" t="s">
        <v>3186</v>
      </c>
      <c r="D88" s="387" t="s">
        <v>3258</v>
      </c>
      <c r="E88" s="388" t="s">
        <v>3259</v>
      </c>
      <c r="F88" s="389" t="s">
        <v>3182</v>
      </c>
      <c r="G88" s="389" t="s">
        <v>3183</v>
      </c>
      <c r="H88" s="390" t="s">
        <v>1663</v>
      </c>
      <c r="I88" s="391" t="s">
        <v>1663</v>
      </c>
      <c r="J88" s="353" t="s">
        <v>3184</v>
      </c>
      <c r="K88" s="355" t="s">
        <v>3188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3256</v>
      </c>
      <c r="B89" s="386" t="s">
        <v>3257</v>
      </c>
      <c r="C89" s="392" t="s">
        <v>3186</v>
      </c>
      <c r="D89" s="387" t="s">
        <v>3258</v>
      </c>
      <c r="E89" s="388" t="s">
        <v>3259</v>
      </c>
      <c r="F89" s="389" t="s">
        <v>3182</v>
      </c>
      <c r="G89" s="389" t="s">
        <v>3183</v>
      </c>
      <c r="H89" s="390" t="s">
        <v>1663</v>
      </c>
      <c r="I89" s="391" t="s">
        <v>1663</v>
      </c>
      <c r="J89" s="353" t="s">
        <v>3184</v>
      </c>
      <c r="K89" s="356" t="s">
        <v>3189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x14ac:dyDescent="0.2">
      <c r="A90" s="898" t="s">
        <v>3256</v>
      </c>
      <c r="B90" s="393" t="s">
        <v>3257</v>
      </c>
      <c r="C90" s="394" t="s">
        <v>3186</v>
      </c>
      <c r="D90" s="395" t="s">
        <v>3258</v>
      </c>
      <c r="E90" s="411" t="s">
        <v>3259</v>
      </c>
      <c r="F90" s="396" t="s">
        <v>3182</v>
      </c>
      <c r="G90" s="396" t="s">
        <v>3183</v>
      </c>
      <c r="H90" s="397" t="s">
        <v>1663</v>
      </c>
      <c r="I90" s="899" t="s">
        <v>1663</v>
      </c>
      <c r="J90" s="353" t="s">
        <v>3184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">
      <c r="A91" s="5"/>
      <c r="B91" s="5"/>
      <c r="C91" s="6"/>
      <c r="D91" s="7"/>
      <c r="E91" s="7"/>
      <c r="F91" s="7"/>
      <c r="G91" s="6"/>
      <c r="H91" s="5"/>
      <c r="I91" s="79"/>
      <c r="J91" s="5"/>
      <c r="K91" s="5"/>
      <c r="L91" s="335"/>
      <c r="M91" s="336"/>
      <c r="N91" s="335"/>
      <c r="O91" s="336"/>
      <c r="P91" s="335"/>
      <c r="Q91" s="336"/>
      <c r="R91" s="335"/>
      <c r="S91" s="336"/>
      <c r="T91" s="335"/>
      <c r="U91" s="336"/>
      <c r="V91" s="335"/>
      <c r="W91" s="336"/>
      <c r="X91" s="335"/>
      <c r="Y91" s="336"/>
      <c r="Z91" s="335"/>
      <c r="AA91" s="336"/>
      <c r="AB91" s="335"/>
      <c r="AC91" s="336"/>
      <c r="AD91" s="335"/>
      <c r="AE91" s="336"/>
      <c r="AF91" s="335"/>
      <c r="AG91" s="336"/>
      <c r="AH91" s="335"/>
      <c r="AI91" s="336"/>
      <c r="AJ91" s="335"/>
      <c r="AK91" s="336"/>
      <c r="AL91" s="335"/>
      <c r="AM91" s="336"/>
      <c r="AN91" s="335"/>
      <c r="AO91" s="336"/>
      <c r="AP91" s="335"/>
      <c r="AQ91" s="336"/>
      <c r="AR91" s="335"/>
      <c r="AS91" s="336"/>
      <c r="AT91" s="335"/>
      <c r="AU91" s="336"/>
      <c r="AV91" s="335"/>
      <c r="AW91" s="336"/>
      <c r="AX91" s="335"/>
      <c r="AY91" s="336"/>
      <c r="AZ91" s="335"/>
      <c r="BA91" s="336"/>
      <c r="BB91" s="335"/>
      <c r="BC91" s="336"/>
      <c r="BD91" s="335"/>
      <c r="BE91" s="336"/>
      <c r="BF91" s="335"/>
      <c r="BG91" s="336"/>
      <c r="BH91" s="335"/>
      <c r="BI91" s="336"/>
      <c r="BJ91" s="335"/>
      <c r="BK91" s="336"/>
      <c r="BL91" s="335"/>
      <c r="BM91" s="336"/>
      <c r="BN91" s="335"/>
      <c r="BO91" s="336"/>
      <c r="BP91" s="335"/>
      <c r="BQ91" s="336"/>
      <c r="BR91" s="335"/>
      <c r="BS91" s="336"/>
      <c r="BT91" s="335"/>
      <c r="BU91" s="336"/>
      <c r="BV91" s="337"/>
      <c r="BW91" s="337"/>
    </row>
    <row r="92" spans="1:75" s="64" customFormat="1" ht="21.95" customHeight="1" x14ac:dyDescent="0.2">
      <c r="A92" s="5"/>
      <c r="B92" s="5"/>
      <c r="C92" s="6"/>
      <c r="D92" s="7"/>
      <c r="E92" s="7"/>
      <c r="F92" s="7"/>
      <c r="G92" s="6"/>
      <c r="H92" s="5"/>
      <c r="I92" s="79"/>
      <c r="J92" s="5"/>
      <c r="K92" s="5"/>
      <c r="L92" s="335">
        <f t="shared" ref="L92:BU92" si="37">SUM(L6:L91)</f>
        <v>0</v>
      </c>
      <c r="M92" s="335">
        <f t="shared" si="37"/>
        <v>0</v>
      </c>
      <c r="N92" s="335">
        <f t="shared" si="37"/>
        <v>0</v>
      </c>
      <c r="O92" s="335">
        <f t="shared" si="37"/>
        <v>0</v>
      </c>
      <c r="P92" s="335">
        <f t="shared" si="37"/>
        <v>0</v>
      </c>
      <c r="Q92" s="335">
        <f t="shared" si="37"/>
        <v>0</v>
      </c>
      <c r="R92" s="335">
        <f t="shared" si="37"/>
        <v>0</v>
      </c>
      <c r="S92" s="335">
        <f t="shared" si="37"/>
        <v>0</v>
      </c>
      <c r="T92" s="335">
        <f t="shared" si="37"/>
        <v>0</v>
      </c>
      <c r="U92" s="335">
        <f t="shared" si="37"/>
        <v>0</v>
      </c>
      <c r="V92" s="335">
        <f t="shared" si="37"/>
        <v>0</v>
      </c>
      <c r="W92" s="335">
        <f t="shared" si="37"/>
        <v>0</v>
      </c>
      <c r="X92" s="335">
        <f t="shared" si="37"/>
        <v>0</v>
      </c>
      <c r="Y92" s="335">
        <f t="shared" si="37"/>
        <v>0</v>
      </c>
      <c r="Z92" s="335">
        <f t="shared" si="37"/>
        <v>0</v>
      </c>
      <c r="AA92" s="335">
        <f t="shared" si="37"/>
        <v>0</v>
      </c>
      <c r="AB92" s="335">
        <f t="shared" si="37"/>
        <v>0</v>
      </c>
      <c r="AC92" s="335">
        <f t="shared" si="37"/>
        <v>0</v>
      </c>
      <c r="AD92" s="335">
        <f t="shared" si="37"/>
        <v>0</v>
      </c>
      <c r="AE92" s="335">
        <f t="shared" si="37"/>
        <v>0</v>
      </c>
      <c r="AF92" s="335">
        <f t="shared" si="37"/>
        <v>0</v>
      </c>
      <c r="AG92" s="335">
        <f t="shared" si="37"/>
        <v>0</v>
      </c>
      <c r="AH92" s="335">
        <f t="shared" si="37"/>
        <v>0</v>
      </c>
      <c r="AI92" s="335">
        <f t="shared" si="37"/>
        <v>0</v>
      </c>
      <c r="AJ92" s="335">
        <f t="shared" si="37"/>
        <v>0</v>
      </c>
      <c r="AK92" s="335">
        <f t="shared" si="37"/>
        <v>0</v>
      </c>
      <c r="AL92" s="335">
        <f t="shared" si="37"/>
        <v>0</v>
      </c>
      <c r="AM92" s="335">
        <f t="shared" si="37"/>
        <v>0</v>
      </c>
      <c r="AN92" s="335">
        <f t="shared" si="37"/>
        <v>0</v>
      </c>
      <c r="AO92" s="335">
        <f t="shared" si="37"/>
        <v>0</v>
      </c>
      <c r="AP92" s="335">
        <f t="shared" si="37"/>
        <v>0</v>
      </c>
      <c r="AQ92" s="335">
        <f t="shared" si="37"/>
        <v>0</v>
      </c>
      <c r="AR92" s="335">
        <f t="shared" si="37"/>
        <v>0</v>
      </c>
      <c r="AS92" s="335">
        <f t="shared" si="37"/>
        <v>0</v>
      </c>
      <c r="AT92" s="335">
        <f t="shared" si="37"/>
        <v>0</v>
      </c>
      <c r="AU92" s="335">
        <f t="shared" si="37"/>
        <v>0</v>
      </c>
      <c r="AV92" s="335">
        <f t="shared" si="37"/>
        <v>0</v>
      </c>
      <c r="AW92" s="335">
        <f t="shared" si="37"/>
        <v>0</v>
      </c>
      <c r="AX92" s="335">
        <f t="shared" si="37"/>
        <v>0</v>
      </c>
      <c r="AY92" s="335">
        <f t="shared" si="37"/>
        <v>0</v>
      </c>
      <c r="AZ92" s="335">
        <f t="shared" si="37"/>
        <v>0</v>
      </c>
      <c r="BA92" s="335">
        <f t="shared" si="37"/>
        <v>0</v>
      </c>
      <c r="BB92" s="335">
        <f t="shared" si="37"/>
        <v>0</v>
      </c>
      <c r="BC92" s="335">
        <f t="shared" si="37"/>
        <v>0</v>
      </c>
      <c r="BD92" s="335">
        <f t="shared" si="37"/>
        <v>0</v>
      </c>
      <c r="BE92" s="335">
        <f t="shared" si="37"/>
        <v>0</v>
      </c>
      <c r="BF92" s="335">
        <f t="shared" si="37"/>
        <v>0</v>
      </c>
      <c r="BG92" s="335">
        <f t="shared" si="37"/>
        <v>0</v>
      </c>
      <c r="BH92" s="335">
        <f t="shared" si="37"/>
        <v>0</v>
      </c>
      <c r="BI92" s="335">
        <f t="shared" si="37"/>
        <v>0</v>
      </c>
      <c r="BJ92" s="335">
        <f t="shared" si="37"/>
        <v>0</v>
      </c>
      <c r="BK92" s="335">
        <f t="shared" si="37"/>
        <v>0</v>
      </c>
      <c r="BL92" s="335">
        <f t="shared" si="37"/>
        <v>0</v>
      </c>
      <c r="BM92" s="335">
        <f t="shared" si="37"/>
        <v>0</v>
      </c>
      <c r="BN92" s="335">
        <f t="shared" si="37"/>
        <v>0</v>
      </c>
      <c r="BO92" s="335">
        <f t="shared" si="37"/>
        <v>0</v>
      </c>
      <c r="BP92" s="335">
        <f t="shared" si="37"/>
        <v>0</v>
      </c>
      <c r="BQ92" s="335">
        <f t="shared" si="37"/>
        <v>0</v>
      </c>
      <c r="BR92" s="335">
        <f t="shared" si="37"/>
        <v>0</v>
      </c>
      <c r="BS92" s="335">
        <f t="shared" si="37"/>
        <v>0</v>
      </c>
      <c r="BT92" s="335">
        <f t="shared" si="37"/>
        <v>0</v>
      </c>
      <c r="BU92" s="335">
        <f t="shared" si="37"/>
        <v>0</v>
      </c>
      <c r="BV92" s="335">
        <f>SUM(BV6:BV91)</f>
        <v>0</v>
      </c>
      <c r="BW92" s="335">
        <f>SUM(BW6:BW91)</f>
        <v>0</v>
      </c>
    </row>
    <row r="93" spans="1:75" ht="21.95" customHeight="1" x14ac:dyDescent="0.25">
      <c r="A93" s="332"/>
      <c r="L93" s="335"/>
      <c r="M93" s="336"/>
      <c r="N93" s="335"/>
      <c r="O93" s="336"/>
      <c r="P93" s="335"/>
      <c r="Q93" s="336"/>
      <c r="R93" s="335"/>
      <c r="S93" s="336"/>
      <c r="T93" s="335"/>
      <c r="U93" s="336"/>
      <c r="V93" s="335"/>
      <c r="W93" s="336"/>
      <c r="X93" s="335"/>
      <c r="Y93" s="336"/>
      <c r="Z93" s="335"/>
      <c r="AA93" s="336"/>
      <c r="AB93" s="335"/>
      <c r="AC93" s="336"/>
      <c r="AD93" s="335"/>
      <c r="AE93" s="336"/>
      <c r="AF93" s="335"/>
      <c r="AG93" s="336"/>
      <c r="AH93" s="335"/>
      <c r="AI93" s="336"/>
      <c r="AJ93" s="335"/>
      <c r="AK93" s="336"/>
      <c r="AL93" s="335"/>
      <c r="AM93" s="336"/>
      <c r="AN93" s="335"/>
      <c r="AO93" s="336"/>
      <c r="AP93" s="335"/>
      <c r="AQ93" s="336"/>
      <c r="AR93" s="335"/>
      <c r="AS93" s="336"/>
      <c r="AT93" s="335"/>
      <c r="AU93" s="336"/>
      <c r="AV93" s="335"/>
      <c r="AW93" s="336"/>
      <c r="AX93" s="335"/>
      <c r="AY93" s="336"/>
      <c r="AZ93" s="335"/>
      <c r="BA93" s="336"/>
      <c r="BB93" s="335"/>
      <c r="BC93" s="336"/>
      <c r="BD93" s="335"/>
      <c r="BE93" s="336"/>
      <c r="BF93" s="335"/>
      <c r="BG93" s="336"/>
      <c r="BH93" s="335"/>
      <c r="BI93" s="336"/>
      <c r="BJ93" s="335"/>
      <c r="BK93" s="336"/>
      <c r="BL93" s="335"/>
      <c r="BM93" s="336"/>
      <c r="BN93" s="335"/>
      <c r="BO93" s="336"/>
      <c r="BP93" s="335"/>
      <c r="BQ93" s="336"/>
      <c r="BR93" s="335"/>
      <c r="BS93" s="336"/>
      <c r="BT93" s="335"/>
      <c r="BU93" s="336"/>
      <c r="BV93" s="337"/>
      <c r="BW93" s="337"/>
    </row>
    <row r="94" spans="1:75" ht="21.95" customHeight="1" x14ac:dyDescent="0.2">
      <c r="A94" s="79"/>
      <c r="B94" s="79"/>
      <c r="C94" s="331"/>
      <c r="D94" s="333"/>
      <c r="E94" s="333"/>
      <c r="F94" s="333"/>
      <c r="G94" s="331"/>
      <c r="H94" s="79"/>
      <c r="J94" s="334"/>
      <c r="K94" s="79"/>
      <c r="L94" s="335"/>
      <c r="M94" s="335"/>
      <c r="N94" s="335"/>
      <c r="O94" s="335"/>
      <c r="P94" s="335"/>
      <c r="Q94" s="335"/>
      <c r="R94" s="335"/>
      <c r="S94" s="335"/>
      <c r="T94" s="335"/>
      <c r="U94" s="335"/>
      <c r="V94" s="335"/>
      <c r="W94" s="335"/>
      <c r="X94" s="335"/>
      <c r="Y94" s="335"/>
      <c r="Z94" s="335"/>
      <c r="AA94" s="335"/>
      <c r="AB94" s="335"/>
      <c r="AC94" s="335"/>
      <c r="AD94" s="335"/>
      <c r="AE94" s="335"/>
      <c r="AF94" s="335"/>
      <c r="AG94" s="335"/>
      <c r="AH94" s="335"/>
      <c r="AI94" s="335"/>
      <c r="AJ94" s="335"/>
      <c r="AK94" s="335"/>
      <c r="AL94" s="335"/>
      <c r="AM94" s="335"/>
      <c r="AN94" s="335"/>
      <c r="AO94" s="335"/>
      <c r="AP94" s="335"/>
      <c r="AQ94" s="335"/>
      <c r="AR94" s="335"/>
      <c r="AS94" s="335"/>
      <c r="AT94" s="335"/>
      <c r="AU94" s="335"/>
      <c r="AV94" s="335"/>
      <c r="AW94" s="335"/>
      <c r="AX94" s="335"/>
      <c r="AY94" s="335"/>
      <c r="AZ94" s="335"/>
      <c r="BA94" s="335"/>
      <c r="BB94" s="335"/>
      <c r="BC94" s="335"/>
      <c r="BD94" s="335"/>
      <c r="BE94" s="335"/>
      <c r="BF94" s="335"/>
      <c r="BG94" s="335"/>
      <c r="BH94" s="335"/>
      <c r="BI94" s="335"/>
      <c r="BJ94" s="335"/>
      <c r="BK94" s="335"/>
      <c r="BL94" s="335"/>
      <c r="BM94" s="335"/>
      <c r="BN94" s="335"/>
      <c r="BO94" s="335"/>
      <c r="BP94" s="335"/>
      <c r="BQ94" s="335"/>
      <c r="BR94" s="335"/>
      <c r="BS94" s="335"/>
      <c r="BT94" s="335"/>
      <c r="BU9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91:I92">
    <cfRule type="expression" dxfId="253" priority="161717">
      <formula>C92="CSE"</formula>
    </cfRule>
    <cfRule type="expression" dxfId="252" priority="161718">
      <formula>C92="CSC"</formula>
    </cfRule>
    <cfRule type="expression" dxfId="251" priority="163513">
      <formula>C92="CSE"</formula>
    </cfRule>
    <cfRule type="expression" dxfId="250" priority="163514">
      <formula>C92="CSC"</formula>
    </cfRule>
  </conditionalFormatting>
  <conditionalFormatting sqref="I91:I92">
    <cfRule type="expression" dxfId="249" priority="161715">
      <formula>C91="CSE"</formula>
    </cfRule>
    <cfRule type="expression" dxfId="248" priority="161716">
      <formula>C91="CSC"</formula>
    </cfRule>
    <cfRule type="expression" dxfId="247" priority="163511">
      <formula>C91="CSE"</formula>
    </cfRule>
    <cfRule type="expression" dxfId="246" priority="163512">
      <formula>C91="CSC"</formula>
    </cfRule>
  </conditionalFormatting>
  <conditionalFormatting sqref="J91:J92">
    <cfRule type="cellIs" dxfId="245" priority="161677" operator="equal">
      <formula>"CRECHE"</formula>
    </cfRule>
    <cfRule type="cellIs" dxfId="244" priority="161678" operator="equal">
      <formula>"ADAPTADO"</formula>
    </cfRule>
    <cfRule type="cellIs" dxfId="243" priority="161705" operator="equal">
      <formula>"CRECHE"</formula>
    </cfRule>
    <cfRule type="cellIs" dxfId="242" priority="161706" operator="equal">
      <formula>"ADAPTADO"</formula>
    </cfRule>
  </conditionalFormatting>
  <conditionalFormatting sqref="J91:K92">
    <cfRule type="expression" dxfId="241" priority="161703" stopIfTrue="1">
      <formula>NOT(ISERROR(SEARCH("NORMAL",J91)))</formula>
    </cfRule>
    <cfRule type="expression" dxfId="240" priority="161704" stopIfTrue="1">
      <formula>NOT(ISERROR(SEARCH("ADAPTADO",J91)))</formula>
    </cfRule>
    <cfRule type="expression" dxfId="239" priority="163552" stopIfTrue="1">
      <formula>NOT(ISERROR(SEARCH("NORMAL",J91)))</formula>
    </cfRule>
    <cfRule type="expression" dxfId="238" priority="163553" stopIfTrue="1">
      <formula>NOT(ISERROR(SEARCH("ADAPTADO",J91)))</formula>
    </cfRule>
  </conditionalFormatting>
  <conditionalFormatting sqref="L91:BU91">
    <cfRule type="cellIs" dxfId="237" priority="161701" operator="lessThan">
      <formula>0</formula>
    </cfRule>
    <cfRule type="cellIs" dxfId="236" priority="161702" operator="greaterThan">
      <formula>0</formula>
    </cfRule>
  </conditionalFormatting>
  <conditionalFormatting sqref="I91:I92">
    <cfRule type="expression" dxfId="235" priority="161673">
      <formula>C92="CSE"</formula>
    </cfRule>
    <cfRule type="expression" dxfId="234" priority="161674">
      <formula>C92="CSC"</formula>
    </cfRule>
    <cfRule type="expression" dxfId="233" priority="161675">
      <formula>C92="CSE"</formula>
    </cfRule>
    <cfRule type="expression" dxfId="232" priority="161676">
      <formula>C92="CSC"</formula>
    </cfRule>
  </conditionalFormatting>
  <conditionalFormatting sqref="I91:I92">
    <cfRule type="expression" dxfId="231" priority="161669">
      <formula>C91="CSE"</formula>
    </cfRule>
    <cfRule type="expression" dxfId="230" priority="161670">
      <formula>C91="CSC"</formula>
    </cfRule>
    <cfRule type="expression" dxfId="229" priority="161671">
      <formula>C91="CSE"</formula>
    </cfRule>
    <cfRule type="expression" dxfId="228" priority="161672">
      <formula>C91="CSC"</formula>
    </cfRule>
  </conditionalFormatting>
  <conditionalFormatting sqref="J91:J92">
    <cfRule type="cellIs" dxfId="227" priority="161667" operator="equal">
      <formula>"CRECHE"</formula>
    </cfRule>
    <cfRule type="cellIs" dxfId="226" priority="161668" operator="equal">
      <formula>"ADAPTADO"</formula>
    </cfRule>
  </conditionalFormatting>
  <conditionalFormatting sqref="J91:J92">
    <cfRule type="cellIs" dxfId="225" priority="161663" operator="equal">
      <formula>"CRECHE"</formula>
    </cfRule>
    <cfRule type="cellIs" dxfId="224" priority="161664" operator="equal">
      <formula>"ADAPTADO"</formula>
    </cfRule>
    <cfRule type="cellIs" dxfId="223" priority="161665" operator="equal">
      <formula>"CRECHE"</formula>
    </cfRule>
    <cfRule type="cellIs" dxfId="222" priority="161666" operator="equal">
      <formula>"ADAPTADO"</formula>
    </cfRule>
  </conditionalFormatting>
  <conditionalFormatting sqref="J91:K92">
    <cfRule type="expression" dxfId="221" priority="161659">
      <formula>NOT(ISERROR(SEARCH("NORMAL",J91)))</formula>
    </cfRule>
    <cfRule type="expression" dxfId="220" priority="161660">
      <formula>NOT(ISERROR(SEARCH("ADAPTADO",J91)))</formula>
    </cfRule>
    <cfRule type="expression" dxfId="219" priority="161661">
      <formula>NOT(ISERROR(SEARCH("NORMAL",J91)))</formula>
    </cfRule>
    <cfRule type="expression" dxfId="218" priority="161662">
      <formula>NOT(ISERROR(SEARCH("ADAPTADO",J91)))</formula>
    </cfRule>
  </conditionalFormatting>
  <conditionalFormatting sqref="I91:I92">
    <cfRule type="expression" dxfId="217" priority="117814">
      <formula>C92="CSC"</formula>
    </cfRule>
  </conditionalFormatting>
  <conditionalFormatting sqref="I91:I92">
    <cfRule type="expression" dxfId="216" priority="117813">
      <formula>C92="CSE"</formula>
    </cfRule>
  </conditionalFormatting>
  <conditionalFormatting sqref="I91:I92">
    <cfRule type="expression" dxfId="215" priority="117812">
      <formula>C91="CSC"</formula>
    </cfRule>
  </conditionalFormatting>
  <conditionalFormatting sqref="I91:I92">
    <cfRule type="expression" dxfId="214" priority="117791">
      <formula>C91="CSE"</formula>
    </cfRule>
  </conditionalFormatting>
  <conditionalFormatting sqref="J91:J92">
    <cfRule type="cellIs" dxfId="213" priority="117789" operator="equal">
      <formula>"CRECHE"</formula>
    </cfRule>
    <cfRule type="cellIs" dxfId="212" priority="117790" operator="equal">
      <formula>"ADAPTADO"</formula>
    </cfRule>
  </conditionalFormatting>
  <conditionalFormatting sqref="J91:K92">
    <cfRule type="expression" dxfId="211" priority="117783" stopIfTrue="1">
      <formula>NOT(ISERROR(SEARCH("NORMAL",J91)))</formula>
    </cfRule>
    <cfRule type="expression" dxfId="210" priority="117784" stopIfTrue="1">
      <formula>NOT(ISERROR(SEARCH("ADAPTADO",J91)))</formula>
    </cfRule>
  </conditionalFormatting>
  <conditionalFormatting sqref="L6:BU6 L10:BU11 L15:BU16 L20:BU21 L25:BU26 L30:BU31 L35:BU36 L40:BU41 L45:BU46 L50:BU51 L55:BU56 L60:BU61 L65:BU66 L70:BU71 L75:BU76 L80:BU81 L85:BU86 L90:BU90">
    <cfRule type="cellIs" dxfId="209" priority="56375" operator="lessThan">
      <formula>0</formula>
    </cfRule>
    <cfRule type="cellIs" dxfId="208" priority="56376" operator="greaterThan">
      <formula>0</formula>
    </cfRule>
  </conditionalFormatting>
  <conditionalFormatting sqref="I6:I90">
    <cfRule type="expression" dxfId="207" priority="181">
      <formula>C7="CSE"</formula>
    </cfRule>
    <cfRule type="expression" dxfId="206" priority="182">
      <formula>C7="CSC"</formula>
    </cfRule>
    <cfRule type="expression" dxfId="205" priority="183">
      <formula>C7="CSE"</formula>
    </cfRule>
    <cfRule type="expression" dxfId="204" priority="184">
      <formula>C7="CSC"</formula>
    </cfRule>
  </conditionalFormatting>
  <conditionalFormatting sqref="I10">
    <cfRule type="expression" dxfId="203" priority="173">
      <formula>C10="CSE"</formula>
    </cfRule>
    <cfRule type="expression" dxfId="202" priority="174">
      <formula>C10="CSC"</formula>
    </cfRule>
    <cfRule type="expression" dxfId="201" priority="175">
      <formula>C10="CSE"</formula>
    </cfRule>
    <cfRule type="expression" dxfId="200" priority="176">
      <formula>C10="CSC"</formula>
    </cfRule>
    <cfRule type="expression" dxfId="199" priority="177">
      <formula>C10="CSE"</formula>
    </cfRule>
    <cfRule type="expression" dxfId="198" priority="178">
      <formula>C10="CSC"</formula>
    </cfRule>
    <cfRule type="expression" dxfId="197" priority="179">
      <formula>C10="CSE"</formula>
    </cfRule>
    <cfRule type="expression" dxfId="196" priority="180">
      <formula>C10="CSC"</formula>
    </cfRule>
  </conditionalFormatting>
  <conditionalFormatting sqref="I15">
    <cfRule type="expression" dxfId="195" priority="165">
      <formula>C15="CSE"</formula>
    </cfRule>
    <cfRule type="expression" dxfId="194" priority="166">
      <formula>C15="CSC"</formula>
    </cfRule>
    <cfRule type="expression" dxfId="193" priority="167">
      <formula>C15="CSE"</formula>
    </cfRule>
    <cfRule type="expression" dxfId="192" priority="168">
      <formula>C15="CSC"</formula>
    </cfRule>
    <cfRule type="expression" dxfId="191" priority="169">
      <formula>C15="CSE"</formula>
    </cfRule>
    <cfRule type="expression" dxfId="190" priority="170">
      <formula>C15="CSC"</formula>
    </cfRule>
    <cfRule type="expression" dxfId="189" priority="171">
      <formula>C15="CSE"</formula>
    </cfRule>
    <cfRule type="expression" dxfId="188" priority="172">
      <formula>C15="CSC"</formula>
    </cfRule>
  </conditionalFormatting>
  <conditionalFormatting sqref="I20">
    <cfRule type="expression" dxfId="187" priority="157">
      <formula>C20="CSE"</formula>
    </cfRule>
    <cfRule type="expression" dxfId="186" priority="158">
      <formula>C20="CSC"</formula>
    </cfRule>
    <cfRule type="expression" dxfId="185" priority="159">
      <formula>C20="CSE"</formula>
    </cfRule>
    <cfRule type="expression" dxfId="184" priority="160">
      <formula>C20="CSC"</formula>
    </cfRule>
    <cfRule type="expression" dxfId="183" priority="161">
      <formula>C20="CSE"</formula>
    </cfRule>
    <cfRule type="expression" dxfId="182" priority="162">
      <formula>C20="CSC"</formula>
    </cfRule>
    <cfRule type="expression" dxfId="181" priority="163">
      <formula>C20="CSE"</formula>
    </cfRule>
    <cfRule type="expression" dxfId="180" priority="164">
      <formula>C20="CSC"</formula>
    </cfRule>
  </conditionalFormatting>
  <conditionalFormatting sqref="I25">
    <cfRule type="expression" dxfId="179" priority="149">
      <formula>C25="CSE"</formula>
    </cfRule>
    <cfRule type="expression" dxfId="178" priority="150">
      <formula>C25="CSC"</formula>
    </cfRule>
    <cfRule type="expression" dxfId="177" priority="151">
      <formula>C25="CSE"</formula>
    </cfRule>
    <cfRule type="expression" dxfId="176" priority="152">
      <formula>C25="CSC"</formula>
    </cfRule>
    <cfRule type="expression" dxfId="175" priority="153">
      <formula>C25="CSE"</formula>
    </cfRule>
    <cfRule type="expression" dxfId="174" priority="154">
      <formula>C25="CSC"</formula>
    </cfRule>
    <cfRule type="expression" dxfId="173" priority="155">
      <formula>C25="CSE"</formula>
    </cfRule>
    <cfRule type="expression" dxfId="172" priority="156">
      <formula>C25="CSC"</formula>
    </cfRule>
  </conditionalFormatting>
  <conditionalFormatting sqref="I30">
    <cfRule type="expression" dxfId="171" priority="141">
      <formula>C30="CSE"</formula>
    </cfRule>
    <cfRule type="expression" dxfId="170" priority="142">
      <formula>C30="CSC"</formula>
    </cfRule>
    <cfRule type="expression" dxfId="169" priority="143">
      <formula>C30="CSE"</formula>
    </cfRule>
    <cfRule type="expression" dxfId="168" priority="144">
      <formula>C30="CSC"</formula>
    </cfRule>
    <cfRule type="expression" dxfId="167" priority="145">
      <formula>C30="CSE"</formula>
    </cfRule>
    <cfRule type="expression" dxfId="166" priority="146">
      <formula>C30="CSC"</formula>
    </cfRule>
    <cfRule type="expression" dxfId="165" priority="147">
      <formula>C30="CSE"</formula>
    </cfRule>
    <cfRule type="expression" dxfId="164" priority="148">
      <formula>C30="CSC"</formula>
    </cfRule>
  </conditionalFormatting>
  <conditionalFormatting sqref="I35">
    <cfRule type="expression" dxfId="163" priority="133">
      <formula>C35="CSE"</formula>
    </cfRule>
    <cfRule type="expression" dxfId="162" priority="134">
      <formula>C35="CSC"</formula>
    </cfRule>
    <cfRule type="expression" dxfId="161" priority="135">
      <formula>C35="CSE"</formula>
    </cfRule>
    <cfRule type="expression" dxfId="160" priority="136">
      <formula>C35="CSC"</formula>
    </cfRule>
    <cfRule type="expression" dxfId="159" priority="137">
      <formula>C35="CSE"</formula>
    </cfRule>
    <cfRule type="expression" dxfId="158" priority="138">
      <formula>C35="CSC"</formula>
    </cfRule>
    <cfRule type="expression" dxfId="157" priority="139">
      <formula>C35="CSE"</formula>
    </cfRule>
    <cfRule type="expression" dxfId="156" priority="140">
      <formula>C35="CSC"</formula>
    </cfRule>
  </conditionalFormatting>
  <conditionalFormatting sqref="I40">
    <cfRule type="expression" dxfId="155" priority="125">
      <formula>C40="CSE"</formula>
    </cfRule>
    <cfRule type="expression" dxfId="154" priority="126">
      <formula>C40="CSC"</formula>
    </cfRule>
    <cfRule type="expression" dxfId="153" priority="127">
      <formula>C40="CSE"</formula>
    </cfRule>
    <cfRule type="expression" dxfId="152" priority="128">
      <formula>C40="CSC"</formula>
    </cfRule>
    <cfRule type="expression" dxfId="151" priority="129">
      <formula>C40="CSE"</formula>
    </cfRule>
    <cfRule type="expression" dxfId="150" priority="130">
      <formula>C40="CSC"</formula>
    </cfRule>
    <cfRule type="expression" dxfId="149" priority="131">
      <formula>C40="CSE"</formula>
    </cfRule>
    <cfRule type="expression" dxfId="148" priority="132">
      <formula>C40="CSC"</formula>
    </cfRule>
  </conditionalFormatting>
  <conditionalFormatting sqref="I45">
    <cfRule type="expression" dxfId="147" priority="117">
      <formula>C45="CSE"</formula>
    </cfRule>
    <cfRule type="expression" dxfId="146" priority="118">
      <formula>C45="CSC"</formula>
    </cfRule>
    <cfRule type="expression" dxfId="145" priority="119">
      <formula>C45="CSE"</formula>
    </cfRule>
    <cfRule type="expression" dxfId="144" priority="120">
      <formula>C45="CSC"</formula>
    </cfRule>
    <cfRule type="expression" dxfId="143" priority="121">
      <formula>C45="CSE"</formula>
    </cfRule>
    <cfRule type="expression" dxfId="142" priority="122">
      <formula>C45="CSC"</formula>
    </cfRule>
    <cfRule type="expression" dxfId="141" priority="123">
      <formula>C45="CSE"</formula>
    </cfRule>
    <cfRule type="expression" dxfId="140" priority="124">
      <formula>C45="CSC"</formula>
    </cfRule>
  </conditionalFormatting>
  <conditionalFormatting sqref="I50">
    <cfRule type="expression" dxfId="139" priority="109">
      <formula>C50="CSE"</formula>
    </cfRule>
    <cfRule type="expression" dxfId="138" priority="110">
      <formula>C50="CSC"</formula>
    </cfRule>
    <cfRule type="expression" dxfId="137" priority="111">
      <formula>C50="CSE"</formula>
    </cfRule>
    <cfRule type="expression" dxfId="136" priority="112">
      <formula>C50="CSC"</formula>
    </cfRule>
    <cfRule type="expression" dxfId="135" priority="113">
      <formula>C50="CSE"</formula>
    </cfRule>
    <cfRule type="expression" dxfId="134" priority="114">
      <formula>C50="CSC"</formula>
    </cfRule>
    <cfRule type="expression" dxfId="133" priority="115">
      <formula>C50="CSE"</formula>
    </cfRule>
    <cfRule type="expression" dxfId="132" priority="116">
      <formula>C50="CSC"</formula>
    </cfRule>
  </conditionalFormatting>
  <conditionalFormatting sqref="I55">
    <cfRule type="expression" dxfId="131" priority="101">
      <formula>C55="CSE"</formula>
    </cfRule>
    <cfRule type="expression" dxfId="130" priority="102">
      <formula>C55="CSC"</formula>
    </cfRule>
    <cfRule type="expression" dxfId="129" priority="103">
      <formula>C55="CSE"</formula>
    </cfRule>
    <cfRule type="expression" dxfId="128" priority="104">
      <formula>C55="CSC"</formula>
    </cfRule>
    <cfRule type="expression" dxfId="127" priority="105">
      <formula>C55="CSE"</formula>
    </cfRule>
    <cfRule type="expression" dxfId="126" priority="106">
      <formula>C55="CSC"</formula>
    </cfRule>
    <cfRule type="expression" dxfId="125" priority="107">
      <formula>C55="CSE"</formula>
    </cfRule>
    <cfRule type="expression" dxfId="124" priority="108">
      <formula>C55="CSC"</formula>
    </cfRule>
  </conditionalFormatting>
  <conditionalFormatting sqref="I60">
    <cfRule type="expression" dxfId="123" priority="93">
      <formula>C60="CSE"</formula>
    </cfRule>
    <cfRule type="expression" dxfId="122" priority="94">
      <formula>C60="CSC"</formula>
    </cfRule>
    <cfRule type="expression" dxfId="121" priority="95">
      <formula>C60="CSE"</formula>
    </cfRule>
    <cfRule type="expression" dxfId="120" priority="96">
      <formula>C60="CSC"</formula>
    </cfRule>
    <cfRule type="expression" dxfId="119" priority="97">
      <formula>C60="CSE"</formula>
    </cfRule>
    <cfRule type="expression" dxfId="118" priority="98">
      <formula>C60="CSC"</formula>
    </cfRule>
    <cfRule type="expression" dxfId="117" priority="99">
      <formula>C60="CSE"</formula>
    </cfRule>
    <cfRule type="expression" dxfId="116" priority="100">
      <formula>C60="CSC"</formula>
    </cfRule>
  </conditionalFormatting>
  <conditionalFormatting sqref="I65">
    <cfRule type="expression" dxfId="115" priority="85">
      <formula>C65="CSE"</formula>
    </cfRule>
    <cfRule type="expression" dxfId="114" priority="86">
      <formula>C65="CSC"</formula>
    </cfRule>
    <cfRule type="expression" dxfId="113" priority="87">
      <formula>C65="CSE"</formula>
    </cfRule>
    <cfRule type="expression" dxfId="112" priority="88">
      <formula>C65="CSC"</formula>
    </cfRule>
    <cfRule type="expression" dxfId="111" priority="89">
      <formula>C65="CSE"</formula>
    </cfRule>
    <cfRule type="expression" dxfId="110" priority="90">
      <formula>C65="CSC"</formula>
    </cfRule>
    <cfRule type="expression" dxfId="109" priority="91">
      <formula>C65="CSE"</formula>
    </cfRule>
    <cfRule type="expression" dxfId="108" priority="92">
      <formula>C65="CSC"</formula>
    </cfRule>
  </conditionalFormatting>
  <conditionalFormatting sqref="I70">
    <cfRule type="expression" dxfId="107" priority="77">
      <formula>C70="CSE"</formula>
    </cfRule>
    <cfRule type="expression" dxfId="106" priority="78">
      <formula>C70="CSC"</formula>
    </cfRule>
    <cfRule type="expression" dxfId="105" priority="79">
      <formula>C70="CSE"</formula>
    </cfRule>
    <cfRule type="expression" dxfId="104" priority="80">
      <formula>C70="CSC"</formula>
    </cfRule>
    <cfRule type="expression" dxfId="103" priority="81">
      <formula>C70="CSE"</formula>
    </cfRule>
    <cfRule type="expression" dxfId="102" priority="82">
      <formula>C70="CSC"</formula>
    </cfRule>
    <cfRule type="expression" dxfId="101" priority="83">
      <formula>C70="CSE"</formula>
    </cfRule>
    <cfRule type="expression" dxfId="100" priority="84">
      <formula>C70="CSC"</formula>
    </cfRule>
  </conditionalFormatting>
  <conditionalFormatting sqref="I75">
    <cfRule type="expression" dxfId="99" priority="69">
      <formula>C75="CSE"</formula>
    </cfRule>
    <cfRule type="expression" dxfId="98" priority="70">
      <formula>C75="CSC"</formula>
    </cfRule>
    <cfRule type="expression" dxfId="97" priority="71">
      <formula>C75="CSE"</formula>
    </cfRule>
    <cfRule type="expression" dxfId="96" priority="72">
      <formula>C75="CSC"</formula>
    </cfRule>
    <cfRule type="expression" dxfId="95" priority="73">
      <formula>C75="CSE"</formula>
    </cfRule>
    <cfRule type="expression" dxfId="94" priority="74">
      <formula>C75="CSC"</formula>
    </cfRule>
    <cfRule type="expression" dxfId="93" priority="75">
      <formula>C75="CSE"</formula>
    </cfRule>
    <cfRule type="expression" dxfId="92" priority="76">
      <formula>C75="CSC"</formula>
    </cfRule>
  </conditionalFormatting>
  <conditionalFormatting sqref="I80">
    <cfRule type="expression" dxfId="91" priority="61">
      <formula>C80="CSE"</formula>
    </cfRule>
    <cfRule type="expression" dxfId="90" priority="62">
      <formula>C80="CSC"</formula>
    </cfRule>
    <cfRule type="expression" dxfId="89" priority="63">
      <formula>C80="CSE"</formula>
    </cfRule>
    <cfRule type="expression" dxfId="88" priority="64">
      <formula>C80="CSC"</formula>
    </cfRule>
    <cfRule type="expression" dxfId="87" priority="65">
      <formula>C80="CSE"</formula>
    </cfRule>
    <cfRule type="expression" dxfId="86" priority="66">
      <formula>C80="CSC"</formula>
    </cfRule>
    <cfRule type="expression" dxfId="85" priority="67">
      <formula>C80="CSE"</formula>
    </cfRule>
    <cfRule type="expression" dxfId="84" priority="68">
      <formula>C80="CSC"</formula>
    </cfRule>
  </conditionalFormatting>
  <conditionalFormatting sqref="I85">
    <cfRule type="expression" dxfId="83" priority="53">
      <formula>C85="CSE"</formula>
    </cfRule>
    <cfRule type="expression" dxfId="82" priority="54">
      <formula>C85="CSC"</formula>
    </cfRule>
    <cfRule type="expression" dxfId="81" priority="55">
      <formula>C85="CSE"</formula>
    </cfRule>
    <cfRule type="expression" dxfId="80" priority="56">
      <formula>C85="CSC"</formula>
    </cfRule>
    <cfRule type="expression" dxfId="79" priority="57">
      <formula>C85="CSE"</formula>
    </cfRule>
    <cfRule type="expression" dxfId="78" priority="58">
      <formula>C85="CSC"</formula>
    </cfRule>
    <cfRule type="expression" dxfId="77" priority="59">
      <formula>C85="CSE"</formula>
    </cfRule>
    <cfRule type="expression" dxfId="76" priority="60">
      <formula>C85="CSC"</formula>
    </cfRule>
  </conditionalFormatting>
  <conditionalFormatting sqref="I90">
    <cfRule type="expression" dxfId="75" priority="45">
      <formula>C90="CSE"</formula>
    </cfRule>
    <cfRule type="expression" dxfId="74" priority="46">
      <formula>C90="CSC"</formula>
    </cfRule>
    <cfRule type="expression" dxfId="73" priority="47">
      <formula>C90="CSE"</formula>
    </cfRule>
    <cfRule type="expression" dxfId="72" priority="48">
      <formula>C90="CSC"</formula>
    </cfRule>
    <cfRule type="expression" dxfId="71" priority="49">
      <formula>C90="CSE"</formula>
    </cfRule>
    <cfRule type="expression" dxfId="70" priority="50">
      <formula>C90="CSC"</formula>
    </cfRule>
    <cfRule type="expression" dxfId="69" priority="51">
      <formula>C90="CSE"</formula>
    </cfRule>
    <cfRule type="expression" dxfId="68" priority="52">
      <formula>C90="CSC"</formula>
    </cfRule>
  </conditionalFormatting>
  <conditionalFormatting sqref="J6:J90">
    <cfRule type="cellIs" dxfId="67" priority="39" operator="equal">
      <formula>"CRECHE"</formula>
    </cfRule>
    <cfRule type="cellIs" dxfId="66" priority="40" operator="equal">
      <formula>"ADAPTADO"</formula>
    </cfRule>
    <cfRule type="cellIs" dxfId="65" priority="41" operator="equal">
      <formula>"CRECHE"</formula>
    </cfRule>
    <cfRule type="cellIs" dxfId="64" priority="42" operator="equal">
      <formula>"ADAPTADO"</formula>
    </cfRule>
    <cfRule type="cellIs" dxfId="63" priority="43" operator="equal">
      <formula>"CRECHE"</formula>
    </cfRule>
    <cfRule type="cellIs" dxfId="62" priority="44" operator="equal">
      <formula>"ADAPTADO"</formula>
    </cfRule>
  </conditionalFormatting>
  <conditionalFormatting sqref="J6:K10">
    <cfRule type="expression" dxfId="61" priority="35">
      <formula>NOT(ISERROR(SEARCH("NORMAL",J6)))</formula>
    </cfRule>
    <cfRule type="expression" dxfId="60" priority="36">
      <formula>NOT(ISERROR(SEARCH("ADAPTADO",J6)))</formula>
    </cfRule>
    <cfRule type="expression" dxfId="59" priority="37">
      <formula>NOT(ISERROR(SEARCH("NORMAL",J6)))</formula>
    </cfRule>
    <cfRule type="expression" dxfId="58" priority="38">
      <formula>NOT(ISERROR(SEARCH("ADAPTADO",J6)))</formula>
    </cfRule>
  </conditionalFormatting>
  <conditionalFormatting sqref="J11:K15">
    <cfRule type="expression" dxfId="57" priority="33">
      <formula>NOT(ISERROR(SEARCH("NORMAL",J11)))</formula>
    </cfRule>
    <cfRule type="expression" dxfId="56" priority="34">
      <formula>NOT(ISERROR(SEARCH("ADAPTADO",J11)))</formula>
    </cfRule>
  </conditionalFormatting>
  <conditionalFormatting sqref="J11:K20">
    <cfRule type="expression" dxfId="55" priority="31">
      <formula>NOT(ISERROR(SEARCH("NORMAL",J11)))</formula>
    </cfRule>
    <cfRule type="expression" dxfId="54" priority="32">
      <formula>NOT(ISERROR(SEARCH("ADAPTADO",J11)))</formula>
    </cfRule>
  </conditionalFormatting>
  <conditionalFormatting sqref="J16:K25">
    <cfRule type="expression" dxfId="53" priority="29">
      <formula>NOT(ISERROR(SEARCH("NORMAL",J16)))</formula>
    </cfRule>
    <cfRule type="expression" dxfId="52" priority="30">
      <formula>NOT(ISERROR(SEARCH("ADAPTADO",J16)))</formula>
    </cfRule>
  </conditionalFormatting>
  <conditionalFormatting sqref="J21:K30">
    <cfRule type="expression" dxfId="51" priority="27">
      <formula>NOT(ISERROR(SEARCH("NORMAL",J21)))</formula>
    </cfRule>
    <cfRule type="expression" dxfId="50" priority="28">
      <formula>NOT(ISERROR(SEARCH("ADAPTADO",J21)))</formula>
    </cfRule>
  </conditionalFormatting>
  <conditionalFormatting sqref="J26:K35">
    <cfRule type="expression" dxfId="49" priority="25">
      <formula>NOT(ISERROR(SEARCH("NORMAL",J26)))</formula>
    </cfRule>
    <cfRule type="expression" dxfId="48" priority="26">
      <formula>NOT(ISERROR(SEARCH("ADAPTADO",J26)))</formula>
    </cfRule>
  </conditionalFormatting>
  <conditionalFormatting sqref="J31:K40">
    <cfRule type="expression" dxfId="47" priority="23">
      <formula>NOT(ISERROR(SEARCH("NORMAL",J31)))</formula>
    </cfRule>
    <cfRule type="expression" dxfId="46" priority="24">
      <formula>NOT(ISERROR(SEARCH("ADAPTADO",J31)))</formula>
    </cfRule>
  </conditionalFormatting>
  <conditionalFormatting sqref="J36:K45">
    <cfRule type="expression" dxfId="45" priority="21">
      <formula>NOT(ISERROR(SEARCH("NORMAL",J36)))</formula>
    </cfRule>
    <cfRule type="expression" dxfId="44" priority="22">
      <formula>NOT(ISERROR(SEARCH("ADAPTADO",J36)))</formula>
    </cfRule>
  </conditionalFormatting>
  <conditionalFormatting sqref="J41:K50">
    <cfRule type="expression" dxfId="43" priority="19">
      <formula>NOT(ISERROR(SEARCH("NORMAL",J41)))</formula>
    </cfRule>
    <cfRule type="expression" dxfId="42" priority="20">
      <formula>NOT(ISERROR(SEARCH("ADAPTADO",J41)))</formula>
    </cfRule>
  </conditionalFormatting>
  <conditionalFormatting sqref="J46:K55">
    <cfRule type="expression" dxfId="41" priority="17">
      <formula>NOT(ISERROR(SEARCH("NORMAL",J46)))</formula>
    </cfRule>
    <cfRule type="expression" dxfId="40" priority="18">
      <formula>NOT(ISERROR(SEARCH("ADAPTADO",J46)))</formula>
    </cfRule>
  </conditionalFormatting>
  <conditionalFormatting sqref="J51:K60">
    <cfRule type="expression" dxfId="39" priority="15">
      <formula>NOT(ISERROR(SEARCH("NORMAL",J51)))</formula>
    </cfRule>
    <cfRule type="expression" dxfId="38" priority="16">
      <formula>NOT(ISERROR(SEARCH("ADAPTADO",J51)))</formula>
    </cfRule>
  </conditionalFormatting>
  <conditionalFormatting sqref="J56:K65">
    <cfRule type="expression" dxfId="37" priority="13">
      <formula>NOT(ISERROR(SEARCH("NORMAL",J56)))</formula>
    </cfRule>
    <cfRule type="expression" dxfId="36" priority="14">
      <formula>NOT(ISERROR(SEARCH("ADAPTADO",J56)))</formula>
    </cfRule>
  </conditionalFormatting>
  <conditionalFormatting sqref="J61:K70">
    <cfRule type="expression" dxfId="35" priority="11">
      <formula>NOT(ISERROR(SEARCH("NORMAL",J61)))</formula>
    </cfRule>
    <cfRule type="expression" dxfId="34" priority="12">
      <formula>NOT(ISERROR(SEARCH("ADAPTADO",J61)))</formula>
    </cfRule>
  </conditionalFormatting>
  <conditionalFormatting sqref="J66:K75">
    <cfRule type="expression" dxfId="33" priority="9">
      <formula>NOT(ISERROR(SEARCH("NORMAL",J66)))</formula>
    </cfRule>
    <cfRule type="expression" dxfId="32" priority="10">
      <formula>NOT(ISERROR(SEARCH("ADAPTADO",J66)))</formula>
    </cfRule>
  </conditionalFormatting>
  <conditionalFormatting sqref="J71:K80">
    <cfRule type="expression" dxfId="31" priority="7">
      <formula>NOT(ISERROR(SEARCH("NORMAL",J71)))</formula>
    </cfRule>
    <cfRule type="expression" dxfId="30" priority="8">
      <formula>NOT(ISERROR(SEARCH("ADAPTADO",J71)))</formula>
    </cfRule>
  </conditionalFormatting>
  <conditionalFormatting sqref="J76:K85">
    <cfRule type="expression" dxfId="29" priority="5">
      <formula>NOT(ISERROR(SEARCH("NORMAL",J76)))</formula>
    </cfRule>
    <cfRule type="expression" dxfId="28" priority="6">
      <formula>NOT(ISERROR(SEARCH("ADAPTADO",J76)))</formula>
    </cfRule>
  </conditionalFormatting>
  <conditionalFormatting sqref="J81:K90">
    <cfRule type="expression" dxfId="27" priority="3">
      <formula>NOT(ISERROR(SEARCH("NORMAL",J81)))</formula>
    </cfRule>
    <cfRule type="expression" dxfId="26" priority="4">
      <formula>NOT(ISERROR(SEARCH("ADAPTADO",J81)))</formula>
    </cfRule>
  </conditionalFormatting>
  <conditionalFormatting sqref="J86:K90">
    <cfRule type="expression" dxfId="25" priority="1">
      <formula>NOT(ISERROR(SEARCH("NORMAL",J86)))</formula>
    </cfRule>
    <cfRule type="expression" dxfId="24" priority="2">
      <formula>NOT(ISERROR(SEARCH("ADAPTADO",J86)))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9" sqref="D19:N19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NILTON DA ROCHA MEIRELES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IP</v>
      </c>
      <c r="D2" s="682" t="str">
        <f>UPPER('APONTAMENTO CREDENCIAMENTO'!A1)</f>
        <v>IPIRANGA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3246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NILTON DA ROCHA MEIRELES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3244</v>
      </c>
      <c r="D10" s="299" t="str">
        <f>VLOOKUP($C10,'APONTAMENTO CREDENCIAMENTO'!$A:$J,8,0)</f>
        <v>NILTON DA ROCHA MEIRELES</v>
      </c>
      <c r="E10" s="299" t="str">
        <f>VLOOKUP($C10,'APONTAMENTO CREDENCIAMENTO'!$A:$J,9,0)</f>
        <v>NILTON DA ROCHA MEIRELES</v>
      </c>
      <c r="F10" s="300" t="str">
        <f>VLOOKUP($C10,'APONTAMENTO CREDENCIAMENTO'!$A:$P,15,0)</f>
        <v>6020.2023/0008690-8</v>
      </c>
      <c r="G10" s="301" t="str">
        <f>VLOOKUP($C10,'APONTAMENTO CREDENCIAMENTO'!$A:$P,4,0)</f>
        <v>2023/0008690</v>
      </c>
      <c r="H10" s="301" t="str">
        <f>VLOOKUP($C10,'APONTAMENTO CREDENCIAMENTO'!$A:$P,5,0)</f>
        <v>DTE1797</v>
      </c>
      <c r="I10" s="301" t="str">
        <f>IF(VLOOKUP($C10,'APONTAMENTO CREDENCIAMENTO'!$A:$J,10,0)="NORMAL","NORMAL","ADAPTADO")</f>
        <v>ADAPTADO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NIL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2023/0008690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45</v>
      </c>
      <c r="H11" s="185" t="str">
        <f>'BASE C'!E4</f>
        <v>ABRIL</v>
      </c>
      <c r="I11" s="186" t="str">
        <f>'BASE C'!D2</f>
        <v>IPIRANGA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NILTON DA ROCHA MEIRELES</v>
      </c>
      <c r="B13" s="748"/>
      <c r="C13" s="748"/>
      <c r="D13" s="748"/>
      <c r="E13" s="749"/>
      <c r="F13" s="756" t="str">
        <f>VLOOKUP(A11,ProcRel1!E2:G5000,3,FALSE)</f>
        <v>695.308.406-59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CREDENCIAMENTO'!D1:EL3972,12,FALSE)</f>
        <v>6020.2023/0008690-8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30305.86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51.364000000000004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30357.224000000002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30357.224000000002</v>
      </c>
      <c r="I34" s="729"/>
    </row>
    <row r="35" spans="1:12" s="12" customFormat="1" x14ac:dyDescent="0.2">
      <c r="A35" s="716" t="s">
        <v>106</v>
      </c>
      <c r="B35" s="717">
        <f>VLOOKUP(A11,'APONTAMENTO CREDENCIAMENTO'!D1:EL3972,138,FALSE)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CREDENCIAMENTO'!D1:EL3972,139,FALSE)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20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3194</v>
      </c>
      <c r="B4" s="413" t="s">
        <v>3262</v>
      </c>
      <c r="C4" s="432" t="s">
        <v>3279</v>
      </c>
      <c r="D4" s="430">
        <f>SUMIF('APONTAMENTO CREDENCIAMENTO'!$D$5:$D$3974,$A4,'APONTAMENTO CREDENCIAMENTO'!$FE$5:$FE$3974)</f>
        <v>15582.35</v>
      </c>
      <c r="E4" s="431">
        <f>IF(D4=0,0,IF(D4*0.2*0.11&gt;607.2,607.2,IF(D4&lt;42377.92,D4*0.2*0.11,IF(D4*0.2*0.11&gt;932.31,932.31))))</f>
        <v>342.81170000000003</v>
      </c>
      <c r="F4" s="431">
        <f>$D4*'VALORES TABELA'!$B$45*'VALORES TABELA'!$B$46</f>
        <v>77.911750000000012</v>
      </c>
      <c r="G4" s="431">
        <f t="shared" ref="G4" si="0">D4*60%</f>
        <v>9349.41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1662.35</v>
      </c>
      <c r="I4" s="431">
        <f>IF($C4=$C3,($D4+$D3)*'VALORES TABELA'!$B$50-$E3,$D4*'VALORES TABELA'!$B$50)</f>
        <v>9349.41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1568.0845325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1568.0845325</v>
      </c>
    </row>
    <row r="5" spans="1:16" ht="20.25" customHeight="1" x14ac:dyDescent="0.2">
      <c r="A5" t="s">
        <v>3198</v>
      </c>
      <c r="B5" t="s">
        <v>3263</v>
      </c>
      <c r="C5" t="s">
        <v>3280</v>
      </c>
      <c r="D5" s="430">
        <f>SUMIF('APONTAMENTO CREDENCIAMENTO'!$D$5:$D$3974,$A5,'APONTAMENTO CREDENCIAMENTO'!$FE$5:$FE$3974)</f>
        <v>12115.28</v>
      </c>
      <c r="E5" s="431">
        <f t="shared" ref="E5:E20" si="1">IF(D5=0,0,IF(D5*0.2*0.11&gt;607.2,607.2,IF(D5&lt;42377.92,D5*0.2*0.11,IF(D5*0.2*0.11&gt;932.31,932.31))))</f>
        <v>266.53616</v>
      </c>
      <c r="F5" s="431">
        <f>$D5*'VALORES TABELA'!$B$45*'VALORES TABELA'!$B$46</f>
        <v>60.576400000000007</v>
      </c>
      <c r="G5" s="431">
        <f t="shared" ref="G5:G20" si="2">D5*60%</f>
        <v>7269.1680000000006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1090.29</v>
      </c>
      <c r="I5" s="431">
        <f>IF($C5=$C4,($D5+$D4)*'VALORES TABELA'!$B$50-$E4,$D5*'VALORES TABELA'!$B$50)</f>
        <v>7269.1680000000006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1016.9937560000003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-551.09077649999972</v>
      </c>
    </row>
    <row r="6" spans="1:16" ht="20.25" customHeight="1" x14ac:dyDescent="0.2">
      <c r="A6" t="s">
        <v>3202</v>
      </c>
      <c r="B6" t="s">
        <v>3264</v>
      </c>
      <c r="C6" t="s">
        <v>3281</v>
      </c>
      <c r="D6" s="430">
        <f>SUMIF('APONTAMENTO CREDENCIAMENTO'!$D$5:$D$3974,$A6,'APONTAMENTO CREDENCIAMENTO'!$FE$5:$FE$3974)</f>
        <v>15780.206</v>
      </c>
      <c r="E6" s="431">
        <f t="shared" si="1"/>
        <v>347.16453200000001</v>
      </c>
      <c r="F6" s="431">
        <f>$D6*'VALORES TABELA'!$B$45*'VALORES TABELA'!$B$46</f>
        <v>78.901030000000006</v>
      </c>
      <c r="G6" s="431">
        <f t="shared" si="2"/>
        <v>9468.123599999999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1695</v>
      </c>
      <c r="I6" s="431">
        <f>IF($C6=$C5,($D6+$D5)*'VALORES TABELA'!$B$50-$E5,$D6*'VALORES TABELA'!$B$50)</f>
        <v>9468.123599999999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1599.5337436999998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582.53998769999953</v>
      </c>
    </row>
    <row r="7" spans="1:16" ht="20.25" customHeight="1" x14ac:dyDescent="0.2">
      <c r="A7" t="s">
        <v>3206</v>
      </c>
      <c r="B7" t="s">
        <v>3265</v>
      </c>
      <c r="C7" t="s">
        <v>3282</v>
      </c>
      <c r="D7" s="430">
        <f>SUMIF('APONTAMENTO CREDENCIAMENTO'!$D$5:$D$3974,$A7,'APONTAMENTO CREDENCIAMENTO'!$FE$5:$FE$3974)</f>
        <v>12791.357</v>
      </c>
      <c r="E7" s="431">
        <f t="shared" si="1"/>
        <v>281.409854</v>
      </c>
      <c r="F7" s="431">
        <f>$D7*'VALORES TABELA'!$B$45*'VALORES TABELA'!$B$46</f>
        <v>63.956785000000004</v>
      </c>
      <c r="G7" s="431">
        <f t="shared" si="2"/>
        <v>7674.8141999999998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1201.8399999999999</v>
      </c>
      <c r="I7" s="431">
        <f>IF($C7=$C6,($D7+$D6)*'VALORES TABELA'!$B$50-$E6,$D7*'VALORES TABELA'!$B$50)</f>
        <v>7674.8141999999998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1124.45619515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-475.07754854999985</v>
      </c>
    </row>
    <row r="8" spans="1:16" ht="20.25" customHeight="1" x14ac:dyDescent="0.2">
      <c r="A8" t="s">
        <v>3210</v>
      </c>
      <c r="B8" t="s">
        <v>3266</v>
      </c>
      <c r="C8" t="s">
        <v>3283</v>
      </c>
      <c r="D8" s="430">
        <f>SUMIF('APONTAMENTO CREDENCIAMENTO'!$D$5:$D$3974,$A8,'APONTAMENTO CREDENCIAMENTO'!$FE$5:$FE$3974)</f>
        <v>16088.39</v>
      </c>
      <c r="E8" s="431">
        <f t="shared" si="1"/>
        <v>353.94457999999997</v>
      </c>
      <c r="F8" s="431">
        <f>$D8*'VALORES TABELA'!$B$45*'VALORES TABELA'!$B$46</f>
        <v>80.441950000000006</v>
      </c>
      <c r="G8" s="431">
        <f t="shared" si="2"/>
        <v>9653.0339999999997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1745.85</v>
      </c>
      <c r="I8" s="431">
        <f>IF($C8=$C7,($D8+$D7)*'VALORES TABELA'!$B$50-$E7,$D8*'VALORES TABELA'!$B$50)</f>
        <v>9653.0339999999997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1648.5195905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524.06339535000006</v>
      </c>
    </row>
    <row r="9" spans="1:16" ht="20.25" customHeight="1" x14ac:dyDescent="0.2">
      <c r="A9" t="s">
        <v>3214</v>
      </c>
      <c r="B9" t="s">
        <v>3267</v>
      </c>
      <c r="C9" t="s">
        <v>3284</v>
      </c>
      <c r="D9" s="430">
        <f>SUMIF('APONTAMENTO CREDENCIAMENTO'!$D$5:$D$3974,$A9,'APONTAMENTO CREDENCIAMENTO'!$FE$5:$FE$3974)</f>
        <v>16571.107</v>
      </c>
      <c r="E9" s="431">
        <f t="shared" si="1"/>
        <v>364.56435400000004</v>
      </c>
      <c r="F9" s="431">
        <f>$D9*'VALORES TABELA'!$B$45*'VALORES TABELA'!$B$46</f>
        <v>82.855535000000017</v>
      </c>
      <c r="G9" s="431">
        <f t="shared" si="2"/>
        <v>9942.6641999999993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1825.5</v>
      </c>
      <c r="I9" s="431">
        <f>IF($C9=$C8,($D9+$D8)*'VALORES TABELA'!$B$50-$E8,$D9*'VALORES TABELA'!$B$50)</f>
        <v>9942.6641999999993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1725.2474576499999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76.727867149999838</v>
      </c>
    </row>
    <row r="10" spans="1:16" ht="20.25" customHeight="1" x14ac:dyDescent="0.2">
      <c r="A10" t="s">
        <v>3218</v>
      </c>
      <c r="B10" t="s">
        <v>3268</v>
      </c>
      <c r="C10" t="s">
        <v>3285</v>
      </c>
      <c r="D10" s="430">
        <f>SUMIF('APONTAMENTO CREDENCIAMENTO'!$D$5:$D$3974,$A10,'APONTAMENTO CREDENCIAMENTO'!$FE$5:$FE$3974)</f>
        <v>11850.859999999999</v>
      </c>
      <c r="E10" s="431">
        <f t="shared" si="1"/>
        <v>260.71892000000003</v>
      </c>
      <c r="F10" s="431">
        <f>$D10*'VALORES TABELA'!$B$45*'VALORES TABELA'!$B$46</f>
        <v>59.254300000000001</v>
      </c>
      <c r="G10" s="431">
        <f t="shared" si="2"/>
        <v>7110.5159999999987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1046.6600000000001</v>
      </c>
      <c r="I10" s="431">
        <f>IF($C10=$C9,($D10+$D9)*'VALORES TABELA'!$B$50-$E9,$D10*'VALORES TABELA'!$B$50)</f>
        <v>7110.5159999999987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974.96419699999979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-750.2832606500001</v>
      </c>
    </row>
    <row r="11" spans="1:16" ht="20.25" customHeight="1" x14ac:dyDescent="0.2">
      <c r="A11" t="s">
        <v>3222</v>
      </c>
      <c r="B11" t="s">
        <v>3269</v>
      </c>
      <c r="C11" t="s">
        <v>3286</v>
      </c>
      <c r="D11" s="430">
        <f>SUMIF('APONTAMENTO CREDENCIAMENTO'!$D$5:$D$3974,$A11,'APONTAMENTO CREDENCIAMENTO'!$FE$5:$FE$3974)</f>
        <v>9200.3729999999996</v>
      </c>
      <c r="E11" s="431">
        <f t="shared" si="1"/>
        <v>202.40820599999998</v>
      </c>
      <c r="F11" s="431">
        <f>$D11*'VALORES TABELA'!$B$45*'VALORES TABELA'!$B$46</f>
        <v>46.001865000000002</v>
      </c>
      <c r="G11" s="431">
        <f t="shared" si="2"/>
        <v>5520.2237999999998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392.65</v>
      </c>
      <c r="I11" s="431">
        <f>IF($C11=$C10,($D11+$D10)*'VALORES TABELA'!$B$50-$E10,$D11*'VALORES TABELA'!$B$50)</f>
        <v>5520.2237999999998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553.66928834999999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-421.2949086499998</v>
      </c>
    </row>
    <row r="12" spans="1:16" ht="20.25" customHeight="1" x14ac:dyDescent="0.2">
      <c r="A12" t="s">
        <v>3226</v>
      </c>
      <c r="B12" t="s">
        <v>3270</v>
      </c>
      <c r="C12" t="s">
        <v>3287</v>
      </c>
      <c r="D12" s="430">
        <f>SUMIF('APONTAMENTO CREDENCIAMENTO'!$D$5:$D$3974,$A12,'APONTAMENTO CREDENCIAMENTO'!$FE$5:$FE$3974)</f>
        <v>15882.933999999999</v>
      </c>
      <c r="E12" s="431">
        <f t="shared" si="1"/>
        <v>349.42454800000002</v>
      </c>
      <c r="F12" s="431">
        <f>$D12*'VALORES TABELA'!$B$45*'VALORES TABELA'!$B$46</f>
        <v>79.414670000000001</v>
      </c>
      <c r="G12" s="431">
        <f t="shared" si="2"/>
        <v>9529.7603999999992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1711.95</v>
      </c>
      <c r="I12" s="431">
        <f>IF($C12=$C11,($D12+$D11)*'VALORES TABELA'!$B$50-$E11,$D12*'VALORES TABELA'!$B$50)</f>
        <v>9529.7603999999992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1615.8623592999998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1062.1930709499998</v>
      </c>
    </row>
    <row r="13" spans="1:16" ht="20.25" customHeight="1" x14ac:dyDescent="0.2">
      <c r="A13" t="s">
        <v>3230</v>
      </c>
      <c r="B13" t="s">
        <v>3271</v>
      </c>
      <c r="C13" t="s">
        <v>3288</v>
      </c>
      <c r="D13" s="430">
        <f>SUMIF('APONTAMENTO CREDENCIAMENTO'!$D$5:$D$3974,$A13,'APONTAMENTO CREDENCIAMENTO'!$FE$5:$FE$3974)</f>
        <v>17218.397999999997</v>
      </c>
      <c r="E13" s="431">
        <f t="shared" si="1"/>
        <v>378.80475599999994</v>
      </c>
      <c r="F13" s="431">
        <f>$D13*'VALORES TABELA'!$B$45*'VALORES TABELA'!$B$46</f>
        <v>86.091989999999996</v>
      </c>
      <c r="G13" s="431">
        <f t="shared" si="2"/>
        <v>10331.038799999998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1932.3</v>
      </c>
      <c r="I13" s="431">
        <f>IF($C13=$C12,($D13+$D12)*'VALORES TABELA'!$B$50-$E12,$D13*'VALORES TABELA'!$B$50)</f>
        <v>10331.038799999998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1828.1343621000001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212.27200280000034</v>
      </c>
    </row>
    <row r="14" spans="1:16" ht="20.25" customHeight="1" x14ac:dyDescent="0.2">
      <c r="A14" t="s">
        <v>3234</v>
      </c>
      <c r="B14" t="s">
        <v>3272</v>
      </c>
      <c r="C14" t="s">
        <v>3289</v>
      </c>
      <c r="D14" s="430">
        <f>SUMIF('APONTAMENTO CREDENCIAMENTO'!$D$5:$D$3974,$A14,'APONTAMENTO CREDENCIAMENTO'!$FE$5:$FE$3974)</f>
        <v>12236.09</v>
      </c>
      <c r="E14" s="431">
        <f t="shared" si="1"/>
        <v>269.19398000000001</v>
      </c>
      <c r="F14" s="431">
        <f>$D14*'VALORES TABELA'!$B$45*'VALORES TABELA'!$B$46</f>
        <v>61.180450000000008</v>
      </c>
      <c r="G14" s="431">
        <f t="shared" si="2"/>
        <v>7341.6539999999995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1110.22</v>
      </c>
      <c r="I14" s="431">
        <f>IF($C14=$C13,($D14+$D13)*'VALORES TABELA'!$B$50-$E13,$D14*'VALORES TABELA'!$B$50)</f>
        <v>7341.6539999999995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1036.1965055000001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-791.93785660000003</v>
      </c>
    </row>
    <row r="15" spans="1:16" ht="20.25" customHeight="1" x14ac:dyDescent="0.2">
      <c r="A15" t="s">
        <v>3238</v>
      </c>
      <c r="B15" t="s">
        <v>3273</v>
      </c>
      <c r="C15" t="s">
        <v>3290</v>
      </c>
      <c r="D15" s="430">
        <f>SUMIF('APONTAMENTO CREDENCIAMENTO'!$D$5:$D$3974,$A15,'APONTAMENTO CREDENCIAMENTO'!$FE$5:$FE$3974)</f>
        <v>15523.385999999999</v>
      </c>
      <c r="E15" s="431">
        <f t="shared" si="1"/>
        <v>341.51449200000002</v>
      </c>
      <c r="F15" s="431">
        <f>$D15*'VALORES TABELA'!$B$45*'VALORES TABELA'!$B$46</f>
        <v>77.616930000000011</v>
      </c>
      <c r="G15" s="431">
        <f t="shared" si="2"/>
        <v>9314.0315999999984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1652.62</v>
      </c>
      <c r="I15" s="431">
        <f>IF($C15=$C14,($D15+$D14)*'VALORES TABELA'!$B$50-$E14,$D15*'VALORES TABELA'!$B$50)</f>
        <v>9314.0315999999984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1558.7122046999998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522.51569919999974</v>
      </c>
    </row>
    <row r="16" spans="1:16" ht="20.25" customHeight="1" x14ac:dyDescent="0.2">
      <c r="A16" t="s">
        <v>3242</v>
      </c>
      <c r="B16" t="s">
        <v>3274</v>
      </c>
      <c r="C16" t="s">
        <v>3291</v>
      </c>
      <c r="D16" s="430">
        <f>SUMIF('APONTAMENTO CREDENCIAMENTO'!$D$5:$D$3974,$A16,'APONTAMENTO CREDENCIAMENTO'!$FE$5:$FE$3974)</f>
        <v>15703.16</v>
      </c>
      <c r="E16" s="431">
        <f t="shared" si="1"/>
        <v>345.46951999999999</v>
      </c>
      <c r="F16" s="431">
        <f>$D16*'VALORES TABELA'!$B$45*'VALORES TABELA'!$B$46</f>
        <v>78.515800000000013</v>
      </c>
      <c r="G16" s="431">
        <f t="shared" si="2"/>
        <v>9421.8959999999988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1682.29</v>
      </c>
      <c r="I16" s="431">
        <f>IF($C16=$C15,($D16+$D15)*'VALORES TABELA'!$B$50-$E15,$D16*'VALORES TABELA'!$B$50)</f>
        <v>9421.8959999999988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1587.2872819999998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28.575077299999975</v>
      </c>
    </row>
    <row r="17" spans="1:11" ht="20.25" customHeight="1" x14ac:dyDescent="0.2">
      <c r="A17" t="s">
        <v>3246</v>
      </c>
      <c r="B17" t="s">
        <v>3275</v>
      </c>
      <c r="C17" t="s">
        <v>3292</v>
      </c>
      <c r="D17" s="430">
        <f>SUMIF('APONTAMENTO CREDENCIAMENTO'!$D$5:$D$3974,$A17,'APONTAMENTO CREDENCIAMENTO'!$FE$5:$FE$3974)</f>
        <v>30357.224000000002</v>
      </c>
      <c r="E17" s="431">
        <f t="shared" si="1"/>
        <v>607.20000000000005</v>
      </c>
      <c r="F17" s="431">
        <f>$D17*'VALORES TABELA'!$B$45*'VALORES TABELA'!$B$46</f>
        <v>151.78612000000004</v>
      </c>
      <c r="G17" s="431">
        <f t="shared" si="2"/>
        <v>18214.3344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4100.21</v>
      </c>
      <c r="I17" s="431">
        <f>IF($C17=$C16,($D17+$D16)*'VALORES TABELA'!$B$50-$E16,$D17*'VALORES TABELA'!$B$50)</f>
        <v>18214.3344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3933.2319600000005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2345.9446780000007</v>
      </c>
    </row>
    <row r="18" spans="1:11" ht="20.25" customHeight="1" x14ac:dyDescent="0.2">
      <c r="A18" t="s">
        <v>3250</v>
      </c>
      <c r="B18" t="s">
        <v>3276</v>
      </c>
      <c r="C18" t="s">
        <v>3293</v>
      </c>
      <c r="D18" s="430">
        <f>SUMIF('APONTAMENTO CREDENCIAMENTO'!$D$5:$D$3974,$A18,'APONTAMENTO CREDENCIAMENTO'!$FE$5:$FE$3974)</f>
        <v>17290.203000000001</v>
      </c>
      <c r="E18" s="431">
        <f t="shared" si="1"/>
        <v>380.38446600000003</v>
      </c>
      <c r="F18" s="431">
        <f>$D18*'VALORES TABELA'!$B$45*'VALORES TABELA'!$B$46</f>
        <v>86.451015000000012</v>
      </c>
      <c r="G18" s="431">
        <f t="shared" si="2"/>
        <v>10374.121800000001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1944.15</v>
      </c>
      <c r="I18" s="431">
        <f>IF($C18=$C17,($D18+$D17)*'VALORES TABELA'!$B$50-$E17,$D18*'VALORES TABELA'!$B$50)</f>
        <v>10374.121800000001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1839.5477668500007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-2093.6841931499998</v>
      </c>
    </row>
    <row r="19" spans="1:11" ht="20.25" customHeight="1" x14ac:dyDescent="0.2">
      <c r="A19" t="s">
        <v>3254</v>
      </c>
      <c r="B19" t="s">
        <v>3277</v>
      </c>
      <c r="C19" t="s">
        <v>3294</v>
      </c>
      <c r="D19" s="430">
        <f>SUMIF('APONTAMENTO CREDENCIAMENTO'!$D$5:$D$3974,$A19,'APONTAMENTO CREDENCIAMENTO'!$FE$5:$FE$3974)</f>
        <v>15620.873000000001</v>
      </c>
      <c r="E19" s="431">
        <f t="shared" si="1"/>
        <v>343.65920600000004</v>
      </c>
      <c r="F19" s="431">
        <f>$D19*'VALORES TABELA'!$B$45*'VALORES TABELA'!$B$46</f>
        <v>78.104365000000016</v>
      </c>
      <c r="G19" s="431">
        <f t="shared" si="2"/>
        <v>9372.5238000000008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1668.71</v>
      </c>
      <c r="I19" s="431">
        <f>IF($C19=$C18,($D19+$D18)*'VALORES TABELA'!$B$50-$E18,$D19*'VALORES TABELA'!$B$50)</f>
        <v>9372.5238000000008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1574.2077633500003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-265.34000350000042</v>
      </c>
    </row>
    <row r="20" spans="1:11" ht="20.25" customHeight="1" x14ac:dyDescent="0.2">
      <c r="A20" t="s">
        <v>3258</v>
      </c>
      <c r="B20" t="s">
        <v>3278</v>
      </c>
      <c r="C20" t="s">
        <v>3295</v>
      </c>
      <c r="D20" s="430">
        <f>SUMIF('APONTAMENTO CREDENCIAMENTO'!$D$5:$D$3974,$A20,'APONTAMENTO CREDENCIAMENTO'!$FE$5:$FE$3974)</f>
        <v>12500.51</v>
      </c>
      <c r="E20" s="431">
        <f t="shared" si="1"/>
        <v>275.01122000000004</v>
      </c>
      <c r="F20" s="431">
        <f>$D20*'VALORES TABELA'!$B$45*'VALORES TABELA'!$B$46</f>
        <v>62.502550000000014</v>
      </c>
      <c r="G20" s="431">
        <f t="shared" si="2"/>
        <v>7500.3059999999996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1153.8499999999999</v>
      </c>
      <c r="I20" s="431">
        <f>IF($C20=$C19,($D20+$D19)*'VALORES TABELA'!$B$50-$E19,$D20*'VALORES TABELA'!$B$50)</f>
        <v>7500.3059999999996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1078.2260644999999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-495.98169885000038</v>
      </c>
    </row>
    <row r="21" spans="1:11" ht="20.25" customHeight="1" x14ac:dyDescent="0.2">
      <c r="A21"/>
      <c r="B21"/>
      <c r="C21"/>
    </row>
    <row r="22" spans="1:11" ht="20.25" customHeight="1" x14ac:dyDescent="0.2">
      <c r="A22"/>
      <c r="B22"/>
      <c r="C22"/>
    </row>
    <row r="23" spans="1:11" ht="20.25" customHeight="1" x14ac:dyDescent="0.2">
      <c r="A23"/>
      <c r="B23"/>
      <c r="C23"/>
    </row>
    <row r="24" spans="1:11" ht="20.25" customHeight="1" x14ac:dyDescent="0.2">
      <c r="A24"/>
      <c r="B24"/>
      <c r="C24"/>
    </row>
    <row r="25" spans="1:11" ht="20.25" customHeight="1" x14ac:dyDescent="0.2">
      <c r="A25"/>
      <c r="B25"/>
      <c r="C25"/>
    </row>
    <row r="26" spans="1:11" ht="20.25" customHeight="1" x14ac:dyDescent="0.2">
      <c r="A26"/>
      <c r="B26"/>
      <c r="C26"/>
    </row>
    <row r="27" spans="1:11" ht="20.25" customHeight="1" x14ac:dyDescent="0.2">
      <c r="A27"/>
      <c r="B27"/>
      <c r="C27"/>
    </row>
    <row r="28" spans="1:11" ht="20.25" customHeight="1" x14ac:dyDescent="0.2">
      <c r="A28"/>
      <c r="B28"/>
      <c r="C28"/>
    </row>
    <row r="29" spans="1:11" ht="20.25" customHeight="1" x14ac:dyDescent="0.2">
      <c r="A29"/>
      <c r="B29"/>
      <c r="C29"/>
    </row>
    <row r="30" spans="1:11" ht="20.25" customHeight="1" x14ac:dyDescent="0.2">
      <c r="A30"/>
      <c r="B30"/>
      <c r="C30"/>
    </row>
    <row r="31" spans="1:11" ht="20.25" customHeight="1" x14ac:dyDescent="0.2">
      <c r="A31"/>
      <c r="B31"/>
      <c r="C31"/>
    </row>
    <row r="32" spans="1:11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2023/0008690</v>
      </c>
      <c r="B11" s="459"/>
      <c r="C11" s="460" t="str">
        <f>VLOOKUP(A11,ProcRel!A1:C5000,3,0)</f>
        <v>028.548-00</v>
      </c>
      <c r="D11" s="768" t="str">
        <f>VLOOKUP(A11,'APONTAMENTO CREDENCIAMENTO'!$D$6:$D$3974,1,FALSE)</f>
        <v>2023/0008690</v>
      </c>
      <c r="E11" s="768"/>
      <c r="F11" s="461">
        <f>SUMIF('APONTAMENTO CREDENCIAMENTO'!D$5:D$5077,A11,'APONTAMENTO CREDENCIAMENTO'!N$5:N$5077)</f>
        <v>0</v>
      </c>
      <c r="G11" s="462">
        <f>'EMPRESA C'!H16+'EMPRESA C'!I16+'EMPRESA C'!J16+'EMPRESA C'!K16+'EMPRESA C'!L16+'EMPRESA C'!M16</f>
        <v>45</v>
      </c>
      <c r="H11" s="463" t="str">
        <f>'BASE C'!E4</f>
        <v>ABRIL</v>
      </c>
      <c r="I11" s="464" t="str">
        <f>'BASE C'!D2</f>
        <v>IPIRANGA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CREDENCIAMENTO'!D1:J5077,6,FALSE)</f>
        <v>NILTON DA ROCHA MEIRELES</v>
      </c>
      <c r="B13" s="774"/>
      <c r="C13" s="774"/>
      <c r="D13" s="774"/>
      <c r="E13" s="775"/>
      <c r="F13" s="781" t="str">
        <f>VLOOKUP(A11,ProcRel1!E2:G5000,3,FALSE)</f>
        <v>695.308.406-59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CREDENCIAMENTO'!D1:O3972,12,FALSE)</f>
        <v>6020.2023/0008690-8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CREDENCIAMENTO'!$D$6:$EW$3974,150,FALSE)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CREDENCIAMENTO'!D$5:D$5077,A11,'APONTAMENTO CREDENCIAMENTO'!EX$5:EX$5077)</f>
        <v>30305.86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CREDENCIAMENTO'!D5:D5077,A11,'APONTAMENTO CREDENCIAMENTO'!FB5:FB5077)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CREDENCIAMENTO'!D5:D5077,A11,'APONTAMENTO CREDENCIAMENTO'!EZ5:EZ5077)</f>
        <v>51.364000000000004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CREDENCIAMENTO'!D5:D5077,A11,'APONTAMENTO CREDENCIAMENTO'!FA5:FA5077)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CREDENCIAMENTO'!D5:D5077,A11,'APONTAMENTO CREDENCIAMENTO'!FC5:FC5077)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CREDENCIAMENTO'!D5:IA5077,230,0)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CREDENCIAMENTO'!D5:IA5077,231,0)*-1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CREDENCIAMENTO'!D5:IA5077,232,0)*-1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CREDENCIAMENTO'!D5:D5077,A11,'APONTAMENTO CREDENCIAMENTO'!L5:L5077)</f>
        <v>0</v>
      </c>
      <c r="F29" s="506" t="s">
        <v>318</v>
      </c>
      <c r="G29" s="507">
        <f>SUMIF('APONTAMENTO CREDENCIAMENTO'!D5:D5077,A11,'APONTAMENTO CREDENCIAMENTO'!M5:M5077)</f>
        <v>0</v>
      </c>
      <c r="H29" s="504" t="s">
        <v>150</v>
      </c>
      <c r="I29" s="495">
        <f>SUMIF('APONTAMENTO CREDENCIAMENTO'!D5:D5077,A11,'APONTAMENTO CREDENCIAMENTO'!EY5:EY5077)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CREDENCIAMENTO'!D5:D5077,A11,'APONTAMENTO CREDENCIAMENTO'!FD5:FD5077)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30357.224000000002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-607.20000000000005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-151.78612000000004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-3933.23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25665.007880000001</v>
      </c>
    </row>
    <row r="37" spans="1:12" s="12" customFormat="1" x14ac:dyDescent="0.2">
      <c r="A37" s="793" t="s">
        <v>106</v>
      </c>
      <c r="B37" s="794">
        <f>VLOOKUP(A11,'APONTAMENTO CREDENCIAMENTO'!D1:EL3972,138,FALSE)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CREDENCIAMENTO'!D1:EL3972,139,FALSE)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CREDENCIAMENTO'!D5:D5077,A11,'APONTAMENTO CREDENCIAMENTO'!EP5:EP5077)</f>
        <v>27</v>
      </c>
      <c r="B45" s="483"/>
      <c r="C45" s="484">
        <f>SUMIF('APONTAMENTO CREDENCIAMENTO'!D5:D5077,A11,'APONTAMENTO CREDENCIAMENTO'!ER5:ER5077)</f>
        <v>11</v>
      </c>
      <c r="D45" s="484"/>
      <c r="E45" s="484">
        <f>SUMIF('APONTAMENTO CREDENCIAMENTO'!D5:D5077,A11,'APONTAMENTO CREDENCIAMENTO'!ES5:ES5077)</f>
        <v>6</v>
      </c>
      <c r="F45" s="484"/>
      <c r="G45" s="484">
        <f>SUMIF('APONTAMENTO CREDENCIAMENTO'!D5:D5077,A11,'APONTAMENTO CREDENCIAMENTO'!EU5:EU5077)</f>
        <v>0</v>
      </c>
      <c r="H45" s="484"/>
      <c r="I45" s="485">
        <f>SUM(A45:H45)</f>
        <v>44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NILTON DA ROCHA MEIRELES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2023/0008690</v>
      </c>
      <c r="G9" s="30" t="s">
        <v>122</v>
      </c>
      <c r="H9" s="30" t="str">
        <f>'APONTAMENTO CREDENCIAMENTO'!A1</f>
        <v>Ipiranga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NILTON DA ROCHA MEIRELES</v>
      </c>
      <c r="B14" s="207" t="str">
        <f>VLOOKUP(D14,'APONTAMENTO CREDENCIAMENTO'!$A$6:$F$3975,6,0)</f>
        <v>01/04/2026</v>
      </c>
      <c r="C14" s="207" t="str">
        <f>VLOOKUP(D14,'APONTAMENTO CREDENCIAMENTO'!$A$6:$G$3975,7,0)</f>
        <v>30/04/2026</v>
      </c>
      <c r="D14" s="208" t="str">
        <f>'BASE C'!C10</f>
        <v>028.548-00</v>
      </c>
      <c r="E14" s="809" t="str">
        <f>'BASE C'!H10</f>
        <v>DTE1797</v>
      </c>
      <c r="F14" s="810"/>
      <c r="G14" s="208">
        <f>SUMIF('APONTAMENTO CREDENCIAMENTO'!$A$6:$A$3975,'EMPRESA C'!D14,'APONTAMENTO CREDENCIAMENTO'!$N$6:$N$3975)</f>
        <v>0</v>
      </c>
      <c r="H14" s="208">
        <f>SUMIF('APONTAMENTO CREDENCIAMENTO'!$A$6:$A$3975,'EMPRESA C'!D14,'APONTAMENTO CREDENCIAMENTO'!$EP$6:$EP$3975)</f>
        <v>27</v>
      </c>
      <c r="I14" s="208">
        <f>SUMIF('APONTAMENTO CREDENCIAMENTO'!$A$6:$A$3975,'EMPRESA C'!D14,'APONTAMENTO CREDENCIAMENTO'!$EQ$6:$EQ$3975)</f>
        <v>1</v>
      </c>
      <c r="J14" s="208">
        <f>SUMIF('APONTAMENTO CREDENCIAMENTO'!$A$6:$A$3975,'EMPRESA C'!D14,'APONTAMENTO CREDENCIAMENTO'!$ER$6:$ER$3975)</f>
        <v>11</v>
      </c>
      <c r="K14" s="208">
        <f>SUMIF('APONTAMENTO CREDENCIAMENTO'!$A$6:$A$3975,'EMPRESA C'!D14,'APONTAMENTO CREDENCIAMENTO'!$ES$6:$ES$3975)</f>
        <v>6</v>
      </c>
      <c r="L14" s="208">
        <f>SUMIF('APONTAMENTO CREDENCIAMENTO'!$A$6:$A$3975,'EMPRESA C'!D14,'APONTAMENTO CREDENCIAMENTO'!$ET$6:$ET$3975)</f>
        <v>0</v>
      </c>
      <c r="M14" s="208">
        <f>SUMIF('APONTAMENTO CREDENCIAMENTO'!$A$6:$A$3975,'EMPRESA C'!D14,'APONTAMENTO CREDENCIAMENTO'!$EU$6:$EU$3975)</f>
        <v>0</v>
      </c>
      <c r="N14" s="209">
        <f>SUMIF('APONTAMENTO CREDENCIAMENTO'!$A$6:$A$3975,'EMPRESA C'!D14,'APONTAMENTO CREDENCIAMENTO'!$EW$6:$EW$3975)</f>
        <v>0</v>
      </c>
      <c r="O14" s="209">
        <f>SUMIF('APONTAMENTO CREDENCIAMENTO'!$A$6:$A$3975,'EMPRESA C'!D14,'APONTAMENTO CREDENCIAMENTO'!$EX$6:$EX$3975)</f>
        <v>30305.86</v>
      </c>
      <c r="P14" s="209">
        <f>SUMIF('APONTAMENTO CREDENCIAMENTO'!$A$5:$A$3975,'EMPRESA C'!D14,'APONTAMENTO CREDENCIAMENTO'!$EY$5:$EY$3975)</f>
        <v>0</v>
      </c>
      <c r="Q14" s="209">
        <f>SUMIF('APONTAMENTO CREDENCIAMENTO'!$A$5:$A$3975,'EMPRESA C'!D14,'APONTAMENTO CREDENCIAMENTO'!$EZ$5:$EZ$3975)</f>
        <v>51.364000000000004</v>
      </c>
      <c r="R14" s="209">
        <f>SUMIF('APONTAMENTO CREDENCIAMENTO'!$A$5:$A$3975,'EMPRESA C'!D14,'APONTAMENTO CREDENCIAMENTO'!$FA$5:$FA$3975)</f>
        <v>0</v>
      </c>
      <c r="S14" s="209">
        <f>SUMIF('APONTAMENTO CREDENCIAMENTO'!$A$5:$A$3975,'EMPRESA C'!D14,'APONTAMENTO CREDENCIAMENTO'!$FB$5:$FB$3975)</f>
        <v>0</v>
      </c>
      <c r="T14" s="209">
        <f>SUMIF('APONTAMENTO CREDENCIAMENTO'!$A$5:$A$3975,'EMPRESA C'!D14,'APONTAMENTO CREDENCIAMENTO'!$FC$5:$FC$3975)</f>
        <v>0</v>
      </c>
      <c r="U14" s="209">
        <f>SUMIF('APONTAMENTO CREDENCIAMENTO'!$A$5:$A$3975,'EMPRESA C'!D14,'APONTAMENTO CREDENCIAMENTO'!$HY$5:$HY$3975)</f>
        <v>0</v>
      </c>
      <c r="V14" s="209">
        <f>SUMIF('APONTAMENTO CREDENCIAMENTO'!$A$5:$A$3975,'EMPRESA C'!D14,'APONTAMENTO CREDENCIAMENTO'!$HZ$5:$HZ$3975)*-1</f>
        <v>0</v>
      </c>
      <c r="W14" s="209">
        <f>SUMIF('APONTAMENTO CREDENCIAMENTO'!$A$5:$A$3975,'EMPRESA C'!D14,'APONTAMENTO CREDENCIAMENTO'!$IA$5:$IA$3975)*-1</f>
        <v>0</v>
      </c>
      <c r="X14" s="209">
        <f>SUMIF('APONTAMENTO CREDENCIAMENTO'!$A$5:$A$3975,'EMPRESA C'!D14,'APONTAMENTO CREDENCIAMENTO'!$FD$5:$FD$3975)</f>
        <v>0</v>
      </c>
      <c r="Y14" s="209">
        <f>SUMIF('APONTAMENTO CREDENCIAMENTO'!$A$5:$A$3975,'EMPRESA C'!D14,'APONTAMENTO CREDENCIAMENTO'!$GK$5:$GK$3975)*-1</f>
        <v>0</v>
      </c>
      <c r="Z14" s="209">
        <f>(N14+O14+P14+Q14+R14+S14+T14+U14+V14+W14+X14+Y14)</f>
        <v>30357.224000000002</v>
      </c>
      <c r="AA14" s="209">
        <f t="shared" ref="AA14" si="0">Z14</f>
        <v>30357.224000000002</v>
      </c>
      <c r="AB14" s="209">
        <f>AA14*'BASE C'!B$7</f>
        <v>0</v>
      </c>
      <c r="AC14" s="209">
        <f t="shared" ref="AC14" si="1">AA14-AB14</f>
        <v>30357.224000000002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27</v>
      </c>
      <c r="I16" s="100">
        <f>SUM(I14:I15)</f>
        <v>1</v>
      </c>
      <c r="J16" s="100">
        <f>SUM(J14:J15)</f>
        <v>11</v>
      </c>
      <c r="K16" s="100">
        <f>SUM(K14:K15)</f>
        <v>6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30305.86</v>
      </c>
      <c r="P16" s="326">
        <f>SUM(P14:P15)</f>
        <v>0</v>
      </c>
      <c r="Q16" s="326">
        <f>SUM(Q14:Q15)</f>
        <v>51.364000000000004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30357.224000000002</v>
      </c>
      <c r="AA16" s="326">
        <f>SUM(AA14:AA15)</f>
        <v>30357.224000000002</v>
      </c>
      <c r="AB16" s="326">
        <f>SUM(AB14:AB15)</f>
        <v>0</v>
      </c>
      <c r="AC16" s="326">
        <f>SUM(AC14:AC15)</f>
        <v>30357.224000000002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2023/0008690</v>
      </c>
      <c r="B14" s="217" t="str">
        <f>'BASE C'!D4</f>
        <v>NILTON DA ROCHA MEIRELES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IP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NILTON DA ROCHA MEIRELES</v>
      </c>
      <c r="B18" s="231" t="str">
        <f>'BASE C'!C10</f>
        <v>028.548-00</v>
      </c>
      <c r="C18" s="231" t="str">
        <f>'BASE C'!H10</f>
        <v>DTE1797</v>
      </c>
      <c r="D18" s="208">
        <f>SUMIF('APONTAMENTO CREDENCIAMENTO'!$A$6:$A$3975,'ATESTADO C'!B18,'APONTAMENTO CREDENCIAMENTO'!$N$6:$N$3975)</f>
        <v>0</v>
      </c>
      <c r="E18" s="208">
        <f>SUMIF('APONTAMENTO CREDENCIAMENTO'!$A$6:$A$3975,'ATESTADO C'!B18,'APONTAMENTO CREDENCIAMENTO'!$EP$6:$EP$3975)</f>
        <v>27</v>
      </c>
      <c r="F18" s="208">
        <f>SUMIF('APONTAMENTO CREDENCIAMENTO'!$A$6:$A$3975,'ATESTADO C'!B18,'APONTAMENTO CREDENCIAMENTO'!$EQ$6:$EQ$3975)</f>
        <v>1</v>
      </c>
      <c r="G18" s="208">
        <f>SUMIF('APONTAMENTO CREDENCIAMENTO'!$A$6:$A$3975,'ATESTADO C'!B18,'APONTAMENTO CREDENCIAMENTO'!$ER$6:$ER$3975)</f>
        <v>11</v>
      </c>
      <c r="H18" s="208">
        <f>SUMIF('APONTAMENTO CREDENCIAMENTO'!$A$6:$A$3975,'ATESTADO C'!B18,'APONTAMENTO CREDENCIAMENTO'!$ES$6:$ES$3975)</f>
        <v>6</v>
      </c>
      <c r="I18" s="208">
        <f>SUMIF('APONTAMENTO CREDENCIAMENTO'!$A$6:$A$3975,'ATESTADO C'!B18,'APONTAMENTO CREDENCIAMENTO'!$ET$6:$ET$3975)</f>
        <v>0</v>
      </c>
      <c r="J18" s="208">
        <f>SUMIF('APONTAMENTO CREDENCIAMENTO'!$A$6:$A$3975,'ATESTADO C'!B18,'APONTAMENTO CREDENCIAMENTO'!$EU$6:$EU$3975)</f>
        <v>0</v>
      </c>
      <c r="K18" s="232">
        <f t="shared" ref="K18" si="0">E18+F18+H18+I18+G18+J18</f>
        <v>45</v>
      </c>
      <c r="L18" s="827" t="str">
        <f>CONCATENATE(VLOOKUP(B18,'APONTAMENTO CREDENCIAMENTO'!$A$6:$EK$3975,141,0)," - ",VLOOKUP(B18,'APONTAMENTO CREDENCIAMENTO'!$A$6:$EL$3975,142,0))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7"/>
  <sheetViews>
    <sheetView topLeftCell="A243" workbookViewId="0">
      <selection activeCell="A2" sqref="A2:C8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3194</v>
      </c>
      <c r="B1" t="s">
        <v>1635</v>
      </c>
      <c r="C1" t="s">
        <v>3192</v>
      </c>
    </row>
    <row r="2" spans="1:3" x14ac:dyDescent="0.2">
      <c r="A2" t="s">
        <v>3258</v>
      </c>
      <c r="B2" t="s">
        <v>1663</v>
      </c>
      <c r="C2" t="s">
        <v>3256</v>
      </c>
    </row>
    <row r="3" spans="1:3" x14ac:dyDescent="0.2">
      <c r="A3" t="s">
        <v>3234</v>
      </c>
      <c r="B3" t="s">
        <v>1650</v>
      </c>
      <c r="C3" t="s">
        <v>3232</v>
      </c>
    </row>
    <row r="4" spans="1:3" x14ac:dyDescent="0.2">
      <c r="A4" t="s">
        <v>3214</v>
      </c>
      <c r="B4" t="s">
        <v>1642</v>
      </c>
      <c r="C4" t="s">
        <v>3212</v>
      </c>
    </row>
    <row r="5" spans="1:3" x14ac:dyDescent="0.2">
      <c r="A5" t="s">
        <v>3202</v>
      </c>
      <c r="B5" t="s">
        <v>1637</v>
      </c>
      <c r="C5" t="s">
        <v>3200</v>
      </c>
    </row>
    <row r="6" spans="1:3" x14ac:dyDescent="0.2">
      <c r="A6" t="s">
        <v>3238</v>
      </c>
      <c r="B6" t="s">
        <v>1651</v>
      </c>
      <c r="C6" t="s">
        <v>3236</v>
      </c>
    </row>
    <row r="7" spans="1:3" x14ac:dyDescent="0.2">
      <c r="A7" t="s">
        <v>3206</v>
      </c>
      <c r="B7" t="s">
        <v>1640</v>
      </c>
      <c r="C7" t="s">
        <v>3204</v>
      </c>
    </row>
    <row r="8" spans="1:3" x14ac:dyDescent="0.2">
      <c r="A8" t="s">
        <v>3210</v>
      </c>
      <c r="B8" t="s">
        <v>1641</v>
      </c>
      <c r="C8" t="s">
        <v>3208</v>
      </c>
    </row>
    <row r="9" spans="1:3" x14ac:dyDescent="0.2">
      <c r="A9" t="s">
        <v>3226</v>
      </c>
      <c r="B9" t="s">
        <v>1646</v>
      </c>
      <c r="C9" t="s">
        <v>3224</v>
      </c>
    </row>
    <row r="10" spans="1:3" x14ac:dyDescent="0.2">
      <c r="A10" t="s">
        <v>3222</v>
      </c>
      <c r="B10" t="s">
        <v>1645</v>
      </c>
      <c r="C10" t="s">
        <v>3220</v>
      </c>
    </row>
    <row r="11" spans="1:3" x14ac:dyDescent="0.2">
      <c r="A11" t="s">
        <v>3230</v>
      </c>
      <c r="B11" t="s">
        <v>1649</v>
      </c>
      <c r="C11" t="s">
        <v>3228</v>
      </c>
    </row>
    <row r="12" spans="1:3" x14ac:dyDescent="0.2">
      <c r="A12" t="s">
        <v>3198</v>
      </c>
      <c r="B12" t="s">
        <v>1636</v>
      </c>
      <c r="C12" t="s">
        <v>3196</v>
      </c>
    </row>
    <row r="13" spans="1:3" x14ac:dyDescent="0.2">
      <c r="A13" t="s">
        <v>3250</v>
      </c>
      <c r="B13" t="s">
        <v>1657</v>
      </c>
      <c r="C13" t="s">
        <v>3248</v>
      </c>
    </row>
    <row r="14" spans="1:3" x14ac:dyDescent="0.2">
      <c r="A14" t="s">
        <v>3254</v>
      </c>
      <c r="B14" t="s">
        <v>1660</v>
      </c>
      <c r="C14" t="s">
        <v>3252</v>
      </c>
    </row>
    <row r="15" spans="1:3" x14ac:dyDescent="0.2">
      <c r="A15" t="s">
        <v>3218</v>
      </c>
      <c r="B15" t="s">
        <v>1644</v>
      </c>
      <c r="C15" t="s">
        <v>3216</v>
      </c>
    </row>
    <row r="16" spans="1:3" x14ac:dyDescent="0.2">
      <c r="A16" t="s">
        <v>3242</v>
      </c>
      <c r="B16" t="s">
        <v>1654</v>
      </c>
      <c r="C16" t="s">
        <v>3240</v>
      </c>
    </row>
    <row r="17" spans="1:3" x14ac:dyDescent="0.2">
      <c r="A17" t="s">
        <v>3246</v>
      </c>
      <c r="B17" t="s">
        <v>1655</v>
      </c>
      <c r="C17" t="s">
        <v>3244</v>
      </c>
    </row>
  </sheetData>
  <sortState xmlns:xlrd2="http://schemas.microsoft.com/office/spreadsheetml/2017/richdata2" ref="A2:C85">
    <sortCondition ref="A1:A85"/>
    <sortCondition ref="B1:B85"/>
    <sortCondition ref="C1:C8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8"/>
  <sheetViews>
    <sheetView workbookViewId="0">
      <selection activeCell="G1" sqref="G1:G18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3194</v>
      </c>
      <c r="F2" t="s">
        <v>3262</v>
      </c>
      <c r="G2" t="s">
        <v>3279</v>
      </c>
    </row>
    <row r="3" spans="5:7" x14ac:dyDescent="0.2">
      <c r="E3" t="s">
        <v>3198</v>
      </c>
      <c r="F3" t="s">
        <v>3263</v>
      </c>
      <c r="G3" t="s">
        <v>3280</v>
      </c>
    </row>
    <row r="4" spans="5:7" x14ac:dyDescent="0.2">
      <c r="E4" t="s">
        <v>3202</v>
      </c>
      <c r="F4" t="s">
        <v>3264</v>
      </c>
      <c r="G4" t="s">
        <v>3281</v>
      </c>
    </row>
    <row r="5" spans="5:7" x14ac:dyDescent="0.2">
      <c r="E5" t="s">
        <v>3206</v>
      </c>
      <c r="F5" t="s">
        <v>3265</v>
      </c>
      <c r="G5" t="s">
        <v>3282</v>
      </c>
    </row>
    <row r="6" spans="5:7" x14ac:dyDescent="0.2">
      <c r="E6" t="s">
        <v>3210</v>
      </c>
      <c r="F6" t="s">
        <v>3266</v>
      </c>
      <c r="G6" t="s">
        <v>3283</v>
      </c>
    </row>
    <row r="7" spans="5:7" x14ac:dyDescent="0.2">
      <c r="E7" t="s">
        <v>3214</v>
      </c>
      <c r="F7" t="s">
        <v>3267</v>
      </c>
      <c r="G7" t="s">
        <v>3284</v>
      </c>
    </row>
    <row r="8" spans="5:7" x14ac:dyDescent="0.2">
      <c r="E8" t="s">
        <v>3218</v>
      </c>
      <c r="F8" t="s">
        <v>3268</v>
      </c>
      <c r="G8" t="s">
        <v>3285</v>
      </c>
    </row>
    <row r="9" spans="5:7" x14ac:dyDescent="0.2">
      <c r="E9" t="s">
        <v>3222</v>
      </c>
      <c r="F9" t="s">
        <v>3269</v>
      </c>
      <c r="G9" t="s">
        <v>3286</v>
      </c>
    </row>
    <row r="10" spans="5:7" x14ac:dyDescent="0.2">
      <c r="E10" t="s">
        <v>3226</v>
      </c>
      <c r="F10" t="s">
        <v>3270</v>
      </c>
      <c r="G10" t="s">
        <v>3287</v>
      </c>
    </row>
    <row r="11" spans="5:7" x14ac:dyDescent="0.2">
      <c r="E11" t="s">
        <v>3230</v>
      </c>
      <c r="F11" t="s">
        <v>3271</v>
      </c>
      <c r="G11" t="s">
        <v>3288</v>
      </c>
    </row>
    <row r="12" spans="5:7" x14ac:dyDescent="0.2">
      <c r="E12" t="s">
        <v>3234</v>
      </c>
      <c r="F12" t="s">
        <v>3272</v>
      </c>
      <c r="G12" t="s">
        <v>3289</v>
      </c>
    </row>
    <row r="13" spans="5:7" x14ac:dyDescent="0.2">
      <c r="E13" t="s">
        <v>3238</v>
      </c>
      <c r="F13" t="s">
        <v>3273</v>
      </c>
      <c r="G13" t="s">
        <v>3290</v>
      </c>
    </row>
    <row r="14" spans="5:7" x14ac:dyDescent="0.2">
      <c r="E14" t="s">
        <v>3242</v>
      </c>
      <c r="F14" t="s">
        <v>3274</v>
      </c>
      <c r="G14" t="s">
        <v>3291</v>
      </c>
    </row>
    <row r="15" spans="5:7" x14ac:dyDescent="0.2">
      <c r="E15" t="s">
        <v>3246</v>
      </c>
      <c r="F15" t="s">
        <v>3275</v>
      </c>
      <c r="G15" t="s">
        <v>3292</v>
      </c>
    </row>
    <row r="16" spans="5:7" x14ac:dyDescent="0.2">
      <c r="E16" t="s">
        <v>3250</v>
      </c>
      <c r="F16" t="s">
        <v>3276</v>
      </c>
      <c r="G16" t="s">
        <v>3293</v>
      </c>
    </row>
    <row r="17" spans="5:7" x14ac:dyDescent="0.2">
      <c r="E17" t="s">
        <v>3254</v>
      </c>
      <c r="F17" t="s">
        <v>3277</v>
      </c>
      <c r="G17" t="s">
        <v>3294</v>
      </c>
    </row>
    <row r="18" spans="5:7" x14ac:dyDescent="0.2">
      <c r="E18" t="s">
        <v>3258</v>
      </c>
      <c r="F18" t="s">
        <v>3278</v>
      </c>
      <c r="G18" t="s">
        <v>3295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39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18" sqref="B18:AD18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3194</v>
      </c>
      <c r="B2" s="130"/>
      <c r="C2" s="131">
        <f t="shared" ref="C2" si="0">W2</f>
        <v>0</v>
      </c>
      <c r="D2" s="132" t="str">
        <f>VLOOKUP(A2,'APONTAMENTO CREDENCIAMENTO'!$D$6:$P$2948,12,0)</f>
        <v>6020.2022/0052506-3</v>
      </c>
      <c r="E2" s="133"/>
      <c r="F2" s="134">
        <f>SUMIF('APONTAMENTO CREDENCIAMENTO'!$D$6:$D$2948,'ATESTE-LIQ'!A2,'APONTAMENTO CREDENCIAMENTO'!$FE$6:$FE$2948)</f>
        <v>15582.35</v>
      </c>
      <c r="G2" s="328" t="str">
        <f>VLOOKUP(A2,'APONTAMENTO CREDENCIAMENTO'!$D$6:$G$2948,3,0)</f>
        <v>01/04/2026</v>
      </c>
      <c r="H2" s="328" t="str">
        <f>VLOOKUP(A2,'APONTAMENTO CREDENCIAMENTO'!$D$6:$G$2948,4,0)</f>
        <v>30/04/2026</v>
      </c>
      <c r="I2" s="135" t="str">
        <f t="shared" ref="I2" si="1">CONCATENATE("PE - Pagto. Doc(s): ",E2," - Contrato nº ",A2)</f>
        <v>PE - Pagto. Doc(s):  - Contrato nº 2022/0052506</v>
      </c>
      <c r="J2" s="136">
        <f t="shared" ref="J2" si="2">F2</f>
        <v>15582.35</v>
      </c>
      <c r="K2" s="136">
        <v>0</v>
      </c>
      <c r="L2" s="137" t="str">
        <f>VLOOKUP(A2,'APONTAMENTO CREDENCIAMENTO'!$D$6:$P$2948,5,0)</f>
        <v>ADRIANO DAMASCENO FERNANDES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6020.2022/0052506-3</v>
      </c>
      <c r="U2" s="144">
        <f t="shared" ref="U2" si="4">F2</f>
        <v>15582.35</v>
      </c>
      <c r="V2" s="145">
        <f t="shared" ref="V2" si="5">U2</f>
        <v>15582.35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2022/0052506 - DRE - IP</v>
      </c>
      <c r="AB2" s="238" t="str">
        <f t="shared" ref="AB2" si="6">L2</f>
        <v>ADRIANO DAMASCENO FERNANDES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3258</v>
      </c>
      <c r="B3" s="130"/>
      <c r="C3" s="131">
        <f t="shared" ref="C3:C18" si="7">W3</f>
        <v>0</v>
      </c>
      <c r="D3" s="132" t="str">
        <f>VLOOKUP(A3,'APONTAMENTO CREDENCIAMENTO'!$D$6:$P$2948,12,0)</f>
        <v>6020.2022/0026382-4</v>
      </c>
      <c r="E3" s="133"/>
      <c r="F3" s="134">
        <f>SUMIF('APONTAMENTO CREDENCIAMENTO'!$D$6:$D$2948,'ATESTE-LIQ'!A3,'APONTAMENTO CREDENCIAMENTO'!$FE$6:$FE$2948)</f>
        <v>12500.51</v>
      </c>
      <c r="G3" s="328" t="str">
        <f>VLOOKUP(A3,'APONTAMENTO CREDENCIAMENTO'!$D$6:$G$2948,3,0)</f>
        <v>01/04/2026</v>
      </c>
      <c r="H3" s="328" t="str">
        <f>VLOOKUP(A3,'APONTAMENTO CREDENCIAMENTO'!$D$6:$G$2948,4,0)</f>
        <v>30/04/2026</v>
      </c>
      <c r="I3" s="135" t="str">
        <f t="shared" ref="I3:I18" si="8">CONCATENATE("PE - Pagto. Doc(s): ",E3," - Contrato nº ",A3)</f>
        <v>PE - Pagto. Doc(s):  - Contrato nº 2022/0026382</v>
      </c>
      <c r="J3" s="136">
        <f t="shared" ref="J3:J18" si="9">F3</f>
        <v>12500.51</v>
      </c>
      <c r="K3" s="136">
        <v>0</v>
      </c>
      <c r="L3" s="137" t="str">
        <f>VLOOKUP(A3,'APONTAMENTO CREDENCIAMENTO'!$D$6:$P$2948,5,0)</f>
        <v>VALERIA PEREIRA DO VALE GARCEZ</v>
      </c>
      <c r="M3" s="138"/>
      <c r="N3" s="139"/>
      <c r="O3" s="140"/>
      <c r="P3" s="141"/>
      <c r="Q3" s="141"/>
      <c r="R3" s="141"/>
      <c r="S3" s="142"/>
      <c r="T3" s="143" t="str">
        <f t="shared" ref="T3:T18" si="10">D3</f>
        <v>6020.2022/0026382-4</v>
      </c>
      <c r="U3" s="144">
        <f t="shared" ref="U3:U18" si="11">F3</f>
        <v>12500.51</v>
      </c>
      <c r="V3" s="145">
        <f t="shared" ref="V3:V18" si="12">U3</f>
        <v>12500.51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2022/0026382 - DRE - IP</v>
      </c>
      <c r="AB3" s="238" t="str">
        <f t="shared" ref="AB3:AB18" si="13">L3</f>
        <v>VALERIA PEREIRA DO VALE GARCEZ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3234</v>
      </c>
      <c r="B4" s="130"/>
      <c r="C4" s="131">
        <f t="shared" si="7"/>
        <v>0</v>
      </c>
      <c r="D4" s="132" t="str">
        <f>VLOOKUP(A4,'APONTAMENTO CREDENCIAMENTO'!$D$6:$P$2948,12,0)</f>
        <v>6020.2022/0027008-1</v>
      </c>
      <c r="E4" s="133"/>
      <c r="F4" s="134">
        <f>SUMIF('APONTAMENTO CREDENCIAMENTO'!$D$6:$D$2948,'ATESTE-LIQ'!A4,'APONTAMENTO CREDENCIAMENTO'!$FE$6:$FE$2948)</f>
        <v>12236.09</v>
      </c>
      <c r="G4" s="328" t="str">
        <f>VLOOKUP(A4,'APONTAMENTO CREDENCIAMENTO'!$D$6:$G$2948,3,0)</f>
        <v>01/04/2026</v>
      </c>
      <c r="H4" s="328" t="str">
        <f>VLOOKUP(A4,'APONTAMENTO CREDENCIAMENTO'!$D$6:$G$2948,4,0)</f>
        <v>30/04/2026</v>
      </c>
      <c r="I4" s="135" t="str">
        <f t="shared" si="8"/>
        <v>PE - Pagto. Doc(s):  - Contrato nº 2022/0027008</v>
      </c>
      <c r="J4" s="136">
        <f t="shared" si="9"/>
        <v>12236.09</v>
      </c>
      <c r="K4" s="136">
        <v>0</v>
      </c>
      <c r="L4" s="137" t="str">
        <f>VLOOKUP(A4,'APONTAMENTO CREDENCIAMENTO'!$D$6:$P$2948,5,0)</f>
        <v>MARCIA MARIA DA SILVA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6020.2022/0027008-1</v>
      </c>
      <c r="U4" s="144">
        <f t="shared" si="11"/>
        <v>12236.09</v>
      </c>
      <c r="V4" s="145">
        <f t="shared" si="12"/>
        <v>12236.09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2022/0027008 - DRE - IP</v>
      </c>
      <c r="AB4" s="238" t="str">
        <f t="shared" si="13"/>
        <v>MARCIA MARIA DA SILVA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3214</v>
      </c>
      <c r="B5" s="130"/>
      <c r="C5" s="131">
        <f t="shared" si="7"/>
        <v>0</v>
      </c>
      <c r="D5" s="132" t="str">
        <f>VLOOKUP(A5,'APONTAMENTO CREDENCIAMENTO'!$D$6:$P$2948,12,0)</f>
        <v>6020.2022/0027079-0</v>
      </c>
      <c r="E5" s="133"/>
      <c r="F5" s="134">
        <f>SUMIF('APONTAMENTO CREDENCIAMENTO'!$D$6:$D$2948,'ATESTE-LIQ'!A5,'APONTAMENTO CREDENCIAMENTO'!$FE$6:$FE$2948)</f>
        <v>16571.107</v>
      </c>
      <c r="G5" s="328" t="str">
        <f>VLOOKUP(A5,'APONTAMENTO CREDENCIAMENTO'!$D$6:$G$2948,3,0)</f>
        <v>01/04/2026</v>
      </c>
      <c r="H5" s="328" t="str">
        <f>VLOOKUP(A5,'APONTAMENTO CREDENCIAMENTO'!$D$6:$G$2948,4,0)</f>
        <v>30/04/2026</v>
      </c>
      <c r="I5" s="135" t="str">
        <f t="shared" si="8"/>
        <v>PE - Pagto. Doc(s):  - Contrato nº 2022/0027079</v>
      </c>
      <c r="J5" s="136">
        <f t="shared" si="9"/>
        <v>16571.107</v>
      </c>
      <c r="K5" s="136">
        <v>0</v>
      </c>
      <c r="L5" s="137" t="str">
        <f>VLOOKUP(A5,'APONTAMENTO CREDENCIAMENTO'!$D$6:$P$2948,5,0)</f>
        <v>EZIO COELHO DE MORAES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6020.2022/0027079-0</v>
      </c>
      <c r="U5" s="144">
        <f t="shared" si="11"/>
        <v>16571.107</v>
      </c>
      <c r="V5" s="145">
        <f t="shared" si="12"/>
        <v>16571.107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2022/0027079 - DRE - IP</v>
      </c>
      <c r="AB5" s="238" t="str">
        <f t="shared" si="13"/>
        <v>EZIO COELHO DE MORAES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3202</v>
      </c>
      <c r="B6" s="130"/>
      <c r="C6" s="131">
        <f t="shared" si="7"/>
        <v>0</v>
      </c>
      <c r="D6" s="132" t="str">
        <f>VLOOKUP(A6,'APONTAMENTO CREDENCIAMENTO'!$D$6:$P$2948,12,0)</f>
        <v>6020.2022/0027180-0</v>
      </c>
      <c r="E6" s="133"/>
      <c r="F6" s="134">
        <f>SUMIF('APONTAMENTO CREDENCIAMENTO'!$D$6:$D$2948,'ATESTE-LIQ'!A6,'APONTAMENTO CREDENCIAMENTO'!$FE$6:$FE$2948)</f>
        <v>15780.206</v>
      </c>
      <c r="G6" s="328" t="str">
        <f>VLOOKUP(A6,'APONTAMENTO CREDENCIAMENTO'!$D$6:$G$2948,3,0)</f>
        <v>01/04/2026</v>
      </c>
      <c r="H6" s="328" t="str">
        <f>VLOOKUP(A6,'APONTAMENTO CREDENCIAMENTO'!$D$6:$G$2948,4,0)</f>
        <v>30/04/2026</v>
      </c>
      <c r="I6" s="135" t="str">
        <f t="shared" si="8"/>
        <v>PE - Pagto. Doc(s):  - Contrato nº 2022/0027180</v>
      </c>
      <c r="J6" s="136">
        <f t="shared" si="9"/>
        <v>15780.206</v>
      </c>
      <c r="K6" s="136">
        <v>0</v>
      </c>
      <c r="L6" s="137" t="str">
        <f>VLOOKUP(A6,'APONTAMENTO CREDENCIAMENTO'!$D$6:$P$2948,5,0)</f>
        <v>ANTONIO CARLOS SARAIVA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6020.2022/0027180-0</v>
      </c>
      <c r="U6" s="144">
        <f t="shared" si="11"/>
        <v>15780.206</v>
      </c>
      <c r="V6" s="145">
        <f t="shared" si="12"/>
        <v>15780.206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2022/0027180 - DRE - IP</v>
      </c>
      <c r="AB6" s="238" t="str">
        <f t="shared" si="13"/>
        <v>ANTONIO CARLOS SARAIVA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3238</v>
      </c>
      <c r="B7" s="130"/>
      <c r="C7" s="131">
        <f t="shared" si="7"/>
        <v>0</v>
      </c>
      <c r="D7" s="132" t="str">
        <f>VLOOKUP(A7,'APONTAMENTO CREDENCIAMENTO'!$D$6:$P$2948,12,0)</f>
        <v>6020.2022/0027495-8</v>
      </c>
      <c r="E7" s="133"/>
      <c r="F7" s="134">
        <f>SUMIF('APONTAMENTO CREDENCIAMENTO'!$D$6:$D$2948,'ATESTE-LIQ'!A7,'APONTAMENTO CREDENCIAMENTO'!$FE$6:$FE$2948)</f>
        <v>15523.385999999999</v>
      </c>
      <c r="G7" s="328" t="str">
        <f>VLOOKUP(A7,'APONTAMENTO CREDENCIAMENTO'!$D$6:$G$2948,3,0)</f>
        <v>01/04/2026</v>
      </c>
      <c r="H7" s="328" t="str">
        <f>VLOOKUP(A7,'APONTAMENTO CREDENCIAMENTO'!$D$6:$G$2948,4,0)</f>
        <v>30/04/2026</v>
      </c>
      <c r="I7" s="135" t="str">
        <f t="shared" si="8"/>
        <v>PE - Pagto. Doc(s):  - Contrato nº 2022/0027495</v>
      </c>
      <c r="J7" s="136">
        <f t="shared" si="9"/>
        <v>15523.385999999999</v>
      </c>
      <c r="K7" s="136">
        <v>0</v>
      </c>
      <c r="L7" s="137" t="str">
        <f>VLOOKUP(A7,'APONTAMENTO CREDENCIAMENTO'!$D$6:$P$2948,5,0)</f>
        <v>MARIANA FERREIRA BARRETO RIBEIRO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6020.2022/0027495-8</v>
      </c>
      <c r="U7" s="144">
        <f t="shared" si="11"/>
        <v>15523.385999999999</v>
      </c>
      <c r="V7" s="145">
        <f t="shared" si="12"/>
        <v>15523.385999999999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2022/0027495 - DRE - IP</v>
      </c>
      <c r="AB7" s="238" t="str">
        <f t="shared" si="13"/>
        <v>MARIANA FERREIRA BARRETO RIBEIRO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3206</v>
      </c>
      <c r="B8" s="130"/>
      <c r="C8" s="131">
        <f t="shared" si="7"/>
        <v>0</v>
      </c>
      <c r="D8" s="132" t="str">
        <f>VLOOKUP(A8,'APONTAMENTO CREDENCIAMENTO'!$D$6:$P$2948,12,0)</f>
        <v>6020.2022/0027780-9</v>
      </c>
      <c r="E8" s="133"/>
      <c r="F8" s="134">
        <f>SUMIF('APONTAMENTO CREDENCIAMENTO'!$D$6:$D$2948,'ATESTE-LIQ'!A8,'APONTAMENTO CREDENCIAMENTO'!$FE$6:$FE$2948)</f>
        <v>12791.357</v>
      </c>
      <c r="G8" s="328" t="str">
        <f>VLOOKUP(A8,'APONTAMENTO CREDENCIAMENTO'!$D$6:$G$2948,3,0)</f>
        <v>01/04/2026</v>
      </c>
      <c r="H8" s="328" t="str">
        <f>VLOOKUP(A8,'APONTAMENTO CREDENCIAMENTO'!$D$6:$G$2948,4,0)</f>
        <v>30/04/2026</v>
      </c>
      <c r="I8" s="135" t="str">
        <f t="shared" si="8"/>
        <v>PE - Pagto. Doc(s):  - Contrato nº 2022/0027780</v>
      </c>
      <c r="J8" s="136">
        <f t="shared" si="9"/>
        <v>12791.357</v>
      </c>
      <c r="K8" s="136">
        <v>0</v>
      </c>
      <c r="L8" s="137" t="str">
        <f>VLOOKUP(A8,'APONTAMENTO CREDENCIAMENTO'!$D$6:$P$2948,5,0)</f>
        <v>EDES VALDECIR DOS SANTOS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6020.2022/0027780-9</v>
      </c>
      <c r="U8" s="144">
        <f t="shared" si="11"/>
        <v>12791.357</v>
      </c>
      <c r="V8" s="145">
        <f t="shared" si="12"/>
        <v>12791.357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2022/0027780 - DRE - IP</v>
      </c>
      <c r="AB8" s="238" t="str">
        <f t="shared" si="13"/>
        <v>EDES VALDECIR DOS SANTOS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3210</v>
      </c>
      <c r="B9" s="130"/>
      <c r="C9" s="131">
        <f t="shared" si="7"/>
        <v>0</v>
      </c>
      <c r="D9" s="132" t="str">
        <f>VLOOKUP(A9,'APONTAMENTO CREDENCIAMENTO'!$D$6:$P$2948,12,0)</f>
        <v>6020.2022/0029425-8</v>
      </c>
      <c r="E9" s="133"/>
      <c r="F9" s="134">
        <f>SUMIF('APONTAMENTO CREDENCIAMENTO'!$D$6:$D$2948,'ATESTE-LIQ'!A9,'APONTAMENTO CREDENCIAMENTO'!$FE$6:$FE$2948)</f>
        <v>16088.39</v>
      </c>
      <c r="G9" s="328" t="str">
        <f>VLOOKUP(A9,'APONTAMENTO CREDENCIAMENTO'!$D$6:$G$2948,3,0)</f>
        <v>01/04/2026</v>
      </c>
      <c r="H9" s="328" t="str">
        <f>VLOOKUP(A9,'APONTAMENTO CREDENCIAMENTO'!$D$6:$G$2948,4,0)</f>
        <v>30/04/2026</v>
      </c>
      <c r="I9" s="135" t="str">
        <f t="shared" si="8"/>
        <v>PE - Pagto. Doc(s):  - Contrato nº 2022/0029425</v>
      </c>
      <c r="J9" s="136">
        <f t="shared" si="9"/>
        <v>16088.39</v>
      </c>
      <c r="K9" s="136">
        <v>0</v>
      </c>
      <c r="L9" s="137" t="str">
        <f>VLOOKUP(A9,'APONTAMENTO CREDENCIAMENTO'!$D$6:$P$2948,5,0)</f>
        <v>EVERSON CARLOS COSTA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6020.2022/0029425-8</v>
      </c>
      <c r="U9" s="144">
        <f t="shared" si="11"/>
        <v>16088.39</v>
      </c>
      <c r="V9" s="145">
        <f t="shared" si="12"/>
        <v>16088.39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2022/0029425 - DRE - IP</v>
      </c>
      <c r="AB9" s="238" t="str">
        <f t="shared" si="13"/>
        <v>EVERSON CARLOS COSTA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3226</v>
      </c>
      <c r="B10" s="130"/>
      <c r="C10" s="131">
        <f t="shared" si="7"/>
        <v>0</v>
      </c>
      <c r="D10" s="132" t="str">
        <f>VLOOKUP(A10,'APONTAMENTO CREDENCIAMENTO'!$D$6:$P$2948,12,0)</f>
        <v>6020.2022/0029787-7</v>
      </c>
      <c r="E10" s="133"/>
      <c r="F10" s="134">
        <f>SUMIF('APONTAMENTO CREDENCIAMENTO'!$D$6:$D$2948,'ATESTE-LIQ'!A10,'APONTAMENTO CREDENCIAMENTO'!$FE$6:$FE$2948)</f>
        <v>15882.933999999999</v>
      </c>
      <c r="G10" s="328" t="str">
        <f>VLOOKUP(A10,'APONTAMENTO CREDENCIAMENTO'!$D$6:$G$2948,3,0)</f>
        <v>01/04/2026</v>
      </c>
      <c r="H10" s="328" t="str">
        <f>VLOOKUP(A10,'APONTAMENTO CREDENCIAMENTO'!$D$6:$G$2948,4,0)</f>
        <v>30/04/2026</v>
      </c>
      <c r="I10" s="135" t="str">
        <f t="shared" si="8"/>
        <v>PE - Pagto. Doc(s):  - Contrato nº 2022/0029787</v>
      </c>
      <c r="J10" s="136">
        <f t="shared" si="9"/>
        <v>15882.933999999999</v>
      </c>
      <c r="K10" s="136">
        <v>0</v>
      </c>
      <c r="L10" s="137" t="str">
        <f>VLOOKUP(A10,'APONTAMENTO CREDENCIAMENTO'!$D$6:$P$2948,5,0)</f>
        <v>KATIA CRISTINA RODRIGUES DE LIMA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6020.2022/0029787-7</v>
      </c>
      <c r="U10" s="144">
        <f t="shared" si="11"/>
        <v>15882.933999999999</v>
      </c>
      <c r="V10" s="145">
        <f t="shared" si="12"/>
        <v>15882.933999999999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2022/0029787 - DRE - IP</v>
      </c>
      <c r="AB10" s="238" t="str">
        <f t="shared" si="13"/>
        <v>KATIA CRISTINA RODRIGUES DE LIMA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3222</v>
      </c>
      <c r="B11" s="130"/>
      <c r="C11" s="131">
        <f t="shared" si="7"/>
        <v>0</v>
      </c>
      <c r="D11" s="132" t="str">
        <f>VLOOKUP(A11,'APONTAMENTO CREDENCIAMENTO'!$D$6:$P$2948,12,0)</f>
        <v>6020.2022/0030729-5</v>
      </c>
      <c r="E11" s="133"/>
      <c r="F11" s="134">
        <f>SUMIF('APONTAMENTO CREDENCIAMENTO'!$D$6:$D$2948,'ATESTE-LIQ'!A11,'APONTAMENTO CREDENCIAMENTO'!$FE$6:$FE$2948)</f>
        <v>9200.3729999999996</v>
      </c>
      <c r="G11" s="328" t="str">
        <f>VLOOKUP(A11,'APONTAMENTO CREDENCIAMENTO'!$D$6:$G$2948,3,0)</f>
        <v>01/04/2026</v>
      </c>
      <c r="H11" s="328" t="str">
        <f>VLOOKUP(A11,'APONTAMENTO CREDENCIAMENTO'!$D$6:$G$2948,4,0)</f>
        <v>30/04/2026</v>
      </c>
      <c r="I11" s="135" t="str">
        <f t="shared" si="8"/>
        <v>PE - Pagto. Doc(s):  - Contrato nº 2022/0030729</v>
      </c>
      <c r="J11" s="136">
        <f t="shared" si="9"/>
        <v>9200.3729999999996</v>
      </c>
      <c r="K11" s="136">
        <v>0</v>
      </c>
      <c r="L11" s="137" t="str">
        <f>VLOOKUP(A11,'APONTAMENTO CREDENCIAMENTO'!$D$6:$P$2948,5,0)</f>
        <v>JOSE JESUS DE MELO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6020.2022/0030729-5</v>
      </c>
      <c r="U11" s="144">
        <f t="shared" si="11"/>
        <v>9200.3729999999996</v>
      </c>
      <c r="V11" s="145">
        <f t="shared" si="12"/>
        <v>9200.3729999999996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2022/0030729 - DRE - IP</v>
      </c>
      <c r="AB11" s="238" t="str">
        <f t="shared" si="13"/>
        <v>JOSE JESUS DE MELO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3230</v>
      </c>
      <c r="B12" s="130"/>
      <c r="C12" s="131">
        <f t="shared" si="7"/>
        <v>0</v>
      </c>
      <c r="D12" s="132" t="str">
        <f>VLOOKUP(A12,'APONTAMENTO CREDENCIAMENTO'!$D$6:$P$2948,12,0)</f>
        <v>6020.2022/0031140-3</v>
      </c>
      <c r="E12" s="133"/>
      <c r="F12" s="134">
        <f>SUMIF('APONTAMENTO CREDENCIAMENTO'!$D$6:$D$2948,'ATESTE-LIQ'!A12,'APONTAMENTO CREDENCIAMENTO'!$FE$6:$FE$2948)</f>
        <v>17218.397999999997</v>
      </c>
      <c r="G12" s="328" t="str">
        <f>VLOOKUP(A12,'APONTAMENTO CREDENCIAMENTO'!$D$6:$G$2948,3,0)</f>
        <v>01/04/2026</v>
      </c>
      <c r="H12" s="328" t="str">
        <f>VLOOKUP(A12,'APONTAMENTO CREDENCIAMENTO'!$D$6:$G$2948,4,0)</f>
        <v>30/04/2026</v>
      </c>
      <c r="I12" s="135" t="str">
        <f t="shared" si="8"/>
        <v>PE - Pagto. Doc(s):  - Contrato nº 2022/0031140</v>
      </c>
      <c r="J12" s="136">
        <f t="shared" si="9"/>
        <v>17218.397999999997</v>
      </c>
      <c r="K12" s="136">
        <v>0</v>
      </c>
      <c r="L12" s="137" t="str">
        <f>VLOOKUP(A12,'APONTAMENTO CREDENCIAMENTO'!$D$6:$P$2948,5,0)</f>
        <v>LUIZ OCTAVIO VELLA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6020.2022/0031140-3</v>
      </c>
      <c r="U12" s="144">
        <f t="shared" si="11"/>
        <v>17218.397999999997</v>
      </c>
      <c r="V12" s="145">
        <f t="shared" si="12"/>
        <v>17218.397999999997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2022/0031140 - DRE - IP</v>
      </c>
      <c r="AB12" s="238" t="str">
        <f t="shared" si="13"/>
        <v>LUIZ OCTAVIO VELLA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3198</v>
      </c>
      <c r="B13" s="130"/>
      <c r="C13" s="131">
        <f t="shared" si="7"/>
        <v>0</v>
      </c>
      <c r="D13" s="132" t="str">
        <f>VLOOKUP(A13,'APONTAMENTO CREDENCIAMENTO'!$D$6:$P$2948,12,0)</f>
        <v>6020.2022/0031283-3</v>
      </c>
      <c r="E13" s="133"/>
      <c r="F13" s="134">
        <f>SUMIF('APONTAMENTO CREDENCIAMENTO'!$D$6:$D$2948,'ATESTE-LIQ'!A13,'APONTAMENTO CREDENCIAMENTO'!$FE$6:$FE$2948)</f>
        <v>12115.28</v>
      </c>
      <c r="G13" s="328" t="str">
        <f>VLOOKUP(A13,'APONTAMENTO CREDENCIAMENTO'!$D$6:$G$2948,3,0)</f>
        <v>01/04/2026</v>
      </c>
      <c r="H13" s="328" t="str">
        <f>VLOOKUP(A13,'APONTAMENTO CREDENCIAMENTO'!$D$6:$G$2948,4,0)</f>
        <v>30/04/2026</v>
      </c>
      <c r="I13" s="135" t="str">
        <f t="shared" si="8"/>
        <v>PE - Pagto. Doc(s):  - Contrato nº 2022/0031283</v>
      </c>
      <c r="J13" s="136">
        <f t="shared" si="9"/>
        <v>12115.28</v>
      </c>
      <c r="K13" s="136">
        <v>0</v>
      </c>
      <c r="L13" s="137" t="str">
        <f>VLOOKUP(A13,'APONTAMENTO CREDENCIAMENTO'!$D$6:$P$2948,5,0)</f>
        <v>ANDRE LUIS SANTOS PEREIRA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6020.2022/0031283-3</v>
      </c>
      <c r="U13" s="144">
        <f t="shared" si="11"/>
        <v>12115.28</v>
      </c>
      <c r="V13" s="145">
        <f t="shared" si="12"/>
        <v>12115.28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2022/0031283 - DRE - IP</v>
      </c>
      <c r="AB13" s="238" t="str">
        <f t="shared" si="13"/>
        <v>ANDRE LUIS SANTOS PEREIRA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3250</v>
      </c>
      <c r="B14" s="130"/>
      <c r="C14" s="131">
        <f t="shared" si="7"/>
        <v>0</v>
      </c>
      <c r="D14" s="132" t="str">
        <f>VLOOKUP(A14,'APONTAMENTO CREDENCIAMENTO'!$D$6:$P$2948,12,0)</f>
        <v>6020.2022/0031307-4</v>
      </c>
      <c r="E14" s="133"/>
      <c r="F14" s="134">
        <f>SUMIF('APONTAMENTO CREDENCIAMENTO'!$D$6:$D$2948,'ATESTE-LIQ'!A14,'APONTAMENTO CREDENCIAMENTO'!$FE$6:$FE$2948)</f>
        <v>17290.203000000001</v>
      </c>
      <c r="G14" s="328" t="str">
        <f>VLOOKUP(A14,'APONTAMENTO CREDENCIAMENTO'!$D$6:$G$2948,3,0)</f>
        <v>01/04/2026</v>
      </c>
      <c r="H14" s="328" t="str">
        <f>VLOOKUP(A14,'APONTAMENTO CREDENCIAMENTO'!$D$6:$G$2948,4,0)</f>
        <v>30/04/2026</v>
      </c>
      <c r="I14" s="135" t="str">
        <f t="shared" si="8"/>
        <v>PE - Pagto. Doc(s):  - Contrato nº 2022/0031307</v>
      </c>
      <c r="J14" s="136">
        <f t="shared" si="9"/>
        <v>17290.203000000001</v>
      </c>
      <c r="K14" s="136">
        <v>0</v>
      </c>
      <c r="L14" s="137" t="str">
        <f>VLOOKUP(A14,'APONTAMENTO CREDENCIAMENTO'!$D$6:$P$2948,5,0)</f>
        <v>RAMON CASTRO DO PRADO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6020.2022/0031307-4</v>
      </c>
      <c r="U14" s="144">
        <f t="shared" si="11"/>
        <v>17290.203000000001</v>
      </c>
      <c r="V14" s="145">
        <f t="shared" si="12"/>
        <v>17290.203000000001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2022/0031307 - DRE - IP</v>
      </c>
      <c r="AB14" s="238" t="str">
        <f t="shared" si="13"/>
        <v>RAMON CASTRO DO PRADO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3254</v>
      </c>
      <c r="B15" s="130"/>
      <c r="C15" s="131">
        <f t="shared" si="7"/>
        <v>0</v>
      </c>
      <c r="D15" s="132" t="str">
        <f>VLOOKUP(A15,'APONTAMENTO CREDENCIAMENTO'!$D$6:$P$2948,12,0)</f>
        <v>6020.2022/0032820-9</v>
      </c>
      <c r="E15" s="133"/>
      <c r="F15" s="134">
        <f>SUMIF('APONTAMENTO CREDENCIAMENTO'!$D$6:$D$2948,'ATESTE-LIQ'!A15,'APONTAMENTO CREDENCIAMENTO'!$FE$6:$FE$2948)</f>
        <v>15620.873000000001</v>
      </c>
      <c r="G15" s="328" t="str">
        <f>VLOOKUP(A15,'APONTAMENTO CREDENCIAMENTO'!$D$6:$G$2948,3,0)</f>
        <v>01/04/2026</v>
      </c>
      <c r="H15" s="328" t="str">
        <f>VLOOKUP(A15,'APONTAMENTO CREDENCIAMENTO'!$D$6:$G$2948,4,0)</f>
        <v>30/04/2026</v>
      </c>
      <c r="I15" s="135" t="str">
        <f t="shared" si="8"/>
        <v>PE - Pagto. Doc(s):  - Contrato nº 2022/0032820</v>
      </c>
      <c r="J15" s="136">
        <f t="shared" si="9"/>
        <v>15620.873000000001</v>
      </c>
      <c r="K15" s="136">
        <v>0</v>
      </c>
      <c r="L15" s="137" t="str">
        <f>VLOOKUP(A15,'APONTAMENTO CREDENCIAMENTO'!$D$6:$P$2948,5,0)</f>
        <v>SILVANA CRISTINA TRANI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6020.2022/0032820-9</v>
      </c>
      <c r="U15" s="144">
        <f t="shared" si="11"/>
        <v>15620.873000000001</v>
      </c>
      <c r="V15" s="145">
        <f t="shared" si="12"/>
        <v>15620.873000000001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2022/0032820 - DRE - IP</v>
      </c>
      <c r="AB15" s="238" t="str">
        <f t="shared" si="13"/>
        <v>SILVANA CRISTINA TRANI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3218</v>
      </c>
      <c r="B16" s="130"/>
      <c r="C16" s="131">
        <f t="shared" si="7"/>
        <v>0</v>
      </c>
      <c r="D16" s="132" t="str">
        <f>VLOOKUP(A16,'APONTAMENTO CREDENCIAMENTO'!$D$6:$P$2948,12,0)</f>
        <v>6020.2022/0033953-7</v>
      </c>
      <c r="E16" s="133"/>
      <c r="F16" s="134">
        <f>SUMIF('APONTAMENTO CREDENCIAMENTO'!$D$6:$D$2948,'ATESTE-LIQ'!A16,'APONTAMENTO CREDENCIAMENTO'!$FE$6:$FE$2948)</f>
        <v>11850.859999999999</v>
      </c>
      <c r="G16" s="328" t="str">
        <f>VLOOKUP(A16,'APONTAMENTO CREDENCIAMENTO'!$D$6:$G$2948,3,0)</f>
        <v>01/04/2026</v>
      </c>
      <c r="H16" s="328" t="str">
        <f>VLOOKUP(A16,'APONTAMENTO CREDENCIAMENTO'!$D$6:$G$2948,4,0)</f>
        <v>30/04/2026</v>
      </c>
      <c r="I16" s="135" t="str">
        <f t="shared" si="8"/>
        <v>PE - Pagto. Doc(s):  - Contrato nº 2022/0033953</v>
      </c>
      <c r="J16" s="136">
        <f t="shared" si="9"/>
        <v>11850.859999999999</v>
      </c>
      <c r="K16" s="136">
        <v>0</v>
      </c>
      <c r="L16" s="137" t="str">
        <f>VLOOKUP(A16,'APONTAMENTO CREDENCIAMENTO'!$D$6:$P$2948,5,0)</f>
        <v>JOSE APARECIDO RAMOS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6020.2022/0033953-7</v>
      </c>
      <c r="U16" s="144">
        <f t="shared" si="11"/>
        <v>11850.859999999999</v>
      </c>
      <c r="V16" s="145">
        <f t="shared" si="12"/>
        <v>11850.859999999999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2022/0033953 - DRE - IP</v>
      </c>
      <c r="AB16" s="238" t="str">
        <f t="shared" si="13"/>
        <v>JOSE APARECIDO RAMOS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3242</v>
      </c>
      <c r="B17" s="130"/>
      <c r="C17" s="131">
        <f t="shared" si="7"/>
        <v>0</v>
      </c>
      <c r="D17" s="132" t="str">
        <f>VLOOKUP(A17,'APONTAMENTO CREDENCIAMENTO'!$D$6:$P$2948,12,0)</f>
        <v>6020.2022/0034469-7</v>
      </c>
      <c r="E17" s="133"/>
      <c r="F17" s="134">
        <f>SUMIF('APONTAMENTO CREDENCIAMENTO'!$D$6:$D$2948,'ATESTE-LIQ'!A17,'APONTAMENTO CREDENCIAMENTO'!$FE$6:$FE$2948)</f>
        <v>15703.16</v>
      </c>
      <c r="G17" s="328" t="str">
        <f>VLOOKUP(A17,'APONTAMENTO CREDENCIAMENTO'!$D$6:$G$2948,3,0)</f>
        <v>01/04/2026</v>
      </c>
      <c r="H17" s="328" t="str">
        <f>VLOOKUP(A17,'APONTAMENTO CREDENCIAMENTO'!$D$6:$G$2948,4,0)</f>
        <v>30/04/2026</v>
      </c>
      <c r="I17" s="135" t="str">
        <f t="shared" si="8"/>
        <v>PE - Pagto. Doc(s):  - Contrato nº 2022/0034469</v>
      </c>
      <c r="J17" s="136">
        <f t="shared" si="9"/>
        <v>15703.16</v>
      </c>
      <c r="K17" s="136">
        <v>0</v>
      </c>
      <c r="L17" s="137" t="str">
        <f>VLOOKUP(A17,'APONTAMENTO CREDENCIAMENTO'!$D$6:$P$2948,5,0)</f>
        <v>NELSON RIBEIRO DE SOUZA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6020.2022/0034469-7</v>
      </c>
      <c r="U17" s="144">
        <f t="shared" si="11"/>
        <v>15703.16</v>
      </c>
      <c r="V17" s="145">
        <f t="shared" si="12"/>
        <v>15703.16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2022/0034469 - DRE - IP</v>
      </c>
      <c r="AB17" s="238" t="str">
        <f t="shared" si="13"/>
        <v>NELSON RIBEIRO DE SOUZA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3246</v>
      </c>
      <c r="B18" s="130"/>
      <c r="C18" s="131">
        <f t="shared" si="7"/>
        <v>0</v>
      </c>
      <c r="D18" s="132" t="str">
        <f>VLOOKUP(A18,'APONTAMENTO CREDENCIAMENTO'!$D$6:$P$2948,12,0)</f>
        <v>6020.2023/0008690-8</v>
      </c>
      <c r="E18" s="133"/>
      <c r="F18" s="134">
        <f>SUMIF('APONTAMENTO CREDENCIAMENTO'!$D$6:$D$2948,'ATESTE-LIQ'!A18,'APONTAMENTO CREDENCIAMENTO'!$FE$6:$FE$2948)</f>
        <v>30357.224000000002</v>
      </c>
      <c r="G18" s="328" t="str">
        <f>VLOOKUP(A18,'APONTAMENTO CREDENCIAMENTO'!$D$6:$G$2948,3,0)</f>
        <v>01/04/2026</v>
      </c>
      <c r="H18" s="328" t="str">
        <f>VLOOKUP(A18,'APONTAMENTO CREDENCIAMENTO'!$D$6:$G$2948,4,0)</f>
        <v>30/04/2026</v>
      </c>
      <c r="I18" s="135" t="str">
        <f t="shared" si="8"/>
        <v>PE - Pagto. Doc(s):  - Contrato nº 2023/0008690</v>
      </c>
      <c r="J18" s="136">
        <f t="shared" si="9"/>
        <v>30357.224000000002</v>
      </c>
      <c r="K18" s="136">
        <v>0</v>
      </c>
      <c r="L18" s="137" t="str">
        <f>VLOOKUP(A18,'APONTAMENTO CREDENCIAMENTO'!$D$6:$P$2948,5,0)</f>
        <v>NILTON DA ROCHA MEIRELES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6020.2023/0008690-8</v>
      </c>
      <c r="U18" s="144">
        <f t="shared" si="11"/>
        <v>30357.224000000002</v>
      </c>
      <c r="V18" s="145">
        <f t="shared" si="12"/>
        <v>30357.224000000002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2023/0008690 - DRE - IP</v>
      </c>
      <c r="AB18" s="238" t="str">
        <f t="shared" si="13"/>
        <v>NILTON DA ROCHA MEIRELES</v>
      </c>
      <c r="AC18" s="239"/>
      <c r="AD18" s="240"/>
      <c r="AE18" s="242"/>
      <c r="AF18" s="102"/>
    </row>
    <row r="20" spans="1:32" ht="20.25" customHeight="1" x14ac:dyDescent="0.2">
      <c r="A20" s="237"/>
      <c r="F20" s="60">
        <f>SUM(F2:F19)</f>
        <v>262312.701</v>
      </c>
      <c r="J20" s="60">
        <f>SUM(J2:J19)</f>
        <v>262312.701</v>
      </c>
    </row>
    <row r="21" spans="1:32" ht="20.25" customHeight="1" x14ac:dyDescent="0.2">
      <c r="A21" s="237"/>
    </row>
    <row r="22" spans="1:32" ht="20.25" customHeight="1" x14ac:dyDescent="0.2">
      <c r="A22" s="237"/>
    </row>
    <row r="23" spans="1:32" ht="20.25" customHeight="1" x14ac:dyDescent="0.2">
      <c r="A23" s="237"/>
    </row>
    <row r="24" spans="1:32" ht="20.25" customHeight="1" x14ac:dyDescent="0.2">
      <c r="A24" s="237"/>
    </row>
    <row r="25" spans="1:32" ht="20.25" customHeight="1" x14ac:dyDescent="0.2">
      <c r="A25" s="237"/>
    </row>
    <row r="26" spans="1:32" ht="20.25" customHeight="1" x14ac:dyDescent="0.2">
      <c r="A26" s="237"/>
    </row>
    <row r="27" spans="1:32" ht="20.25" customHeight="1" x14ac:dyDescent="0.2">
      <c r="A27" s="237"/>
    </row>
    <row r="28" spans="1:32" ht="20.25" customHeight="1" x14ac:dyDescent="0.2">
      <c r="A28" s="237"/>
    </row>
    <row r="29" spans="1:32" ht="20.25" customHeight="1" x14ac:dyDescent="0.2">
      <c r="A29" s="237"/>
    </row>
    <row r="30" spans="1:32" ht="20.25" customHeight="1" x14ac:dyDescent="0.2">
      <c r="A30" s="237"/>
    </row>
    <row r="31" spans="1:32" ht="20.25" customHeight="1" x14ac:dyDescent="0.2">
      <c r="A31" s="237"/>
    </row>
    <row r="32" spans="1:32" ht="20.25" customHeight="1" x14ac:dyDescent="0.2">
      <c r="A32" s="237"/>
    </row>
    <row r="33" spans="1:1" ht="20.25" customHeight="1" x14ac:dyDescent="0.2">
      <c r="A33" s="237"/>
    </row>
    <row r="34" spans="1:1" ht="20.25" customHeight="1" x14ac:dyDescent="0.2">
      <c r="A34" s="237"/>
    </row>
    <row r="35" spans="1:1" ht="20.25" customHeight="1" x14ac:dyDescent="0.2">
      <c r="A35" s="237"/>
    </row>
    <row r="36" spans="1:1" ht="20.25" customHeight="1" x14ac:dyDescent="0.2">
      <c r="A36" s="237"/>
    </row>
    <row r="37" spans="1:1" ht="20.25" customHeight="1" x14ac:dyDescent="0.2">
      <c r="A37" s="237"/>
    </row>
    <row r="38" spans="1:1" ht="20.25" customHeight="1" x14ac:dyDescent="0.2">
      <c r="A38" s="237"/>
    </row>
    <row r="39" spans="1:1" ht="20.25" customHeight="1" x14ac:dyDescent="0.2">
      <c r="A39" s="237"/>
    </row>
  </sheetData>
  <sheetProtection formatCells="0" formatColumns="0" formatRows="0" selectLockedCells="1"/>
  <sortState xmlns:xlrd2="http://schemas.microsoft.com/office/spreadsheetml/2017/richdata2" ref="B19:B51">
    <sortCondition ref="B19:B51"/>
  </sortState>
  <conditionalFormatting sqref="C1 E1:AE1">
    <cfRule type="duplicateValues" dxfId="16" priority="48"/>
  </conditionalFormatting>
  <conditionalFormatting sqref="D2:D18">
    <cfRule type="expression" dxfId="15" priority="143" stopIfTrue="1">
      <formula>AND(COUNTIF($D:$D,D2)&gt;1,NOT(ISBLANK(D2)))</formula>
    </cfRule>
  </conditionalFormatting>
  <conditionalFormatting sqref="S2:S18">
    <cfRule type="expression" dxfId="14" priority="2499" stopIfTrue="1">
      <formula>AND(COUNTIF($S$2:$S$2,S2)&gt;1,NOT(ISBLANK(S2)))</formula>
    </cfRule>
  </conditionalFormatting>
  <conditionalFormatting sqref="S20:S1048576 S2:S18">
    <cfRule type="duplicateValues" dxfId="13" priority="2503"/>
  </conditionalFormatting>
  <conditionalFormatting sqref="A1:A18">
    <cfRule type="duplicateValues" dxfId="12" priority="163556"/>
  </conditionalFormatting>
  <conditionalFormatting sqref="B2:B18">
    <cfRule type="duplicateValues" dxfId="11" priority="163557"/>
    <cfRule type="duplicateValues" dxfId="10" priority="163558"/>
    <cfRule type="duplicateValues" dxfId="9" priority="163559"/>
    <cfRule type="duplicateValues" dxfId="8" priority="163560"/>
    <cfRule type="duplicateValues" dxfId="7" priority="163561"/>
  </conditionalFormatting>
  <conditionalFormatting sqref="C2:C18">
    <cfRule type="duplicateValues" dxfId="6" priority="163562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2023/0008690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18214.3344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18214.3344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607.20000000000005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3933.23</v>
      </c>
      <c r="E32" s="572" t="s">
        <v>3120</v>
      </c>
      <c r="F32" s="573">
        <f>'IR Desc. Simplificado-Maio.2025'!F30</f>
        <v>3933.23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3933.23</v>
      </c>
      <c r="E33" s="572" t="s">
        <v>3121</v>
      </c>
      <c r="F33" s="573">
        <f>F32-D18</f>
        <v>3933.23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3933.23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3933.23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18214.3344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607.20000000000005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607.20000000000005</v>
      </c>
    </row>
    <row r="16" spans="2:9" x14ac:dyDescent="0.25">
      <c r="B16" s="875" t="s">
        <v>3151</v>
      </c>
      <c r="C16" s="875"/>
      <c r="D16" s="875"/>
      <c r="E16" s="879">
        <f>B3-I17-I18-F10-(E14*E15)</f>
        <v>17607.134399999999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3933.23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3933.23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3933.23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3933.23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3933.23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3933.23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3933.23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18214.3344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607.20000000000005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18214.3344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17607.134399999999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3933.23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3933.23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3933.23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3933.23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3933.23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18214.3344</v>
      </c>
      <c r="D39" s="622">
        <v>0.13314500000000001</v>
      </c>
      <c r="E39" s="655">
        <f>TRUNC($B$39-($C$39*$D$39),2)</f>
        <v>-1446.52</v>
      </c>
    </row>
    <row r="42" spans="2:6" ht="30" x14ac:dyDescent="0.25">
      <c r="B42" s="641" t="s">
        <v>3170</v>
      </c>
      <c r="C42" s="642">
        <f>$F$24</f>
        <v>3933.23</v>
      </c>
    </row>
    <row r="43" spans="2:6" ht="30" x14ac:dyDescent="0.25">
      <c r="B43" s="641" t="s">
        <v>3171</v>
      </c>
      <c r="C43" s="643">
        <f>$E$39</f>
        <v>-1446.52</v>
      </c>
    </row>
    <row r="44" spans="2:6" ht="60" x14ac:dyDescent="0.25">
      <c r="B44" s="644" t="s">
        <v>3172</v>
      </c>
      <c r="C44" s="645">
        <f>$C$42-$C$43</f>
        <v>5379.75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2026-05-11T14:37:20Z</cp:lastPrinted>
  <dcterms:created xsi:type="dcterms:W3CDTF">2019-02-08T16:49:11Z</dcterms:created>
  <dcterms:modified xsi:type="dcterms:W3CDTF">2026-05-11T14:37:25Z</dcterms:modified>
</cp:coreProperties>
</file>