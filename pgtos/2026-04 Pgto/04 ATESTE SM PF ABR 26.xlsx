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5CE5983A-26D8-4B43-A092-52B84E93AF12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CREDENCIAMENTO'!$A$5:$IC$197</definedName>
    <definedName name="_xlnm._FilterDatabase" localSheetId="8" hidden="1">'ATESTADO C'!$A$17:$Z$17</definedName>
    <definedName name="_xlnm._FilterDatabase" localSheetId="12" hidden="1">'ATESTE-LIQ'!$A$1:$AT$41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'ATESTE-LIQ-FIS'!$A$4:$K$3777</definedName>
    <definedName name="ApagaBaseC">'BASE C'!$A$11:$N$4950</definedName>
    <definedName name="ApagaDadosA">'APONTAMENTO CREDENCIAMENTO'!$Q$6:$EL$3054</definedName>
    <definedName name="ApagaDadosC">CONTINUA!$L$6:$BU$3072</definedName>
    <definedName name="ApagarDadosDigitados">#REF!</definedName>
    <definedName name="ApagaRegistroA">'APONTAMENTO CREDENCIAMENTO'!$A$6:$K$3054</definedName>
    <definedName name="ApagaRegistroC">CONTINUA!$A$6:$K$3072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CREDENCIAMENTO'!$M$196</definedName>
    <definedName name="CopiaSomaC" localSheetId="5">[1]CONTINUA!#REF!</definedName>
    <definedName name="CopiaSomaC">CONTINUA!$BV$197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CREDENCIAMENTO'!$DY$4:$EJ$3309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9" i="13" l="1"/>
  <c r="L39" i="13"/>
  <c r="AB39" i="13" s="1"/>
  <c r="I39" i="13"/>
  <c r="H39" i="13"/>
  <c r="G39" i="13"/>
  <c r="F39" i="13"/>
  <c r="J39" i="13" s="1"/>
  <c r="D39" i="13"/>
  <c r="T39" i="13" s="1"/>
  <c r="C39" i="13"/>
  <c r="AA38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AA37" i="13"/>
  <c r="L37" i="13"/>
  <c r="AB37" i="13" s="1"/>
  <c r="I37" i="13"/>
  <c r="H37" i="13"/>
  <c r="G37" i="13"/>
  <c r="F37" i="13"/>
  <c r="J37" i="13" s="1"/>
  <c r="D37" i="13"/>
  <c r="T37" i="13" s="1"/>
  <c r="C37" i="13"/>
  <c r="AA36" i="13"/>
  <c r="L36" i="13"/>
  <c r="AB36" i="13" s="1"/>
  <c r="I36" i="13"/>
  <c r="H36" i="13"/>
  <c r="G36" i="13"/>
  <c r="F36" i="13"/>
  <c r="U36" i="13" s="1"/>
  <c r="V36" i="13" s="1"/>
  <c r="D36" i="13"/>
  <c r="T36" i="13" s="1"/>
  <c r="C36" i="13"/>
  <c r="AA35" i="13"/>
  <c r="L35" i="13"/>
  <c r="AB35" i="13" s="1"/>
  <c r="I35" i="13"/>
  <c r="H35" i="13"/>
  <c r="G35" i="13"/>
  <c r="F35" i="13"/>
  <c r="J35" i="13" s="1"/>
  <c r="D35" i="13"/>
  <c r="T35" i="13" s="1"/>
  <c r="C35" i="13"/>
  <c r="AA34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AA33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AA32" i="13"/>
  <c r="L32" i="13"/>
  <c r="AB32" i="13" s="1"/>
  <c r="I32" i="13"/>
  <c r="H32" i="13"/>
  <c r="G32" i="13"/>
  <c r="F32" i="13"/>
  <c r="U32" i="13" s="1"/>
  <c r="V32" i="13" s="1"/>
  <c r="D32" i="13"/>
  <c r="T32" i="13" s="1"/>
  <c r="C32" i="13"/>
  <c r="AA31" i="13"/>
  <c r="L31" i="13"/>
  <c r="AB31" i="13" s="1"/>
  <c r="I31" i="13"/>
  <c r="H31" i="13"/>
  <c r="G31" i="13"/>
  <c r="F31" i="13"/>
  <c r="J31" i="13" s="1"/>
  <c r="D31" i="13"/>
  <c r="T31" i="13" s="1"/>
  <c r="C31" i="13"/>
  <c r="AA30" i="13"/>
  <c r="L30" i="13"/>
  <c r="AB30" i="13" s="1"/>
  <c r="I30" i="13"/>
  <c r="H30" i="13"/>
  <c r="G30" i="13"/>
  <c r="F30" i="13"/>
  <c r="U30" i="13" s="1"/>
  <c r="V30" i="13" s="1"/>
  <c r="D30" i="13"/>
  <c r="T30" i="13" s="1"/>
  <c r="C30" i="13"/>
  <c r="AA29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J26" i="13" s="1"/>
  <c r="D26" i="13"/>
  <c r="T26" i="13" s="1"/>
  <c r="C26" i="13"/>
  <c r="AA25" i="13"/>
  <c r="L25" i="13"/>
  <c r="AB25" i="13" s="1"/>
  <c r="I25" i="13"/>
  <c r="H25" i="13"/>
  <c r="G25" i="13"/>
  <c r="F25" i="13"/>
  <c r="J25" i="13" s="1"/>
  <c r="D25" i="13"/>
  <c r="T25" i="13" s="1"/>
  <c r="C25" i="13"/>
  <c r="AA24" i="13"/>
  <c r="L24" i="13"/>
  <c r="AB24" i="13" s="1"/>
  <c r="I24" i="13"/>
  <c r="H24" i="13"/>
  <c r="G24" i="13"/>
  <c r="F24" i="13"/>
  <c r="U24" i="13" s="1"/>
  <c r="V24" i="13" s="1"/>
  <c r="D24" i="13"/>
  <c r="T24" i="13" s="1"/>
  <c r="C24" i="13"/>
  <c r="AA23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AA22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AA21" i="13"/>
  <c r="L21" i="13"/>
  <c r="AB21" i="13" s="1"/>
  <c r="I21" i="13"/>
  <c r="H21" i="13"/>
  <c r="G21" i="13"/>
  <c r="F21" i="13"/>
  <c r="U21" i="13" s="1"/>
  <c r="V21" i="13" s="1"/>
  <c r="D21" i="13"/>
  <c r="T21" i="13" s="1"/>
  <c r="C21" i="13"/>
  <c r="AA20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AA19" i="13"/>
  <c r="L19" i="13"/>
  <c r="AB19" i="13" s="1"/>
  <c r="I19" i="13"/>
  <c r="H19" i="13"/>
  <c r="G19" i="13"/>
  <c r="F19" i="13"/>
  <c r="J19" i="13" s="1"/>
  <c r="D19" i="13"/>
  <c r="T19" i="13" s="1"/>
  <c r="C19" i="13"/>
  <c r="AA18" i="13"/>
  <c r="L18" i="13"/>
  <c r="AB18" i="13" s="1"/>
  <c r="I18" i="13"/>
  <c r="H18" i="13"/>
  <c r="G18" i="13"/>
  <c r="F18" i="13"/>
  <c r="J18" i="13" s="1"/>
  <c r="D18" i="13"/>
  <c r="T18" i="13" s="1"/>
  <c r="C18" i="13"/>
  <c r="AA17" i="13"/>
  <c r="L17" i="13"/>
  <c r="AB17" i="13" s="1"/>
  <c r="I17" i="13"/>
  <c r="H17" i="13"/>
  <c r="G17" i="13"/>
  <c r="F17" i="13"/>
  <c r="U17" i="13" s="1"/>
  <c r="V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U11" i="13" s="1"/>
  <c r="V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U9" i="13" s="1"/>
  <c r="V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J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D41" i="87"/>
  <c r="G41" i="87" s="1"/>
  <c r="D40" i="87"/>
  <c r="G40" i="87" s="1"/>
  <c r="D39" i="87"/>
  <c r="G39" i="87" s="1"/>
  <c r="D38" i="87"/>
  <c r="G38" i="87" s="1"/>
  <c r="D37" i="87"/>
  <c r="G37" i="87" s="1"/>
  <c r="D36" i="87"/>
  <c r="G36" i="87" s="1"/>
  <c r="D35" i="87"/>
  <c r="G35" i="87" s="1"/>
  <c r="D34" i="87"/>
  <c r="G34" i="87" s="1"/>
  <c r="D33" i="87"/>
  <c r="G33" i="87" s="1"/>
  <c r="D32" i="87"/>
  <c r="G32" i="87" s="1"/>
  <c r="D31" i="87"/>
  <c r="G31" i="87" s="1"/>
  <c r="D30" i="87"/>
  <c r="G30" i="87" s="1"/>
  <c r="D29" i="87"/>
  <c r="G29" i="87" s="1"/>
  <c r="D28" i="87"/>
  <c r="G28" i="87" s="1"/>
  <c r="D27" i="87"/>
  <c r="G27" i="87" s="1"/>
  <c r="D26" i="87"/>
  <c r="G26" i="87" s="1"/>
  <c r="D25" i="87"/>
  <c r="G25" i="87" s="1"/>
  <c r="D24" i="87"/>
  <c r="G24" i="87" s="1"/>
  <c r="D23" i="87"/>
  <c r="G23" i="87" s="1"/>
  <c r="D22" i="87"/>
  <c r="G22" i="87" s="1"/>
  <c r="D21" i="87"/>
  <c r="G21" i="87" s="1"/>
  <c r="D20" i="87"/>
  <c r="G20" i="87" s="1"/>
  <c r="D19" i="87"/>
  <c r="G19" i="87" s="1"/>
  <c r="D18" i="87"/>
  <c r="G18" i="87" s="1"/>
  <c r="D17" i="87"/>
  <c r="G17" i="87" s="1"/>
  <c r="D16" i="87"/>
  <c r="G16" i="87" s="1"/>
  <c r="D15" i="87"/>
  <c r="D14" i="87"/>
  <c r="D13" i="87"/>
  <c r="D12" i="87"/>
  <c r="D11" i="87"/>
  <c r="D10" i="87"/>
  <c r="D9" i="87"/>
  <c r="D8" i="87"/>
  <c r="D7" i="87"/>
  <c r="D6" i="87"/>
  <c r="D5" i="87"/>
  <c r="U39" i="13" l="1"/>
  <c r="V39" i="13" s="1"/>
  <c r="J38" i="13"/>
  <c r="U37" i="13"/>
  <c r="V37" i="13" s="1"/>
  <c r="J36" i="13"/>
  <c r="U35" i="13"/>
  <c r="V35" i="13" s="1"/>
  <c r="J34" i="13"/>
  <c r="J33" i="13"/>
  <c r="J32" i="13"/>
  <c r="U31" i="13"/>
  <c r="V31" i="13" s="1"/>
  <c r="J30" i="13"/>
  <c r="J29" i="13"/>
  <c r="J28" i="13"/>
  <c r="U27" i="13"/>
  <c r="V27" i="13" s="1"/>
  <c r="U26" i="13"/>
  <c r="V26" i="13" s="1"/>
  <c r="U25" i="13"/>
  <c r="V25" i="13" s="1"/>
  <c r="J24" i="13"/>
  <c r="J23" i="13"/>
  <c r="J22" i="13"/>
  <c r="J21" i="13"/>
  <c r="J20" i="13"/>
  <c r="U19" i="13"/>
  <c r="V19" i="13" s="1"/>
  <c r="U18" i="13"/>
  <c r="V18" i="13" s="1"/>
  <c r="J17" i="13"/>
  <c r="U16" i="13"/>
  <c r="V16" i="13" s="1"/>
  <c r="J15" i="13"/>
  <c r="U14" i="13"/>
  <c r="V14" i="13" s="1"/>
  <c r="U13" i="13"/>
  <c r="V13" i="13" s="1"/>
  <c r="U12" i="13"/>
  <c r="V12" i="13" s="1"/>
  <c r="J11" i="13"/>
  <c r="U10" i="13"/>
  <c r="V10" i="13" s="1"/>
  <c r="J9" i="13"/>
  <c r="U8" i="13"/>
  <c r="V8" i="13" s="1"/>
  <c r="U7" i="13"/>
  <c r="V7" i="13" s="1"/>
  <c r="U6" i="13"/>
  <c r="V6" i="13" s="1"/>
  <c r="U5" i="13"/>
  <c r="V5" i="13" s="1"/>
  <c r="U4" i="13"/>
  <c r="V4" i="13" s="1"/>
  <c r="U3" i="13"/>
  <c r="V3" i="13" s="1"/>
  <c r="J38" i="87"/>
  <c r="G5" i="87"/>
  <c r="F5" i="87"/>
  <c r="I5" i="87"/>
  <c r="E5" i="87"/>
  <c r="H5" i="87" s="1"/>
  <c r="G9" i="87"/>
  <c r="F9" i="87"/>
  <c r="I9" i="87"/>
  <c r="E9" i="87"/>
  <c r="H9" i="87" s="1"/>
  <c r="G11" i="87"/>
  <c r="F11" i="87"/>
  <c r="I11" i="87"/>
  <c r="E11" i="87"/>
  <c r="H11" i="87" s="1"/>
  <c r="G13" i="87"/>
  <c r="F13" i="87"/>
  <c r="I13" i="87"/>
  <c r="E13" i="87"/>
  <c r="H13" i="87" s="1"/>
  <c r="G15" i="87"/>
  <c r="F15" i="87"/>
  <c r="I15" i="87"/>
  <c r="E15" i="87"/>
  <c r="H15" i="87" s="1"/>
  <c r="J31" i="87"/>
  <c r="G7" i="87"/>
  <c r="J7" i="87" s="1"/>
  <c r="F7" i="87"/>
  <c r="I7" i="87"/>
  <c r="E7" i="87"/>
  <c r="J16" i="87"/>
  <c r="J32" i="87"/>
  <c r="G6" i="87"/>
  <c r="J6" i="87" s="1"/>
  <c r="F6" i="87"/>
  <c r="I6" i="87"/>
  <c r="E6" i="87"/>
  <c r="G8" i="87"/>
  <c r="J8" i="87" s="1"/>
  <c r="F8" i="87"/>
  <c r="I8" i="87"/>
  <c r="E8" i="87"/>
  <c r="G10" i="87"/>
  <c r="J10" i="87" s="1"/>
  <c r="F10" i="87"/>
  <c r="I10" i="87"/>
  <c r="E10" i="87"/>
  <c r="G12" i="87"/>
  <c r="J12" i="87" s="1"/>
  <c r="F12" i="87"/>
  <c r="I12" i="87"/>
  <c r="E12" i="87"/>
  <c r="G14" i="87"/>
  <c r="J14" i="87" s="1"/>
  <c r="F14" i="87"/>
  <c r="I14" i="87"/>
  <c r="E14" i="87"/>
  <c r="J17" i="87"/>
  <c r="J33" i="87"/>
  <c r="E16" i="87"/>
  <c r="H16" i="87" s="1"/>
  <c r="I16" i="87"/>
  <c r="E17" i="87"/>
  <c r="H17" i="87" s="1"/>
  <c r="I17" i="87"/>
  <c r="E18" i="87"/>
  <c r="H18" i="87" s="1"/>
  <c r="I18" i="87"/>
  <c r="K18" i="87" s="1"/>
  <c r="E19" i="87"/>
  <c r="H19" i="87" s="1"/>
  <c r="I19" i="87"/>
  <c r="E20" i="87"/>
  <c r="H20" i="87" s="1"/>
  <c r="I20" i="87"/>
  <c r="E21" i="87"/>
  <c r="H21" i="87" s="1"/>
  <c r="I21" i="87"/>
  <c r="E22" i="87"/>
  <c r="H22" i="87" s="1"/>
  <c r="I22" i="87"/>
  <c r="E23" i="87"/>
  <c r="H23" i="87" s="1"/>
  <c r="I23" i="87"/>
  <c r="E24" i="87"/>
  <c r="H24" i="87" s="1"/>
  <c r="I24" i="87"/>
  <c r="E25" i="87"/>
  <c r="H25" i="87" s="1"/>
  <c r="I25" i="87"/>
  <c r="E26" i="87"/>
  <c r="H26" i="87" s="1"/>
  <c r="I26" i="87"/>
  <c r="E27" i="87"/>
  <c r="H27" i="87" s="1"/>
  <c r="I27" i="87"/>
  <c r="E28" i="87"/>
  <c r="H28" i="87" s="1"/>
  <c r="I28" i="87"/>
  <c r="E29" i="87"/>
  <c r="H29" i="87" s="1"/>
  <c r="I29" i="87"/>
  <c r="E30" i="87"/>
  <c r="H30" i="87" s="1"/>
  <c r="I30" i="87"/>
  <c r="E31" i="87"/>
  <c r="H31" i="87" s="1"/>
  <c r="I31" i="87"/>
  <c r="E32" i="87"/>
  <c r="H32" i="87" s="1"/>
  <c r="I32" i="87"/>
  <c r="K32" i="87" s="1"/>
  <c r="E33" i="87"/>
  <c r="H33" i="87" s="1"/>
  <c r="I33" i="87"/>
  <c r="E34" i="87"/>
  <c r="H34" i="87" s="1"/>
  <c r="I34" i="87"/>
  <c r="K34" i="87" s="1"/>
  <c r="E35" i="87"/>
  <c r="H35" i="87" s="1"/>
  <c r="I35" i="87"/>
  <c r="E36" i="87"/>
  <c r="H36" i="87" s="1"/>
  <c r="I36" i="87"/>
  <c r="E37" i="87"/>
  <c r="H37" i="87" s="1"/>
  <c r="I37" i="87"/>
  <c r="E38" i="87"/>
  <c r="H38" i="87" s="1"/>
  <c r="I38" i="87"/>
  <c r="E39" i="87"/>
  <c r="H39" i="87" s="1"/>
  <c r="I39" i="87"/>
  <c r="E40" i="87"/>
  <c r="H40" i="87" s="1"/>
  <c r="I40" i="87"/>
  <c r="E41" i="87"/>
  <c r="H41" i="87" s="1"/>
  <c r="I41" i="87"/>
  <c r="F16" i="87"/>
  <c r="F17" i="87"/>
  <c r="F18" i="87"/>
  <c r="F19" i="87"/>
  <c r="F20" i="87"/>
  <c r="F21" i="87"/>
  <c r="F22" i="87"/>
  <c r="F23" i="87"/>
  <c r="F24" i="87"/>
  <c r="F25" i="87"/>
  <c r="F26" i="87"/>
  <c r="F27" i="87"/>
  <c r="F28" i="87"/>
  <c r="F29" i="87"/>
  <c r="F30" i="87"/>
  <c r="F31" i="87"/>
  <c r="F32" i="87"/>
  <c r="F33" i="87"/>
  <c r="F34" i="87"/>
  <c r="F35" i="87"/>
  <c r="F36" i="87"/>
  <c r="F37" i="87"/>
  <c r="F38" i="87"/>
  <c r="F39" i="87"/>
  <c r="F40" i="87"/>
  <c r="F41" i="87"/>
  <c r="J29" i="87" l="1"/>
  <c r="K30" i="87" s="1"/>
  <c r="H14" i="87"/>
  <c r="H12" i="87"/>
  <c r="H10" i="87"/>
  <c r="H8" i="87"/>
  <c r="H6" i="87"/>
  <c r="J34" i="87"/>
  <c r="J28" i="87"/>
  <c r="K29" i="87" s="1"/>
  <c r="H7" i="87"/>
  <c r="J30" i="87"/>
  <c r="J27" i="87"/>
  <c r="K28" i="87" s="1"/>
  <c r="K15" i="87"/>
  <c r="K13" i="87"/>
  <c r="K11" i="87"/>
  <c r="K9" i="87"/>
  <c r="K5" i="87"/>
  <c r="J26" i="87"/>
  <c r="K27" i="87" s="1"/>
  <c r="K39" i="87"/>
  <c r="K35" i="87"/>
  <c r="K33" i="87"/>
  <c r="K31" i="87"/>
  <c r="K25" i="87"/>
  <c r="K17" i="87"/>
  <c r="J41" i="87"/>
  <c r="J25" i="87"/>
  <c r="K12" i="87"/>
  <c r="K8" i="87"/>
  <c r="J40" i="87"/>
  <c r="K41" i="87" s="1"/>
  <c r="J24" i="87"/>
  <c r="K7" i="87"/>
  <c r="J39" i="87"/>
  <c r="K40" i="87" s="1"/>
  <c r="J23" i="87"/>
  <c r="K24" i="87" s="1"/>
  <c r="J22" i="87"/>
  <c r="K23" i="87" s="1"/>
  <c r="K26" i="87"/>
  <c r="K22" i="87"/>
  <c r="J37" i="87"/>
  <c r="K38" i="87" s="1"/>
  <c r="J21" i="87"/>
  <c r="J36" i="87"/>
  <c r="K37" i="87" s="1"/>
  <c r="J20" i="87"/>
  <c r="K21" i="87" s="1"/>
  <c r="J35" i="87"/>
  <c r="K36" i="87" s="1"/>
  <c r="J19" i="87"/>
  <c r="K20" i="87" s="1"/>
  <c r="J15" i="87"/>
  <c r="K16" i="87" s="1"/>
  <c r="J13" i="87"/>
  <c r="K14" i="87" s="1"/>
  <c r="J11" i="87"/>
  <c r="J9" i="87"/>
  <c r="K10" i="87" s="1"/>
  <c r="J5" i="87"/>
  <c r="K6" i="87" s="1"/>
  <c r="J18" i="87"/>
  <c r="K19" i="87" s="1"/>
  <c r="BU197" i="59" l="1"/>
  <c r="BT197" i="59"/>
  <c r="BS197" i="59"/>
  <c r="BR197" i="59"/>
  <c r="BQ197" i="59"/>
  <c r="BP197" i="59"/>
  <c r="BO197" i="59"/>
  <c r="BN197" i="59"/>
  <c r="BM197" i="59"/>
  <c r="BL197" i="59"/>
  <c r="BK197" i="59"/>
  <c r="BJ197" i="59"/>
  <c r="BI197" i="59"/>
  <c r="BH197" i="59"/>
  <c r="BG197" i="59"/>
  <c r="BF197" i="59"/>
  <c r="BE197" i="59"/>
  <c r="BD197" i="59"/>
  <c r="BC197" i="59"/>
  <c r="BB197" i="59"/>
  <c r="BA197" i="59"/>
  <c r="AZ197" i="59"/>
  <c r="AY197" i="59"/>
  <c r="AX197" i="59"/>
  <c r="AW197" i="59"/>
  <c r="AV197" i="59"/>
  <c r="AU197" i="59"/>
  <c r="AT197" i="59"/>
  <c r="AS197" i="59"/>
  <c r="AR197" i="59"/>
  <c r="AQ197" i="59"/>
  <c r="AP197" i="59"/>
  <c r="AO197" i="59"/>
  <c r="AN197" i="59"/>
  <c r="AM197" i="59"/>
  <c r="AL197" i="59"/>
  <c r="AK197" i="59"/>
  <c r="AJ197" i="59"/>
  <c r="AI197" i="59"/>
  <c r="AH197" i="59"/>
  <c r="AG197" i="59"/>
  <c r="AF197" i="59"/>
  <c r="AE197" i="59"/>
  <c r="AD197" i="59"/>
  <c r="AC197" i="59"/>
  <c r="AB197" i="59"/>
  <c r="AA197" i="59"/>
  <c r="Z197" i="59"/>
  <c r="Y197" i="59"/>
  <c r="X197" i="59"/>
  <c r="W197" i="59"/>
  <c r="V197" i="59"/>
  <c r="U197" i="59"/>
  <c r="T197" i="59"/>
  <c r="S197" i="59"/>
  <c r="R197" i="59"/>
  <c r="Q197" i="59"/>
  <c r="P197" i="59"/>
  <c r="O197" i="59"/>
  <c r="N197" i="59"/>
  <c r="M197" i="59"/>
  <c r="L197" i="59"/>
  <c r="BW195" i="59"/>
  <c r="BV195" i="59"/>
  <c r="BW194" i="59"/>
  <c r="BV194" i="59"/>
  <c r="L194" i="64" s="1"/>
  <c r="EY194" i="64" s="1"/>
  <c r="BW193" i="59"/>
  <c r="BV193" i="59"/>
  <c r="BW192" i="59"/>
  <c r="BV192" i="59"/>
  <c r="L192" i="64" s="1"/>
  <c r="EY192" i="64" s="1"/>
  <c r="BW191" i="59"/>
  <c r="BV191" i="59"/>
  <c r="BW190" i="59"/>
  <c r="BV190" i="59"/>
  <c r="BW189" i="59"/>
  <c r="BV189" i="59"/>
  <c r="L189" i="64" s="1"/>
  <c r="BW188" i="59"/>
  <c r="BV188" i="59"/>
  <c r="BW187" i="59"/>
  <c r="BV187" i="59"/>
  <c r="L187" i="64" s="1"/>
  <c r="EY187" i="64" s="1"/>
  <c r="BW186" i="59"/>
  <c r="BV186" i="59"/>
  <c r="BW185" i="59"/>
  <c r="BV185" i="59"/>
  <c r="BW184" i="59"/>
  <c r="BV184" i="59"/>
  <c r="L184" i="64" s="1"/>
  <c r="BW183" i="59"/>
  <c r="BV183" i="59"/>
  <c r="BW182" i="59"/>
  <c r="BV182" i="59"/>
  <c r="L182" i="64" s="1"/>
  <c r="EY182" i="64" s="1"/>
  <c r="BW181" i="59"/>
  <c r="BV181" i="59"/>
  <c r="BW180" i="59"/>
  <c r="BV180" i="59"/>
  <c r="BW179" i="59"/>
  <c r="BV179" i="59"/>
  <c r="L179" i="64" s="1"/>
  <c r="BW178" i="59"/>
  <c r="BV178" i="59"/>
  <c r="BW177" i="59"/>
  <c r="BV177" i="59"/>
  <c r="L177" i="64" s="1"/>
  <c r="EY177" i="64" s="1"/>
  <c r="BW176" i="59"/>
  <c r="BV176" i="59"/>
  <c r="BW175" i="59"/>
  <c r="BV175" i="59"/>
  <c r="BW174" i="59"/>
  <c r="BV174" i="59"/>
  <c r="L174" i="64" s="1"/>
  <c r="BW173" i="59"/>
  <c r="BV173" i="59"/>
  <c r="BW172" i="59"/>
  <c r="BV172" i="59"/>
  <c r="L172" i="64" s="1"/>
  <c r="EY172" i="64" s="1"/>
  <c r="BW171" i="59"/>
  <c r="BV171" i="59"/>
  <c r="BW170" i="59"/>
  <c r="BV170" i="59"/>
  <c r="BW169" i="59"/>
  <c r="BV169" i="59"/>
  <c r="L169" i="64" s="1"/>
  <c r="BW168" i="59"/>
  <c r="BV168" i="59"/>
  <c r="BW167" i="59"/>
  <c r="BV167" i="59"/>
  <c r="L167" i="64" s="1"/>
  <c r="EY167" i="64" s="1"/>
  <c r="BW166" i="59"/>
  <c r="BV166" i="59"/>
  <c r="BW165" i="59"/>
  <c r="BV165" i="59"/>
  <c r="BW164" i="59"/>
  <c r="BV164" i="59"/>
  <c r="L164" i="64" s="1"/>
  <c r="EY164" i="64" s="1"/>
  <c r="BW163" i="59"/>
  <c r="BV163" i="59"/>
  <c r="BW162" i="59"/>
  <c r="BV162" i="59"/>
  <c r="L162" i="64" s="1"/>
  <c r="EY162" i="64" s="1"/>
  <c r="BW161" i="59"/>
  <c r="BV161" i="59"/>
  <c r="BW160" i="59"/>
  <c r="BV160" i="59"/>
  <c r="BW159" i="59"/>
  <c r="BV159" i="59"/>
  <c r="L159" i="64" s="1"/>
  <c r="BW158" i="59"/>
  <c r="BV158" i="59"/>
  <c r="BW157" i="59"/>
  <c r="BV157" i="59"/>
  <c r="L157" i="64" s="1"/>
  <c r="EY157" i="64" s="1"/>
  <c r="BW156" i="59"/>
  <c r="BV156" i="59"/>
  <c r="BW155" i="59"/>
  <c r="BV155" i="59"/>
  <c r="BW154" i="59"/>
  <c r="BV154" i="59"/>
  <c r="L154" i="64" s="1"/>
  <c r="EY154" i="64" s="1"/>
  <c r="BW153" i="59"/>
  <c r="BV153" i="59"/>
  <c r="BW152" i="59"/>
  <c r="BV152" i="59"/>
  <c r="L152" i="64" s="1"/>
  <c r="EY152" i="64" s="1"/>
  <c r="BW151" i="59"/>
  <c r="BV151" i="59"/>
  <c r="BW150" i="59"/>
  <c r="BV150" i="59"/>
  <c r="BW149" i="59"/>
  <c r="BV149" i="59"/>
  <c r="L149" i="64" s="1"/>
  <c r="BW148" i="59"/>
  <c r="BV148" i="59"/>
  <c r="BW147" i="59"/>
  <c r="BV147" i="59"/>
  <c r="L147" i="64" s="1"/>
  <c r="EY147" i="64" s="1"/>
  <c r="BW146" i="59"/>
  <c r="BV146" i="59"/>
  <c r="BW145" i="59"/>
  <c r="BV145" i="59"/>
  <c r="BW144" i="59"/>
  <c r="BV144" i="59"/>
  <c r="L144" i="64" s="1"/>
  <c r="BW143" i="59"/>
  <c r="BV143" i="59"/>
  <c r="BW142" i="59"/>
  <c r="BV142" i="59"/>
  <c r="L142" i="64" s="1"/>
  <c r="BW141" i="59"/>
  <c r="BV141" i="59"/>
  <c r="BW140" i="59"/>
  <c r="BV140" i="59"/>
  <c r="BW139" i="59"/>
  <c r="BV139" i="59"/>
  <c r="L139" i="64" s="1"/>
  <c r="BW138" i="59"/>
  <c r="BV138" i="59"/>
  <c r="BW137" i="59"/>
  <c r="BV137" i="59"/>
  <c r="L137" i="64" s="1"/>
  <c r="EY137" i="64" s="1"/>
  <c r="BW136" i="59"/>
  <c r="BV136" i="59"/>
  <c r="BW135" i="59"/>
  <c r="BV135" i="59"/>
  <c r="BW134" i="59"/>
  <c r="BV134" i="59"/>
  <c r="L134" i="64" s="1"/>
  <c r="EY134" i="64" s="1"/>
  <c r="BW133" i="59"/>
  <c r="BV133" i="59"/>
  <c r="BW132" i="59"/>
  <c r="BV132" i="59"/>
  <c r="L132" i="64" s="1"/>
  <c r="EY132" i="64" s="1"/>
  <c r="BW131" i="59"/>
  <c r="BV131" i="59"/>
  <c r="BW130" i="59"/>
  <c r="BV130" i="59"/>
  <c r="BW129" i="59"/>
  <c r="BV129" i="59"/>
  <c r="L129" i="64" s="1"/>
  <c r="BW128" i="59"/>
  <c r="BV128" i="59"/>
  <c r="BW127" i="59"/>
  <c r="BV127" i="59"/>
  <c r="L127" i="64" s="1"/>
  <c r="EY127" i="64" s="1"/>
  <c r="BW126" i="59"/>
  <c r="BV126" i="59"/>
  <c r="BW125" i="59"/>
  <c r="BV125" i="59"/>
  <c r="BW124" i="59"/>
  <c r="BV124" i="59"/>
  <c r="L124" i="64" s="1"/>
  <c r="EY124" i="64" s="1"/>
  <c r="BW123" i="59"/>
  <c r="BV123" i="59"/>
  <c r="BW122" i="59"/>
  <c r="BV122" i="59"/>
  <c r="L122" i="64" s="1"/>
  <c r="EY122" i="64" s="1"/>
  <c r="BW121" i="59"/>
  <c r="BV121" i="59"/>
  <c r="BW120" i="59"/>
  <c r="BV120" i="59"/>
  <c r="BW119" i="59"/>
  <c r="BV119" i="59"/>
  <c r="L119" i="64" s="1"/>
  <c r="BW118" i="59"/>
  <c r="BV118" i="59"/>
  <c r="BW117" i="59"/>
  <c r="BV117" i="59"/>
  <c r="L117" i="64" s="1"/>
  <c r="EY117" i="64" s="1"/>
  <c r="BW116" i="59"/>
  <c r="BV116" i="59"/>
  <c r="BW115" i="59"/>
  <c r="BV115" i="59"/>
  <c r="BW114" i="59"/>
  <c r="BV114" i="59"/>
  <c r="L114" i="64" s="1"/>
  <c r="EY114" i="64" s="1"/>
  <c r="BW113" i="59"/>
  <c r="BV113" i="59"/>
  <c r="BW112" i="59"/>
  <c r="BV112" i="59"/>
  <c r="L112" i="64" s="1"/>
  <c r="EY112" i="64" s="1"/>
  <c r="BW111" i="59"/>
  <c r="BV111" i="59"/>
  <c r="BW110" i="59"/>
  <c r="BV110" i="59"/>
  <c r="BW109" i="59"/>
  <c r="BV109" i="59"/>
  <c r="L109" i="64" s="1"/>
  <c r="BW108" i="59"/>
  <c r="BV108" i="59"/>
  <c r="BW107" i="59"/>
  <c r="BV107" i="59"/>
  <c r="L107" i="64" s="1"/>
  <c r="EY107" i="64" s="1"/>
  <c r="BW106" i="59"/>
  <c r="BV106" i="59"/>
  <c r="BW105" i="59"/>
  <c r="BV105" i="59"/>
  <c r="BW104" i="59"/>
  <c r="BV104" i="59"/>
  <c r="L104" i="64" s="1"/>
  <c r="EY104" i="64" s="1"/>
  <c r="BW103" i="59"/>
  <c r="BV103" i="59"/>
  <c r="BW102" i="59"/>
  <c r="BV102" i="59"/>
  <c r="L102" i="64" s="1"/>
  <c r="EY102" i="64" s="1"/>
  <c r="BW101" i="59"/>
  <c r="BV101" i="59"/>
  <c r="BW100" i="59"/>
  <c r="BV100" i="59"/>
  <c r="BW99" i="59"/>
  <c r="BV99" i="59"/>
  <c r="L99" i="64" s="1"/>
  <c r="BW98" i="59"/>
  <c r="BV98" i="59"/>
  <c r="BW97" i="59"/>
  <c r="BV97" i="59"/>
  <c r="L97" i="64" s="1"/>
  <c r="EY97" i="64" s="1"/>
  <c r="BW96" i="59"/>
  <c r="BV96" i="59"/>
  <c r="BW95" i="59"/>
  <c r="BV95" i="59"/>
  <c r="BW94" i="59"/>
  <c r="BV94" i="59"/>
  <c r="L94" i="64" s="1"/>
  <c r="EY94" i="64" s="1"/>
  <c r="BW93" i="59"/>
  <c r="BV93" i="59"/>
  <c r="BW92" i="59"/>
  <c r="BV92" i="59"/>
  <c r="L92" i="64" s="1"/>
  <c r="BW91" i="59"/>
  <c r="BV91" i="59"/>
  <c r="BW90" i="59"/>
  <c r="BV90" i="59"/>
  <c r="BW89" i="59"/>
  <c r="BV89" i="59"/>
  <c r="L89" i="64" s="1"/>
  <c r="BW88" i="59"/>
  <c r="BV88" i="59"/>
  <c r="BW87" i="59"/>
  <c r="BV87" i="59"/>
  <c r="L87" i="64" s="1"/>
  <c r="EY87" i="64" s="1"/>
  <c r="BW86" i="59"/>
  <c r="BV86" i="59"/>
  <c r="BW85" i="59"/>
  <c r="BV85" i="59"/>
  <c r="BW84" i="59"/>
  <c r="BV84" i="59"/>
  <c r="L84" i="64" s="1"/>
  <c r="EY84" i="64" s="1"/>
  <c r="BW83" i="59"/>
  <c r="BV83" i="59"/>
  <c r="BW82" i="59"/>
  <c r="BV82" i="59"/>
  <c r="L82" i="64" s="1"/>
  <c r="EY82" i="64" s="1"/>
  <c r="BW81" i="59"/>
  <c r="BV81" i="59"/>
  <c r="BW80" i="59"/>
  <c r="BV80" i="59"/>
  <c r="BW79" i="59"/>
  <c r="BV79" i="59"/>
  <c r="L79" i="64" s="1"/>
  <c r="BW78" i="59"/>
  <c r="BV78" i="59"/>
  <c r="BW77" i="59"/>
  <c r="BV77" i="59"/>
  <c r="L77" i="64" s="1"/>
  <c r="EY77" i="64" s="1"/>
  <c r="BW76" i="59"/>
  <c r="BV76" i="59"/>
  <c r="BW75" i="59"/>
  <c r="BV75" i="59"/>
  <c r="BW74" i="59"/>
  <c r="BV74" i="59"/>
  <c r="L74" i="64" s="1"/>
  <c r="EY74" i="64" s="1"/>
  <c r="BW73" i="59"/>
  <c r="BV73" i="59"/>
  <c r="BW72" i="59"/>
  <c r="BV72" i="59"/>
  <c r="L72" i="64" s="1"/>
  <c r="BW71" i="59"/>
  <c r="BV71" i="59"/>
  <c r="BW70" i="59"/>
  <c r="BV70" i="59"/>
  <c r="BW69" i="59"/>
  <c r="BV69" i="59"/>
  <c r="L69" i="64" s="1"/>
  <c r="BW68" i="59"/>
  <c r="BV68" i="59"/>
  <c r="BW67" i="59"/>
  <c r="BV67" i="59"/>
  <c r="L67" i="64" s="1"/>
  <c r="EY67" i="64" s="1"/>
  <c r="BW66" i="59"/>
  <c r="BV66" i="59"/>
  <c r="BW65" i="59"/>
  <c r="BV65" i="59"/>
  <c r="BW64" i="59"/>
  <c r="BV64" i="59"/>
  <c r="L64" i="64" s="1"/>
  <c r="EY64" i="64" s="1"/>
  <c r="BW63" i="59"/>
  <c r="BV63" i="59"/>
  <c r="BW62" i="59"/>
  <c r="BV62" i="59"/>
  <c r="L62" i="64" s="1"/>
  <c r="EY62" i="64" s="1"/>
  <c r="BW61" i="59"/>
  <c r="BV61" i="59"/>
  <c r="BW60" i="59"/>
  <c r="BV60" i="59"/>
  <c r="BW59" i="59"/>
  <c r="BV59" i="59"/>
  <c r="L59" i="64" s="1"/>
  <c r="BW58" i="59"/>
  <c r="BV58" i="59"/>
  <c r="BW57" i="59"/>
  <c r="BV57" i="59"/>
  <c r="L57" i="64" s="1"/>
  <c r="EY57" i="64" s="1"/>
  <c r="BW56" i="59"/>
  <c r="BV56" i="59"/>
  <c r="BW55" i="59"/>
  <c r="BV55" i="59"/>
  <c r="BW54" i="59"/>
  <c r="BV54" i="59"/>
  <c r="L54" i="64" s="1"/>
  <c r="EY54" i="64" s="1"/>
  <c r="BW53" i="59"/>
  <c r="BV53" i="59"/>
  <c r="BW52" i="59"/>
  <c r="BV52" i="59"/>
  <c r="L52" i="64" s="1"/>
  <c r="EY52" i="64" s="1"/>
  <c r="BW51" i="59"/>
  <c r="BV51" i="59"/>
  <c r="BW50" i="59"/>
  <c r="BV50" i="59"/>
  <c r="BW49" i="59"/>
  <c r="BV49" i="59"/>
  <c r="L49" i="64" s="1"/>
  <c r="BW48" i="59"/>
  <c r="BV48" i="59"/>
  <c r="BW47" i="59"/>
  <c r="BV47" i="59"/>
  <c r="L47" i="64" s="1"/>
  <c r="BW46" i="59"/>
  <c r="BV46" i="59"/>
  <c r="BW45" i="59"/>
  <c r="BV45" i="59"/>
  <c r="BW44" i="59"/>
  <c r="BV44" i="59"/>
  <c r="L44" i="64" s="1"/>
  <c r="EY44" i="64" s="1"/>
  <c r="BW43" i="59"/>
  <c r="BV43" i="59"/>
  <c r="BW42" i="59"/>
  <c r="BV42" i="59"/>
  <c r="L42" i="64" s="1"/>
  <c r="EY42" i="64" s="1"/>
  <c r="BW41" i="59"/>
  <c r="BV41" i="59"/>
  <c r="BW40" i="59"/>
  <c r="BV40" i="59"/>
  <c r="BW39" i="59"/>
  <c r="BV39" i="59"/>
  <c r="L39" i="64" s="1"/>
  <c r="BW38" i="59"/>
  <c r="BV38" i="59"/>
  <c r="BW37" i="59"/>
  <c r="BV37" i="59"/>
  <c r="L37" i="64" s="1"/>
  <c r="EY37" i="64" s="1"/>
  <c r="BW36" i="59"/>
  <c r="BV36" i="59"/>
  <c r="BW35" i="59"/>
  <c r="BV35" i="59"/>
  <c r="BW34" i="59"/>
  <c r="BV34" i="59"/>
  <c r="L34" i="64" s="1"/>
  <c r="EY34" i="64" s="1"/>
  <c r="BW33" i="59"/>
  <c r="BV33" i="59"/>
  <c r="BW32" i="59"/>
  <c r="BV32" i="59"/>
  <c r="L32" i="64" s="1"/>
  <c r="EY32" i="64" s="1"/>
  <c r="BW31" i="59"/>
  <c r="BV31" i="59"/>
  <c r="BW30" i="59"/>
  <c r="BV30" i="59"/>
  <c r="BW29" i="59"/>
  <c r="BV29" i="59"/>
  <c r="BW28" i="59"/>
  <c r="BV28" i="59"/>
  <c r="BW27" i="59"/>
  <c r="BV27" i="59"/>
  <c r="BW26" i="59"/>
  <c r="BV26" i="59"/>
  <c r="BW25" i="59"/>
  <c r="BV25" i="59"/>
  <c r="BW24" i="59"/>
  <c r="BV24" i="59"/>
  <c r="BW23" i="59"/>
  <c r="BV23" i="59"/>
  <c r="BW22" i="59"/>
  <c r="BV22" i="59"/>
  <c r="BW21" i="59"/>
  <c r="BV21" i="59"/>
  <c r="BW20" i="59"/>
  <c r="BV20" i="59"/>
  <c r="BW19" i="59"/>
  <c r="BV19" i="59"/>
  <c r="L19" i="64" s="1"/>
  <c r="BW18" i="59"/>
  <c r="BV18" i="59"/>
  <c r="BW17" i="59"/>
  <c r="BV17" i="59"/>
  <c r="L17" i="64" s="1"/>
  <c r="BW16" i="59"/>
  <c r="BV16" i="59"/>
  <c r="BW15" i="59"/>
  <c r="BV15" i="59"/>
  <c r="BW14" i="59"/>
  <c r="BV14" i="59"/>
  <c r="BW13" i="59"/>
  <c r="BV13" i="59"/>
  <c r="BW12" i="59"/>
  <c r="BV12" i="59"/>
  <c r="BW11" i="59"/>
  <c r="BV11" i="59"/>
  <c r="Q197" i="64"/>
  <c r="R197" i="64" s="1"/>
  <c r="S197" i="64" s="1"/>
  <c r="T197" i="64" s="1"/>
  <c r="U197" i="64" s="1"/>
  <c r="V197" i="64" s="1"/>
  <c r="W197" i="64" s="1"/>
  <c r="X197" i="64" s="1"/>
  <c r="Y197" i="64" s="1"/>
  <c r="Z197" i="64" s="1"/>
  <c r="AA197" i="64" s="1"/>
  <c r="AB197" i="64" s="1"/>
  <c r="AC197" i="64" s="1"/>
  <c r="AD197" i="64" s="1"/>
  <c r="AE197" i="64" s="1"/>
  <c r="AF197" i="64" s="1"/>
  <c r="AG197" i="64" s="1"/>
  <c r="AH197" i="64" s="1"/>
  <c r="AI197" i="64" s="1"/>
  <c r="AJ197" i="64" s="1"/>
  <c r="AK197" i="64" s="1"/>
  <c r="AL197" i="64" s="1"/>
  <c r="AM197" i="64" s="1"/>
  <c r="AN197" i="64" s="1"/>
  <c r="AO197" i="64" s="1"/>
  <c r="AP197" i="64" s="1"/>
  <c r="AQ197" i="64" s="1"/>
  <c r="AR197" i="64" s="1"/>
  <c r="AS197" i="64" s="1"/>
  <c r="AT197" i="64" s="1"/>
  <c r="AU197" i="64" s="1"/>
  <c r="AV197" i="64" s="1"/>
  <c r="AW197" i="64" s="1"/>
  <c r="AX197" i="64" s="1"/>
  <c r="AY197" i="64" s="1"/>
  <c r="AZ197" i="64" s="1"/>
  <c r="BA197" i="64" s="1"/>
  <c r="BB197" i="64" s="1"/>
  <c r="BC197" i="64" s="1"/>
  <c r="BD197" i="64" s="1"/>
  <c r="BE197" i="64" s="1"/>
  <c r="BF197" i="64" s="1"/>
  <c r="BG197" i="64" s="1"/>
  <c r="BH197" i="64" s="1"/>
  <c r="BI197" i="64" s="1"/>
  <c r="BJ197" i="64" s="1"/>
  <c r="BK197" i="64" s="1"/>
  <c r="BL197" i="64" s="1"/>
  <c r="BM197" i="64" s="1"/>
  <c r="BN197" i="64" s="1"/>
  <c r="BO197" i="64" s="1"/>
  <c r="BP197" i="64" s="1"/>
  <c r="BQ197" i="64" s="1"/>
  <c r="BR197" i="64" s="1"/>
  <c r="BS197" i="64" s="1"/>
  <c r="BT197" i="64" s="1"/>
  <c r="BU197" i="64" s="1"/>
  <c r="BV197" i="64" s="1"/>
  <c r="BW197" i="64" s="1"/>
  <c r="BX197" i="64" s="1"/>
  <c r="BY197" i="64" s="1"/>
  <c r="BZ197" i="64" s="1"/>
  <c r="CA197" i="64" s="1"/>
  <c r="CB197" i="64" s="1"/>
  <c r="CC197" i="64" s="1"/>
  <c r="CD197" i="64" s="1"/>
  <c r="CE197" i="64" s="1"/>
  <c r="CF197" i="64" s="1"/>
  <c r="CG197" i="64" s="1"/>
  <c r="CH197" i="64" s="1"/>
  <c r="CI197" i="64" s="1"/>
  <c r="CJ197" i="64" s="1"/>
  <c r="CK197" i="64" s="1"/>
  <c r="CL197" i="64" s="1"/>
  <c r="CM197" i="64" s="1"/>
  <c r="CN197" i="64" s="1"/>
  <c r="CO197" i="64" s="1"/>
  <c r="CP197" i="64" s="1"/>
  <c r="CQ197" i="64" s="1"/>
  <c r="CR197" i="64" s="1"/>
  <c r="CS197" i="64" s="1"/>
  <c r="CT197" i="64" s="1"/>
  <c r="CU197" i="64" s="1"/>
  <c r="CV197" i="64" s="1"/>
  <c r="CW197" i="64" s="1"/>
  <c r="CX197" i="64" s="1"/>
  <c r="CY197" i="64" s="1"/>
  <c r="CZ197" i="64" s="1"/>
  <c r="DA197" i="64" s="1"/>
  <c r="DB197" i="64" s="1"/>
  <c r="DC197" i="64" s="1"/>
  <c r="DD197" i="64" s="1"/>
  <c r="DE197" i="64" s="1"/>
  <c r="DF197" i="64" s="1"/>
  <c r="DG197" i="64" s="1"/>
  <c r="DH197" i="64" s="1"/>
  <c r="DI197" i="64" s="1"/>
  <c r="DJ197" i="64" s="1"/>
  <c r="DK197" i="64" s="1"/>
  <c r="DL197" i="64" s="1"/>
  <c r="DM197" i="64" s="1"/>
  <c r="DN197" i="64" s="1"/>
  <c r="DO197" i="64" s="1"/>
  <c r="DP197" i="64" s="1"/>
  <c r="DQ197" i="64" s="1"/>
  <c r="DR197" i="64" s="1"/>
  <c r="DS197" i="64" s="1"/>
  <c r="DT197" i="64" s="1"/>
  <c r="DU197" i="64" s="1"/>
  <c r="DV197" i="64" s="1"/>
  <c r="DW197" i="64" s="1"/>
  <c r="DX197" i="64" s="1"/>
  <c r="DY197" i="64" s="1"/>
  <c r="DZ197" i="64" s="1"/>
  <c r="EA197" i="64" s="1"/>
  <c r="EB197" i="64" s="1"/>
  <c r="EC197" i="64" s="1"/>
  <c r="ED197" i="64" s="1"/>
  <c r="EE197" i="64" s="1"/>
  <c r="EF197" i="64" s="1"/>
  <c r="EG197" i="64" s="1"/>
  <c r="EH197" i="64" s="1"/>
  <c r="EI197" i="64" s="1"/>
  <c r="EJ197" i="64" s="1"/>
  <c r="EK197" i="64" s="1"/>
  <c r="EL197" i="64" s="1"/>
  <c r="EM197" i="64" s="1"/>
  <c r="EN197" i="64" s="1"/>
  <c r="EO197" i="64" s="1"/>
  <c r="EP197" i="64" s="1"/>
  <c r="EQ197" i="64" s="1"/>
  <c r="M195" i="64"/>
  <c r="L195" i="64"/>
  <c r="M194" i="64"/>
  <c r="M193" i="64"/>
  <c r="L193" i="64"/>
  <c r="M192" i="64"/>
  <c r="M191" i="64"/>
  <c r="L191" i="64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FB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A191" i="64" s="1"/>
  <c r="FG191" i="64"/>
  <c r="FF191" i="64"/>
  <c r="EX191" i="64" s="1"/>
  <c r="FD191" i="64"/>
  <c r="FC191" i="64"/>
  <c r="EW191" i="64"/>
  <c r="EU191" i="64"/>
  <c r="ET191" i="64"/>
  <c r="ES191" i="64"/>
  <c r="ER191" i="64"/>
  <c r="EQ191" i="64"/>
  <c r="EP191" i="64"/>
  <c r="M190" i="64"/>
  <c r="L190" i="64"/>
  <c r="M189" i="64"/>
  <c r="M188" i="64"/>
  <c r="L188" i="64"/>
  <c r="EY188" i="64" s="1"/>
  <c r="M187" i="64"/>
  <c r="M186" i="64"/>
  <c r="L186" i="64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FB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A186" i="64" s="1"/>
  <c r="FG186" i="64"/>
  <c r="FF186" i="64"/>
  <c r="EX186" i="64" s="1"/>
  <c r="FD186" i="64"/>
  <c r="FC186" i="64"/>
  <c r="EY186" i="64"/>
  <c r="EW186" i="64"/>
  <c r="EU186" i="64"/>
  <c r="ET186" i="64"/>
  <c r="ES186" i="64"/>
  <c r="ER186" i="64"/>
  <c r="EQ186" i="64"/>
  <c r="EP186" i="64"/>
  <c r="M185" i="64"/>
  <c r="L185" i="64"/>
  <c r="M184" i="64"/>
  <c r="M183" i="64"/>
  <c r="L183" i="64"/>
  <c r="M182" i="64"/>
  <c r="M181" i="64"/>
  <c r="L181" i="64"/>
  <c r="EY181" i="64" s="1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FB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A181" i="64" s="1"/>
  <c r="FG181" i="64"/>
  <c r="FF181" i="64"/>
  <c r="EX181" i="64" s="1"/>
  <c r="FD181" i="64"/>
  <c r="FC181" i="64"/>
  <c r="EW181" i="64"/>
  <c r="EU181" i="64"/>
  <c r="ET181" i="64"/>
  <c r="ES181" i="64"/>
  <c r="ER181" i="64"/>
  <c r="EQ181" i="64"/>
  <c r="EP181" i="64"/>
  <c r="M180" i="64"/>
  <c r="L180" i="64"/>
  <c r="M179" i="64"/>
  <c r="M178" i="64"/>
  <c r="L178" i="64"/>
  <c r="EY178" i="64" s="1"/>
  <c r="M177" i="64"/>
  <c r="M176" i="64"/>
  <c r="L176" i="64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FB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A176" i="64" s="1"/>
  <c r="FG176" i="64"/>
  <c r="FF176" i="64"/>
  <c r="EX176" i="64" s="1"/>
  <c r="FD176" i="64"/>
  <c r="FC176" i="64"/>
  <c r="EY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M172" i="64"/>
  <c r="M171" i="64"/>
  <c r="L171" i="64"/>
  <c r="EY171" i="64" s="1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FB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A171" i="64" s="1"/>
  <c r="FG171" i="64"/>
  <c r="FF171" i="64"/>
  <c r="EX171" i="64" s="1"/>
  <c r="FD171" i="64"/>
  <c r="FC171" i="64"/>
  <c r="EW171" i="64"/>
  <c r="EU171" i="64"/>
  <c r="ET171" i="64"/>
  <c r="ES171" i="64"/>
  <c r="ER171" i="64"/>
  <c r="EQ171" i="64"/>
  <c r="EP171" i="64"/>
  <c r="M170" i="64"/>
  <c r="L170" i="64"/>
  <c r="M169" i="64"/>
  <c r="M168" i="64"/>
  <c r="L168" i="64"/>
  <c r="M167" i="64"/>
  <c r="M166" i="64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 s="1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A166" i="64" s="1"/>
  <c r="FF166" i="64"/>
  <c r="FD166" i="64"/>
  <c r="FC166" i="64"/>
  <c r="EX166" i="64"/>
  <c r="EW166" i="64"/>
  <c r="EU166" i="64"/>
  <c r="ET166" i="64"/>
  <c r="ES166" i="64"/>
  <c r="ER166" i="64"/>
  <c r="EQ166" i="64"/>
  <c r="EP166" i="64"/>
  <c r="M165" i="64"/>
  <c r="L165" i="64"/>
  <c r="M164" i="64"/>
  <c r="M163" i="64"/>
  <c r="L163" i="64"/>
  <c r="M162" i="64"/>
  <c r="M161" i="64"/>
  <c r="L161" i="64"/>
  <c r="EY161" i="64" s="1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FB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A161" i="64" s="1"/>
  <c r="FG161" i="64"/>
  <c r="FF161" i="64"/>
  <c r="EX161" i="64" s="1"/>
  <c r="FD161" i="64"/>
  <c r="FC161" i="64"/>
  <c r="EW161" i="64"/>
  <c r="EU161" i="64"/>
  <c r="ET161" i="64"/>
  <c r="ES161" i="64"/>
  <c r="ER161" i="64"/>
  <c r="EQ161" i="64"/>
  <c r="EP161" i="64"/>
  <c r="M160" i="64"/>
  <c r="L160" i="64"/>
  <c r="M159" i="64"/>
  <c r="M158" i="64"/>
  <c r="L158" i="64"/>
  <c r="EY158" i="64" s="1"/>
  <c r="M157" i="64"/>
  <c r="M156" i="64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FB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A156" i="64" s="1"/>
  <c r="FG156" i="64"/>
  <c r="FF156" i="64"/>
  <c r="EX156" i="64" s="1"/>
  <c r="FD156" i="64"/>
  <c r="FC156" i="64"/>
  <c r="EY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M152" i="64"/>
  <c r="M151" i="64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FF151" i="64"/>
  <c r="FD151" i="64"/>
  <c r="FC151" i="64"/>
  <c r="EX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M147" i="64"/>
  <c r="M146" i="64"/>
  <c r="L146" i="64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FB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Y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A146" i="64" s="1"/>
  <c r="FG146" i="64"/>
  <c r="FF146" i="64"/>
  <c r="EX146" i="64" s="1"/>
  <c r="FD146" i="64"/>
  <c r="FC146" i="64"/>
  <c r="EY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L143" i="64"/>
  <c r="M142" i="64"/>
  <c r="M141" i="64"/>
  <c r="L141" i="64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FB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A141" i="64" s="1"/>
  <c r="FG141" i="64"/>
  <c r="FF141" i="64"/>
  <c r="EX141" i="64" s="1"/>
  <c r="FD141" i="64"/>
  <c r="FC141" i="64"/>
  <c r="EY141" i="64"/>
  <c r="EW141" i="64"/>
  <c r="EU141" i="64"/>
  <c r="ET141" i="64"/>
  <c r="ES141" i="64"/>
  <c r="ER141" i="64"/>
  <c r="EQ141" i="64"/>
  <c r="EP141" i="64"/>
  <c r="M140" i="64"/>
  <c r="L140" i="64"/>
  <c r="M139" i="64"/>
  <c r="M138" i="64"/>
  <c r="L138" i="64"/>
  <c r="EY138" i="64" s="1"/>
  <c r="M137" i="64"/>
  <c r="M136" i="64"/>
  <c r="EY136" i="64" s="1"/>
  <c r="L136" i="64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FB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A136" i="64" s="1"/>
  <c r="FG136" i="64"/>
  <c r="FF136" i="64"/>
  <c r="EX136" i="64" s="1"/>
  <c r="FD136" i="64"/>
  <c r="FC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L133" i="64"/>
  <c r="M132" i="64"/>
  <c r="M131" i="64"/>
  <c r="L131" i="64"/>
  <c r="EY131" i="64" s="1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FB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A131" i="64" s="1"/>
  <c r="FG131" i="64"/>
  <c r="FF131" i="64"/>
  <c r="EX131" i="64" s="1"/>
  <c r="FD131" i="64"/>
  <c r="FC131" i="64"/>
  <c r="EW131" i="64"/>
  <c r="EU131" i="64"/>
  <c r="ET131" i="64"/>
  <c r="ES131" i="64"/>
  <c r="ER131" i="64"/>
  <c r="EQ131" i="64"/>
  <c r="EP131" i="64"/>
  <c r="M130" i="64"/>
  <c r="L130" i="64"/>
  <c r="M129" i="64"/>
  <c r="M128" i="64"/>
  <c r="L128" i="64"/>
  <c r="M127" i="64"/>
  <c r="M126" i="64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FB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Y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A126" i="64" s="1"/>
  <c r="FG126" i="64"/>
  <c r="FF126" i="64"/>
  <c r="EX126" i="64" s="1"/>
  <c r="FD126" i="64"/>
  <c r="FC126" i="64"/>
  <c r="EY126" i="64"/>
  <c r="EW126" i="64"/>
  <c r="EU126" i="64"/>
  <c r="ET126" i="64"/>
  <c r="ES126" i="64"/>
  <c r="ER126" i="64"/>
  <c r="EQ126" i="64"/>
  <c r="EP126" i="64"/>
  <c r="M125" i="64"/>
  <c r="L125" i="64"/>
  <c r="M124" i="64"/>
  <c r="M123" i="64"/>
  <c r="L123" i="64"/>
  <c r="M122" i="64"/>
  <c r="M121" i="64"/>
  <c r="L121" i="64"/>
  <c r="EY121" i="64" s="1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FB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A121" i="64" s="1"/>
  <c r="FG121" i="64"/>
  <c r="FF121" i="64"/>
  <c r="EX121" i="64" s="1"/>
  <c r="FD121" i="64"/>
  <c r="FC121" i="64"/>
  <c r="EW121" i="64"/>
  <c r="EU121" i="64"/>
  <c r="ET121" i="64"/>
  <c r="ES121" i="64"/>
  <c r="ER121" i="64"/>
  <c r="EQ121" i="64"/>
  <c r="EP121" i="64"/>
  <c r="M120" i="64"/>
  <c r="L120" i="64"/>
  <c r="M119" i="64"/>
  <c r="M118" i="64"/>
  <c r="L118" i="64"/>
  <c r="EY118" i="64" s="1"/>
  <c r="M117" i="64"/>
  <c r="M116" i="64"/>
  <c r="L116" i="64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FB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A116" i="64" s="1"/>
  <c r="FG116" i="64"/>
  <c r="FF116" i="64"/>
  <c r="EX116" i="64" s="1"/>
  <c r="FD116" i="64"/>
  <c r="FC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M112" i="64"/>
  <c r="M111" i="64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FB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A111" i="64" s="1"/>
  <c r="FG111" i="64"/>
  <c r="FF111" i="64"/>
  <c r="EX111" i="64" s="1"/>
  <c r="FD111" i="64"/>
  <c r="FC111" i="64"/>
  <c r="EY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M107" i="64"/>
  <c r="M106" i="64"/>
  <c r="EY106" i="64" s="1"/>
  <c r="L106" i="64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Y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 s="1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F106" i="64"/>
  <c r="FD106" i="64"/>
  <c r="FC106" i="64"/>
  <c r="EX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L103" i="64"/>
  <c r="M102" i="64"/>
  <c r="M101" i="64"/>
  <c r="L101" i="64"/>
  <c r="EY101" i="64" s="1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FB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FD101" i="64" s="1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G101" i="64"/>
  <c r="FF101" i="64"/>
  <c r="EX101" i="64" s="1"/>
  <c r="FC101" i="64"/>
  <c r="FA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EY98" i="64" s="1"/>
  <c r="L98" i="64"/>
  <c r="M97" i="64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FD96" i="64"/>
  <c r="FC96" i="64"/>
  <c r="EX96" i="64"/>
  <c r="EW96" i="64"/>
  <c r="EU96" i="64"/>
  <c r="ET96" i="64"/>
  <c r="ES96" i="64"/>
  <c r="ER96" i="64"/>
  <c r="EQ96" i="64"/>
  <c r="EP96" i="64"/>
  <c r="M95" i="64"/>
  <c r="L95" i="64"/>
  <c r="M94" i="64"/>
  <c r="M93" i="64"/>
  <c r="L93" i="64"/>
  <c r="M92" i="64"/>
  <c r="M91" i="64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FD91" i="64"/>
  <c r="FC91" i="64"/>
  <c r="EX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M87" i="64"/>
  <c r="M86" i="64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X86" i="64"/>
  <c r="EW86" i="64"/>
  <c r="EU86" i="64"/>
  <c r="ET86" i="64"/>
  <c r="ES86" i="64"/>
  <c r="ER86" i="64"/>
  <c r="EQ86" i="64"/>
  <c r="EP86" i="64"/>
  <c r="M85" i="64"/>
  <c r="L85" i="64"/>
  <c r="M84" i="64"/>
  <c r="M83" i="64"/>
  <c r="L83" i="64"/>
  <c r="M82" i="64"/>
  <c r="M81" i="64"/>
  <c r="L81" i="64"/>
  <c r="EY81" i="64" s="1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FB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A81" i="64" s="1"/>
  <c r="FG81" i="64"/>
  <c r="FF81" i="64"/>
  <c r="EX81" i="64" s="1"/>
  <c r="FD81" i="64"/>
  <c r="FC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M77" i="64"/>
  <c r="M76" i="64"/>
  <c r="EY76" i="64" s="1"/>
  <c r="L76" i="64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Y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M72" i="64"/>
  <c r="M71" i="64"/>
  <c r="EY71" i="64" s="1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X71" i="64"/>
  <c r="EW71" i="64"/>
  <c r="EU71" i="64"/>
  <c r="ET71" i="64"/>
  <c r="ES71" i="64"/>
  <c r="ER71" i="64"/>
  <c r="EQ71" i="64"/>
  <c r="EP71" i="64"/>
  <c r="M70" i="64"/>
  <c r="L70" i="64"/>
  <c r="M69" i="64"/>
  <c r="M68" i="64"/>
  <c r="L68" i="64"/>
  <c r="M67" i="64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FB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A66" i="64" s="1"/>
  <c r="FG66" i="64"/>
  <c r="FF66" i="64"/>
  <c r="EX66" i="64" s="1"/>
  <c r="FD66" i="64"/>
  <c r="FC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M62" i="64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FB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A61" i="64" s="1"/>
  <c r="FG61" i="64"/>
  <c r="FF61" i="64"/>
  <c r="EX61" i="64" s="1"/>
  <c r="FD61" i="64"/>
  <c r="FC61" i="64"/>
  <c r="EY61" i="64"/>
  <c r="EW61" i="64"/>
  <c r="EU61" i="64"/>
  <c r="ET61" i="64"/>
  <c r="ES61" i="64"/>
  <c r="ER61" i="64"/>
  <c r="EQ61" i="64"/>
  <c r="EP61" i="64"/>
  <c r="M60" i="64"/>
  <c r="L60" i="64"/>
  <c r="M59" i="64"/>
  <c r="M58" i="64"/>
  <c r="L58" i="64"/>
  <c r="M57" i="64"/>
  <c r="M56" i="64"/>
  <c r="EY56" i="64" s="1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Y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D56" i="64"/>
  <c r="FC56" i="64"/>
  <c r="EX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M52" i="64"/>
  <c r="M51" i="64"/>
  <c r="L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FB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A51" i="64" s="1"/>
  <c r="FG51" i="64"/>
  <c r="FF51" i="64"/>
  <c r="EX51" i="64" s="1"/>
  <c r="FD51" i="64"/>
  <c r="FC51" i="64"/>
  <c r="EY51" i="64"/>
  <c r="EW51" i="64"/>
  <c r="EU51" i="64"/>
  <c r="ET51" i="64"/>
  <c r="ES51" i="64"/>
  <c r="ER51" i="64"/>
  <c r="EQ51" i="64"/>
  <c r="EP51" i="64"/>
  <c r="M50" i="64"/>
  <c r="L50" i="64"/>
  <c r="M49" i="64"/>
  <c r="M48" i="64"/>
  <c r="EY48" i="64" s="1"/>
  <c r="L48" i="64"/>
  <c r="M47" i="64"/>
  <c r="M46" i="64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M42" i="64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FD41" i="64"/>
  <c r="FC41" i="64"/>
  <c r="EX41" i="64"/>
  <c r="EW41" i="64"/>
  <c r="EU41" i="64"/>
  <c r="ET41" i="64"/>
  <c r="ES41" i="64"/>
  <c r="ER41" i="64"/>
  <c r="EQ41" i="64"/>
  <c r="EP41" i="64"/>
  <c r="M40" i="64"/>
  <c r="L40" i="64"/>
  <c r="M39" i="64"/>
  <c r="M38" i="64"/>
  <c r="L38" i="64"/>
  <c r="M37" i="64"/>
  <c r="M36" i="64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/>
  <c r="FC38" i="64"/>
  <c r="FA38" i="64"/>
  <c r="EZ38" i="64"/>
  <c r="EY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A36" i="64" s="1"/>
  <c r="FG36" i="64"/>
  <c r="FF36" i="64"/>
  <c r="EX36" i="64" s="1"/>
  <c r="FD36" i="64"/>
  <c r="FC36" i="64"/>
  <c r="EY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M32" i="64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FB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FD31" i="64" s="1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A31" i="64" s="1"/>
  <c r="FF31" i="64"/>
  <c r="EX31" i="64" s="1"/>
  <c r="FC31" i="64"/>
  <c r="EZ31" i="64"/>
  <c r="EW31" i="64"/>
  <c r="EU31" i="64"/>
  <c r="ET31" i="64"/>
  <c r="ES31" i="64"/>
  <c r="ER31" i="64"/>
  <c r="EQ31" i="64"/>
  <c r="EP31" i="64"/>
  <c r="M30" i="64"/>
  <c r="L30" i="64"/>
  <c r="M29" i="64"/>
  <c r="L29" i="64"/>
  <c r="EY29" i="64" s="1"/>
  <c r="M28" i="64"/>
  <c r="L28" i="64"/>
  <c r="M27" i="64"/>
  <c r="L27" i="64"/>
  <c r="EY27" i="64" s="1"/>
  <c r="M26" i="64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FB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Y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FD26" i="64" s="1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EX26" i="64" s="1"/>
  <c r="FC26" i="64"/>
  <c r="EY26" i="64"/>
  <c r="EW26" i="64"/>
  <c r="EU26" i="64"/>
  <c r="ET26" i="64"/>
  <c r="ES26" i="64"/>
  <c r="ER26" i="64"/>
  <c r="EV26" i="64" s="1"/>
  <c r="EQ26" i="64"/>
  <c r="EP26" i="64"/>
  <c r="M25" i="64"/>
  <c r="L25" i="64"/>
  <c r="M24" i="64"/>
  <c r="L24" i="64"/>
  <c r="EY24" i="64" s="1"/>
  <c r="M23" i="64"/>
  <c r="L23" i="64"/>
  <c r="M22" i="64"/>
  <c r="L22" i="64"/>
  <c r="EY22" i="64" s="1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Y23" i="64"/>
  <c r="EX23" i="64"/>
  <c r="EU23" i="64"/>
  <c r="ET23" i="64"/>
  <c r="ES23" i="64"/>
  <c r="EV23" i="64" s="1"/>
  <c r="ER23" i="64"/>
  <c r="EQ23" i="64"/>
  <c r="EP23" i="64"/>
  <c r="IA22" i="64"/>
  <c r="HZ22" i="64"/>
  <c r="HY22" i="64"/>
  <c r="GL22" i="64"/>
  <c r="FD22" i="64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D21" i="64"/>
  <c r="FC21" i="64"/>
  <c r="EY21" i="64"/>
  <c r="EX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M17" i="64"/>
  <c r="M16" i="64"/>
  <c r="EY16" i="64" s="1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FC16" i="64"/>
  <c r="EX16" i="64"/>
  <c r="EW16" i="64"/>
  <c r="EU16" i="64"/>
  <c r="ET16" i="64"/>
  <c r="ES16" i="64"/>
  <c r="ER16" i="64"/>
  <c r="EQ16" i="64"/>
  <c r="EP16" i="64"/>
  <c r="M15" i="64"/>
  <c r="L15" i="64"/>
  <c r="M14" i="64"/>
  <c r="L14" i="64"/>
  <c r="M13" i="64"/>
  <c r="L13" i="64"/>
  <c r="M12" i="64"/>
  <c r="L12" i="64"/>
  <c r="M11" i="64"/>
  <c r="L11" i="64"/>
  <c r="IA15" i="64"/>
  <c r="HZ15" i="64"/>
  <c r="HY15" i="64"/>
  <c r="GL15" i="64"/>
  <c r="FD15" i="64" s="1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Y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/>
  <c r="FC13" i="64"/>
  <c r="FA13" i="64"/>
  <c r="EZ13" i="64"/>
  <c r="EY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/>
  <c r="FC12" i="64"/>
  <c r="FA12" i="64"/>
  <c r="EZ12" i="64"/>
  <c r="EY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FD11" i="64" s="1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F11" i="64"/>
  <c r="FC11" i="64"/>
  <c r="EY11" i="64"/>
  <c r="EX11" i="64"/>
  <c r="EW11" i="64"/>
  <c r="EU11" i="64"/>
  <c r="ET11" i="64"/>
  <c r="ES11" i="64"/>
  <c r="ER11" i="64"/>
  <c r="EQ11" i="64"/>
  <c r="EP11" i="64"/>
  <c r="EY191" i="64" l="1"/>
  <c r="EY193" i="64"/>
  <c r="EY189" i="64"/>
  <c r="EY184" i="64"/>
  <c r="EY183" i="64"/>
  <c r="EY179" i="64"/>
  <c r="EY174" i="64"/>
  <c r="EY173" i="64"/>
  <c r="EY166" i="64"/>
  <c r="EY168" i="64"/>
  <c r="EY169" i="64"/>
  <c r="EY163" i="64"/>
  <c r="EY159" i="64"/>
  <c r="EY153" i="64"/>
  <c r="EY151" i="64"/>
  <c r="EY149" i="64"/>
  <c r="EY142" i="64"/>
  <c r="EY144" i="64"/>
  <c r="EY143" i="64"/>
  <c r="EY139" i="64"/>
  <c r="EY133" i="64"/>
  <c r="EY129" i="64"/>
  <c r="EY123" i="64"/>
  <c r="EY116" i="64"/>
  <c r="EY119" i="64"/>
  <c r="EY113" i="64"/>
  <c r="EY109" i="64"/>
  <c r="EY103" i="64"/>
  <c r="EY96" i="64"/>
  <c r="EY99" i="64"/>
  <c r="EY93" i="64"/>
  <c r="EY92" i="64"/>
  <c r="EY91" i="64"/>
  <c r="EY86" i="64"/>
  <c r="EY88" i="64"/>
  <c r="EY89" i="64"/>
  <c r="EY83" i="64"/>
  <c r="EY79" i="64"/>
  <c r="EY72" i="64"/>
  <c r="EY73" i="64"/>
  <c r="EY69" i="64"/>
  <c r="EY68" i="64"/>
  <c r="EY66" i="64"/>
  <c r="EY63" i="64"/>
  <c r="EY59" i="64"/>
  <c r="EY53" i="64"/>
  <c r="EY46" i="64"/>
  <c r="EY47" i="64"/>
  <c r="EY49" i="64"/>
  <c r="EY43" i="64"/>
  <c r="EY41" i="64"/>
  <c r="EY39" i="64"/>
  <c r="EY33" i="64"/>
  <c r="EY31" i="64"/>
  <c r="EY17" i="64"/>
  <c r="EY19" i="64"/>
  <c r="EY18" i="64"/>
  <c r="EV194" i="64"/>
  <c r="EV192" i="64"/>
  <c r="EV195" i="64"/>
  <c r="EV191" i="64"/>
  <c r="EZ191" i="64"/>
  <c r="FE191" i="64" s="1"/>
  <c r="IB191" i="64" s="1"/>
  <c r="EV193" i="64"/>
  <c r="EV189" i="64"/>
  <c r="EV186" i="64"/>
  <c r="EZ186" i="64"/>
  <c r="EV187" i="64"/>
  <c r="EV190" i="64"/>
  <c r="EV188" i="64"/>
  <c r="FE186" i="64"/>
  <c r="IB186" i="64" s="1"/>
  <c r="EV184" i="64"/>
  <c r="EV182" i="64"/>
  <c r="EV185" i="64"/>
  <c r="EV181" i="64"/>
  <c r="EZ181" i="64"/>
  <c r="FE181" i="64" s="1"/>
  <c r="IB181" i="64" s="1"/>
  <c r="EV183" i="64"/>
  <c r="EV179" i="64"/>
  <c r="EV177" i="64"/>
  <c r="EV180" i="64"/>
  <c r="EV176" i="64"/>
  <c r="EZ176" i="64"/>
  <c r="FE176" i="64" s="1"/>
  <c r="IB176" i="64" s="1"/>
  <c r="EV178" i="64"/>
  <c r="EV174" i="64"/>
  <c r="EV172" i="64"/>
  <c r="EV175" i="64"/>
  <c r="EV171" i="64"/>
  <c r="EZ171" i="64"/>
  <c r="FE171" i="64" s="1"/>
  <c r="IB171" i="64" s="1"/>
  <c r="EV173" i="64"/>
  <c r="EV168" i="64"/>
  <c r="EV166" i="64"/>
  <c r="FB170" i="64"/>
  <c r="EV167" i="64"/>
  <c r="EV169" i="64"/>
  <c r="EV170" i="64"/>
  <c r="EZ166" i="64"/>
  <c r="FE166" i="64" s="1"/>
  <c r="IB166" i="64" s="1"/>
  <c r="EV164" i="64"/>
  <c r="EV161" i="64"/>
  <c r="EZ161" i="64"/>
  <c r="EV162" i="64"/>
  <c r="EV165" i="64"/>
  <c r="EV163" i="64"/>
  <c r="FE161" i="64"/>
  <c r="IB161" i="64" s="1"/>
  <c r="EV159" i="64"/>
  <c r="EZ156" i="64"/>
  <c r="EV157" i="64"/>
  <c r="EV160" i="64"/>
  <c r="EV156" i="64"/>
  <c r="EV158" i="64"/>
  <c r="FE156" i="64"/>
  <c r="IB156" i="64" s="1"/>
  <c r="EV153" i="64"/>
  <c r="EV152" i="64"/>
  <c r="FB155" i="64"/>
  <c r="EV151" i="64"/>
  <c r="FA151" i="64"/>
  <c r="EV154" i="64"/>
  <c r="EV155" i="64"/>
  <c r="EZ151" i="64"/>
  <c r="FE151" i="64" s="1"/>
  <c r="IB151" i="64" s="1"/>
  <c r="EV149" i="64"/>
  <c r="EV147" i="64"/>
  <c r="EV150" i="64"/>
  <c r="EV146" i="64"/>
  <c r="EZ146" i="64"/>
  <c r="FE146" i="64" s="1"/>
  <c r="IB146" i="64" s="1"/>
  <c r="EV148" i="64"/>
  <c r="EV144" i="64"/>
  <c r="EV142" i="64"/>
  <c r="EV145" i="64"/>
  <c r="EV141" i="64"/>
  <c r="EZ141" i="64"/>
  <c r="FE141" i="64" s="1"/>
  <c r="IB141" i="64" s="1"/>
  <c r="EV143" i="64"/>
  <c r="EV139" i="64"/>
  <c r="EV137" i="64"/>
  <c r="EV140" i="64"/>
  <c r="EV136" i="64"/>
  <c r="EZ136" i="64"/>
  <c r="FE136" i="64" s="1"/>
  <c r="IB136" i="64" s="1"/>
  <c r="EV138" i="64"/>
  <c r="EV134" i="64"/>
  <c r="EV132" i="64"/>
  <c r="EV135" i="64"/>
  <c r="EV131" i="64"/>
  <c r="EZ131" i="64"/>
  <c r="FE131" i="64" s="1"/>
  <c r="IB131" i="64" s="1"/>
  <c r="EV133" i="64"/>
  <c r="EV126" i="64"/>
  <c r="EV129" i="64"/>
  <c r="EZ126" i="64"/>
  <c r="EV127" i="64"/>
  <c r="EV130" i="64"/>
  <c r="EV128" i="64"/>
  <c r="FE126" i="64"/>
  <c r="IB126" i="64" s="1"/>
  <c r="EV124" i="64"/>
  <c r="EV122" i="64"/>
  <c r="EV125" i="64"/>
  <c r="EV121" i="64"/>
  <c r="EZ121" i="64"/>
  <c r="FE121" i="64" s="1"/>
  <c r="IB121" i="64" s="1"/>
  <c r="EV123" i="64"/>
  <c r="EV119" i="64"/>
  <c r="EV117" i="64"/>
  <c r="EV120" i="64"/>
  <c r="EV116" i="64"/>
  <c r="EZ116" i="64"/>
  <c r="FE116" i="64" s="1"/>
  <c r="IB116" i="64" s="1"/>
  <c r="EV118" i="64"/>
  <c r="EV114" i="64"/>
  <c r="EV111" i="64"/>
  <c r="EZ111" i="64"/>
  <c r="EV112" i="64"/>
  <c r="EV115" i="64"/>
  <c r="EV113" i="64"/>
  <c r="FE111" i="64"/>
  <c r="IB111" i="64" s="1"/>
  <c r="EV108" i="64"/>
  <c r="EV107" i="64"/>
  <c r="FB110" i="64"/>
  <c r="EV106" i="64"/>
  <c r="FA106" i="64"/>
  <c r="EV109" i="64"/>
  <c r="EV110" i="64"/>
  <c r="EZ106" i="64"/>
  <c r="FE106" i="64" s="1"/>
  <c r="IB106" i="64" s="1"/>
  <c r="EV104" i="64"/>
  <c r="EV101" i="64"/>
  <c r="EV102" i="64"/>
  <c r="EV105" i="64"/>
  <c r="EZ101" i="64"/>
  <c r="FE101" i="64" s="1"/>
  <c r="IB101" i="64" s="1"/>
  <c r="EV103" i="64"/>
  <c r="EV98" i="64"/>
  <c r="EV97" i="64"/>
  <c r="FB100" i="64"/>
  <c r="EV96" i="64"/>
  <c r="FA96" i="64"/>
  <c r="EV99" i="64"/>
  <c r="EV100" i="64"/>
  <c r="EZ96" i="64"/>
  <c r="FE96" i="64" s="1"/>
  <c r="IB96" i="64" s="1"/>
  <c r="EV93" i="64"/>
  <c r="EV92" i="64"/>
  <c r="FB95" i="64"/>
  <c r="EV91" i="64"/>
  <c r="FA91" i="64"/>
  <c r="EV94" i="64"/>
  <c r="EV95" i="64"/>
  <c r="EZ91" i="64"/>
  <c r="FE91" i="64" s="1"/>
  <c r="IB91" i="64" s="1"/>
  <c r="EV88" i="64"/>
  <c r="EV87" i="64"/>
  <c r="FB90" i="64"/>
  <c r="EV86" i="64"/>
  <c r="FA86" i="64"/>
  <c r="EV89" i="64"/>
  <c r="EV90" i="64"/>
  <c r="EZ86" i="64"/>
  <c r="FE86" i="64" s="1"/>
  <c r="IB86" i="64" s="1"/>
  <c r="EV84" i="64"/>
  <c r="EV82" i="64"/>
  <c r="EV85" i="64"/>
  <c r="EV81" i="64"/>
  <c r="EZ81" i="64"/>
  <c r="EV83" i="64"/>
  <c r="FE81" i="64"/>
  <c r="IB81" i="64" s="1"/>
  <c r="EV78" i="64"/>
  <c r="EV77" i="64"/>
  <c r="FB80" i="64"/>
  <c r="EV76" i="64"/>
  <c r="FA76" i="64"/>
  <c r="EV79" i="64"/>
  <c r="EV80" i="64"/>
  <c r="EZ76" i="64"/>
  <c r="FE76" i="64" s="1"/>
  <c r="IB76" i="64" s="1"/>
  <c r="EV73" i="64"/>
  <c r="EV72" i="64"/>
  <c r="FB75" i="64"/>
  <c r="EV71" i="64"/>
  <c r="FA71" i="64"/>
  <c r="EV74" i="64"/>
  <c r="EV75" i="64"/>
  <c r="EZ71" i="64"/>
  <c r="EV69" i="64"/>
  <c r="EZ66" i="64"/>
  <c r="EV67" i="64"/>
  <c r="EV70" i="64"/>
  <c r="EV66" i="64"/>
  <c r="EV68" i="64"/>
  <c r="EV64" i="64"/>
  <c r="EV62" i="64"/>
  <c r="EV65" i="64"/>
  <c r="EV61" i="64"/>
  <c r="EZ61" i="64"/>
  <c r="FE61" i="64" s="1"/>
  <c r="IB61" i="64" s="1"/>
  <c r="EV63" i="64"/>
  <c r="EV58" i="64"/>
  <c r="EV57" i="64"/>
  <c r="FB60" i="64"/>
  <c r="EV56" i="64"/>
  <c r="FA56" i="64"/>
  <c r="EV59" i="64"/>
  <c r="EV60" i="64"/>
  <c r="EZ56" i="64"/>
  <c r="FE56" i="64" s="1"/>
  <c r="IB56" i="64" s="1"/>
  <c r="EV54" i="64"/>
  <c r="EZ51" i="64"/>
  <c r="FE51" i="64" s="1"/>
  <c r="IB51" i="64" s="1"/>
  <c r="EV52" i="64"/>
  <c r="EV55" i="64"/>
  <c r="EV51" i="64"/>
  <c r="EV53" i="64"/>
  <c r="EV48" i="64"/>
  <c r="EV47" i="64"/>
  <c r="FB50" i="64"/>
  <c r="EV46" i="64"/>
  <c r="FA46" i="64"/>
  <c r="EV49" i="64"/>
  <c r="EV50" i="64"/>
  <c r="EZ46" i="64"/>
  <c r="FE46" i="64" s="1"/>
  <c r="IB46" i="64" s="1"/>
  <c r="EV43" i="64"/>
  <c r="EV42" i="64"/>
  <c r="FB45" i="64"/>
  <c r="EV41" i="64"/>
  <c r="FA41" i="64"/>
  <c r="EV44" i="64"/>
  <c r="EV45" i="64"/>
  <c r="EZ41" i="64"/>
  <c r="FE41" i="64" s="1"/>
  <c r="IB41" i="64" s="1"/>
  <c r="EV40" i="64"/>
  <c r="EV37" i="64"/>
  <c r="EV39" i="64"/>
  <c r="EV36" i="64"/>
  <c r="EZ36" i="64"/>
  <c r="EV38" i="64"/>
  <c r="FB40" i="64"/>
  <c r="FE36" i="64"/>
  <c r="IB36" i="64" s="1"/>
  <c r="EV34" i="64"/>
  <c r="EV35" i="64"/>
  <c r="EV31" i="64"/>
  <c r="EV32" i="64"/>
  <c r="EV33" i="64"/>
  <c r="FE31" i="64"/>
  <c r="IB31" i="64" s="1"/>
  <c r="EV29" i="64"/>
  <c r="EV27" i="64"/>
  <c r="EZ26" i="64"/>
  <c r="EV28" i="64"/>
  <c r="EV30" i="64"/>
  <c r="FA26" i="64"/>
  <c r="FE26" i="64" s="1"/>
  <c r="IB26" i="64" s="1"/>
  <c r="EV22" i="64"/>
  <c r="EV24" i="64"/>
  <c r="FB25" i="64"/>
  <c r="EV21" i="64"/>
  <c r="FA21" i="64"/>
  <c r="EV25" i="64"/>
  <c r="EZ21" i="64"/>
  <c r="FE21" i="64" s="1"/>
  <c r="IB21" i="64" s="1"/>
  <c r="EV18" i="64"/>
  <c r="EV17" i="64"/>
  <c r="FB20" i="64"/>
  <c r="EV16" i="64"/>
  <c r="FA16" i="64"/>
  <c r="EV19" i="64"/>
  <c r="EV20" i="64"/>
  <c r="EZ16" i="64"/>
  <c r="FE16" i="64" s="1"/>
  <c r="IB16" i="64" s="1"/>
  <c r="EV12" i="64"/>
  <c r="EV13" i="64"/>
  <c r="EV15" i="64"/>
  <c r="FA11" i="64"/>
  <c r="EV11" i="64"/>
  <c r="EV14" i="64"/>
  <c r="FB15" i="64"/>
  <c r="EZ11" i="64"/>
  <c r="FE11" i="64" s="1"/>
  <c r="IB11" i="64" s="1"/>
  <c r="FE71" i="64" l="1"/>
  <c r="IB71" i="64" s="1"/>
  <c r="FE66" i="64"/>
  <c r="IB66" i="64" s="1"/>
  <c r="GN6" i="64"/>
  <c r="H8" i="89"/>
  <c r="I18" i="90"/>
  <c r="I17" i="90"/>
  <c r="E14" i="90"/>
  <c r="D25" i="89"/>
  <c r="D23" i="89" l="1"/>
  <c r="F10" i="90" s="1"/>
  <c r="I15" i="90" s="1"/>
  <c r="D11" i="89"/>
  <c r="D13" i="89" s="1"/>
  <c r="E16" i="91" s="1"/>
  <c r="F10" i="91" l="1"/>
  <c r="B3" i="9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 l="1"/>
  <c r="F28" i="91" s="1"/>
  <c r="C44" i="91"/>
  <c r="F24" i="90"/>
  <c r="F30" i="91" l="1"/>
  <c r="F32" i="89" s="1"/>
  <c r="F33" i="89" s="1"/>
  <c r="C42" i="90"/>
  <c r="C44" i="90" s="1"/>
  <c r="F26" i="90"/>
  <c r="F28" i="90" s="1"/>
  <c r="F30" i="90" l="1"/>
  <c r="D32" i="89" s="1"/>
  <c r="C36" i="89" s="1"/>
  <c r="D36" i="89" l="1"/>
  <c r="D33" i="89"/>
  <c r="I34" i="86" s="1"/>
  <c r="D37" i="89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197" i="64"/>
  <c r="M197" i="64" s="1"/>
  <c r="N197" i="64" s="1"/>
  <c r="O197" i="64" s="1"/>
  <c r="P197" i="64" s="1"/>
  <c r="I26" i="86" l="1"/>
  <c r="I28" i="86"/>
  <c r="I27" i="86"/>
  <c r="B37" i="86"/>
  <c r="B39" i="86"/>
  <c r="D11" i="86"/>
  <c r="ER197" i="64"/>
  <c r="ES197" i="64" s="1"/>
  <c r="ET197" i="64" s="1"/>
  <c r="EU197" i="64" s="1"/>
  <c r="EV197" i="64" s="1"/>
  <c r="EW197" i="64" s="1"/>
  <c r="EX197" i="64" s="1"/>
  <c r="EY197" i="64" s="1"/>
  <c r="EZ197" i="64" s="1"/>
  <c r="FA197" i="64" s="1"/>
  <c r="FB197" i="64" s="1"/>
  <c r="FC197" i="64" s="1"/>
  <c r="FD197" i="64" s="1"/>
  <c r="FE197" i="64" s="1"/>
  <c r="FF197" i="64" s="1"/>
  <c r="FG197" i="64" s="1"/>
  <c r="FH197" i="64" s="1"/>
  <c r="FI197" i="64" s="1"/>
  <c r="FJ197" i="64" s="1"/>
  <c r="FK197" i="64" s="1"/>
  <c r="FL197" i="64" s="1"/>
  <c r="FM197" i="64" s="1"/>
  <c r="FN197" i="64" s="1"/>
  <c r="FO197" i="64" s="1"/>
  <c r="FP197" i="64" s="1"/>
  <c r="FQ197" i="64" s="1"/>
  <c r="FR197" i="64" s="1"/>
  <c r="FS197" i="64" s="1"/>
  <c r="FT197" i="64" s="1"/>
  <c r="FU197" i="64" s="1"/>
  <c r="FV197" i="64" s="1"/>
  <c r="FW197" i="64" s="1"/>
  <c r="FX197" i="64" s="1"/>
  <c r="FY197" i="64" s="1"/>
  <c r="F11" i="86"/>
  <c r="I20" i="86"/>
  <c r="C11" i="86"/>
  <c r="A11" i="68"/>
  <c r="F15" i="68" l="1"/>
  <c r="B35" i="68"/>
  <c r="B37" i="68"/>
  <c r="J3" i="87"/>
  <c r="I3" i="87" l="1"/>
  <c r="K3" i="87" s="1"/>
  <c r="L196" i="64" l="1"/>
  <c r="M196" i="64" s="1"/>
  <c r="N196" i="64" s="1"/>
  <c r="O196" i="64" s="1"/>
  <c r="P196" i="64" s="1"/>
  <c r="EM196" i="64" s="1"/>
  <c r="EN196" i="64" s="1"/>
  <c r="EO196" i="64" s="1"/>
  <c r="EP196" i="64" s="1"/>
  <c r="EQ196" i="64" s="1"/>
  <c r="ER196" i="64" l="1"/>
  <c r="ES196" i="64" s="1"/>
  <c r="ET196" i="64" s="1"/>
  <c r="EU196" i="64" s="1"/>
  <c r="EV196" i="64" s="1"/>
  <c r="EW196" i="64" s="1"/>
  <c r="EX196" i="64" s="1"/>
  <c r="EY196" i="64" s="1"/>
  <c r="EZ196" i="64" s="1"/>
  <c r="FA196" i="64" s="1"/>
  <c r="FB196" i="64" s="1"/>
  <c r="FC196" i="64" s="1"/>
  <c r="FD196" i="64" s="1"/>
  <c r="FE196" i="64" s="1"/>
  <c r="FF196" i="64" s="1"/>
  <c r="FG196" i="64" s="1"/>
  <c r="FH196" i="64" s="1"/>
  <c r="FI196" i="64" s="1"/>
  <c r="FJ196" i="64" s="1"/>
  <c r="FK196" i="64" s="1"/>
  <c r="FL196" i="64" s="1"/>
  <c r="FM196" i="64" s="1"/>
  <c r="FN196" i="64" s="1"/>
  <c r="FO196" i="64" s="1"/>
  <c r="FP196" i="64" s="1"/>
  <c r="FQ196" i="64" s="1"/>
  <c r="FR196" i="64" s="1"/>
  <c r="FS196" i="64" s="1"/>
  <c r="FT196" i="64" s="1"/>
  <c r="FU196" i="64" s="1"/>
  <c r="FV196" i="64" s="1"/>
  <c r="FW196" i="64" s="1"/>
  <c r="FX196" i="64" s="1"/>
  <c r="FY196" i="64" s="1"/>
  <c r="FZ196" i="64" s="1"/>
  <c r="GA196" i="64" s="1"/>
  <c r="GB196" i="64" s="1"/>
  <c r="GC196" i="64" s="1"/>
  <c r="GD196" i="64" s="1"/>
  <c r="GE196" i="64" s="1"/>
  <c r="GF196" i="64" s="1"/>
  <c r="GG196" i="64" s="1"/>
  <c r="GH196" i="64" s="1"/>
  <c r="GI196" i="64" s="1"/>
  <c r="GJ196" i="64" s="1"/>
  <c r="GK196" i="64" s="1"/>
  <c r="GL196" i="64" s="1"/>
  <c r="GM196" i="64" s="1"/>
  <c r="GN196" i="64" s="1"/>
  <c r="GO196" i="64" s="1"/>
  <c r="GP196" i="64" s="1"/>
  <c r="GQ196" i="64" s="1"/>
  <c r="GR196" i="64" s="1"/>
  <c r="GS196" i="64" s="1"/>
  <c r="GT196" i="64" s="1"/>
  <c r="GU196" i="64" s="1"/>
  <c r="GV196" i="64" s="1"/>
  <c r="GW196" i="64" s="1"/>
  <c r="GX196" i="64" s="1"/>
  <c r="GY196" i="64" s="1"/>
  <c r="GZ196" i="64" s="1"/>
  <c r="HA196" i="64" s="1"/>
  <c r="HB196" i="64" s="1"/>
  <c r="HC196" i="64" s="1"/>
  <c r="HD196" i="64" s="1"/>
  <c r="HE196" i="64" s="1"/>
  <c r="HF196" i="64" s="1"/>
  <c r="HG196" i="64" s="1"/>
  <c r="HH196" i="64" s="1"/>
  <c r="HI196" i="64" s="1"/>
  <c r="HJ196" i="64" s="1"/>
  <c r="HK196" i="64" s="1"/>
  <c r="HL196" i="64" s="1"/>
  <c r="HM196" i="64" s="1"/>
  <c r="HN196" i="64" s="1"/>
  <c r="HO196" i="64" s="1"/>
  <c r="HP196" i="64" s="1"/>
  <c r="HQ196" i="64" s="1"/>
  <c r="HR196" i="64" s="1"/>
  <c r="HS196" i="64" s="1"/>
  <c r="HT196" i="64" s="1"/>
  <c r="HU196" i="64" s="1"/>
  <c r="HV196" i="64" s="1"/>
  <c r="HW196" i="64" s="1"/>
  <c r="HX196" i="64" s="1"/>
  <c r="HY196" i="64" s="1"/>
  <c r="HZ196" i="64" s="1"/>
  <c r="IA196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197" i="59"/>
  <c r="L6" i="64"/>
  <c r="E29" i="86" s="1"/>
  <c r="BV197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 l="1"/>
  <c r="HD6" i="64" s="1"/>
  <c r="FU10" i="64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D4" i="87" s="1"/>
  <c r="I24" i="86"/>
  <c r="I23" i="86"/>
  <c r="T16" i="66"/>
  <c r="V16" i="66"/>
  <c r="U16" i="66"/>
  <c r="X16" i="66"/>
  <c r="G4" i="87" l="1"/>
  <c r="E4" i="87"/>
  <c r="I4" i="87"/>
  <c r="I31" i="86"/>
  <c r="I16" i="66"/>
  <c r="M16" i="66"/>
  <c r="J16" i="66"/>
  <c r="L16" i="66"/>
  <c r="H16" i="66"/>
  <c r="K16" i="66"/>
  <c r="H30" i="68"/>
  <c r="H26" i="68"/>
  <c r="H27" i="68"/>
  <c r="H28" i="68"/>
  <c r="K4" i="87" l="1"/>
  <c r="H4" i="87"/>
  <c r="J4" i="87"/>
  <c r="G11" i="86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41" i="13"/>
  <c r="J2" i="13"/>
  <c r="J41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<sst xmlns="http://schemas.openxmlformats.org/spreadsheetml/2006/main" count="13096" uniqueCount="3420">
  <si>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</si>
  <si>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</si>
  <si>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</si>
  <si>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</si>
  <si>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</si>
  <si>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</si>
  <si>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</si>
  <si>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</si>
  <si>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</si>
  <si>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</si>
  <si>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</si>
  <si>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</si>
  <si>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</si>
  <si>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</si>
  <si>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</si>
  <si>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</si>
  <si>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</si>
  <si>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</si>
  <si>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</si>
  <si>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</si>
  <si>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</si>
  <si>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</si>
  <si>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</si>
  <si>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</si>
  <si>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</si>
  <si>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</si>
  <si>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</si>
  <si>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</si>
  <si>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</si>
  <si>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</si>
  <si>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</si>
  <si>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</si>
  <si>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</si>
  <si>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</si>
  <si>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</si>
  <si>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</si>
  <si>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</si>
  <si>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</si>
  <si>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</si>
  <si>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</si>
  <si>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</si>
  <si>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</si>
  <si>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</si>
  <si>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</si>
  <si>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</si>
  <si>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</si>
  <si>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</si>
  <si>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</si>
  <si>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</si>
  <si>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</si>
  <si>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</si>
  <si>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</si>
  <si>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</si>
  <si>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</si>
  <si>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</si>
  <si>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</si>
  <si>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</si>
  <si>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</si>
  <si>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</si>
  <si>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</si>
  <si>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</si>
  <si>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</si>
  <si>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</si>
  <si>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</si>
  <si>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</si>
  <si>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</si>
  <si>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</si>
  <si>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</si>
  <si>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</si>
  <si>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</si>
  <si>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</si>
  <si>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</si>
  <si>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</si>
  <si>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</si>
  <si>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</si>
  <si>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</si>
  <si>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</si>
  <si>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</si>
  <si>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</si>
  <si>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</si>
  <si>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</si>
  <si>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</si>
  <si>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</si>
  <si>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</si>
  <si>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</si>
  <si>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</si>
  <si>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</si>
  <si>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</si>
  <si>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</si>
  <si>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</si>
  <si>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</si>
  <si>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</si>
  <si>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</si>
  <si>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</si>
  <si>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</si>
  <si>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</si>
  <si>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</si>
  <si>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</si>
  <si>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</si>
  <si>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</si>
  <si>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</si>
  <si>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</si>
  <si>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</si>
  <si>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</si>
  <si>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</si>
  <si>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</si>
  <si>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</si>
  <si>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</si>
  <si>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</si>
  <si>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</si>
  <si>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</si>
  <si>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</si>
  <si>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</si>
  <si>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</si>
  <si>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</si>
  <si>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</si>
  <si>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</si>
  <si>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</si>
  <si>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</si>
  <si>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</si>
  <si>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</si>
  <si>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</si>
  <si>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</si>
  <si>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</si>
  <si>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</si>
  <si>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</si>
  <si>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</si>
  <si>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</si>
  <si>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</si>
  <si>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</si>
  <si>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</si>
  <si>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</si>
  <si>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</si>
  <si>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</si>
  <si>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</si>
  <si>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</si>
  <si>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</si>
  <si>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</si>
  <si>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</si>
  <si>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</si>
  <si>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</si>
  <si>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</si>
  <si>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</si>
  <si>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</si>
  <si>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</si>
  <si>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</si>
  <si>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</si>
  <si>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</si>
  <si>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</si>
  <si>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</si>
  <si>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</si>
  <si>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</si>
  <si>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</si>
  <si>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</si>
  <si>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</si>
  <si>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</si>
  <si>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</si>
  <si>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</si>
  <si>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</si>
  <si>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</si>
  <si>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</si>
  <si>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</si>
  <si>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</si>
  <si>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</si>
  <si>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</si>
  <si>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</si>
  <si>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</si>
  <si>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</si>
  <si>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</si>
  <si>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</si>
  <si>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</si>
  <si>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</si>
  <si>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</si>
  <si>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</si>
  <si>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</si>
  <si>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</si>
  <si>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</si>
  <si>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</si>
  <si>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</si>
  <si>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</si>
  <si>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</si>
  <si>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</si>
  <si>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</si>
  <si>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</si>
  <si>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</si>
  <si>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</si>
  <si>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</si>
  <si>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</si>
  <si>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</si>
  <si>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</si>
  <si>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</si>
  <si>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</si>
  <si>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</si>
  <si>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</si>
  <si>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</si>
  <si>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</si>
  <si>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</si>
  <si>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</si>
  <si>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</si>
  <si>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</si>
  <si>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</si>
  <si>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</si>
  <si>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</si>
  <si>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</si>
  <si>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</si>
  <si>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</si>
  <si>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</si>
  <si>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</si>
  <si>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</si>
  <si>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</si>
  <si>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</si>
  <si>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</si>
  <si>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</si>
  <si>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</si>
  <si>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</si>
  <si>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</si>
  <si>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</si>
  <si>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</si>
  <si>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</si>
  <si>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</si>
  <si>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</si>
  <si>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</si>
  <si>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</si>
  <si>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</si>
  <si>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</si>
  <si>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</si>
  <si>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</si>
  <si>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</si>
  <si>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</si>
  <si>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</si>
  <si>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</si>
  <si>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</si>
  <si>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</si>
  <si>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</si>
  <si>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</si>
  <si>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</si>
  <si>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</si>
  <si>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</si>
  <si>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</si>
  <si>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</si>
  <si>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</si>
  <si>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</si>
  <si>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</si>
  <si>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</si>
  <si>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</si>
  <si>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</si>
  <si>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</si>
  <si>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</si>
  <si>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</si>
  <si>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</si>
  <si>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</si>
  <si>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</si>
  <si>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</si>
  <si>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</si>
  <si>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</si>
  <si>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</si>
  <si>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</si>
  <si>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</si>
  <si>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</si>
  <si>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</si>
  <si>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</si>
  <si>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</si>
  <si>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</si>
  <si>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</si>
  <si>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</si>
  <si>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</si>
  <si>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</si>
  <si>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</si>
  <si>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</si>
  <si>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</si>
  <si>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</si>
  <si>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</si>
  <si>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</si>
  <si>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</si>
  <si>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</si>
  <si>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</si>
  <si>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</si>
  <si>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</si>
  <si>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</si>
  <si>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</si>
  <si>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</si>
  <si>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</si>
  <si>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</si>
  <si>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</si>
  <si>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</si>
  <si>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</si>
  <si>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</si>
  <si>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</si>
  <si>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</si>
  <si>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</si>
  <si>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</si>
  <si>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</si>
  <si>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</si>
  <si>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</si>
  <si>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</si>
  <si>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</si>
  <si>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</si>
  <si>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</si>
  <si>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</si>
  <si>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</si>
  <si>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</si>
  <si>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</si>
  <si>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</si>
  <si>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</si>
  <si>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</si>
  <si>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</si>
  <si>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</si>
  <si>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</si>
  <si>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</si>
  <si>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</si>
  <si>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</si>
  <si>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</si>
  <si>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</si>
  <si>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</si>
  <si>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</si>
  <si>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</si>
  <si>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</si>
  <si>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</si>
  <si>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</si>
  <si>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</si>
  <si>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</si>
  <si>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</si>
  <si>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</si>
  <si>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</si>
  <si>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</si>
  <si>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</si>
  <si>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</si>
  <si>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</si>
  <si>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</si>
  <si>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</si>
  <si>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</si>
  <si>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</si>
  <si>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</si>
  <si>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</si>
  <si>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</si>
  <si>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</si>
  <si>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</si>
  <si>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</si>
  <si>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</si>
  <si>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</si>
  <si>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</si>
  <si>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</si>
  <si>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</si>
  <si>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</si>
  <si>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</si>
  <si>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</si>
  <si>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</si>
  <si>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</si>
  <si>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</si>
  <si>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</si>
  <si>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</si>
  <si>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</si>
  <si>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</si>
  <si>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</si>
  <si>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</si>
  <si>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</si>
  <si>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</si>
  <si>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</si>
  <si>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</si>
  <si>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</si>
  <si>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</si>
  <si>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</si>
  <si>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</si>
  <si>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</si>
  <si>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</si>
  <si>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</si>
  <si>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</si>
  <si>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</si>
  <si>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</si>
  <si>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</si>
  <si>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</si>
  <si>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</si>
  <si>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</si>
  <si>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</si>
  <si>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</si>
  <si>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</si>
  <si>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</si>
  <si>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</si>
  <si>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</si>
  <si>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</si>
  <si>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</si>
  <si>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</si>
  <si>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</si>
  <si>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</si>
  <si>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</si>
  <si>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</si>
  <si>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</si>
  <si>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</si>
  <si>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</si>
  <si>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</si>
  <si>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</si>
  <si>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</si>
  <si>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</si>
  <si>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</si>
  <si>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</si>
  <si>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</si>
  <si>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</si>
  <si>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</si>
  <si>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</si>
  <si>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</si>
  <si>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</si>
  <si>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</si>
  <si>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</si>
  <si>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</si>
  <si>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</si>
  <si>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</si>
  <si>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</si>
  <si>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</si>
  <si>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</si>
  <si>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</si>
  <si>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</si>
  <si>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</si>
  <si>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</si>
  <si>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</si>
  <si>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</si>
  <si>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</si>
  <si>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</si>
  <si>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</si>
  <si>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</si>
  <si>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</si>
  <si>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</si>
  <si>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</si>
  <si>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</si>
  <si>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</si>
  <si>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</si>
  <si>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</si>
  <si>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</si>
  <si>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</si>
  <si>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</si>
  <si>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</si>
  <si>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</si>
  <si>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</si>
  <si>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</si>
  <si>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</si>
  <si>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</si>
  <si>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</si>
  <si>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</si>
  <si>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</si>
  <si>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</si>
  <si>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</si>
  <si>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</si>
  <si>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</si>
  <si>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</si>
  <si>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</si>
  <si>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</si>
  <si>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</si>
  <si>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</si>
  <si>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</si>
  <si>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</si>
  <si>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</si>
  <si>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</si>
  <si>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</si>
  <si>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</si>
  <si>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</si>
  <si>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</si>
  <si>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</si>
  <si>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</si>
  <si>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</si>
  <si>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</si>
  <si>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</si>
  <si>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</si>
  <si>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</si>
  <si>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</si>
  <si>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</si>
  <si>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</si>
  <si>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</si>
  <si>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</si>
  <si>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</si>
  <si>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</si>
  <si>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</si>
  <si>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</si>
  <si>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</si>
  <si>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</si>
  <si>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</si>
  <si>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</si>
  <si>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</si>
  <si>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</si>
  <si>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</si>
  <si>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</si>
  <si>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</si>
  <si>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</si>
  <si>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</si>
  <si>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</si>
  <si>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</si>
  <si>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</si>
  <si>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</si>
  <si>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</si>
  <si>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</si>
  <si>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</si>
  <si>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</si>
  <si>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</si>
  <si>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</si>
  <si>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</si>
  <si>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</si>
  <si>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</si>
  <si>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</si>
  <si>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</si>
  <si>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</si>
  <si>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</si>
  <si>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</si>
  <si>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</si>
  <si>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</si>
  <si>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</si>
  <si>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</si>
  <si>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</si>
  <si>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</si>
  <si>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</si>
  <si>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</si>
  <si>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</si>
  <si>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</si>
  <si>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</si>
  <si>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</si>
  <si>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</si>
  <si>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</si>
  <si>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</si>
  <si>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</si>
  <si>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</si>
  <si>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</si>
  <si>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</si>
  <si>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</si>
  <si>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</si>
  <si>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</si>
  <si>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</si>
  <si>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</si>
  <si>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</si>
  <si>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</si>
  <si>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</si>
  <si>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</si>
  <si>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</si>
  <si>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</si>
  <si>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</si>
  <si>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</si>
  <si>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</si>
  <si>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</si>
  <si>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</si>
  <si>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</si>
  <si>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</si>
  <si>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</si>
  <si>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</si>
  <si>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</si>
  <si>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</si>
  <si>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</si>
  <si>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</si>
  <si>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</si>
  <si>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</si>
  <si>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</si>
  <si>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</si>
  <si>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</si>
  <si>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</si>
  <si>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</si>
  <si>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</si>
  <si>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</si>
  <si>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</si>
  <si>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</si>
  <si>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</si>
  <si>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</si>
  <si>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</si>
  <si>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</si>
  <si>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</si>
  <si>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</si>
  <si>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</si>
  <si>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</si>
  <si>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</si>
  <si>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</si>
  <si>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</si>
  <si>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</si>
  <si>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</si>
  <si>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</si>
  <si>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</si>
  <si>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</si>
  <si>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</si>
  <si>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</si>
  <si>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</si>
  <si>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</si>
  <si>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</si>
  <si>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</si>
  <si>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</si>
  <si>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</si>
  <si>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</si>
  <si>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</si>
  <si>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</si>
  <si>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</si>
  <si>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</si>
  <si>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</si>
  <si>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</si>
  <si>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</si>
  <si>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</si>
  <si>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</si>
  <si>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</si>
  <si>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</si>
  <si>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</si>
  <si>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</si>
  <si>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</si>
  <si>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</si>
  <si>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</si>
  <si>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</si>
  <si>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</si>
  <si>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</si>
  <si>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</si>
  <si>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</si>
  <si>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</si>
  <si>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</si>
  <si>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</si>
  <si>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</si>
  <si>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</si>
  <si>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</si>
  <si>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</si>
  <si>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</si>
  <si>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</si>
  <si>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</si>
  <si>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</si>
  <si>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</si>
  <si>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</si>
  <si>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</si>
  <si>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</si>
  <si>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</si>
  <si>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</si>
  <si>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</si>
  <si>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</si>
  <si>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</si>
  <si>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</si>
  <si>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</si>
  <si>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</si>
  <si>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</si>
  <si>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</si>
  <si>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</si>
  <si>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</si>
  <si>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</si>
  <si>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</si>
  <si>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</si>
  <si>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</si>
  <si>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</si>
  <si>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</si>
  <si>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</si>
  <si>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</si>
  <si>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</si>
  <si>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</si>
  <si>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</si>
  <si>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</si>
  <si>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</si>
  <si>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</si>
  <si>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</si>
  <si>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</si>
  <si>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</si>
  <si>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</si>
  <si>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</si>
  <si>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</si>
  <si>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</si>
  <si>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</si>
  <si>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</si>
  <si>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</si>
  <si>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</si>
  <si>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</si>
  <si>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</si>
  <si>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</si>
  <si>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</si>
  <si>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</si>
  <si>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</si>
  <si>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</si>
  <si>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</si>
  <si>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</si>
  <si>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</si>
  <si>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</si>
  <si>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</si>
  <si>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</si>
  <si>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</si>
  <si>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</si>
  <si>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</si>
  <si>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</si>
  <si>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</si>
  <si>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</si>
  <si>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</si>
  <si>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</si>
  <si>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</si>
  <si>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</si>
  <si>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</si>
  <si>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</si>
  <si>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</si>
  <si>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</si>
  <si>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</si>
  <si>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</si>
  <si>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</si>
  <si>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</si>
  <si>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</si>
  <si>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</si>
  <si>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</si>
  <si>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</si>
  <si>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</si>
  <si>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</si>
  <si>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</si>
  <si>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</si>
  <si>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</si>
  <si>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</si>
  <si>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</si>
  <si>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</si>
  <si>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</si>
  <si>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</si>
  <si>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</si>
  <si>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</si>
  <si>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</si>
  <si>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</si>
  <si>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</si>
  <si>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</si>
  <si>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</si>
  <si>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</si>
  <si>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</si>
  <si>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</si>
  <si>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</si>
  <si>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</si>
  <si>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</si>
  <si>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</si>
  <si>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</si>
  <si>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</si>
  <si>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</si>
  <si>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</si>
  <si>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</si>
  <si>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</si>
  <si>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</si>
  <si>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</si>
  <si>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</si>
  <si>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</si>
  <si>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</si>
  <si>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</si>
  <si>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</si>
  <si>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</si>
  <si>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</si>
  <si>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</si>
  <si>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</si>
  <si>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</si>
  <si>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</si>
  <si>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</si>
  <si>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</si>
  <si>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</si>
  <si>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</si>
  <si>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</si>
  <si>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</si>
  <si>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</si>
  <si>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</si>
  <si>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</si>
  <si>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</si>
  <si>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</si>
  <si>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</si>
  <si>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</si>
  <si>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</si>
  <si>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</si>
  <si>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</si>
  <si>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</si>
  <si>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</si>
  <si>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</si>
  <si>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</si>
  <si>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</si>
  <si>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</si>
  <si>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</si>
  <si>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</si>
  <si>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</si>
  <si>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</si>
  <si>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</si>
  <si>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</si>
  <si>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</si>
  <si>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</si>
  <si>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</si>
  <si>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</si>
  <si>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</si>
  <si>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</si>
  <si>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</si>
  <si>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</si>
  <si>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</si>
  <si>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</si>
  <si>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</si>
  <si>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</si>
  <si>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</si>
  <si>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</si>
  <si>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</si>
  <si>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</si>
  <si>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</si>
  <si>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</si>
  <si>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</si>
  <si>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</si>
  <si>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</si>
  <si>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</si>
  <si>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</si>
  <si>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</si>
  <si>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</si>
  <si>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</si>
  <si>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</si>
  <si>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</si>
  <si>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</si>
  <si>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</si>
  <si>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</si>
  <si>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</si>
  <si>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</si>
  <si>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</si>
  <si>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</si>
  <si>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</si>
  <si>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</si>
  <si>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</si>
  <si>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</si>
  <si>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</si>
  <si>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</si>
  <si>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</si>
  <si>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</si>
  <si>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</si>
  <si>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</si>
  <si>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</si>
  <si>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</si>
  <si>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</si>
  <si>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</si>
  <si>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</si>
  <si>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</si>
  <si>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</si>
  <si>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</si>
  <si>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</si>
  <si>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</si>
  <si>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</si>
  <si>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</si>
  <si>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</si>
  <si>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</si>
  <si>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</si>
  <si>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</si>
  <si>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</si>
  <si>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</si>
  <si>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</si>
  <si>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</si>
  <si>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</si>
  <si>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</si>
  <si>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</si>
  <si>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</si>
  <si>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</si>
  <si>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</si>
  <si>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</si>
  <si>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</si>
  <si>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</si>
  <si>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</si>
  <si>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</si>
  <si>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</si>
  <si>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</si>
  <si>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</si>
  <si>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</si>
  <si>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</si>
  <si>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</si>
  <si>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</si>
  <si>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</si>
  <si>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</si>
  <si>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</si>
  <si>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</si>
  <si>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</si>
  <si>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</si>
  <si>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</si>
  <si>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</si>
  <si>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</si>
  <si>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</si>
  <si>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</si>
  <si>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</si>
  <si>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</si>
  <si>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</si>
  <si>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</si>
  <si>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</si>
  <si>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</si>
  <si>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</si>
  <si>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</si>
  <si>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</si>
  <si>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</si>
  <si>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</si>
  <si>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</si>
  <si>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</si>
  <si>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</si>
  <si>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</si>
  <si>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</si>
  <si>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</si>
  <si>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</si>
  <si>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</si>
  <si>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</si>
  <si>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</si>
  <si>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</si>
  <si>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</si>
  <si>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</si>
  <si>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</si>
  <si>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</si>
  <si>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</si>
  <si>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</si>
  <si>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</si>
  <si>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</si>
  <si>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</si>
  <si>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</si>
  <si>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</si>
  <si>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</si>
  <si>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</si>
  <si>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</si>
  <si>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</si>
  <si>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</si>
  <si>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</si>
  <si>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</si>
  <si>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</si>
  <si>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</si>
  <si>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</si>
  <si>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</si>
  <si>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</si>
  <si>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</si>
  <si>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</si>
  <si>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</si>
  <si>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</si>
  <si>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</si>
  <si>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</si>
  <si>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</si>
  <si>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</si>
  <si>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</si>
  <si>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</si>
  <si>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</si>
  <si>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</si>
  <si>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</si>
  <si>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</si>
  <si>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</si>
  <si>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</si>
  <si>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</si>
  <si>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</si>
  <si>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</si>
  <si>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</si>
  <si>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</si>
  <si>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</si>
  <si>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</si>
  <si>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</si>
  <si>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</si>
  <si>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</si>
  <si>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</si>
  <si>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</si>
  <si>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</si>
  <si>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</si>
  <si>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</si>
  <si>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</si>
  <si>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</si>
  <si>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</si>
  <si>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</si>
  <si>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</si>
  <si>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</si>
  <si>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</si>
  <si>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</si>
  <si>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</si>
  <si>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</si>
  <si>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</si>
  <si>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</si>
  <si>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</si>
  <si>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</si>
  <si>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</si>
  <si>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</si>
  <si>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</si>
  <si>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</si>
  <si>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</si>
  <si>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</si>
  <si>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</si>
  <si>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</si>
  <si>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</si>
  <si>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</si>
  <si>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</si>
  <si>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</si>
  <si>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</si>
  <si>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</si>
  <si>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</si>
  <si>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</si>
  <si>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</si>
  <si>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</si>
  <si>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</si>
  <si>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</si>
  <si>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</si>
  <si>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</si>
  <si>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</si>
  <si>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</si>
  <si>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</si>
  <si>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</si>
  <si>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</si>
  <si>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</si>
  <si>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</si>
  <si>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</si>
  <si>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</si>
  <si>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</si>
  <si>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</si>
  <si>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</si>
  <si>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</si>
  <si>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</si>
  <si>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</si>
  <si>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</si>
  <si>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</si>
  <si>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</si>
  <si>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</si>
  <si>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</si>
  <si>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</si>
  <si>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</si>
  <si>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</si>
  <si>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</si>
  <si>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</si>
  <si>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</si>
  <si>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</si>
  <si>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</si>
  <si>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</si>
  <si>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</si>
  <si>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</si>
  <si>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</si>
  <si>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</si>
  <si>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</si>
  <si>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</si>
  <si>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</si>
  <si>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</si>
  <si>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</si>
  <si>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</si>
  <si>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</si>
  <si>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</si>
  <si>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</si>
  <si>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</si>
  <si>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</si>
  <si>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</si>
  <si>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</si>
  <si>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</si>
  <si>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</si>
  <si>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</si>
  <si>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</si>
  <si>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</si>
  <si>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</si>
  <si>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</si>
  <si>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</si>
  <si>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</si>
  <si>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</si>
  <si>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</si>
  <si>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</si>
  <si>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</si>
  <si>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</si>
  <si>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</si>
  <si>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</si>
  <si>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</si>
  <si>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</si>
  <si>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</si>
  <si>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</si>
  <si>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</si>
  <si>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</si>
  <si>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</si>
  <si>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</si>
  <si>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</si>
  <si>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</si>
  <si>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</si>
  <si>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</si>
  <si>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</si>
  <si>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</si>
  <si>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</si>
  <si>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</si>
  <si>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</si>
  <si>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</si>
  <si>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</si>
  <si>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</si>
  <si>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</si>
  <si>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</si>
  <si>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</si>
  <si>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</si>
  <si>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</si>
  <si>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</si>
  <si>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</si>
  <si>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</si>
  <si>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</si>
  <si>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</si>
  <si>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</si>
  <si>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</si>
  <si>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</si>
  <si>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</si>
  <si>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</si>
  <si>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</si>
  <si>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</si>
  <si>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</si>
  <si>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</si>
  <si>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</si>
  <si>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</si>
  <si>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</si>
  <si>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</si>
  <si>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</si>
  <si>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</si>
  <si>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</si>
  <si>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</si>
  <si>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</si>
  <si>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</si>
  <si>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</si>
  <si>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</si>
  <si>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</si>
  <si>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</si>
  <si>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</si>
  <si>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</si>
  <si>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</si>
  <si>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</si>
  <si>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</si>
  <si>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</si>
  <si>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</si>
  <si>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</si>
  <si>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</si>
  <si>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</si>
  <si>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</si>
  <si>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</si>
  <si>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</si>
  <si>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</si>
  <si>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</si>
  <si>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</si>
  <si>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</si>
  <si>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</si>
  <si>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</si>
  <si>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</si>
  <si>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</si>
  <si>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</si>
  <si>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</si>
  <si>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</si>
  <si>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</si>
  <si>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</si>
  <si>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</si>
  <si>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</si>
  <si>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</si>
  <si>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</si>
  <si>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</si>
  <si>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</si>
  <si>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</si>
  <si>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</si>
  <si>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</si>
  <si>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</si>
  <si>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</si>
  <si>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</si>
  <si>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</si>
  <si>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</si>
  <si>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</si>
  <si>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</si>
  <si>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</si>
  <si>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</si>
  <si>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</si>
  <si>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</si>
  <si>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</si>
  <si>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</si>
  <si>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</si>
  <si>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</si>
  <si>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</si>
  <si>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</si>
  <si>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</si>
  <si>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</si>
  <si>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</si>
  <si>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</si>
  <si>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</si>
  <si>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</si>
  <si>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</si>
  <si>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</si>
  <si>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</si>
  <si>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</si>
  <si>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</si>
  <si>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</si>
  <si>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</si>
  <si>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</si>
  <si>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</si>
  <si>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</si>
  <si>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</si>
  <si>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</si>
  <si>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</si>
  <si>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</si>
  <si>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</si>
  <si>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</si>
  <si>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</si>
  <si>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</si>
  <si>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</si>
  <si>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</si>
  <si>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</si>
  <si>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</si>
  <si>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</si>
  <si>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</si>
  <si>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</si>
  <si>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</si>
  <si>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</si>
  <si>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</si>
  <si>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</si>
  <si>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</si>
  <si>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</si>
  <si>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</si>
  <si>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</si>
  <si>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</si>
  <si>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</si>
  <si>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</si>
  <si>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</si>
  <si>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</si>
  <si>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</si>
  <si>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</si>
  <si>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</si>
  <si>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</si>
  <si>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</si>
  <si>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</si>
  <si>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</si>
  <si>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</si>
  <si>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</si>
  <si>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</si>
  <si>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</si>
  <si>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</si>
  <si>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</si>
  <si>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</si>
  <si>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</si>
  <si>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</si>
  <si>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</si>
  <si>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</si>
  <si>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</si>
  <si>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</si>
  <si>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</si>
  <si>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</si>
  <si>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</si>
  <si>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</si>
  <si>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</si>
  <si>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</si>
  <si>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</si>
  <si>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</si>
  <si>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</si>
  <si>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</si>
  <si>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</si>
  <si>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</si>
  <si>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</si>
  <si>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</si>
  <si>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</si>
  <si>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</si>
  <si>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</si>
  <si>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</si>
  <si>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</si>
  <si>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</si>
  <si>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</si>
  <si>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</si>
  <si>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</si>
  <si>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</si>
  <si>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</si>
  <si>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</si>
  <si>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</si>
  <si>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</si>
  <si>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</si>
  <si>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</si>
  <si>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</si>
  <si>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</si>
  <si>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</si>
  <si>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</si>
  <si>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</si>
  <si>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</si>
  <si>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</si>
  <si>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</si>
  <si>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</si>
  <si>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</si>
  <si>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</si>
  <si>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</si>
  <si>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</si>
  <si>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</si>
  <si>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</si>
  <si>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</si>
  <si>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</si>
  <si>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</si>
  <si>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</si>
  <si>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</si>
  <si>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</si>
  <si>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</si>
  <si>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</si>
  <si>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</si>
  <si>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</si>
  <si>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</si>
  <si>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</si>
  <si>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</si>
  <si>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</si>
  <si>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</si>
  <si>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</si>
  <si>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</si>
  <si>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</si>
  <si>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</si>
  <si>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</si>
  <si>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</si>
  <si>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</si>
  <si>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</si>
  <si>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</si>
  <si>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</si>
  <si>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</si>
  <si>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</si>
  <si>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</si>
  <si>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</si>
  <si>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</si>
  <si>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</si>
  <si>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</si>
  <si>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</si>
  <si>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</si>
  <si>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</si>
  <si>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</si>
  <si>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</si>
  <si>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</si>
  <si>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</si>
  <si>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</si>
  <si>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</si>
  <si>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</si>
  <si>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</si>
  <si>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</si>
  <si>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</si>
  <si>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</si>
  <si>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</si>
  <si>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</si>
  <si>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</si>
  <si>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</si>
  <si>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</si>
  <si>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</si>
  <si>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</si>
  <si>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</si>
  <si>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</si>
  <si>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</si>
  <si>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</si>
  <si>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</si>
  <si>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</si>
  <si>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</si>
  <si>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</si>
  <si>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</si>
  <si>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</si>
  <si>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</si>
  <si>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</si>
  <si>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</si>
  <si>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</si>
  <si>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</si>
  <si>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</si>
  <si>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</si>
  <si>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</si>
  <si>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</si>
  <si>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</si>
  <si>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</si>
  <si>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</si>
  <si>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</si>
  <si>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</si>
  <si>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</si>
  <si>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</si>
  <si>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</si>
  <si>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</si>
  <si>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</si>
  <si>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</si>
  <si>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</si>
  <si>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</si>
  <si>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</si>
  <si>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</si>
  <si>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</si>
  <si>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</si>
  <si>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</si>
  <si>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</si>
  <si>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</si>
  <si>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</si>
  <si>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</si>
  <si>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</si>
  <si>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</si>
  <si>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</si>
  <si>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</si>
  <si>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</si>
  <si>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</si>
  <si>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</si>
  <si>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</si>
  <si>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</si>
  <si>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</si>
  <si>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</si>
  <si>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</si>
  <si>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</si>
  <si>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</si>
  <si>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</si>
  <si>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</si>
  <si>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</si>
  <si>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</si>
  <si>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</si>
  <si>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</si>
  <si>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</si>
  <si>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</si>
  <si>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</si>
  <si>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</si>
  <si>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</si>
  <si>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</si>
  <si>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</si>
  <si>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</si>
  <si>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</si>
  <si>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</si>
  <si>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</si>
  <si>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</si>
  <si>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</si>
  <si>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</si>
  <si>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</si>
  <si>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</si>
  <si>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</si>
  <si>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</si>
  <si>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</si>
  <si>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</si>
  <si>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</si>
  <si>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</si>
  <si>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</si>
  <si>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</si>
  <si>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</si>
  <si>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</si>
  <si>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</si>
  <si>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</si>
  <si>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</si>
  <si>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</si>
  <si>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</si>
  <si>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</si>
  <si>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</si>
  <si>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</si>
  <si>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</si>
  <si>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</si>
  <si>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</si>
  <si>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</si>
  <si>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</si>
  <si>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</si>
  <si>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</si>
  <si>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</si>
  <si>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</si>
  <si>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</si>
  <si>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</si>
  <si>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</si>
  <si>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</si>
  <si>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</si>
  <si>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</si>
  <si>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</si>
  <si>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</si>
  <si>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</si>
  <si>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</si>
  <si>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</si>
  <si>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</si>
  <si>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</si>
  <si>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</si>
  <si>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</si>
  <si>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</si>
  <si>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</si>
  <si>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</si>
  <si>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</si>
  <si>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</si>
  <si>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</si>
  <si>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</si>
  <si>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</si>
  <si>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</si>
  <si>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</si>
  <si>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</si>
  <si>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</si>
  <si>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</si>
  <si>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</si>
  <si>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</si>
  <si>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</si>
  <si>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</si>
  <si>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</si>
  <si>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</si>
  <si>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</si>
  <si>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</si>
  <si>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</si>
  <si>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</si>
  <si>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</si>
  <si>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</si>
  <si>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</si>
  <si>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</si>
  <si>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</si>
  <si>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</si>
  <si>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</si>
  <si>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</si>
  <si>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</si>
  <si>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</si>
  <si>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</si>
  <si>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</si>
  <si>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</si>
  <si>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</si>
  <si>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</si>
  <si>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</si>
  <si>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</si>
  <si>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</si>
  <si>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</si>
  <si>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</si>
  <si>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</si>
  <si>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</si>
  <si>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</si>
  <si>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</si>
  <si>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</si>
  <si>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</si>
  <si>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</si>
  <si>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</si>
  <si>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</si>
  <si>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</si>
  <si>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</si>
  <si>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</si>
  <si>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</si>
  <si>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</si>
  <si>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</si>
  <si>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</si>
  <si>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</si>
  <si>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</si>
  <si>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</si>
  <si>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</si>
  <si>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</si>
  <si>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</si>
  <si>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</si>
  <si>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</si>
  <si>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</si>
  <si>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</si>
  <si>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</si>
  <si>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</si>
  <si>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</si>
  <si>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</si>
  <si>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</si>
  <si>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</si>
  <si>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</si>
  <si>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</si>
  <si>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</si>
  <si>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</si>
  <si>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</si>
  <si>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</si>
  <si>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</si>
  <si>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</si>
  <si>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</si>
  <si>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</si>
  <si>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</si>
  <si>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</si>
  <si>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</si>
  <si>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</si>
  <si>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</si>
  <si>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</si>
  <si>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</si>
  <si>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</si>
  <si>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</si>
  <si>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</si>
  <si>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</si>
  <si>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</si>
  <si>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</si>
  <si>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</si>
  <si>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</si>
  <si>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</si>
  <si>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</si>
  <si>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</si>
  <si>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</si>
  <si>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</si>
  <si>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</si>
  <si>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</si>
  <si>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</si>
  <si>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</si>
  <si>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</si>
  <si>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</si>
  <si>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</si>
  <si>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</si>
  <si>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</si>
  <si>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</si>
  <si>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</si>
  <si>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</si>
  <si>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</si>
  <si>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</si>
  <si>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</si>
  <si>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</si>
  <si>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</si>
  <si>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</si>
  <si>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</si>
  <si>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</si>
  <si>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</si>
  <si>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</si>
  <si>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</si>
  <si>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</si>
  <si>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</si>
  <si>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</si>
  <si>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</si>
  <si>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</si>
  <si>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</si>
  <si>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</si>
  <si>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</si>
  <si>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</si>
  <si>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</si>
  <si>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</si>
  <si>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</si>
  <si>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</si>
  <si>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</si>
  <si>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</si>
  <si>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</si>
  <si>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</si>
  <si>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</si>
  <si>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</si>
  <si>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</si>
  <si>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</si>
  <si>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</si>
  <si>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</si>
  <si>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</si>
  <si>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</si>
  <si>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</si>
  <si>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</si>
  <si>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</si>
  <si>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</si>
  <si>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</si>
  <si>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</si>
  <si>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</si>
  <si>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</si>
  <si>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</si>
  <si>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</si>
  <si>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</si>
  <si>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</si>
  <si>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</si>
  <si>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</si>
  <si>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</si>
  <si>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</si>
  <si>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</si>
  <si>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</si>
  <si>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</si>
  <si>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</si>
  <si>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</si>
  <si>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</si>
  <si>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</si>
  <si>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</si>
  <si>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</si>
  <si>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</si>
  <si>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</si>
  <si>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</si>
  <si>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</si>
  <si>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</si>
  <si>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</si>
  <si>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</si>
  <si>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</si>
  <si>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</si>
  <si>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</si>
  <si>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</si>
  <si>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</si>
  <si>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</si>
  <si>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</si>
  <si>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</si>
  <si>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</si>
  <si>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</si>
  <si>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</si>
  <si>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</si>
  <si>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</si>
  <si>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</si>
  <si>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</si>
  <si>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</si>
  <si>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</si>
  <si>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</si>
  <si>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</si>
  <si>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</si>
  <si>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</si>
  <si>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</si>
  <si>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</si>
  <si>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</si>
  <si>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</si>
  <si>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</si>
  <si>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</si>
  <si>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</si>
  <si>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</si>
  <si>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</si>
  <si>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</si>
  <si>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</si>
  <si>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</si>
  <si>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</si>
  <si>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</si>
  <si>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</si>
  <si>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</si>
  <si>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</si>
  <si>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</si>
  <si>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</si>
  <si>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</si>
  <si>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</si>
  <si>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</si>
  <si>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</si>
  <si>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</si>
  <si>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</si>
  <si>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</si>
  <si>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</si>
  <si>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</si>
  <si>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</si>
  <si>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</si>
  <si>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</si>
  <si>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</si>
  <si>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</si>
  <si>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</si>
  <si>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</si>
  <si>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</si>
  <si>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</si>
  <si>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</si>
  <si>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</si>
  <si>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</si>
  <si>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</si>
  <si>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</si>
  <si>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</si>
  <si>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</si>
  <si>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</si>
  <si>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</si>
  <si>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</si>
  <si>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</si>
  <si>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</si>
  <si>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</si>
  <si>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</si>
  <si>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</si>
  <si>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</si>
  <si>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</si>
  <si>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</si>
  <si>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</si>
  <si>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</si>
  <si>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</si>
  <si>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</si>
  <si>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</si>
  <si>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</si>
  <si>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</si>
  <si>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</si>
  <si>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</si>
  <si>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</si>
  <si>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</si>
  <si>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</si>
  <si>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</si>
  <si>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</si>
  <si>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</si>
  <si>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</si>
  <si>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</si>
  <si>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</si>
  <si>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</si>
  <si>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</si>
  <si>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</si>
  <si>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</si>
  <si>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</si>
  <si>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</si>
  <si>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</si>
  <si>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</si>
  <si>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</si>
  <si>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</si>
  <si>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</si>
  <si>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</si>
  <si>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</si>
  <si>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</si>
  <si>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</si>
  <si>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</si>
  <si>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</si>
  <si>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</si>
  <si>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</si>
  <si>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</si>
  <si>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</si>
  <si>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</si>
  <si>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</si>
  <si>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</si>
  <si>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</si>
  <si>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</si>
  <si>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</si>
  <si>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</si>
  <si>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</si>
  <si>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</si>
  <si>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</si>
  <si>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</si>
  <si>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</si>
  <si>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</si>
  <si>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</si>
  <si>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</si>
  <si>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</si>
  <si>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</si>
  <si>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</si>
  <si>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</si>
  <si>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</si>
  <si>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</si>
  <si>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</si>
  <si>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</si>
  <si>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</si>
  <si>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</si>
  <si>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</si>
  <si>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</si>
  <si>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</si>
  <si>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</si>
  <si>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</si>
  <si>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</si>
  <si>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</si>
  <si>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</si>
  <si>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</si>
  <si>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</si>
  <si>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</si>
  <si>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</si>
  <si>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</si>
  <si>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</si>
  <si>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</si>
  <si>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</si>
  <si>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</si>
  <si>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</si>
  <si>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</si>
  <si>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</si>
  <si>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</si>
  <si>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</si>
  <si>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</si>
  <si>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</si>
  <si>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</si>
  <si>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</si>
  <si>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</si>
  <si>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</si>
  <si>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</si>
  <si>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</si>
  <si>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</si>
  <si>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</si>
  <si>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</si>
  <si>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</si>
  <si>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</si>
  <si>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</si>
  <si>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</si>
  <si>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</si>
  <si>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</si>
  <si>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</si>
  <si>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</si>
  <si>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</si>
  <si>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</si>
  <si>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</si>
  <si>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</si>
  <si>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</si>
  <si>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</si>
  <si>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</si>
  <si>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</si>
  <si>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</si>
  <si>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</si>
  <si>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</si>
  <si>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</si>
  <si>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</si>
  <si>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</si>
  <si>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</si>
  <si>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</si>
  <si>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</si>
  <si>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</si>
  <si>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</si>
  <si>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</si>
  <si>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</si>
  <si>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</si>
  <si>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</si>
  <si>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</si>
  <si>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</si>
  <si>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</si>
  <si>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</si>
  <si>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</si>
  <si>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</si>
  <si>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</si>
  <si>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</si>
  <si>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</si>
  <si>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</si>
  <si>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</si>
  <si>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</si>
  <si>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</si>
  <si>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</si>
  <si>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</si>
  <si>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</si>
  <si>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</si>
  <si>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</si>
  <si>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</si>
  <si>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</si>
  <si>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</si>
  <si>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</si>
  <si>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</si>
  <si>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</si>
  <si>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</si>
  <si>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</si>
  <si>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</si>
  <si>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</si>
  <si>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</si>
  <si>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</si>
  <si>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</si>
  <si>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</si>
  <si>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</si>
  <si>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</si>
  <si>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</si>
  <si>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</si>
  <si>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</si>
  <si>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</si>
  <si>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</si>
  <si>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</si>
  <si>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</si>
  <si>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</si>
  <si>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</si>
  <si>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</si>
  <si>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</si>
  <si>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</si>
  <si>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</si>
  <si>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</si>
  <si>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</si>
  <si>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</si>
  <si>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</si>
  <si>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</si>
  <si>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</si>
  <si>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</si>
  <si>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</si>
  <si>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</si>
  <si>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</si>
  <si>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</si>
  <si>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</si>
  <si>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</si>
  <si>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</si>
  <si>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</si>
  <si>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</si>
  <si>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</si>
  <si>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</si>
  <si>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</si>
  <si>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</si>
  <si>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</si>
  <si>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</si>
  <si>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</si>
  <si>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</si>
  <si>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</si>
  <si>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</si>
  <si>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</si>
  <si>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</si>
  <si>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</si>
  <si>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</si>
  <si>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</si>
  <si>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</si>
  <si>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</si>
  <si>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</si>
  <si>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</si>
  <si>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</si>
  <si>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</si>
  <si>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</si>
  <si>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</si>
  <si>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</si>
  <si>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</si>
  <si>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</si>
  <si>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</si>
  <si>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</si>
  <si>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</si>
  <si>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</si>
  <si>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</si>
  <si>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</si>
  <si>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</si>
  <si>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</si>
  <si>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</si>
  <si>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</si>
  <si>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</si>
  <si>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</si>
  <si>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</si>
  <si>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</si>
  <si>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</si>
  <si>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</si>
  <si>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</si>
  <si>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</si>
  <si>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</si>
  <si>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</si>
  <si>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</si>
  <si>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</si>
  <si>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</si>
  <si>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</si>
  <si>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</si>
  <si>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</si>
  <si>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</si>
  <si>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</si>
  <si>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</si>
  <si>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</si>
  <si>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</si>
  <si>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</si>
  <si>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</si>
  <si>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</si>
  <si>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</si>
  <si>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</si>
  <si>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</si>
  <si>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</si>
  <si>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</si>
  <si>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</si>
  <si>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</si>
  <si>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</si>
  <si>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</si>
  <si>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</si>
  <si>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</si>
  <si>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</si>
  <si>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</si>
  <si>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</si>
  <si>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</si>
  <si>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</si>
  <si>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</si>
  <si>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</si>
  <si>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</si>
  <si>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</si>
  <si>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</si>
  <si>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</si>
  <si>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</si>
  <si>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</si>
  <si>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</si>
  <si>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</si>
  <si>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</si>
  <si>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</si>
  <si>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</si>
  <si>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</si>
  <si>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</si>
  <si>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</si>
  <si>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</si>
  <si>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</si>
  <si>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</si>
  <si>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</si>
  <si>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</si>
  <si>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</si>
  <si>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</si>
  <si>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</si>
  <si>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</si>
  <si>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</si>
  <si>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</si>
  <si>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</si>
  <si>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</si>
  <si>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</si>
  <si>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</si>
  <si>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</si>
  <si>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</si>
  <si>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</si>
  <si>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</si>
  <si>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</si>
  <si>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</si>
  <si>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</si>
  <si>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</si>
  <si>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</si>
  <si>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</si>
  <si>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</si>
  <si>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</si>
  <si>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</si>
  <si>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</si>
  <si>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</si>
  <si>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</si>
  <si>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</si>
  <si>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</si>
  <si>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</si>
  <si>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</si>
  <si>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</si>
  <si>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</si>
  <si>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</si>
  <si>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</si>
  <si>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</si>
  <si>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</si>
  <si>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</si>
  <si>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</si>
  <si>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</si>
  <si>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</si>
  <si>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</si>
  <si>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</si>
  <si>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</si>
  <si>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</si>
  <si>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</si>
  <si>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</si>
  <si>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</si>
  <si>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</si>
  <si>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</si>
  <si>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</si>
  <si>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</si>
  <si>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</si>
  <si>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</si>
  <si>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</si>
  <si>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</si>
  <si>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</si>
  <si>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</si>
  <si>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</si>
  <si>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</si>
  <si>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</si>
  <si>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</si>
  <si>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</si>
  <si>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</si>
  <si>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</si>
  <si>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</si>
  <si>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</si>
  <si>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</si>
  <si>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</si>
  <si>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</si>
  <si>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</si>
  <si>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</si>
  <si>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</si>
  <si>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</si>
  <si>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</si>
  <si>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</si>
  <si>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</si>
  <si>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</si>
  <si>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</si>
  <si>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</si>
  <si>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</si>
  <si>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</si>
  <si>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</si>
  <si>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</si>
  <si>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</si>
  <si>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</si>
  <si>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</si>
  <si>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</si>
  <si>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</si>
  <si>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</si>
  <si>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</si>
  <si>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</si>
  <si>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</si>
  <si>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</si>
  <si>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</si>
  <si>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</si>
  <si>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</si>
  <si>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</si>
  <si>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</si>
  <si>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</si>
  <si>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</si>
  <si>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</si>
  <si>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</si>
  <si>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</si>
  <si>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</si>
  <si>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</si>
  <si>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</si>
  <si>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</si>
  <si>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</si>
  <si>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</si>
  <si>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</si>
  <si>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</si>
  <si>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</si>
  <si>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</si>
  <si>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</si>
  <si>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</si>
  <si>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</si>
  <si>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</si>
  <si>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</si>
  <si>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</si>
  <si>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</si>
  <si>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</si>
  <si>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</si>
  <si>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</si>
  <si>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</si>
  <si>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</si>
  <si>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</si>
  <si>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</si>
  <si>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</si>
  <si>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</si>
  <si>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</si>
  <si>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</si>
  <si>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</si>
  <si>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</si>
  <si>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</si>
  <si>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</si>
  <si>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</si>
  <si>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</si>
  <si>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</si>
  <si>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</si>
  <si>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</si>
  <si>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</si>
  <si>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</si>
  <si>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</si>
  <si>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</si>
  <si>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</si>
  <si>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</si>
  <si>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</si>
  <si>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</si>
  <si>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</si>
  <si>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</si>
  <si>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</si>
  <si>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</si>
  <si>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</si>
  <si>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</si>
  <si>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</si>
  <si>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</si>
  <si>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</si>
  <si>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</si>
  <si>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</si>
  <si>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</si>
  <si>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</si>
  <si>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</si>
  <si>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</si>
  <si>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</si>
  <si>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</si>
  <si>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</si>
  <si>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</si>
  <si>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</si>
  <si>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</si>
  <si>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</si>
  <si>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</si>
  <si>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</si>
  <si>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</si>
  <si>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</si>
  <si>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</si>
  <si>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</si>
  <si>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</si>
  <si>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</si>
  <si>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</si>
  <si>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</si>
  <si>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</si>
  <si>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</si>
  <si>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</si>
  <si>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</si>
  <si>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</si>
  <si>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</si>
  <si>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</si>
  <si>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</si>
  <si>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</si>
  <si>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</si>
  <si>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</si>
  <si>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</si>
  <si>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</si>
  <si>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</si>
  <si>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</si>
  <si>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</si>
  <si>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</si>
  <si>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</si>
  <si>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</si>
  <si>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</si>
  <si>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</si>
  <si>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</si>
  <si>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</si>
  <si>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</si>
  <si>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</si>
  <si>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</si>
  <si>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</si>
  <si>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</si>
  <si>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</si>
  <si>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</si>
  <si>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</si>
  <si>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</si>
  <si>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</si>
  <si>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</si>
  <si>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</si>
  <si>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</si>
  <si>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</si>
  <si>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</si>
  <si>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</si>
  <si>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</si>
  <si>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</si>
  <si>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</si>
  <si>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</si>
  <si>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</si>
  <si>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</si>
  <si>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</si>
  <si>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</si>
  <si>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</si>
  <si>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</si>
  <si>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</si>
  <si>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</si>
  <si>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</si>
  <si>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</si>
  <si>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</si>
  <si>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</si>
  <si>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</si>
  <si>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</si>
  <si>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</si>
  <si>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</si>
  <si>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</si>
  <si>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</si>
  <si>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</si>
  <si>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</si>
  <si>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</si>
  <si>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</si>
  <si>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</si>
  <si>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</si>
  <si>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</si>
  <si>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</si>
  <si>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</si>
  <si>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</si>
  <si>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</si>
  <si>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</si>
  <si>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</si>
  <si>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</si>
  <si>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</si>
  <si>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</si>
  <si>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</si>
  <si>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</si>
  <si>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</si>
  <si>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</si>
  <si>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</si>
  <si>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</si>
  <si>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</si>
  <si>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</si>
  <si>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</si>
  <si>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</si>
  <si>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</si>
  <si>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</si>
  <si>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</si>
  <si>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</si>
  <si>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</si>
  <si>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</si>
  <si>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</si>
  <si>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</si>
  <si>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</si>
  <si>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</si>
  <si>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</si>
  <si>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</si>
  <si>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</si>
  <si>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</si>
  <si>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</si>
  <si>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</si>
  <si>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</si>
  <si>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</si>
  <si>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</si>
  <si>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</si>
  <si>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</si>
  <si>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</si>
  <si>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</si>
  <si>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</si>
  <si>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</si>
  <si>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</si>
  <si>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</si>
  <si>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</si>
  <si>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</si>
  <si>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</si>
  <si>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</si>
  <si>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</si>
  <si>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</si>
  <si>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</si>
  <si>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</si>
  <si>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</si>
  <si>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</si>
  <si>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</si>
  <si>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</si>
  <si>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</si>
  <si>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</si>
  <si>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</si>
  <si>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</si>
  <si>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</si>
  <si>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</si>
  <si>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</si>
  <si>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</si>
  <si>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</si>
  <si>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</si>
  <si>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</si>
  <si>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</si>
  <si>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</si>
  <si>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</si>
  <si>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</si>
  <si>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</si>
  <si>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</si>
  <si>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</si>
  <si>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</si>
  <si>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</si>
  <si>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</si>
  <si>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</si>
  <si>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</si>
  <si>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</si>
  <si>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</si>
  <si>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</si>
  <si>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</si>
  <si>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</si>
  <si>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</si>
  <si>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</si>
  <si>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</si>
  <si>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</si>
  <si>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</si>
  <si>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</si>
  <si>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</si>
  <si>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</si>
  <si>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</si>
  <si>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</si>
  <si>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</si>
  <si>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</si>
  <si>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</si>
  <si>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</si>
  <si>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</si>
  <si>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</si>
  <si>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</si>
  <si>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</si>
  <si>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</si>
  <si>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</si>
  <si>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</si>
  <si>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</si>
  <si>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</si>
  <si>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</si>
  <si>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</si>
  <si>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</si>
  <si>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</si>
  <si>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</si>
  <si>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</si>
  <si>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</si>
  <si>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</si>
  <si>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</si>
  <si>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</si>
  <si>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</si>
  <si>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</si>
  <si>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</si>
  <si>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</si>
  <si>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</si>
  <si>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</si>
  <si>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</si>
  <si>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</si>
  <si>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</si>
  <si>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</si>
  <si>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</si>
  <si>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</si>
  <si>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</si>
  <si>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</si>
  <si>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</si>
  <si>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</si>
  <si>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</si>
  <si>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</si>
  <si>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</si>
  <si>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</si>
  <si>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</si>
  <si>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</si>
  <si>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</si>
  <si>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</si>
  <si>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</si>
  <si>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</si>
  <si>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</si>
  <si>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</si>
  <si>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</si>
  <si>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</si>
  <si>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</si>
  <si>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</si>
  <si>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</si>
  <si>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</si>
  <si>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</si>
  <si>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</si>
  <si>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</si>
  <si>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</si>
  <si>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</si>
  <si>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</si>
  <si>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</si>
  <si>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</si>
  <si>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</si>
  <si>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</si>
  <si>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</si>
  <si>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</si>
  <si>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</si>
  <si>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</si>
  <si>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</si>
  <si>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</si>
  <si>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</si>
  <si>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</si>
  <si>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</si>
  <si>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</si>
  <si>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</si>
  <si>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</si>
  <si>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</si>
  <si>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</si>
  <si>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</si>
  <si>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</si>
  <si>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</si>
  <si>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</si>
  <si>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</si>
  <si>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</si>
  <si>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</si>
  <si>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</si>
  <si>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</si>
  <si>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</si>
  <si>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</si>
  <si>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</si>
  <si>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</si>
  <si>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</si>
  <si>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</si>
  <si>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</si>
  <si>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</si>
  <si>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</si>
  <si>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</si>
  <si>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</si>
  <si>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</si>
  <si>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</si>
  <si>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</si>
  <si>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</si>
  <si>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</si>
  <si>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</si>
  <si>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</si>
  <si>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</si>
  <si>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</si>
  <si>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</si>
  <si>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</si>
  <si>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</si>
  <si>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</si>
  <si>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</si>
  <si>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</si>
  <si>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</si>
  <si>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</si>
  <si>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</si>
  <si>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</si>
  <si>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</si>
  <si>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</si>
  <si>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</si>
  <si>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</si>
  <si>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</si>
  <si>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</si>
  <si>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</si>
  <si>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</si>
  <si>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</si>
  <si>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</si>
  <si>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</si>
  <si>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</si>
  <si>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</si>
  <si>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</si>
  <si>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</si>
  <si>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</si>
  <si>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</si>
  <si>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</si>
  <si>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</si>
  <si>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</si>
  <si>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</si>
  <si>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</si>
  <si>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</si>
  <si>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</si>
  <si>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</si>
  <si>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</si>
  <si>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</si>
  <si>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</si>
  <si>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</si>
  <si>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</si>
  <si>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</si>
  <si>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</si>
  <si>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</si>
  <si>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</si>
  <si>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</si>
  <si>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</si>
  <si>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</si>
  <si>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</si>
  <si>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</si>
  <si>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</si>
  <si>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</si>
  <si>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</si>
  <si>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</si>
  <si>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</si>
  <si>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</si>
  <si>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</si>
  <si>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</si>
  <si>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</si>
  <si>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</si>
  <si>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</si>
  <si>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</si>
  <si>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</si>
  <si>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</si>
  <si>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</si>
  <si>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</si>
  <si>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</si>
  <si>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</si>
  <si>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</si>
  <si>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</si>
  <si>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</si>
  <si>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</si>
  <si>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</si>
  <si>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</si>
  <si>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</si>
  <si>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</si>
  <si>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</si>
  <si>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</si>
  <si>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</si>
  <si>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</si>
  <si>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</si>
  <si>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</si>
  <si>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</si>
  <si>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</si>
  <si>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</si>
  <si>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</si>
  <si>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</si>
  <si>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</si>
  <si>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</si>
  <si>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</si>
  <si>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</si>
  <si>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</si>
  <si>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</si>
  <si>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</si>
  <si>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</si>
  <si>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</si>
  <si>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</si>
  <si>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</si>
  <si>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</si>
  <si>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</si>
  <si>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</si>
  <si>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</si>
  <si>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</si>
  <si>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</si>
  <si>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</si>
  <si>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</si>
  <si>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</si>
  <si>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</si>
  <si>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</si>
  <si>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</si>
  <si>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</si>
  <si>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</si>
  <si>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</si>
  <si>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</si>
  <si>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</si>
  <si>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</si>
  <si>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</si>
  <si>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</si>
  <si>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</si>
  <si>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</si>
  <si>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</si>
  <si>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</si>
  <si>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</si>
  <si>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</si>
  <si>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</si>
  <si>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</si>
  <si>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</si>
  <si>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</si>
  <si>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</si>
  <si>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</si>
  <si>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</si>
  <si>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</si>
  <si>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</si>
  <si>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</si>
  <si>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</si>
  <si>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</si>
  <si>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</si>
  <si>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</si>
  <si>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</si>
  <si>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</si>
  <si>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</si>
  <si>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</si>
  <si>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</si>
  <si>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</si>
  <si>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</si>
  <si>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</si>
  <si>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</si>
  <si>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</si>
  <si>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</si>
  <si>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</si>
  <si>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</si>
  <si>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</si>
  <si>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</si>
  <si>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</si>
  <si>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</si>
  <si>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</si>
  <si>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</si>
  <si>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</si>
  <si>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</si>
  <si>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</si>
  <si>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</si>
  <si>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</si>
  <si>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</si>
  <si>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</si>
  <si>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</si>
  <si>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</si>
  <si>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</si>
  <si>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</si>
  <si>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</si>
  <si>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</si>
  <si>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</si>
  <si>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</si>
  <si>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</si>
  <si>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</si>
  <si>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</si>
  <si>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</si>
  <si>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</si>
  <si>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</si>
  <si>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</si>
  <si>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</si>
  <si>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</si>
  <si>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</si>
  <si>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</si>
  <si>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</si>
  <si>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</si>
  <si>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</si>
  <si>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</si>
  <si>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</si>
  <si>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</si>
  <si>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</si>
  <si>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</si>
  <si>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</si>
  <si>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</si>
  <si>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</si>
  <si>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</si>
  <si>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</si>
  <si>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</si>
  <si>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</si>
  <si>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</si>
  <si>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</si>
  <si>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</si>
  <si>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</si>
  <si>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</si>
  <si>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</si>
  <si>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</si>
  <si>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</si>
  <si>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</si>
  <si>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</si>
  <si>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</si>
  <si>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</si>
  <si>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</si>
  <si>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</si>
  <si>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</si>
  <si>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</si>
  <si>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</si>
  <si>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</si>
  <si>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</si>
  <si>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</si>
  <si>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</si>
  <si>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</si>
  <si>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</si>
  <si>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</si>
  <si>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</si>
  <si>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</si>
  <si>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</si>
  <si>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</si>
  <si>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</si>
  <si>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</si>
  <si>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</si>
  <si>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</si>
  <si>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</si>
  <si>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</si>
  <si>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</si>
  <si>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</si>
  <si>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</si>
  <si>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</si>
  <si>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</si>
  <si>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</si>
  <si>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</si>
  <si>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</si>
  <si>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</si>
  <si>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</si>
  <si>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</si>
  <si>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</si>
  <si>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</si>
  <si>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</si>
  <si>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</si>
  <si>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</si>
  <si>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</si>
  <si>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</si>
  <si>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</si>
  <si>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</si>
  <si>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</si>
  <si>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</si>
  <si>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</si>
  <si>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</si>
  <si>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</si>
  <si>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</si>
  <si>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</si>
  <si>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</si>
  <si>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</si>
  <si>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</si>
  <si>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</si>
  <si>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</si>
  <si>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</si>
  <si>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</si>
  <si>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</si>
  <si>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</si>
  <si>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</si>
  <si>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</si>
  <si>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</si>
  <si>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</si>
  <si>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</si>
  <si>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</si>
  <si>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</si>
  <si>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</si>
  <si>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</si>
  <si>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</si>
  <si>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</si>
  <si>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</si>
  <si>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</si>
  <si>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</si>
  <si>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</si>
  <si>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</si>
  <si>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</si>
  <si>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</si>
  <si>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</si>
  <si>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</si>
  <si>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</si>
  <si>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</si>
  <si>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</si>
  <si>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</si>
  <si>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</si>
  <si>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</si>
  <si>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</si>
  <si>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</si>
  <si>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</si>
  <si>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</si>
  <si>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</si>
  <si>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</si>
  <si>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</si>
  <si>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</si>
  <si>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</si>
  <si>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</si>
  <si>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</si>
  <si>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</si>
  <si>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</si>
  <si>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</si>
  <si>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</si>
  <si>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</si>
  <si>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</si>
  <si>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</si>
  <si>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</si>
  <si>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</si>
  <si>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</si>
  <si>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</si>
  <si>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</si>
  <si>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</si>
  <si>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</si>
  <si>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</si>
  <si>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</si>
  <si>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</si>
  <si>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</si>
  <si>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</si>
  <si>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</si>
  <si>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</si>
  <si>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</si>
  <si>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</si>
  <si>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</si>
  <si>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</si>
  <si>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</si>
  <si>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</si>
  <si>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</si>
  <si>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</si>
  <si>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</si>
  <si>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</si>
  <si>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</si>
  <si>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</si>
  <si>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</si>
  <si>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</si>
  <si>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</si>
  <si>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</si>
  <si>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</si>
  <si>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</si>
  <si>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</si>
  <si>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</si>
  <si>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</si>
  <si>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</si>
  <si>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</si>
  <si>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</si>
  <si>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</si>
  <si>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</si>
  <si>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</si>
  <si>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</si>
  <si>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</si>
  <si>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</si>
  <si>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</si>
  <si>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</si>
  <si>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</si>
  <si>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</si>
  <si>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</si>
  <si>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</si>
  <si>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</si>
  <si>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</si>
  <si>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</si>
  <si>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</si>
  <si>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</si>
  <si>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</si>
  <si>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</si>
  <si>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</si>
  <si>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</si>
  <si>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</si>
  <si>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</si>
  <si>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</si>
  <si>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</si>
  <si>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</si>
  <si>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</si>
  <si>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</si>
  <si>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</si>
  <si>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</si>
  <si>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</si>
  <si>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</si>
  <si>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</si>
  <si>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</si>
  <si>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</si>
  <si>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</si>
  <si>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</si>
  <si>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</si>
  <si>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</si>
  <si>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</si>
  <si>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</si>
  <si>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</si>
  <si>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</si>
  <si>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</si>
  <si>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</si>
  <si>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</si>
  <si>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</si>
  <si>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</si>
  <si>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</si>
  <si>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</si>
  <si>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</si>
  <si>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</si>
  <si>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</si>
  <si>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</si>
  <si>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</si>
  <si>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</si>
  <si>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</si>
  <si>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</si>
  <si>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</si>
  <si>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</si>
  <si>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</si>
  <si>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</si>
  <si>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</si>
  <si>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</si>
  <si>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</si>
  <si>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</si>
  <si>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</si>
  <si>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</si>
  <si>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</si>
  <si>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</si>
  <si>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</si>
  <si>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</si>
  <si>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</si>
  <si>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</si>
  <si>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</si>
  <si>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</si>
  <si>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</si>
  <si>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</si>
  <si>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</si>
  <si>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</si>
  <si>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</si>
  <si>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</si>
  <si>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</si>
  <si>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</si>
  <si>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</si>
  <si>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</si>
  <si>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</si>
  <si>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</si>
  <si>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</si>
  <si>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</si>
  <si>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</si>
  <si>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</si>
  <si>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</si>
  <si>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</si>
  <si>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</si>
  <si>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</si>
  <si>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</si>
  <si>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</si>
  <si>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</si>
  <si>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</si>
  <si>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</si>
  <si>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</si>
  <si>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</si>
  <si>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</si>
  <si>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</si>
  <si>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</si>
  <si>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</si>
  <si>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</si>
  <si>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</si>
  <si>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</si>
  <si>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</si>
  <si>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</si>
  <si>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</si>
  <si>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</si>
  <si>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</si>
  <si>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</si>
  <si>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</si>
  <si>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</si>
  <si>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</si>
  <si>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</si>
  <si>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</si>
  <si>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</si>
  <si>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</si>
  <si>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</si>
  <si>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</si>
  <si>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</si>
  <si>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</si>
  <si>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</si>
  <si>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</si>
  <si>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</si>
  <si>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</si>
  <si>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</si>
  <si>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</si>
  <si>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</si>
  <si>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</si>
  <si>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</si>
  <si>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</si>
  <si>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</si>
  <si>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</si>
  <si>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</si>
  <si>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</si>
  <si>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</si>
  <si>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</si>
  <si>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</si>
  <si>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</si>
  <si>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</si>
  <si>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</si>
  <si>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</si>
  <si>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</si>
  <si>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</si>
  <si>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</si>
  <si>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</si>
  <si>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</si>
  <si>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</si>
  <si>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</si>
  <si>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</si>
  <si>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</si>
  <si>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</si>
  <si>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</si>
  <si>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</si>
  <si>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</si>
  <si>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</si>
  <si>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</si>
  <si>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</si>
  <si>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</si>
  <si>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</si>
  <si>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</si>
  <si>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</si>
  <si>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</si>
  <si>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</si>
  <si>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</si>
  <si>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</si>
  <si>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</si>
  <si>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</si>
  <si>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</si>
  <si>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</si>
  <si>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</si>
  <si>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</si>
  <si>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</si>
  <si>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</si>
  <si>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</si>
  <si>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</si>
  <si>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</si>
  <si>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</si>
  <si>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</si>
  <si>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</si>
  <si>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</si>
  <si>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</si>
  <si>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</si>
  <si>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</si>
  <si>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</si>
  <si>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</si>
  <si>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</si>
  <si>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</si>
  <si>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</si>
  <si>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</si>
  <si>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</si>
  <si>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</si>
  <si>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</si>
  <si>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</si>
  <si>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</si>
  <si>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</si>
  <si>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</si>
  <si>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</si>
  <si>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</si>
  <si>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</si>
  <si>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</si>
  <si>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</si>
  <si>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</si>
  <si>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</si>
  <si>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</si>
  <si>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</si>
  <si>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</si>
  <si>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</si>
  <si>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</si>
  <si>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</si>
  <si>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</si>
  <si>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</si>
  <si>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</si>
  <si>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</si>
  <si>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</si>
  <si>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</si>
  <si>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</si>
  <si>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</si>
  <si>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</si>
  <si>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</si>
  <si>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</si>
  <si>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</si>
  <si>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</si>
  <si>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</si>
  <si>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</si>
  <si>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</si>
  <si>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</si>
  <si>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</si>
  <si>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</si>
  <si>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</si>
  <si>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</si>
  <si>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</si>
  <si>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</si>
  <si>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</si>
  <si>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</si>
  <si>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</si>
  <si>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</si>
  <si>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</si>
  <si>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</si>
  <si>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</si>
  <si>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</si>
  <si>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</si>
  <si>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</si>
  <si>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</si>
  <si>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</si>
  <si>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</si>
  <si>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</si>
  <si>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</si>
  <si>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</si>
  <si>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</si>
  <si>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</si>
  <si>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</si>
  <si>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</si>
  <si>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</si>
  <si>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</si>
  <si>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</si>
  <si>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</si>
  <si>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</si>
  <si>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</si>
  <si>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</si>
  <si>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</si>
  <si>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</si>
  <si>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</si>
  <si>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</si>
  <si>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</si>
  <si>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</si>
  <si>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</si>
  <si>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</si>
  <si>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</si>
  <si>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</si>
  <si>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</si>
  <si>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</si>
  <si>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</si>
  <si>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</si>
  <si>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</si>
  <si>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</si>
  <si>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</si>
  <si>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</si>
  <si>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</si>
  <si>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</si>
  <si>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</si>
  <si>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</si>
  <si>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</si>
  <si>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</si>
  <si>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</si>
  <si>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</si>
  <si>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</si>
  <si>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</si>
  <si>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</si>
  <si>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</si>
  <si>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</si>
  <si>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</si>
  <si>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</si>
  <si>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</si>
  <si>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</si>
  <si>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</si>
  <si>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</si>
  <si>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</si>
  <si>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</si>
  <si>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</si>
  <si>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</si>
  <si>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</si>
  <si>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</si>
  <si>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</si>
  <si>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</si>
  <si>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</si>
  <si>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</si>
  <si>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</si>
  <si>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</si>
  <si>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</si>
  <si>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</si>
  <si>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</si>
  <si>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</si>
  <si>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</si>
  <si>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</si>
  <si>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</si>
  <si>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</si>
  <si>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</si>
  <si>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</si>
  <si>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</si>
  <si>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</si>
  <si>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</si>
  <si>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</si>
  <si>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</si>
  <si>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</si>
  <si>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</si>
  <si>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</si>
  <si>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</si>
  <si>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</si>
  <si>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</si>
  <si>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</si>
  <si>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</si>
  <si>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</si>
  <si>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</si>
  <si>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</si>
  <si>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</si>
  <si>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</si>
  <si>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</si>
  <si>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</si>
  <si>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</si>
  <si>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</si>
  <si>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</si>
  <si>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</si>
  <si>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</si>
  <si>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</si>
  <si>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</si>
  <si>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</si>
  <si>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</si>
  <si>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</si>
  <si>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</si>
  <si>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</si>
  <si>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</si>
  <si>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</si>
  <si>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</si>
  <si>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</si>
  <si>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</si>
  <si>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</si>
  <si>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</si>
  <si>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</si>
  <si>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</si>
  <si>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</si>
  <si>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</si>
  <si>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</si>
  <si>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</si>
  <si>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</si>
  <si>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</si>
  <si>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</si>
  <si>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</si>
  <si>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</si>
  <si>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</si>
  <si>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</si>
  <si>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</si>
  <si>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</si>
  <si>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</si>
  <si>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</si>
  <si>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</si>
  <si>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</si>
  <si>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</si>
  <si>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</si>
  <si>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</si>
  <si>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</si>
  <si>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</si>
  <si>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</si>
  <si>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</si>
  <si>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</si>
  <si>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</si>
  <si>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</si>
  <si>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</si>
  <si>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</si>
  <si>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</si>
  <si>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</si>
  <si>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</si>
  <si>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</si>
  <si>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</si>
  <si>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</si>
  <si>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</si>
  <si>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</si>
  <si>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</si>
  <si>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</si>
  <si>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</si>
  <si>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</si>
  <si>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</si>
  <si>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</si>
  <si>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</si>
  <si>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</si>
  <si>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</si>
  <si>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</si>
  <si>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</si>
  <si>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</si>
  <si>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</si>
  <si>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</si>
  <si>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</si>
  <si>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</si>
  <si>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NORMAL</t>
  </si>
  <si>
    <t>EMEI</t>
  </si>
  <si>
    <t>EMEF</t>
  </si>
  <si>
    <t>EMEE</t>
  </si>
  <si>
    <t>CEI</t>
  </si>
  <si>
    <t>ADAPTADO</t>
  </si>
  <si>
    <t>São Mateus</t>
  </si>
  <si>
    <t>SM</t>
  </si>
  <si>
    <t>SME</t>
  </si>
  <si>
    <t>GTM8852</t>
  </si>
  <si>
    <t>018.491-00</t>
  </si>
  <si>
    <t>2022/0039605-001</t>
  </si>
  <si>
    <t>2022/0039605</t>
  </si>
  <si>
    <t>EFW5719</t>
  </si>
  <si>
    <t>015.536-00</t>
  </si>
  <si>
    <t>2022/0029534-001</t>
  </si>
  <si>
    <t>2022/0029534</t>
  </si>
  <si>
    <t>DTC1034</t>
  </si>
  <si>
    <t>026.537-00</t>
  </si>
  <si>
    <t>2022/0027868-001</t>
  </si>
  <si>
    <t>2022/0027868</t>
  </si>
  <si>
    <t>DTE1157</t>
  </si>
  <si>
    <t>036.017-00</t>
  </si>
  <si>
    <t>2022/0032715-001</t>
  </si>
  <si>
    <t>2022/0032715</t>
  </si>
  <si>
    <t>FKN2B89</t>
  </si>
  <si>
    <t>019.944-00</t>
  </si>
  <si>
    <t>2023/0016286-001</t>
  </si>
  <si>
    <t>2023/0016286</t>
  </si>
  <si>
    <t>DAJ9930</t>
  </si>
  <si>
    <t>017.280-00</t>
  </si>
  <si>
    <t>2022/0026683-001</t>
  </si>
  <si>
    <t>2022/0026683</t>
  </si>
  <si>
    <t>ECT4960</t>
  </si>
  <si>
    <t>031.973-00</t>
  </si>
  <si>
    <t>2022/0026070-001</t>
  </si>
  <si>
    <t>2022/0026070</t>
  </si>
  <si>
    <t>FWN9D10</t>
  </si>
  <si>
    <t>042.432-00</t>
  </si>
  <si>
    <t>2022/0029520-001B</t>
  </si>
  <si>
    <t>2022/0029520</t>
  </si>
  <si>
    <t>CSQ0E25</t>
  </si>
  <si>
    <t>018.444-00</t>
  </si>
  <si>
    <t>2022/0036945-001A</t>
  </si>
  <si>
    <t>2022/0036945</t>
  </si>
  <si>
    <t>EOD7C62</t>
  </si>
  <si>
    <t>024.150-00</t>
  </si>
  <si>
    <t>2022/0027874-001A</t>
  </si>
  <si>
    <t>2022/0027874</t>
  </si>
  <si>
    <t>FFW5F60</t>
  </si>
  <si>
    <t>017.835-00</t>
  </si>
  <si>
    <t>2023/0024600-001B</t>
  </si>
  <si>
    <t>2023/0024600</t>
  </si>
  <si>
    <t>EBA6472</t>
  </si>
  <si>
    <t>030.490-00</t>
  </si>
  <si>
    <t>2022/0029299-001</t>
  </si>
  <si>
    <t>2022/0029299</t>
  </si>
  <si>
    <t>FNE8139</t>
  </si>
  <si>
    <t>019.107-00</t>
  </si>
  <si>
    <t>2022/0032550-001A</t>
  </si>
  <si>
    <t>2022/0032550</t>
  </si>
  <si>
    <t>EFV1290</t>
  </si>
  <si>
    <t>029.291-00</t>
  </si>
  <si>
    <t>2022/0032747-001</t>
  </si>
  <si>
    <t>2022/0032747</t>
  </si>
  <si>
    <t>EFW3199</t>
  </si>
  <si>
    <t>029.869-00</t>
  </si>
  <si>
    <t>2022/0033825-001B</t>
  </si>
  <si>
    <t>2022/0033825</t>
  </si>
  <si>
    <t>EJW0398</t>
  </si>
  <si>
    <t>020.835-00</t>
  </si>
  <si>
    <t>2023/0009503-001</t>
  </si>
  <si>
    <t>2023/0009503</t>
  </si>
  <si>
    <t>DTD4317</t>
  </si>
  <si>
    <t>039.707-00</t>
  </si>
  <si>
    <t>2022/0029946-001</t>
  </si>
  <si>
    <t>2022/0029946</t>
  </si>
  <si>
    <t>FFN4048</t>
  </si>
  <si>
    <t>033.733-00-c</t>
  </si>
  <si>
    <t>2022/0031061-001</t>
  </si>
  <si>
    <t>2022/0031061</t>
  </si>
  <si>
    <t>017.995-00</t>
  </si>
  <si>
    <t>2022/0026367-001B</t>
  </si>
  <si>
    <t>2022/0026367</t>
  </si>
  <si>
    <t>DTC1299</t>
  </si>
  <si>
    <t>036.797-00</t>
  </si>
  <si>
    <t>2022/0031478-001A</t>
  </si>
  <si>
    <t>2022/0031478</t>
  </si>
  <si>
    <t>GCC7I29</t>
  </si>
  <si>
    <t>019.202-00</t>
  </si>
  <si>
    <t>2022/0027005-001</t>
  </si>
  <si>
    <t>2022/0027005</t>
  </si>
  <si>
    <t>CZX8746</t>
  </si>
  <si>
    <t>020.657-00</t>
  </si>
  <si>
    <t>2022/0030472-001A</t>
  </si>
  <si>
    <t>2022/0030472</t>
  </si>
  <si>
    <t>TJL2A19</t>
  </si>
  <si>
    <t>024.015-00</t>
  </si>
  <si>
    <t>2022/0029959-001B</t>
  </si>
  <si>
    <t>2022/0029959</t>
  </si>
  <si>
    <t>ELW1C77</t>
  </si>
  <si>
    <t>042.538-00</t>
  </si>
  <si>
    <t>2022/0033883-001A</t>
  </si>
  <si>
    <t>2022/0033883</t>
  </si>
  <si>
    <t>EJY0E65</t>
  </si>
  <si>
    <t>030.985-00</t>
  </si>
  <si>
    <t>2022/0033031-001</t>
  </si>
  <si>
    <t>2022/0033031</t>
  </si>
  <si>
    <t>MDV2B36</t>
  </si>
  <si>
    <t>017.432-00</t>
  </si>
  <si>
    <t>2023/0026609-001</t>
  </si>
  <si>
    <t>2023/0026609</t>
  </si>
  <si>
    <t>ECT4970</t>
  </si>
  <si>
    <t>033.432-00</t>
  </si>
  <si>
    <t>2022/0027873-001</t>
  </si>
  <si>
    <t>2022/0027873</t>
  </si>
  <si>
    <t>ELW1359</t>
  </si>
  <si>
    <t>019.234-00</t>
  </si>
  <si>
    <t>2022/0030862-001</t>
  </si>
  <si>
    <t>2022/0030862</t>
  </si>
  <si>
    <t>CZX4580</t>
  </si>
  <si>
    <t>035.211-00</t>
  </si>
  <si>
    <t>2022/0027878-001</t>
  </si>
  <si>
    <t>2022/0027878</t>
  </si>
  <si>
    <t>FFN3G54</t>
  </si>
  <si>
    <t>021.256-00</t>
  </si>
  <si>
    <t>2022/0032289-001A</t>
  </si>
  <si>
    <t>2022/0032289</t>
  </si>
  <si>
    <t>DTC2706</t>
  </si>
  <si>
    <t>032.621-00</t>
  </si>
  <si>
    <t>2023/0028913-001A</t>
  </si>
  <si>
    <t>2023/0028913</t>
  </si>
  <si>
    <t>QOG1J70</t>
  </si>
  <si>
    <t>020.735-00</t>
  </si>
  <si>
    <t>2022/0034710-001E</t>
  </si>
  <si>
    <t>2022/0034710</t>
  </si>
  <si>
    <t>CZZ5838</t>
  </si>
  <si>
    <t>038.499-00</t>
  </si>
  <si>
    <t>2022/0031777-001B</t>
  </si>
  <si>
    <t>2022/0031777</t>
  </si>
  <si>
    <t>GIB0F84</t>
  </si>
  <si>
    <t>031.831-00</t>
  </si>
  <si>
    <t>2023/0028907-001A</t>
  </si>
  <si>
    <t>2023/0028907</t>
  </si>
  <si>
    <t>DTE1126</t>
  </si>
  <si>
    <t>016.462-00</t>
  </si>
  <si>
    <t>2022/0030148-001</t>
  </si>
  <si>
    <t>2022/0030148</t>
  </si>
  <si>
    <t>DMS2700</t>
  </si>
  <si>
    <t>031.596-00</t>
  </si>
  <si>
    <t>2023/0022782-001</t>
  </si>
  <si>
    <t>2023/0022782</t>
  </si>
  <si>
    <t>DJB6593</t>
  </si>
  <si>
    <t>043.861-00</t>
  </si>
  <si>
    <t>2023/0020839-001C</t>
  </si>
  <si>
    <t>2023/0020839</t>
  </si>
  <si>
    <t>DTD1G59</t>
  </si>
  <si>
    <t>038.526-00</t>
  </si>
  <si>
    <t>2022/0026772-001A</t>
  </si>
  <si>
    <t>2022/0026772</t>
  </si>
  <si>
    <t>FLI5259</t>
  </si>
  <si>
    <t>6020.2022/0039605-0</t>
  </si>
  <si>
    <t>6020.2022/0029534-3</t>
  </si>
  <si>
    <t>6020.2022/0027868-6</t>
  </si>
  <si>
    <t>6020.2022/0032715-6</t>
  </si>
  <si>
    <t>6020.2023/0016286-8</t>
  </si>
  <si>
    <t>6020.2022/0026683-1</t>
  </si>
  <si>
    <t>6020.2022/0026070-1</t>
  </si>
  <si>
    <t>6020.2022/0029520-3</t>
  </si>
  <si>
    <t>6020.2022/0036945-2</t>
  </si>
  <si>
    <t>6020.2022/0027874-0</t>
  </si>
  <si>
    <t>6020.2023/0024600-0</t>
  </si>
  <si>
    <t>6020.2022/0029299-9</t>
  </si>
  <si>
    <t>6020.2022/0032550-1</t>
  </si>
  <si>
    <t>6020.2022/0032747-4</t>
  </si>
  <si>
    <t>6020.2022/0033825-5</t>
  </si>
  <si>
    <t>6020.2023/0009503-6</t>
  </si>
  <si>
    <t>6020.2022/0029946-2</t>
  </si>
  <si>
    <t>6020.2022/0031061-0</t>
  </si>
  <si>
    <t>6020.2022/0026367-0</t>
  </si>
  <si>
    <t>6020.2022/0031478-0</t>
  </si>
  <si>
    <t>6020.2022/0027005-7</t>
  </si>
  <si>
    <t>6020.2022/0030472-5</t>
  </si>
  <si>
    <t>6020.2022/0029959-4</t>
  </si>
  <si>
    <t>6020.2022/0033883-2</t>
  </si>
  <si>
    <t>6020.2022/0033031-9</t>
  </si>
  <si>
    <t>6020.2023/0026609-4</t>
  </si>
  <si>
    <t>6020.2022/0027873-2</t>
  </si>
  <si>
    <t>6020.2022/0030862-3</t>
  </si>
  <si>
    <t>6020.2022/0027878-3</t>
  </si>
  <si>
    <t>6020.2022/0032289-8</t>
  </si>
  <si>
    <t>6020.2023/0028913-2</t>
  </si>
  <si>
    <t>6020.2022/0034710-6</t>
  </si>
  <si>
    <t>6020.2022/0031777-0</t>
  </si>
  <si>
    <t>6020.2023/0028907-8</t>
  </si>
  <si>
    <t>6020.2022/0030148-3</t>
  </si>
  <si>
    <t>6020.2023/0022782-0</t>
  </si>
  <si>
    <t>6020.2023/0020839-6</t>
  </si>
  <si>
    <t>6020.2022/0026772-2</t>
  </si>
  <si>
    <t>115.090.618-94</t>
  </si>
  <si>
    <t>267.155.758-27</t>
  </si>
  <si>
    <t>288.279.568-83</t>
  </si>
  <si>
    <t>254.967.658-03</t>
  </si>
  <si>
    <t>920.525.256-53</t>
  </si>
  <si>
    <t>288.177.048-73</t>
  </si>
  <si>
    <t>169.902.178-39</t>
  </si>
  <si>
    <t>324.500.818-01</t>
  </si>
  <si>
    <t>165.871.258-75</t>
  </si>
  <si>
    <t>136.329.728-77</t>
  </si>
  <si>
    <t>176.442.738-67</t>
  </si>
  <si>
    <t>258.285.318-67</t>
  </si>
  <si>
    <t>077.418.298-90</t>
  </si>
  <si>
    <t>085.527.858-70</t>
  </si>
  <si>
    <t>837.902.848-15</t>
  </si>
  <si>
    <t>091.453.168-99</t>
  </si>
  <si>
    <t>276.932.978-20</t>
  </si>
  <si>
    <t>089.749.288-92</t>
  </si>
  <si>
    <t>141.880.938-11</t>
  </si>
  <si>
    <t>288.391.658-60</t>
  </si>
  <si>
    <t>092.131.968-14</t>
  </si>
  <si>
    <t>132.864.008-66</t>
  </si>
  <si>
    <t>327.912.835-87</t>
  </si>
  <si>
    <t>312.086.518-46</t>
  </si>
  <si>
    <t>093.487.258-90</t>
  </si>
  <si>
    <t>259.682.598-84</t>
  </si>
  <si>
    <t>343.066.468-31</t>
  </si>
  <si>
    <t>035.801.948-60</t>
  </si>
  <si>
    <t>360.415.288-70</t>
  </si>
  <si>
    <t>141.852.068-36</t>
  </si>
  <si>
    <t>260.706.048-65</t>
  </si>
  <si>
    <t>146.785.698-39</t>
  </si>
  <si>
    <t>174.499.718-79</t>
  </si>
  <si>
    <t>111.592.398-60</t>
  </si>
  <si>
    <t>052.354.918-07</t>
  </si>
  <si>
    <t>308.986.208-56</t>
  </si>
  <si>
    <t>127.426.068-07</t>
  </si>
  <si>
    <t>313.974.918-09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</si>
</sst>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2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  <xf numFmtId="14" fontId="34" fillId="74" borderId="192" xfId="116" applyNumberFormat="1" applyFont="1" applyFill="1" applyBorder="1" applyAlignment="1">
      <alignment horizontal="center" vertical="center" wrapText="1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46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258"/>
  <sheetViews>
    <sheetView showGridLines="0" zoomScale="85" zoomScaleNormal="85" workbookViewId="0">
      <selection activeCell="Q191" sqref="Q191:EO195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3189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3181</v>
      </c>
      <c r="G5" s="366" t="s">
        <v>3182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3193</v>
      </c>
      <c r="B6" s="522" t="s">
        <v>3194</v>
      </c>
      <c r="C6" s="523">
        <v>1</v>
      </c>
      <c r="D6" s="524" t="s">
        <v>3195</v>
      </c>
      <c r="E6" s="524" t="s">
        <v>3196</v>
      </c>
      <c r="F6" s="525" t="s">
        <v>3181</v>
      </c>
      <c r="G6" s="525" t="s">
        <v>3182</v>
      </c>
      <c r="H6" s="350" t="s">
        <v>2976</v>
      </c>
      <c r="I6" s="351" t="s">
        <v>2976</v>
      </c>
      <c r="J6" s="409" t="s">
        <v>3183</v>
      </c>
      <c r="K6" s="410" t="s">
        <v>3184</v>
      </c>
      <c r="L6" s="329">
        <f>CONTINUA!BV6</f>
        <v>0</v>
      </c>
      <c r="M6" s="329">
        <f>CONTINUA!BW6</f>
        <v>0</v>
      </c>
      <c r="N6" s="342"/>
      <c r="O6" s="288" t="s">
        <v>3344</v>
      </c>
      <c r="P6" s="330">
        <v>0</v>
      </c>
      <c r="Q6" s="400"/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14041.43</v>
      </c>
      <c r="EY6" s="174">
        <f>(L6*regular)+(M6*Cadeirantee)</f>
        <v>0</v>
      </c>
      <c r="EZ6" s="249">
        <f>SUMIF(FG6:GJ6,"&gt;0")</f>
        <v>706.25500000000011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14940.485000000001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14041.43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321.02500000000003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179.774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205.45600000000002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3193</v>
      </c>
      <c r="B7" s="369" t="s">
        <v>3194</v>
      </c>
      <c r="C7" s="370" t="s">
        <v>3190</v>
      </c>
      <c r="D7" s="371" t="s">
        <v>3195</v>
      </c>
      <c r="E7" s="371" t="s">
        <v>3196</v>
      </c>
      <c r="F7" s="372" t="s">
        <v>3181</v>
      </c>
      <c r="G7" s="372" t="s">
        <v>3182</v>
      </c>
      <c r="H7" s="373" t="s">
        <v>2976</v>
      </c>
      <c r="I7" s="374" t="s">
        <v>2976</v>
      </c>
      <c r="J7" s="421" t="s">
        <v>3183</v>
      </c>
      <c r="K7" s="421" t="s">
        <v>3185</v>
      </c>
      <c r="L7" s="329">
        <f>CONTINUA!BV7</f>
        <v>20</v>
      </c>
      <c r="M7" s="329">
        <f>CONTINUA!BW7</f>
        <v>0</v>
      </c>
      <c r="N7" s="342"/>
      <c r="O7" s="289" t="s">
        <v>3344</v>
      </c>
      <c r="P7" s="330">
        <v>0</v>
      </c>
      <c r="Q7" s="400">
        <v>29</v>
      </c>
      <c r="R7" s="401"/>
      <c r="S7" s="400">
        <v>4</v>
      </c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>
        <v>1</v>
      </c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>
        <v>1</v>
      </c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>
        <v>2</v>
      </c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29</v>
      </c>
      <c r="EQ7" s="171">
        <f t="shared" si="10"/>
        <v>3</v>
      </c>
      <c r="ER7" s="171">
        <f t="shared" si="11"/>
        <v>5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37</v>
      </c>
      <c r="EW7" s="173"/>
      <c r="EX7" s="248">
        <f t="shared" si="16"/>
        <v>0</v>
      </c>
      <c r="EY7" s="174">
        <f>(L7*regular)+(M7*Cadeirantee)</f>
        <v>192.8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3193</v>
      </c>
      <c r="B8" s="369" t="s">
        <v>3194</v>
      </c>
      <c r="C8" s="375" t="s">
        <v>3190</v>
      </c>
      <c r="D8" s="371" t="s">
        <v>3195</v>
      </c>
      <c r="E8" s="371" t="s">
        <v>3196</v>
      </c>
      <c r="F8" s="376" t="s">
        <v>3181</v>
      </c>
      <c r="G8" s="376" t="s">
        <v>3182</v>
      </c>
      <c r="H8" s="373" t="s">
        <v>2976</v>
      </c>
      <c r="I8" s="374" t="s">
        <v>2976</v>
      </c>
      <c r="J8" s="421" t="s">
        <v>3183</v>
      </c>
      <c r="K8" s="422" t="s">
        <v>3186</v>
      </c>
      <c r="L8" s="329">
        <f>CONTINUA!BV8</f>
        <v>0</v>
      </c>
      <c r="M8" s="329">
        <f>CONTINUA!BW8</f>
        <v>0</v>
      </c>
      <c r="N8" s="342"/>
      <c r="O8" s="289" t="s">
        <v>3344</v>
      </c>
      <c r="P8" s="330">
        <v>0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3193</v>
      </c>
      <c r="B9" s="369" t="s">
        <v>3194</v>
      </c>
      <c r="C9" s="375" t="s">
        <v>3190</v>
      </c>
      <c r="D9" s="371" t="s">
        <v>3195</v>
      </c>
      <c r="E9" s="371" t="s">
        <v>3196</v>
      </c>
      <c r="F9" s="376" t="s">
        <v>3181</v>
      </c>
      <c r="G9" s="376" t="s">
        <v>3182</v>
      </c>
      <c r="H9" s="373" t="s">
        <v>2976</v>
      </c>
      <c r="I9" s="374" t="s">
        <v>2976</v>
      </c>
      <c r="J9" s="421" t="s">
        <v>3183</v>
      </c>
      <c r="K9" s="423" t="s">
        <v>3187</v>
      </c>
      <c r="L9" s="329">
        <f>CONTINUA!BV9</f>
        <v>0</v>
      </c>
      <c r="M9" s="329">
        <f>CONTINUA!BW9</f>
        <v>0</v>
      </c>
      <c r="N9" s="342"/>
      <c r="O9" s="289" t="s">
        <v>3344</v>
      </c>
      <c r="P9" s="330">
        <v>0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3193</v>
      </c>
      <c r="B10" s="378" t="s">
        <v>3194</v>
      </c>
      <c r="C10" s="379" t="s">
        <v>3190</v>
      </c>
      <c r="D10" s="380" t="s">
        <v>3195</v>
      </c>
      <c r="E10" s="380" t="s">
        <v>3196</v>
      </c>
      <c r="F10" s="381" t="s">
        <v>3181</v>
      </c>
      <c r="G10" s="381" t="s">
        <v>3182</v>
      </c>
      <c r="H10" s="382" t="s">
        <v>2976</v>
      </c>
      <c r="I10" s="383" t="s">
        <v>2976</v>
      </c>
      <c r="J10" s="421" t="s">
        <v>3183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3344</v>
      </c>
      <c r="P10" s="330">
        <v>0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3197</v>
      </c>
      <c r="B11" s="522" t="s">
        <v>3198</v>
      </c>
      <c r="C11" s="523">
        <v>4</v>
      </c>
      <c r="D11" s="524" t="s">
        <v>3199</v>
      </c>
      <c r="E11" s="524" t="s">
        <v>3200</v>
      </c>
      <c r="F11" s="525" t="s">
        <v>3181</v>
      </c>
      <c r="G11" s="525" t="s">
        <v>3182</v>
      </c>
      <c r="H11" s="350" t="s">
        <v>2977</v>
      </c>
      <c r="I11" s="351" t="s">
        <v>2977</v>
      </c>
      <c r="J11" s="409" t="s">
        <v>3183</v>
      </c>
      <c r="K11" s="410" t="s">
        <v>3184</v>
      </c>
      <c r="L11" s="329">
        <f>CONTINUA!BV11</f>
        <v>0</v>
      </c>
      <c r="M11" s="329">
        <f>CONTINUA!BW11</f>
        <v>0</v>
      </c>
      <c r="N11" s="895"/>
      <c r="O11" s="896" t="s">
        <v>3345</v>
      </c>
      <c r="P11" s="897">
        <v>0</v>
      </c>
      <c r="Q11" s="400"/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11465.63</v>
      </c>
      <c r="EX11" s="248">
        <f t="shared" ref="EX11:EX14" si="29">FF11</f>
        <v>5007.99</v>
      </c>
      <c r="EY11" s="174">
        <f>(L11*regular)+(M11*Cadeirantee)</f>
        <v>0</v>
      </c>
      <c r="EZ11" s="249">
        <f>SUMIF(FG11:GJ11,"&gt;0")</f>
        <v>51.364000000000004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16939.504000000001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5007.99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51.364000000000004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3197</v>
      </c>
      <c r="B12" s="369" t="s">
        <v>3198</v>
      </c>
      <c r="C12" s="370" t="s">
        <v>3191</v>
      </c>
      <c r="D12" s="371" t="s">
        <v>3199</v>
      </c>
      <c r="E12" s="371" t="s">
        <v>3200</v>
      </c>
      <c r="F12" s="372" t="s">
        <v>3181</v>
      </c>
      <c r="G12" s="372" t="s">
        <v>3182</v>
      </c>
      <c r="H12" s="373" t="s">
        <v>2977</v>
      </c>
      <c r="I12" s="374" t="s">
        <v>2977</v>
      </c>
      <c r="J12" s="421" t="s">
        <v>3183</v>
      </c>
      <c r="K12" s="421" t="s">
        <v>3185</v>
      </c>
      <c r="L12" s="329">
        <f>CONTINUA!BV12</f>
        <v>43</v>
      </c>
      <c r="M12" s="329">
        <f>CONTINUA!BW12</f>
        <v>0</v>
      </c>
      <c r="N12" s="895"/>
      <c r="O12" s="896" t="s">
        <v>3345</v>
      </c>
      <c r="P12" s="897">
        <v>0</v>
      </c>
      <c r="Q12" s="400">
        <v>12</v>
      </c>
      <c r="R12" s="401"/>
      <c r="S12" s="400">
        <v>1</v>
      </c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>
        <v>1</v>
      </c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12</v>
      </c>
      <c r="EQ12" s="171">
        <f t="shared" si="23"/>
        <v>1</v>
      </c>
      <c r="ER12" s="171">
        <f t="shared" si="24"/>
        <v>1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14</v>
      </c>
      <c r="EW12" s="173"/>
      <c r="EX12" s="248">
        <f t="shared" si="29"/>
        <v>0</v>
      </c>
      <c r="EY12" s="174">
        <f>(L12*regular)+(M12*Cadeirantee)</f>
        <v>414.52000000000004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3197</v>
      </c>
      <c r="B13" s="369" t="s">
        <v>3198</v>
      </c>
      <c r="C13" s="375" t="s">
        <v>3191</v>
      </c>
      <c r="D13" s="371" t="s">
        <v>3199</v>
      </c>
      <c r="E13" s="371" t="s">
        <v>3200</v>
      </c>
      <c r="F13" s="376" t="s">
        <v>3181</v>
      </c>
      <c r="G13" s="376" t="s">
        <v>3182</v>
      </c>
      <c r="H13" s="373" t="s">
        <v>2977</v>
      </c>
      <c r="I13" s="374" t="s">
        <v>2977</v>
      </c>
      <c r="J13" s="421" t="s">
        <v>3183</v>
      </c>
      <c r="K13" s="422" t="s">
        <v>3186</v>
      </c>
      <c r="L13" s="329">
        <f>CONTINUA!BV13</f>
        <v>0</v>
      </c>
      <c r="M13" s="329">
        <f>CONTINUA!BW13</f>
        <v>0</v>
      </c>
      <c r="N13" s="895"/>
      <c r="O13" s="896" t="s">
        <v>3345</v>
      </c>
      <c r="P13" s="897">
        <v>0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3197</v>
      </c>
      <c r="B14" s="369" t="s">
        <v>3198</v>
      </c>
      <c r="C14" s="375" t="s">
        <v>3191</v>
      </c>
      <c r="D14" s="371" t="s">
        <v>3199</v>
      </c>
      <c r="E14" s="371" t="s">
        <v>3200</v>
      </c>
      <c r="F14" s="376" t="s">
        <v>3181</v>
      </c>
      <c r="G14" s="376" t="s">
        <v>3182</v>
      </c>
      <c r="H14" s="373" t="s">
        <v>2977</v>
      </c>
      <c r="I14" s="374" t="s">
        <v>2977</v>
      </c>
      <c r="J14" s="421" t="s">
        <v>3183</v>
      </c>
      <c r="K14" s="423" t="s">
        <v>3187</v>
      </c>
      <c r="L14" s="329">
        <f>CONTINUA!BV14</f>
        <v>0</v>
      </c>
      <c r="M14" s="329">
        <f>CONTINUA!BW14</f>
        <v>0</v>
      </c>
      <c r="N14" s="895"/>
      <c r="O14" s="896" t="s">
        <v>3345</v>
      </c>
      <c r="P14" s="897">
        <v>0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3197</v>
      </c>
      <c r="B15" s="378" t="s">
        <v>3198</v>
      </c>
      <c r="C15" s="379" t="s">
        <v>3191</v>
      </c>
      <c r="D15" s="380" t="s">
        <v>3199</v>
      </c>
      <c r="E15" s="380" t="s">
        <v>3200</v>
      </c>
      <c r="F15" s="381" t="s">
        <v>3181</v>
      </c>
      <c r="G15" s="381" t="s">
        <v>3182</v>
      </c>
      <c r="H15" s="382" t="s">
        <v>2977</v>
      </c>
      <c r="I15" s="383" t="s">
        <v>2977</v>
      </c>
      <c r="J15" s="421" t="s">
        <v>3183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3345</v>
      </c>
      <c r="P15" s="897">
        <v>0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3201</v>
      </c>
      <c r="B16" s="522" t="s">
        <v>3202</v>
      </c>
      <c r="C16" s="523">
        <v>1</v>
      </c>
      <c r="D16" s="524" t="s">
        <v>3203</v>
      </c>
      <c r="E16" s="524" t="s">
        <v>3204</v>
      </c>
      <c r="F16" s="525" t="s">
        <v>3181</v>
      </c>
      <c r="G16" s="525" t="s">
        <v>3182</v>
      </c>
      <c r="H16" s="350" t="s">
        <v>2984</v>
      </c>
      <c r="I16" s="351" t="s">
        <v>2984</v>
      </c>
      <c r="J16" s="409" t="s">
        <v>3183</v>
      </c>
      <c r="K16" s="410" t="s">
        <v>3184</v>
      </c>
      <c r="L16" s="329">
        <f>CONTINUA!BV16</f>
        <v>0</v>
      </c>
      <c r="M16" s="329">
        <f>CONTINUA!BW16</f>
        <v>0</v>
      </c>
      <c r="N16" s="895"/>
      <c r="O16" s="896" t="s">
        <v>3346</v>
      </c>
      <c r="P16" s="897">
        <v>0</v>
      </c>
      <c r="Q16" s="400">
        <v>9</v>
      </c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9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9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13656.2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13656.2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13656.2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3201</v>
      </c>
      <c r="B17" s="369" t="s">
        <v>3202</v>
      </c>
      <c r="C17" s="370" t="s">
        <v>3190</v>
      </c>
      <c r="D17" s="371" t="s">
        <v>3203</v>
      </c>
      <c r="E17" s="371" t="s">
        <v>3204</v>
      </c>
      <c r="F17" s="372" t="s">
        <v>3181</v>
      </c>
      <c r="G17" s="372" t="s">
        <v>3182</v>
      </c>
      <c r="H17" s="373" t="s">
        <v>2984</v>
      </c>
      <c r="I17" s="374" t="s">
        <v>2984</v>
      </c>
      <c r="J17" s="421" t="s">
        <v>3183</v>
      </c>
      <c r="K17" s="421" t="s">
        <v>3185</v>
      </c>
      <c r="L17" s="329">
        <f>CONTINUA!BV17</f>
        <v>0</v>
      </c>
      <c r="M17" s="329">
        <f>CONTINUA!BW17</f>
        <v>0</v>
      </c>
      <c r="N17" s="895"/>
      <c r="O17" s="896" t="s">
        <v>3346</v>
      </c>
      <c r="P17" s="897">
        <v>0</v>
      </c>
      <c r="Q17" s="400">
        <v>19</v>
      </c>
      <c r="R17" s="401"/>
      <c r="S17" s="400">
        <v>4</v>
      </c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19</v>
      </c>
      <c r="EQ17" s="171">
        <f t="shared" si="23"/>
        <v>0</v>
      </c>
      <c r="ER17" s="171">
        <f t="shared" si="24"/>
        <v>4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23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3201</v>
      </c>
      <c r="B18" s="369" t="s">
        <v>3202</v>
      </c>
      <c r="C18" s="375" t="s">
        <v>3190</v>
      </c>
      <c r="D18" s="371" t="s">
        <v>3203</v>
      </c>
      <c r="E18" s="371" t="s">
        <v>3204</v>
      </c>
      <c r="F18" s="376" t="s">
        <v>3181</v>
      </c>
      <c r="G18" s="376" t="s">
        <v>3182</v>
      </c>
      <c r="H18" s="373" t="s">
        <v>2984</v>
      </c>
      <c r="I18" s="374" t="s">
        <v>2984</v>
      </c>
      <c r="J18" s="421" t="s">
        <v>3183</v>
      </c>
      <c r="K18" s="422" t="s">
        <v>3186</v>
      </c>
      <c r="L18" s="329">
        <f>CONTINUA!BV18</f>
        <v>0</v>
      </c>
      <c r="M18" s="329">
        <f>CONTINUA!BW18</f>
        <v>0</v>
      </c>
      <c r="N18" s="895"/>
      <c r="O18" s="896" t="s">
        <v>3346</v>
      </c>
      <c r="P18" s="897">
        <v>0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3201</v>
      </c>
      <c r="B19" s="369" t="s">
        <v>3202</v>
      </c>
      <c r="C19" s="375" t="s">
        <v>3190</v>
      </c>
      <c r="D19" s="371" t="s">
        <v>3203</v>
      </c>
      <c r="E19" s="371" t="s">
        <v>3204</v>
      </c>
      <c r="F19" s="376" t="s">
        <v>3181</v>
      </c>
      <c r="G19" s="376" t="s">
        <v>3182</v>
      </c>
      <c r="H19" s="373" t="s">
        <v>2984</v>
      </c>
      <c r="I19" s="374" t="s">
        <v>2984</v>
      </c>
      <c r="J19" s="421" t="s">
        <v>3183</v>
      </c>
      <c r="K19" s="423" t="s">
        <v>3187</v>
      </c>
      <c r="L19" s="329">
        <f>CONTINUA!BV19</f>
        <v>0</v>
      </c>
      <c r="M19" s="329">
        <f>CONTINUA!BW19</f>
        <v>0</v>
      </c>
      <c r="N19" s="895"/>
      <c r="O19" s="896" t="s">
        <v>3346</v>
      </c>
      <c r="P19" s="897">
        <v>0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3201</v>
      </c>
      <c r="B20" s="378" t="s">
        <v>3202</v>
      </c>
      <c r="C20" s="379" t="s">
        <v>3190</v>
      </c>
      <c r="D20" s="380" t="s">
        <v>3203</v>
      </c>
      <c r="E20" s="380" t="s">
        <v>3204</v>
      </c>
      <c r="F20" s="381" t="s">
        <v>3181</v>
      </c>
      <c r="G20" s="381" t="s">
        <v>3182</v>
      </c>
      <c r="H20" s="382" t="s">
        <v>2984</v>
      </c>
      <c r="I20" s="383" t="s">
        <v>2984</v>
      </c>
      <c r="J20" s="421" t="s">
        <v>3183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3346</v>
      </c>
      <c r="P20" s="897">
        <v>0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3205</v>
      </c>
      <c r="B21" s="522" t="s">
        <v>3206</v>
      </c>
      <c r="C21" s="523">
        <v>1</v>
      </c>
      <c r="D21" s="524" t="s">
        <v>3207</v>
      </c>
      <c r="E21" s="524" t="s">
        <v>3208</v>
      </c>
      <c r="F21" s="525" t="s">
        <v>3181</v>
      </c>
      <c r="G21" s="525" t="s">
        <v>3182</v>
      </c>
      <c r="H21" s="350" t="s">
        <v>2987</v>
      </c>
      <c r="I21" s="351" t="s">
        <v>2987</v>
      </c>
      <c r="J21" s="409" t="s">
        <v>3183</v>
      </c>
      <c r="K21" s="410" t="s">
        <v>3184</v>
      </c>
      <c r="L21" s="329">
        <f>CONTINUA!BV21</f>
        <v>0</v>
      </c>
      <c r="M21" s="329">
        <f>CONTINUA!BW21</f>
        <v>0</v>
      </c>
      <c r="N21" s="895"/>
      <c r="O21" s="896" t="s">
        <v>3347</v>
      </c>
      <c r="P21" s="897">
        <v>0</v>
      </c>
      <c r="Q21" s="400">
        <v>21</v>
      </c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>
        <v>1</v>
      </c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21</v>
      </c>
      <c r="EQ21" s="171">
        <f t="shared" si="23"/>
        <v>1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22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9418.67</v>
      </c>
      <c r="EY21" s="174">
        <f>(L21*regular)+(M21*Cadeirantee)</f>
        <v>0</v>
      </c>
      <c r="EZ21" s="249">
        <f>SUMIF(FG21:GJ21,"&gt;0")</f>
        <v>102.72800000000001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9521.3979999999992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9418.67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102.72800000000001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3205</v>
      </c>
      <c r="B22" s="369" t="s">
        <v>3206</v>
      </c>
      <c r="C22" s="370" t="s">
        <v>3190</v>
      </c>
      <c r="D22" s="371" t="s">
        <v>3207</v>
      </c>
      <c r="E22" s="371" t="s">
        <v>3208</v>
      </c>
      <c r="F22" s="372" t="s">
        <v>3181</v>
      </c>
      <c r="G22" s="372" t="s">
        <v>3182</v>
      </c>
      <c r="H22" s="373" t="s">
        <v>2987</v>
      </c>
      <c r="I22" s="374" t="s">
        <v>2987</v>
      </c>
      <c r="J22" s="421" t="s">
        <v>3183</v>
      </c>
      <c r="K22" s="421" t="s">
        <v>3185</v>
      </c>
      <c r="L22" s="329">
        <f>CONTINUA!BV22</f>
        <v>0</v>
      </c>
      <c r="M22" s="329">
        <f>CONTINUA!BW22</f>
        <v>0</v>
      </c>
      <c r="N22" s="895"/>
      <c r="O22" s="896" t="s">
        <v>3347</v>
      </c>
      <c r="P22" s="897">
        <v>0</v>
      </c>
      <c r="Q22" s="400"/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0</v>
      </c>
      <c r="EQ22" s="171">
        <f t="shared" si="23"/>
        <v>0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0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3205</v>
      </c>
      <c r="B23" s="369" t="s">
        <v>3206</v>
      </c>
      <c r="C23" s="375" t="s">
        <v>3190</v>
      </c>
      <c r="D23" s="371" t="s">
        <v>3207</v>
      </c>
      <c r="E23" s="371" t="s">
        <v>3208</v>
      </c>
      <c r="F23" s="376" t="s">
        <v>3181</v>
      </c>
      <c r="G23" s="376" t="s">
        <v>3182</v>
      </c>
      <c r="H23" s="373" t="s">
        <v>2987</v>
      </c>
      <c r="I23" s="374" t="s">
        <v>2987</v>
      </c>
      <c r="J23" s="421" t="s">
        <v>3183</v>
      </c>
      <c r="K23" s="422" t="s">
        <v>3186</v>
      </c>
      <c r="L23" s="329">
        <f>CONTINUA!BV23</f>
        <v>0</v>
      </c>
      <c r="M23" s="329">
        <f>CONTINUA!BW23</f>
        <v>0</v>
      </c>
      <c r="N23" s="895"/>
      <c r="O23" s="896" t="s">
        <v>3347</v>
      </c>
      <c r="P23" s="897">
        <v>0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3205</v>
      </c>
      <c r="B24" s="369" t="s">
        <v>3206</v>
      </c>
      <c r="C24" s="375" t="s">
        <v>3190</v>
      </c>
      <c r="D24" s="371" t="s">
        <v>3207</v>
      </c>
      <c r="E24" s="371" t="s">
        <v>3208</v>
      </c>
      <c r="F24" s="376" t="s">
        <v>3181</v>
      </c>
      <c r="G24" s="376" t="s">
        <v>3182</v>
      </c>
      <c r="H24" s="373" t="s">
        <v>2987</v>
      </c>
      <c r="I24" s="374" t="s">
        <v>2987</v>
      </c>
      <c r="J24" s="421" t="s">
        <v>3183</v>
      </c>
      <c r="K24" s="423" t="s">
        <v>3187</v>
      </c>
      <c r="L24" s="329">
        <f>CONTINUA!BV24</f>
        <v>0</v>
      </c>
      <c r="M24" s="329">
        <f>CONTINUA!BW24</f>
        <v>0</v>
      </c>
      <c r="N24" s="895"/>
      <c r="O24" s="896" t="s">
        <v>3347</v>
      </c>
      <c r="P24" s="897">
        <v>0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3205</v>
      </c>
      <c r="B25" s="378" t="s">
        <v>3206</v>
      </c>
      <c r="C25" s="379" t="s">
        <v>3190</v>
      </c>
      <c r="D25" s="380" t="s">
        <v>3207</v>
      </c>
      <c r="E25" s="380" t="s">
        <v>3208</v>
      </c>
      <c r="F25" s="381" t="s">
        <v>3181</v>
      </c>
      <c r="G25" s="381" t="s">
        <v>3182</v>
      </c>
      <c r="H25" s="382" t="s">
        <v>2987</v>
      </c>
      <c r="I25" s="383" t="s">
        <v>2987</v>
      </c>
      <c r="J25" s="421" t="s">
        <v>3183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3347</v>
      </c>
      <c r="P25" s="897">
        <v>0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3209</v>
      </c>
      <c r="B26" s="522" t="s">
        <v>3210</v>
      </c>
      <c r="C26" s="523">
        <v>1</v>
      </c>
      <c r="D26" s="524" t="s">
        <v>3211</v>
      </c>
      <c r="E26" s="524" t="s">
        <v>3212</v>
      </c>
      <c r="F26" s="525" t="s">
        <v>3181</v>
      </c>
      <c r="G26" s="525" t="s">
        <v>3182</v>
      </c>
      <c r="H26" s="350" t="s">
        <v>2989</v>
      </c>
      <c r="I26" s="351" t="s">
        <v>2989</v>
      </c>
      <c r="J26" s="409" t="s">
        <v>3183</v>
      </c>
      <c r="K26" s="410" t="s">
        <v>3184</v>
      </c>
      <c r="L26" s="329">
        <f>CONTINUA!BV26</f>
        <v>0</v>
      </c>
      <c r="M26" s="329">
        <f>CONTINUA!BW26</f>
        <v>0</v>
      </c>
      <c r="N26" s="895"/>
      <c r="O26" s="896" t="s">
        <v>3348</v>
      </c>
      <c r="P26" s="897">
        <v>0</v>
      </c>
      <c r="Q26" s="400">
        <v>53</v>
      </c>
      <c r="R26" s="401"/>
      <c r="S26" s="400"/>
      <c r="T26" s="401"/>
      <c r="U26" s="400">
        <v>1</v>
      </c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>
        <v>1</v>
      </c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>
        <v>-1</v>
      </c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53</v>
      </c>
      <c r="EQ26" s="171">
        <f t="shared" si="23"/>
        <v>1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54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21746.03</v>
      </c>
      <c r="EY26" s="174">
        <f>(L26*regular)+(M26*Cadeirantee)</f>
        <v>0</v>
      </c>
      <c r="EZ26" s="249">
        <f>SUMIF(FG26:GJ26,"&gt;0")</f>
        <v>693.41399999999999</v>
      </c>
      <c r="FA26" s="249">
        <f>SUMIF(FG26:GJ26,"&lt;0")+SUMIF(GN26:HP26,"&lt;0")</f>
        <v>-154.09200000000001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22285.351999999999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21746.03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372.38900000000001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321.02500000000003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-154.09200000000001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3209</v>
      </c>
      <c r="B27" s="369" t="s">
        <v>3210</v>
      </c>
      <c r="C27" s="370" t="s">
        <v>3190</v>
      </c>
      <c r="D27" s="371" t="s">
        <v>3211</v>
      </c>
      <c r="E27" s="371" t="s">
        <v>3212</v>
      </c>
      <c r="F27" s="372" t="s">
        <v>3181</v>
      </c>
      <c r="G27" s="372" t="s">
        <v>3182</v>
      </c>
      <c r="H27" s="373" t="s">
        <v>2989</v>
      </c>
      <c r="I27" s="374" t="s">
        <v>2989</v>
      </c>
      <c r="J27" s="421" t="s">
        <v>3183</v>
      </c>
      <c r="K27" s="421" t="s">
        <v>3185</v>
      </c>
      <c r="L27" s="329">
        <f>CONTINUA!BV27</f>
        <v>0</v>
      </c>
      <c r="M27" s="329">
        <f>CONTINUA!BW27</f>
        <v>0</v>
      </c>
      <c r="N27" s="895"/>
      <c r="O27" s="896" t="s">
        <v>3348</v>
      </c>
      <c r="P27" s="897">
        <v>0</v>
      </c>
      <c r="Q27" s="400"/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0</v>
      </c>
      <c r="EQ27" s="171">
        <f t="shared" si="23"/>
        <v>0</v>
      </c>
      <c r="ER27" s="171">
        <f t="shared" si="24"/>
        <v>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0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3209</v>
      </c>
      <c r="B28" s="369" t="s">
        <v>3210</v>
      </c>
      <c r="C28" s="375" t="s">
        <v>3190</v>
      </c>
      <c r="D28" s="371" t="s">
        <v>3211</v>
      </c>
      <c r="E28" s="371" t="s">
        <v>3212</v>
      </c>
      <c r="F28" s="376" t="s">
        <v>3181</v>
      </c>
      <c r="G28" s="376" t="s">
        <v>3182</v>
      </c>
      <c r="H28" s="373" t="s">
        <v>2989</v>
      </c>
      <c r="I28" s="374" t="s">
        <v>2989</v>
      </c>
      <c r="J28" s="421" t="s">
        <v>3183</v>
      </c>
      <c r="K28" s="422" t="s">
        <v>3186</v>
      </c>
      <c r="L28" s="329">
        <f>CONTINUA!BV28</f>
        <v>0</v>
      </c>
      <c r="M28" s="329">
        <f>CONTINUA!BW28</f>
        <v>0</v>
      </c>
      <c r="N28" s="895"/>
      <c r="O28" s="896" t="s">
        <v>3348</v>
      </c>
      <c r="P28" s="897">
        <v>0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3209</v>
      </c>
      <c r="B29" s="369" t="s">
        <v>3210</v>
      </c>
      <c r="C29" s="375" t="s">
        <v>3190</v>
      </c>
      <c r="D29" s="371" t="s">
        <v>3211</v>
      </c>
      <c r="E29" s="371" t="s">
        <v>3212</v>
      </c>
      <c r="F29" s="376" t="s">
        <v>3181</v>
      </c>
      <c r="G29" s="376" t="s">
        <v>3182</v>
      </c>
      <c r="H29" s="373" t="s">
        <v>2989</v>
      </c>
      <c r="I29" s="374" t="s">
        <v>2989</v>
      </c>
      <c r="J29" s="421" t="s">
        <v>3183</v>
      </c>
      <c r="K29" s="423" t="s">
        <v>3187</v>
      </c>
      <c r="L29" s="329">
        <f>CONTINUA!BV29</f>
        <v>0</v>
      </c>
      <c r="M29" s="329">
        <f>CONTINUA!BW29</f>
        <v>0</v>
      </c>
      <c r="N29" s="895"/>
      <c r="O29" s="896" t="s">
        <v>3348</v>
      </c>
      <c r="P29" s="897">
        <v>0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3209</v>
      </c>
      <c r="B30" s="378" t="s">
        <v>3210</v>
      </c>
      <c r="C30" s="379" t="s">
        <v>3190</v>
      </c>
      <c r="D30" s="380" t="s">
        <v>3211</v>
      </c>
      <c r="E30" s="380" t="s">
        <v>3212</v>
      </c>
      <c r="F30" s="381" t="s">
        <v>3181</v>
      </c>
      <c r="G30" s="381" t="s">
        <v>3182</v>
      </c>
      <c r="H30" s="382" t="s">
        <v>2989</v>
      </c>
      <c r="I30" s="383" t="s">
        <v>2989</v>
      </c>
      <c r="J30" s="421" t="s">
        <v>3183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3348</v>
      </c>
      <c r="P30" s="897">
        <v>0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3213</v>
      </c>
      <c r="B31" s="522" t="s">
        <v>3214</v>
      </c>
      <c r="C31" s="523">
        <v>1</v>
      </c>
      <c r="D31" s="524" t="s">
        <v>3215</v>
      </c>
      <c r="E31" s="524" t="s">
        <v>3216</v>
      </c>
      <c r="F31" s="525" t="s">
        <v>3181</v>
      </c>
      <c r="G31" s="525" t="s">
        <v>3182</v>
      </c>
      <c r="H31" s="350" t="s">
        <v>2990</v>
      </c>
      <c r="I31" s="351" t="s">
        <v>2990</v>
      </c>
      <c r="J31" s="409" t="s">
        <v>3183</v>
      </c>
      <c r="K31" s="410" t="s">
        <v>3184</v>
      </c>
      <c r="L31" s="329">
        <f>CONTINUA!BV31</f>
        <v>0</v>
      </c>
      <c r="M31" s="329">
        <f>CONTINUA!BW31</f>
        <v>0</v>
      </c>
      <c r="N31" s="895"/>
      <c r="O31" s="896" t="s">
        <v>3349</v>
      </c>
      <c r="P31" s="897">
        <v>0</v>
      </c>
      <c r="Q31" s="400"/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0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0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21746.03</v>
      </c>
      <c r="EY31" s="174">
        <f>(L31*regular)+(M31*Cadeirantee)</f>
        <v>0</v>
      </c>
      <c r="EZ31" s="249">
        <f>SUMIF(FG31:GJ31,"&gt;0")</f>
        <v>1386.8280000000002</v>
      </c>
      <c r="FA31" s="249">
        <f>SUMIF(FG31:GJ31,"&lt;0")+SUMIF(GN31:HP31,"&lt;0")</f>
        <v>-500.79900000000004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22632.059000000001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21746.03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1386.8280000000002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-500.79900000000004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3213</v>
      </c>
      <c r="B32" s="369" t="s">
        <v>3214</v>
      </c>
      <c r="C32" s="370" t="s">
        <v>3190</v>
      </c>
      <c r="D32" s="371" t="s">
        <v>3215</v>
      </c>
      <c r="E32" s="371" t="s">
        <v>3216</v>
      </c>
      <c r="F32" s="372" t="s">
        <v>3181</v>
      </c>
      <c r="G32" s="372" t="s">
        <v>3182</v>
      </c>
      <c r="H32" s="373" t="s">
        <v>2990</v>
      </c>
      <c r="I32" s="374" t="s">
        <v>2990</v>
      </c>
      <c r="J32" s="421" t="s">
        <v>3183</v>
      </c>
      <c r="K32" s="421" t="s">
        <v>3185</v>
      </c>
      <c r="L32" s="329">
        <f>CONTINUA!BV32</f>
        <v>0</v>
      </c>
      <c r="M32" s="329">
        <f>CONTINUA!BW32</f>
        <v>0</v>
      </c>
      <c r="N32" s="895"/>
      <c r="O32" s="896" t="s">
        <v>3349</v>
      </c>
      <c r="P32" s="897">
        <v>0</v>
      </c>
      <c r="Q32" s="400">
        <v>53</v>
      </c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>
        <v>4</v>
      </c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>
        <v>-3</v>
      </c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53</v>
      </c>
      <c r="EQ32" s="171">
        <f t="shared" si="23"/>
        <v>1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54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3213</v>
      </c>
      <c r="B33" s="369" t="s">
        <v>3214</v>
      </c>
      <c r="C33" s="375" t="s">
        <v>3190</v>
      </c>
      <c r="D33" s="371" t="s">
        <v>3215</v>
      </c>
      <c r="E33" s="371" t="s">
        <v>3216</v>
      </c>
      <c r="F33" s="376" t="s">
        <v>3181</v>
      </c>
      <c r="G33" s="376" t="s">
        <v>3182</v>
      </c>
      <c r="H33" s="373" t="s">
        <v>2990</v>
      </c>
      <c r="I33" s="374" t="s">
        <v>2990</v>
      </c>
      <c r="J33" s="421" t="s">
        <v>3183</v>
      </c>
      <c r="K33" s="422" t="s">
        <v>3186</v>
      </c>
      <c r="L33" s="329">
        <f>CONTINUA!BV33</f>
        <v>0</v>
      </c>
      <c r="M33" s="329">
        <f>CONTINUA!BW33</f>
        <v>0</v>
      </c>
      <c r="N33" s="895"/>
      <c r="O33" s="896" t="s">
        <v>3349</v>
      </c>
      <c r="P33" s="897">
        <v>0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3213</v>
      </c>
      <c r="B34" s="369" t="s">
        <v>3214</v>
      </c>
      <c r="C34" s="375" t="s">
        <v>3190</v>
      </c>
      <c r="D34" s="371" t="s">
        <v>3215</v>
      </c>
      <c r="E34" s="371" t="s">
        <v>3216</v>
      </c>
      <c r="F34" s="376" t="s">
        <v>3181</v>
      </c>
      <c r="G34" s="376" t="s">
        <v>3182</v>
      </c>
      <c r="H34" s="373" t="s">
        <v>2990</v>
      </c>
      <c r="I34" s="374" t="s">
        <v>2990</v>
      </c>
      <c r="J34" s="421" t="s">
        <v>3183</v>
      </c>
      <c r="K34" s="423" t="s">
        <v>3187</v>
      </c>
      <c r="L34" s="329">
        <f>CONTINUA!BV34</f>
        <v>0</v>
      </c>
      <c r="M34" s="329">
        <f>CONTINUA!BW34</f>
        <v>0</v>
      </c>
      <c r="N34" s="895"/>
      <c r="O34" s="896" t="s">
        <v>3349</v>
      </c>
      <c r="P34" s="897">
        <v>0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3213</v>
      </c>
      <c r="B35" s="378" t="s">
        <v>3214</v>
      </c>
      <c r="C35" s="379" t="s">
        <v>3190</v>
      </c>
      <c r="D35" s="380" t="s">
        <v>3215</v>
      </c>
      <c r="E35" s="380" t="s">
        <v>3216</v>
      </c>
      <c r="F35" s="381" t="s">
        <v>3181</v>
      </c>
      <c r="G35" s="381" t="s">
        <v>3182</v>
      </c>
      <c r="H35" s="382" t="s">
        <v>2990</v>
      </c>
      <c r="I35" s="383" t="s">
        <v>2990</v>
      </c>
      <c r="J35" s="421" t="s">
        <v>3183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3349</v>
      </c>
      <c r="P35" s="897">
        <v>0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3217</v>
      </c>
      <c r="B36" s="522" t="s">
        <v>3218</v>
      </c>
      <c r="C36" s="523">
        <v>4</v>
      </c>
      <c r="D36" s="524" t="s">
        <v>3219</v>
      </c>
      <c r="E36" s="524" t="s">
        <v>3220</v>
      </c>
      <c r="F36" s="525" t="s">
        <v>3181</v>
      </c>
      <c r="G36" s="525" t="s">
        <v>3182</v>
      </c>
      <c r="H36" s="350" t="s">
        <v>2992</v>
      </c>
      <c r="I36" s="351" t="s">
        <v>2992</v>
      </c>
      <c r="J36" s="409" t="s">
        <v>3183</v>
      </c>
      <c r="K36" s="410" t="s">
        <v>3184</v>
      </c>
      <c r="L36" s="329">
        <f>CONTINUA!BV36</f>
        <v>0</v>
      </c>
      <c r="M36" s="329">
        <f>CONTINUA!BW36</f>
        <v>0</v>
      </c>
      <c r="N36" s="895"/>
      <c r="O36" s="896" t="s">
        <v>3350</v>
      </c>
      <c r="P36" s="897">
        <v>0</v>
      </c>
      <c r="Q36" s="400"/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0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0</v>
      </c>
      <c r="EW36" s="367">
        <f>IF(C36=4,IF(MAX(Q36:EJ38)&gt;0,(Especiall/30*(IF(($G36-$F36)=($G$5-$F$5),30,IF(DAY($G36)=31,($G36-$F36),($G36-$F36)+1)))),0),0)</f>
        <v>11465.63</v>
      </c>
      <c r="EX36" s="248">
        <f t="shared" ref="EX36:EX39" si="55">FF36</f>
        <v>3081.84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14547.47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3081.84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3217</v>
      </c>
      <c r="B37" s="369" t="s">
        <v>3218</v>
      </c>
      <c r="C37" s="370" t="s">
        <v>3191</v>
      </c>
      <c r="D37" s="371" t="s">
        <v>3219</v>
      </c>
      <c r="E37" s="371" t="s">
        <v>3220</v>
      </c>
      <c r="F37" s="372" t="s">
        <v>3181</v>
      </c>
      <c r="G37" s="372" t="s">
        <v>3182</v>
      </c>
      <c r="H37" s="373" t="s">
        <v>2992</v>
      </c>
      <c r="I37" s="374" t="s">
        <v>2992</v>
      </c>
      <c r="J37" s="421" t="s">
        <v>3183</v>
      </c>
      <c r="K37" s="421" t="s">
        <v>3185</v>
      </c>
      <c r="L37" s="329">
        <f>CONTINUA!BV37</f>
        <v>0</v>
      </c>
      <c r="M37" s="329">
        <f>CONTINUA!BW37</f>
        <v>0</v>
      </c>
      <c r="N37" s="895"/>
      <c r="O37" s="896" t="s">
        <v>3350</v>
      </c>
      <c r="P37" s="897">
        <v>0</v>
      </c>
      <c r="Q37" s="400"/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0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0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3217</v>
      </c>
      <c r="B38" s="369" t="s">
        <v>3218</v>
      </c>
      <c r="C38" s="375" t="s">
        <v>3191</v>
      </c>
      <c r="D38" s="371" t="s">
        <v>3219</v>
      </c>
      <c r="E38" s="371" t="s">
        <v>3220</v>
      </c>
      <c r="F38" s="376" t="s">
        <v>3181</v>
      </c>
      <c r="G38" s="376" t="s">
        <v>3182</v>
      </c>
      <c r="H38" s="373" t="s">
        <v>2992</v>
      </c>
      <c r="I38" s="374" t="s">
        <v>2992</v>
      </c>
      <c r="J38" s="421" t="s">
        <v>3183</v>
      </c>
      <c r="K38" s="422" t="s">
        <v>3186</v>
      </c>
      <c r="L38" s="329">
        <f>CONTINUA!BV38</f>
        <v>0</v>
      </c>
      <c r="M38" s="329">
        <f>CONTINUA!BW38</f>
        <v>0</v>
      </c>
      <c r="N38" s="895"/>
      <c r="O38" s="896" t="s">
        <v>3350</v>
      </c>
      <c r="P38" s="897">
        <v>0</v>
      </c>
      <c r="Q38" s="400">
        <v>8</v>
      </c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8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8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3217</v>
      </c>
      <c r="B39" s="369" t="s">
        <v>3218</v>
      </c>
      <c r="C39" s="375" t="s">
        <v>3191</v>
      </c>
      <c r="D39" s="371" t="s">
        <v>3219</v>
      </c>
      <c r="E39" s="371" t="s">
        <v>3220</v>
      </c>
      <c r="F39" s="376" t="s">
        <v>3181</v>
      </c>
      <c r="G39" s="376" t="s">
        <v>3182</v>
      </c>
      <c r="H39" s="373" t="s">
        <v>2992</v>
      </c>
      <c r="I39" s="374" t="s">
        <v>2992</v>
      </c>
      <c r="J39" s="421" t="s">
        <v>3183</v>
      </c>
      <c r="K39" s="423" t="s">
        <v>3187</v>
      </c>
      <c r="L39" s="329">
        <f>CONTINUA!BV39</f>
        <v>0</v>
      </c>
      <c r="M39" s="329">
        <f>CONTINUA!BW39</f>
        <v>0</v>
      </c>
      <c r="N39" s="895"/>
      <c r="O39" s="896" t="s">
        <v>3350</v>
      </c>
      <c r="P39" s="897">
        <v>0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3217</v>
      </c>
      <c r="B40" s="378" t="s">
        <v>3218</v>
      </c>
      <c r="C40" s="379" t="s">
        <v>3191</v>
      </c>
      <c r="D40" s="380" t="s">
        <v>3219</v>
      </c>
      <c r="E40" s="380" t="s">
        <v>3220</v>
      </c>
      <c r="F40" s="381" t="s">
        <v>3181</v>
      </c>
      <c r="G40" s="381" t="s">
        <v>3182</v>
      </c>
      <c r="H40" s="382" t="s">
        <v>2992</v>
      </c>
      <c r="I40" s="383" t="s">
        <v>2992</v>
      </c>
      <c r="J40" s="421" t="s">
        <v>3183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3350</v>
      </c>
      <c r="P40" s="897">
        <v>0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3221</v>
      </c>
      <c r="B41" s="522" t="s">
        <v>3222</v>
      </c>
      <c r="C41" s="523">
        <v>1</v>
      </c>
      <c r="D41" s="524" t="s">
        <v>3223</v>
      </c>
      <c r="E41" s="524" t="s">
        <v>3224</v>
      </c>
      <c r="F41" s="525" t="s">
        <v>3181</v>
      </c>
      <c r="G41" s="525" t="s">
        <v>3182</v>
      </c>
      <c r="H41" s="350" t="s">
        <v>2993</v>
      </c>
      <c r="I41" s="351" t="s">
        <v>2993</v>
      </c>
      <c r="J41" s="409" t="s">
        <v>3183</v>
      </c>
      <c r="K41" s="410" t="s">
        <v>3184</v>
      </c>
      <c r="L41" s="329">
        <f>CONTINUA!BV41</f>
        <v>0</v>
      </c>
      <c r="M41" s="329">
        <f>CONTINUA!BW41</f>
        <v>0</v>
      </c>
      <c r="N41" s="895"/>
      <c r="O41" s="896" t="s">
        <v>3351</v>
      </c>
      <c r="P41" s="897">
        <v>0</v>
      </c>
      <c r="Q41" s="400">
        <v>8</v>
      </c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8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8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19819.88</v>
      </c>
      <c r="EY41" s="174">
        <f>(L41*regular)+(M41*Cadeirantee)</f>
        <v>0</v>
      </c>
      <c r="EZ41" s="249">
        <f>SUMIF(FG41:GJ41,"&gt;0")</f>
        <v>115.56900000000002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19935.449000000001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19819.88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115.56900000000002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3221</v>
      </c>
      <c r="B42" s="369" t="s">
        <v>3222</v>
      </c>
      <c r="C42" s="370" t="s">
        <v>3190</v>
      </c>
      <c r="D42" s="371" t="s">
        <v>3223</v>
      </c>
      <c r="E42" s="371" t="s">
        <v>3224</v>
      </c>
      <c r="F42" s="372" t="s">
        <v>3181</v>
      </c>
      <c r="G42" s="372" t="s">
        <v>3182</v>
      </c>
      <c r="H42" s="373" t="s">
        <v>2993</v>
      </c>
      <c r="I42" s="374" t="s">
        <v>2993</v>
      </c>
      <c r="J42" s="421" t="s">
        <v>3183</v>
      </c>
      <c r="K42" s="421" t="s">
        <v>3185</v>
      </c>
      <c r="L42" s="329">
        <f>CONTINUA!BV42</f>
        <v>0</v>
      </c>
      <c r="M42" s="329">
        <f>CONTINUA!BW42</f>
        <v>0</v>
      </c>
      <c r="N42" s="895"/>
      <c r="O42" s="896" t="s">
        <v>3351</v>
      </c>
      <c r="P42" s="897">
        <v>0</v>
      </c>
      <c r="Q42" s="400">
        <v>39</v>
      </c>
      <c r="R42" s="401"/>
      <c r="S42" s="400">
        <v>1</v>
      </c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>
        <v>1</v>
      </c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39</v>
      </c>
      <c r="EQ42" s="171">
        <f t="shared" si="23"/>
        <v>1</v>
      </c>
      <c r="ER42" s="171">
        <f t="shared" si="24"/>
        <v>1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41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3221</v>
      </c>
      <c r="B43" s="369" t="s">
        <v>3222</v>
      </c>
      <c r="C43" s="375" t="s">
        <v>3190</v>
      </c>
      <c r="D43" s="371" t="s">
        <v>3223</v>
      </c>
      <c r="E43" s="371" t="s">
        <v>3224</v>
      </c>
      <c r="F43" s="376" t="s">
        <v>3181</v>
      </c>
      <c r="G43" s="376" t="s">
        <v>3182</v>
      </c>
      <c r="H43" s="373" t="s">
        <v>2993</v>
      </c>
      <c r="I43" s="374" t="s">
        <v>2993</v>
      </c>
      <c r="J43" s="421" t="s">
        <v>3183</v>
      </c>
      <c r="K43" s="422" t="s">
        <v>3186</v>
      </c>
      <c r="L43" s="329">
        <f>CONTINUA!BV43</f>
        <v>0</v>
      </c>
      <c r="M43" s="329">
        <f>CONTINUA!BW43</f>
        <v>0</v>
      </c>
      <c r="N43" s="895"/>
      <c r="O43" s="896" t="s">
        <v>3351</v>
      </c>
      <c r="P43" s="897">
        <v>0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3221</v>
      </c>
      <c r="B44" s="369" t="s">
        <v>3222</v>
      </c>
      <c r="C44" s="375" t="s">
        <v>3190</v>
      </c>
      <c r="D44" s="371" t="s">
        <v>3223</v>
      </c>
      <c r="E44" s="371" t="s">
        <v>3224</v>
      </c>
      <c r="F44" s="376" t="s">
        <v>3181</v>
      </c>
      <c r="G44" s="376" t="s">
        <v>3182</v>
      </c>
      <c r="H44" s="373" t="s">
        <v>2993</v>
      </c>
      <c r="I44" s="374" t="s">
        <v>2993</v>
      </c>
      <c r="J44" s="421" t="s">
        <v>3183</v>
      </c>
      <c r="K44" s="423" t="s">
        <v>3187</v>
      </c>
      <c r="L44" s="329">
        <f>CONTINUA!BV44</f>
        <v>0</v>
      </c>
      <c r="M44" s="329">
        <f>CONTINUA!BW44</f>
        <v>0</v>
      </c>
      <c r="N44" s="895"/>
      <c r="O44" s="896" t="s">
        <v>3351</v>
      </c>
      <c r="P44" s="897">
        <v>0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3221</v>
      </c>
      <c r="B45" s="378" t="s">
        <v>3222</v>
      </c>
      <c r="C45" s="379" t="s">
        <v>3190</v>
      </c>
      <c r="D45" s="380" t="s">
        <v>3223</v>
      </c>
      <c r="E45" s="380" t="s">
        <v>3224</v>
      </c>
      <c r="F45" s="381" t="s">
        <v>3181</v>
      </c>
      <c r="G45" s="381" t="s">
        <v>3182</v>
      </c>
      <c r="H45" s="382" t="s">
        <v>2993</v>
      </c>
      <c r="I45" s="383" t="s">
        <v>2993</v>
      </c>
      <c r="J45" s="421" t="s">
        <v>3183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3351</v>
      </c>
      <c r="P45" s="897">
        <v>0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3225</v>
      </c>
      <c r="B46" s="522" t="s">
        <v>3226</v>
      </c>
      <c r="C46" s="523">
        <v>1</v>
      </c>
      <c r="D46" s="524" t="s">
        <v>3227</v>
      </c>
      <c r="E46" s="524" t="s">
        <v>3228</v>
      </c>
      <c r="F46" s="525" t="s">
        <v>3181</v>
      </c>
      <c r="G46" s="525" t="s">
        <v>3182</v>
      </c>
      <c r="H46" s="350" t="s">
        <v>2995</v>
      </c>
      <c r="I46" s="351" t="s">
        <v>2995</v>
      </c>
      <c r="J46" s="409" t="s">
        <v>3183</v>
      </c>
      <c r="K46" s="410" t="s">
        <v>3184</v>
      </c>
      <c r="L46" s="329">
        <f>CONTINUA!BV46</f>
        <v>0</v>
      </c>
      <c r="M46" s="329">
        <f>CONTINUA!BW46</f>
        <v>0</v>
      </c>
      <c r="N46" s="895"/>
      <c r="O46" s="896" t="s">
        <v>3352</v>
      </c>
      <c r="P46" s="897">
        <v>0</v>
      </c>
      <c r="Q46" s="400"/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0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23286.95</v>
      </c>
      <c r="EY46" s="174">
        <f>(L46*regular)+(M46*Cadeirantee)</f>
        <v>0</v>
      </c>
      <c r="EZ46" s="249">
        <f>SUMIF(FG46:GJ46,"&gt;0")</f>
        <v>680.57300000000009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24006.083000000002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23286.95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372.38900000000001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308.18400000000003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3225</v>
      </c>
      <c r="B47" s="369" t="s">
        <v>3226</v>
      </c>
      <c r="C47" s="370" t="s">
        <v>3190</v>
      </c>
      <c r="D47" s="371" t="s">
        <v>3227</v>
      </c>
      <c r="E47" s="371" t="s">
        <v>3228</v>
      </c>
      <c r="F47" s="372" t="s">
        <v>3181</v>
      </c>
      <c r="G47" s="372" t="s">
        <v>3182</v>
      </c>
      <c r="H47" s="373" t="s">
        <v>2995</v>
      </c>
      <c r="I47" s="374" t="s">
        <v>2995</v>
      </c>
      <c r="J47" s="421" t="s">
        <v>3183</v>
      </c>
      <c r="K47" s="421" t="s">
        <v>3185</v>
      </c>
      <c r="L47" s="329">
        <f>CONTINUA!BV47</f>
        <v>4</v>
      </c>
      <c r="M47" s="329">
        <f>CONTINUA!BW47</f>
        <v>0</v>
      </c>
      <c r="N47" s="895"/>
      <c r="O47" s="896" t="s">
        <v>3352</v>
      </c>
      <c r="P47" s="897">
        <v>0</v>
      </c>
      <c r="Q47" s="400">
        <v>57</v>
      </c>
      <c r="R47" s="401"/>
      <c r="S47" s="400"/>
      <c r="T47" s="401"/>
      <c r="U47" s="400">
        <v>1</v>
      </c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>
        <v>1</v>
      </c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57</v>
      </c>
      <c r="EQ47" s="171">
        <f t="shared" si="23"/>
        <v>1</v>
      </c>
      <c r="ER47" s="171">
        <f t="shared" si="24"/>
        <v>1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59</v>
      </c>
      <c r="EW47" s="173"/>
      <c r="EX47" s="248">
        <f t="shared" si="65"/>
        <v>0</v>
      </c>
      <c r="EY47" s="174">
        <f>(L47*regular)+(M47*Cadeirantee)</f>
        <v>38.56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3225</v>
      </c>
      <c r="B48" s="369" t="s">
        <v>3226</v>
      </c>
      <c r="C48" s="375" t="s">
        <v>3190</v>
      </c>
      <c r="D48" s="371" t="s">
        <v>3227</v>
      </c>
      <c r="E48" s="371" t="s">
        <v>3228</v>
      </c>
      <c r="F48" s="376" t="s">
        <v>3181</v>
      </c>
      <c r="G48" s="376" t="s">
        <v>3182</v>
      </c>
      <c r="H48" s="373" t="s">
        <v>2995</v>
      </c>
      <c r="I48" s="374" t="s">
        <v>2995</v>
      </c>
      <c r="J48" s="421" t="s">
        <v>3183</v>
      </c>
      <c r="K48" s="422" t="s">
        <v>3186</v>
      </c>
      <c r="L48" s="329">
        <f>CONTINUA!BV48</f>
        <v>0</v>
      </c>
      <c r="M48" s="329">
        <f>CONTINUA!BW48</f>
        <v>0</v>
      </c>
      <c r="N48" s="895"/>
      <c r="O48" s="896" t="s">
        <v>3352</v>
      </c>
      <c r="P48" s="897">
        <v>0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3225</v>
      </c>
      <c r="B49" s="369" t="s">
        <v>3226</v>
      </c>
      <c r="C49" s="375" t="s">
        <v>3190</v>
      </c>
      <c r="D49" s="371" t="s">
        <v>3227</v>
      </c>
      <c r="E49" s="371" t="s">
        <v>3228</v>
      </c>
      <c r="F49" s="376" t="s">
        <v>3181</v>
      </c>
      <c r="G49" s="376" t="s">
        <v>3182</v>
      </c>
      <c r="H49" s="373" t="s">
        <v>2995</v>
      </c>
      <c r="I49" s="374" t="s">
        <v>2995</v>
      </c>
      <c r="J49" s="421" t="s">
        <v>3183</v>
      </c>
      <c r="K49" s="423" t="s">
        <v>3187</v>
      </c>
      <c r="L49" s="329">
        <f>CONTINUA!BV49</f>
        <v>0</v>
      </c>
      <c r="M49" s="329">
        <f>CONTINUA!BW49</f>
        <v>0</v>
      </c>
      <c r="N49" s="895"/>
      <c r="O49" s="896" t="s">
        <v>3352</v>
      </c>
      <c r="P49" s="897">
        <v>0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3225</v>
      </c>
      <c r="B50" s="378" t="s">
        <v>3226</v>
      </c>
      <c r="C50" s="379" t="s">
        <v>3190</v>
      </c>
      <c r="D50" s="380" t="s">
        <v>3227</v>
      </c>
      <c r="E50" s="380" t="s">
        <v>3228</v>
      </c>
      <c r="F50" s="381" t="s">
        <v>3181</v>
      </c>
      <c r="G50" s="381" t="s">
        <v>3182</v>
      </c>
      <c r="H50" s="382" t="s">
        <v>2995</v>
      </c>
      <c r="I50" s="383" t="s">
        <v>2995</v>
      </c>
      <c r="J50" s="421" t="s">
        <v>3183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3352</v>
      </c>
      <c r="P50" s="897">
        <v>0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3229</v>
      </c>
      <c r="B51" s="522" t="s">
        <v>3230</v>
      </c>
      <c r="C51" s="523">
        <v>1</v>
      </c>
      <c r="D51" s="524" t="s">
        <v>3231</v>
      </c>
      <c r="E51" s="524" t="s">
        <v>3232</v>
      </c>
      <c r="F51" s="525" t="s">
        <v>3181</v>
      </c>
      <c r="G51" s="525" t="s">
        <v>3182</v>
      </c>
      <c r="H51" s="350" t="s">
        <v>2997</v>
      </c>
      <c r="I51" s="351" t="s">
        <v>2997</v>
      </c>
      <c r="J51" s="409" t="s">
        <v>3183</v>
      </c>
      <c r="K51" s="410" t="s">
        <v>3184</v>
      </c>
      <c r="L51" s="329">
        <f>CONTINUA!BV51</f>
        <v>0</v>
      </c>
      <c r="M51" s="329">
        <f>CONTINUA!BW51</f>
        <v>0</v>
      </c>
      <c r="N51" s="895"/>
      <c r="O51" s="896" t="s">
        <v>3353</v>
      </c>
      <c r="P51" s="897">
        <v>0</v>
      </c>
      <c r="Q51" s="400">
        <v>19</v>
      </c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>
        <v>1</v>
      </c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19</v>
      </c>
      <c r="EQ51" s="171">
        <f t="shared" si="23"/>
        <v>1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20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21746.03</v>
      </c>
      <c r="EY51" s="174">
        <f>(L51*regular)+(M51*Cadeirantee)</f>
        <v>0</v>
      </c>
      <c r="EZ51" s="249">
        <f>SUMIF(FG51:GJ51,"&gt;0")</f>
        <v>500.79900000000004</v>
      </c>
      <c r="FA51" s="249">
        <f>SUMIF(FG51:GJ51,"&lt;0")+SUMIF(GN51:HP51,"&lt;0")</f>
        <v>-590.68600000000004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21954.982999999997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21746.03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308.18400000000003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-590.68600000000004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192.61500000000001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3229</v>
      </c>
      <c r="B52" s="369" t="s">
        <v>3230</v>
      </c>
      <c r="C52" s="370" t="s">
        <v>3190</v>
      </c>
      <c r="D52" s="371" t="s">
        <v>3231</v>
      </c>
      <c r="E52" s="371" t="s">
        <v>3232</v>
      </c>
      <c r="F52" s="372" t="s">
        <v>3181</v>
      </c>
      <c r="G52" s="372" t="s">
        <v>3182</v>
      </c>
      <c r="H52" s="373" t="s">
        <v>2997</v>
      </c>
      <c r="I52" s="374" t="s">
        <v>2997</v>
      </c>
      <c r="J52" s="421" t="s">
        <v>3183</v>
      </c>
      <c r="K52" s="421" t="s">
        <v>3185</v>
      </c>
      <c r="L52" s="329">
        <f>CONTINUA!BV52</f>
        <v>31</v>
      </c>
      <c r="M52" s="329">
        <f>CONTINUA!BW52</f>
        <v>0</v>
      </c>
      <c r="N52" s="895"/>
      <c r="O52" s="896" t="s">
        <v>3353</v>
      </c>
      <c r="P52" s="897">
        <v>0</v>
      </c>
      <c r="Q52" s="400">
        <v>32</v>
      </c>
      <c r="R52" s="401"/>
      <c r="S52" s="400">
        <v>2</v>
      </c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>
        <v>1</v>
      </c>
      <c r="AP52" s="401"/>
      <c r="AQ52" s="400"/>
      <c r="AR52" s="401"/>
      <c r="AS52" s="400">
        <v>-1</v>
      </c>
      <c r="AT52" s="401"/>
      <c r="AU52" s="400">
        <v>-1</v>
      </c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32</v>
      </c>
      <c r="EQ52" s="171">
        <f t="shared" si="23"/>
        <v>0</v>
      </c>
      <c r="ER52" s="171">
        <f t="shared" si="24"/>
        <v>1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33</v>
      </c>
      <c r="EW52" s="173"/>
      <c r="EX52" s="248">
        <f t="shared" si="70"/>
        <v>0</v>
      </c>
      <c r="EY52" s="174">
        <f>(L52*regular)+(M52*Cadeirantee)</f>
        <v>298.84000000000003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3229</v>
      </c>
      <c r="B53" s="369" t="s">
        <v>3230</v>
      </c>
      <c r="C53" s="375" t="s">
        <v>3190</v>
      </c>
      <c r="D53" s="371" t="s">
        <v>3231</v>
      </c>
      <c r="E53" s="371" t="s">
        <v>3232</v>
      </c>
      <c r="F53" s="376" t="s">
        <v>3181</v>
      </c>
      <c r="G53" s="376" t="s">
        <v>3182</v>
      </c>
      <c r="H53" s="373" t="s">
        <v>2997</v>
      </c>
      <c r="I53" s="374" t="s">
        <v>2997</v>
      </c>
      <c r="J53" s="421" t="s">
        <v>3183</v>
      </c>
      <c r="K53" s="422" t="s">
        <v>3186</v>
      </c>
      <c r="L53" s="329">
        <f>CONTINUA!BV53</f>
        <v>0</v>
      </c>
      <c r="M53" s="329">
        <f>CONTINUA!BW53</f>
        <v>0</v>
      </c>
      <c r="N53" s="895"/>
      <c r="O53" s="896" t="s">
        <v>3353</v>
      </c>
      <c r="P53" s="897">
        <v>0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3229</v>
      </c>
      <c r="B54" s="369" t="s">
        <v>3230</v>
      </c>
      <c r="C54" s="375" t="s">
        <v>3190</v>
      </c>
      <c r="D54" s="371" t="s">
        <v>3231</v>
      </c>
      <c r="E54" s="371" t="s">
        <v>3232</v>
      </c>
      <c r="F54" s="376" t="s">
        <v>3181</v>
      </c>
      <c r="G54" s="376" t="s">
        <v>3182</v>
      </c>
      <c r="H54" s="373" t="s">
        <v>2997</v>
      </c>
      <c r="I54" s="374" t="s">
        <v>2997</v>
      </c>
      <c r="J54" s="421" t="s">
        <v>3183</v>
      </c>
      <c r="K54" s="423" t="s">
        <v>3187</v>
      </c>
      <c r="L54" s="329">
        <f>CONTINUA!BV54</f>
        <v>0</v>
      </c>
      <c r="M54" s="329">
        <f>CONTINUA!BW54</f>
        <v>0</v>
      </c>
      <c r="N54" s="895"/>
      <c r="O54" s="896" t="s">
        <v>3353</v>
      </c>
      <c r="P54" s="897">
        <v>0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3229</v>
      </c>
      <c r="B55" s="378" t="s">
        <v>3230</v>
      </c>
      <c r="C55" s="379" t="s">
        <v>3190</v>
      </c>
      <c r="D55" s="380" t="s">
        <v>3231</v>
      </c>
      <c r="E55" s="380" t="s">
        <v>3232</v>
      </c>
      <c r="F55" s="381" t="s">
        <v>3181</v>
      </c>
      <c r="G55" s="381" t="s">
        <v>3182</v>
      </c>
      <c r="H55" s="382" t="s">
        <v>2997</v>
      </c>
      <c r="I55" s="383" t="s">
        <v>2997</v>
      </c>
      <c r="J55" s="421" t="s">
        <v>3183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3353</v>
      </c>
      <c r="P55" s="897">
        <v>0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3233</v>
      </c>
      <c r="B56" s="522" t="s">
        <v>3234</v>
      </c>
      <c r="C56" s="523">
        <v>1</v>
      </c>
      <c r="D56" s="524" t="s">
        <v>3235</v>
      </c>
      <c r="E56" s="524" t="s">
        <v>3236</v>
      </c>
      <c r="F56" s="525" t="s">
        <v>3181</v>
      </c>
      <c r="G56" s="525" t="s">
        <v>3182</v>
      </c>
      <c r="H56" s="350" t="s">
        <v>2998</v>
      </c>
      <c r="I56" s="351" t="s">
        <v>2998</v>
      </c>
      <c r="J56" s="409" t="s">
        <v>3183</v>
      </c>
      <c r="K56" s="410" t="s">
        <v>3184</v>
      </c>
      <c r="L56" s="329">
        <f>CONTINUA!BV56</f>
        <v>0</v>
      </c>
      <c r="M56" s="329">
        <f>CONTINUA!BW56</f>
        <v>0</v>
      </c>
      <c r="N56" s="895"/>
      <c r="O56" s="896" t="s">
        <v>3354</v>
      </c>
      <c r="P56" s="897">
        <v>0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19819.88</v>
      </c>
      <c r="EY56" s="174">
        <f>(L56*regular)+(M56*Cadeirantee)</f>
        <v>0</v>
      </c>
      <c r="EZ56" s="249">
        <f>SUMIF(FG56:GJ56,"&gt;0")</f>
        <v>1104.326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23178.116000000002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19819.88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321.02500000000003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282.50200000000001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269.661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231.13800000000003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3233</v>
      </c>
      <c r="B57" s="369" t="s">
        <v>3234</v>
      </c>
      <c r="C57" s="370" t="s">
        <v>3190</v>
      </c>
      <c r="D57" s="371" t="s">
        <v>3235</v>
      </c>
      <c r="E57" s="371" t="s">
        <v>3236</v>
      </c>
      <c r="F57" s="372" t="s">
        <v>3181</v>
      </c>
      <c r="G57" s="372" t="s">
        <v>3182</v>
      </c>
      <c r="H57" s="373" t="s">
        <v>2998</v>
      </c>
      <c r="I57" s="374" t="s">
        <v>2998</v>
      </c>
      <c r="J57" s="421" t="s">
        <v>3183</v>
      </c>
      <c r="K57" s="421" t="s">
        <v>3185</v>
      </c>
      <c r="L57" s="329">
        <f>CONTINUA!BV57</f>
        <v>34</v>
      </c>
      <c r="M57" s="329">
        <f>CONTINUA!BW57</f>
        <v>0</v>
      </c>
      <c r="N57" s="895"/>
      <c r="O57" s="896" t="s">
        <v>3354</v>
      </c>
      <c r="P57" s="897">
        <v>0</v>
      </c>
      <c r="Q57" s="400">
        <v>48</v>
      </c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>
        <v>1</v>
      </c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>
        <v>1</v>
      </c>
      <c r="AZ57" s="401"/>
      <c r="BA57" s="400">
        <v>1</v>
      </c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>
        <v>1</v>
      </c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48</v>
      </c>
      <c r="EQ57" s="171">
        <f t="shared" si="23"/>
        <v>1</v>
      </c>
      <c r="ER57" s="171">
        <f t="shared" si="24"/>
        <v>3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52</v>
      </c>
      <c r="EW57" s="173"/>
      <c r="EX57" s="248">
        <f t="shared" si="75"/>
        <v>0</v>
      </c>
      <c r="EY57" s="174">
        <f>(L57*regular)+(M57*Cadeirantee)</f>
        <v>327.76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3233</v>
      </c>
      <c r="B58" s="369" t="s">
        <v>3234</v>
      </c>
      <c r="C58" s="375" t="s">
        <v>3190</v>
      </c>
      <c r="D58" s="371" t="s">
        <v>3235</v>
      </c>
      <c r="E58" s="371" t="s">
        <v>3236</v>
      </c>
      <c r="F58" s="376" t="s">
        <v>3181</v>
      </c>
      <c r="G58" s="376" t="s">
        <v>3182</v>
      </c>
      <c r="H58" s="373" t="s">
        <v>2998</v>
      </c>
      <c r="I58" s="374" t="s">
        <v>2998</v>
      </c>
      <c r="J58" s="421" t="s">
        <v>3183</v>
      </c>
      <c r="K58" s="422" t="s">
        <v>3186</v>
      </c>
      <c r="L58" s="329">
        <f>CONTINUA!BV58</f>
        <v>0</v>
      </c>
      <c r="M58" s="329">
        <f>CONTINUA!BW58</f>
        <v>0</v>
      </c>
      <c r="N58" s="895"/>
      <c r="O58" s="896" t="s">
        <v>3354</v>
      </c>
      <c r="P58" s="897">
        <v>0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3233</v>
      </c>
      <c r="B59" s="369" t="s">
        <v>3234</v>
      </c>
      <c r="C59" s="375" t="s">
        <v>3190</v>
      </c>
      <c r="D59" s="371" t="s">
        <v>3235</v>
      </c>
      <c r="E59" s="371" t="s">
        <v>3236</v>
      </c>
      <c r="F59" s="376" t="s">
        <v>3181</v>
      </c>
      <c r="G59" s="376" t="s">
        <v>3182</v>
      </c>
      <c r="H59" s="373" t="s">
        <v>2998</v>
      </c>
      <c r="I59" s="374" t="s">
        <v>2998</v>
      </c>
      <c r="J59" s="421" t="s">
        <v>3183</v>
      </c>
      <c r="K59" s="423" t="s">
        <v>3187</v>
      </c>
      <c r="L59" s="329">
        <f>CONTINUA!BV59</f>
        <v>0</v>
      </c>
      <c r="M59" s="329">
        <f>CONTINUA!BW59</f>
        <v>0</v>
      </c>
      <c r="N59" s="895"/>
      <c r="O59" s="896" t="s">
        <v>3354</v>
      </c>
      <c r="P59" s="897">
        <v>0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3233</v>
      </c>
      <c r="B60" s="378" t="s">
        <v>3234</v>
      </c>
      <c r="C60" s="379" t="s">
        <v>3190</v>
      </c>
      <c r="D60" s="380" t="s">
        <v>3235</v>
      </c>
      <c r="E60" s="380" t="s">
        <v>3236</v>
      </c>
      <c r="F60" s="381" t="s">
        <v>3181</v>
      </c>
      <c r="G60" s="381" t="s">
        <v>3182</v>
      </c>
      <c r="H60" s="382" t="s">
        <v>2998</v>
      </c>
      <c r="I60" s="383" t="s">
        <v>2998</v>
      </c>
      <c r="J60" s="421" t="s">
        <v>3183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3354</v>
      </c>
      <c r="P60" s="897">
        <v>0</v>
      </c>
      <c r="Q60" s="400">
        <v>10</v>
      </c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10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10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1926.15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3852.3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3237</v>
      </c>
      <c r="B61" s="522" t="s">
        <v>3238</v>
      </c>
      <c r="C61" s="523">
        <v>1</v>
      </c>
      <c r="D61" s="524" t="s">
        <v>3239</v>
      </c>
      <c r="E61" s="524" t="s">
        <v>3240</v>
      </c>
      <c r="F61" s="525" t="s">
        <v>3181</v>
      </c>
      <c r="G61" s="525" t="s">
        <v>3182</v>
      </c>
      <c r="H61" s="350" t="s">
        <v>2999</v>
      </c>
      <c r="I61" s="351" t="s">
        <v>2999</v>
      </c>
      <c r="J61" s="409" t="s">
        <v>3183</v>
      </c>
      <c r="K61" s="410" t="s">
        <v>3184</v>
      </c>
      <c r="L61" s="329">
        <f>CONTINUA!BV61</f>
        <v>0</v>
      </c>
      <c r="M61" s="329">
        <f>CONTINUA!BW61</f>
        <v>0</v>
      </c>
      <c r="N61" s="895"/>
      <c r="O61" s="896" t="s">
        <v>3355</v>
      </c>
      <c r="P61" s="897">
        <v>0</v>
      </c>
      <c r="Q61" s="400">
        <v>6</v>
      </c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>
        <v>1</v>
      </c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6</v>
      </c>
      <c r="EQ61" s="171">
        <f t="shared" si="23"/>
        <v>1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7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12885.740000000002</v>
      </c>
      <c r="EY61" s="174">
        <f>(L61*regular)+(M61*Cadeirantee)</f>
        <v>0</v>
      </c>
      <c r="EZ61" s="249">
        <f>SUMIF(FG61:GJ61,"&gt;0")</f>
        <v>1014.4390000000001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13900.179000000002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12885.740000000002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924.55200000000013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89.887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3237</v>
      </c>
      <c r="B62" s="369" t="s">
        <v>3238</v>
      </c>
      <c r="C62" s="370" t="s">
        <v>3190</v>
      </c>
      <c r="D62" s="371" t="s">
        <v>3239</v>
      </c>
      <c r="E62" s="371" t="s">
        <v>3240</v>
      </c>
      <c r="F62" s="372" t="s">
        <v>3181</v>
      </c>
      <c r="G62" s="372" t="s">
        <v>3182</v>
      </c>
      <c r="H62" s="373" t="s">
        <v>2999</v>
      </c>
      <c r="I62" s="374" t="s">
        <v>2999</v>
      </c>
      <c r="J62" s="421" t="s">
        <v>3183</v>
      </c>
      <c r="K62" s="421" t="s">
        <v>3185</v>
      </c>
      <c r="L62" s="329">
        <f>CONTINUA!BV62</f>
        <v>0</v>
      </c>
      <c r="M62" s="329">
        <f>CONTINUA!BW62</f>
        <v>0</v>
      </c>
      <c r="N62" s="895"/>
      <c r="O62" s="896" t="s">
        <v>3355</v>
      </c>
      <c r="P62" s="897">
        <v>0</v>
      </c>
      <c r="Q62" s="400">
        <v>24</v>
      </c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>
        <v>3</v>
      </c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24</v>
      </c>
      <c r="EQ62" s="171">
        <f t="shared" si="23"/>
        <v>3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27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3237</v>
      </c>
      <c r="B63" s="369" t="s">
        <v>3238</v>
      </c>
      <c r="C63" s="375" t="s">
        <v>3190</v>
      </c>
      <c r="D63" s="371" t="s">
        <v>3239</v>
      </c>
      <c r="E63" s="371" t="s">
        <v>3240</v>
      </c>
      <c r="F63" s="376" t="s">
        <v>3181</v>
      </c>
      <c r="G63" s="376" t="s">
        <v>3182</v>
      </c>
      <c r="H63" s="373" t="s">
        <v>2999</v>
      </c>
      <c r="I63" s="374" t="s">
        <v>2999</v>
      </c>
      <c r="J63" s="421" t="s">
        <v>3183</v>
      </c>
      <c r="K63" s="422" t="s">
        <v>3186</v>
      </c>
      <c r="L63" s="329">
        <f>CONTINUA!BV63</f>
        <v>0</v>
      </c>
      <c r="M63" s="329">
        <f>CONTINUA!BW63</f>
        <v>0</v>
      </c>
      <c r="N63" s="895"/>
      <c r="O63" s="896" t="s">
        <v>3355</v>
      </c>
      <c r="P63" s="897">
        <v>0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3237</v>
      </c>
      <c r="B64" s="369" t="s">
        <v>3238</v>
      </c>
      <c r="C64" s="375" t="s">
        <v>3190</v>
      </c>
      <c r="D64" s="371" t="s">
        <v>3239</v>
      </c>
      <c r="E64" s="371" t="s">
        <v>3240</v>
      </c>
      <c r="F64" s="376" t="s">
        <v>3181</v>
      </c>
      <c r="G64" s="376" t="s">
        <v>3182</v>
      </c>
      <c r="H64" s="373" t="s">
        <v>2999</v>
      </c>
      <c r="I64" s="374" t="s">
        <v>2999</v>
      </c>
      <c r="J64" s="421" t="s">
        <v>3183</v>
      </c>
      <c r="K64" s="423" t="s">
        <v>3187</v>
      </c>
      <c r="L64" s="329">
        <f>CONTINUA!BV64</f>
        <v>0</v>
      </c>
      <c r="M64" s="329">
        <f>CONTINUA!BW64</f>
        <v>0</v>
      </c>
      <c r="N64" s="895"/>
      <c r="O64" s="896" t="s">
        <v>3355</v>
      </c>
      <c r="P64" s="897">
        <v>0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3237</v>
      </c>
      <c r="B65" s="378" t="s">
        <v>3238</v>
      </c>
      <c r="C65" s="379" t="s">
        <v>3190</v>
      </c>
      <c r="D65" s="380" t="s">
        <v>3239</v>
      </c>
      <c r="E65" s="380" t="s">
        <v>3240</v>
      </c>
      <c r="F65" s="381" t="s">
        <v>3181</v>
      </c>
      <c r="G65" s="381" t="s">
        <v>3182</v>
      </c>
      <c r="H65" s="382" t="s">
        <v>2999</v>
      </c>
      <c r="I65" s="383" t="s">
        <v>2999</v>
      </c>
      <c r="J65" s="421" t="s">
        <v>3183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3355</v>
      </c>
      <c r="P65" s="897">
        <v>0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3241</v>
      </c>
      <c r="B66" s="522" t="s">
        <v>3242</v>
      </c>
      <c r="C66" s="523">
        <v>1</v>
      </c>
      <c r="D66" s="524" t="s">
        <v>3243</v>
      </c>
      <c r="E66" s="524" t="s">
        <v>3244</v>
      </c>
      <c r="F66" s="525" t="s">
        <v>3181</v>
      </c>
      <c r="G66" s="525" t="s">
        <v>3182</v>
      </c>
      <c r="H66" s="350" t="s">
        <v>3003</v>
      </c>
      <c r="I66" s="351" t="s">
        <v>3003</v>
      </c>
      <c r="J66" s="409" t="s">
        <v>3183</v>
      </c>
      <c r="K66" s="410" t="s">
        <v>3184</v>
      </c>
      <c r="L66" s="329">
        <f>CONTINUA!BV66</f>
        <v>0</v>
      </c>
      <c r="M66" s="329">
        <f>CONTINUA!BW66</f>
        <v>0</v>
      </c>
      <c r="N66" s="895"/>
      <c r="O66" s="896" t="s">
        <v>3356</v>
      </c>
      <c r="P66" s="897">
        <v>0</v>
      </c>
      <c r="Q66" s="400"/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11730.050000000001</v>
      </c>
      <c r="EY66" s="174">
        <f>(L66*regular)+(M66*Cadeirantee)</f>
        <v>0</v>
      </c>
      <c r="EZ66" s="249">
        <f>SUMIF(FG66:GJ66,"&gt;0")</f>
        <v>1168.5309999999999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13033.541000000001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11730.050000000001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321.02500000000003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308.18400000000003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539.322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3241</v>
      </c>
      <c r="B67" s="369" t="s">
        <v>3242</v>
      </c>
      <c r="C67" s="370" t="s">
        <v>3190</v>
      </c>
      <c r="D67" s="371" t="s">
        <v>3243</v>
      </c>
      <c r="E67" s="371" t="s">
        <v>3244</v>
      </c>
      <c r="F67" s="372" t="s">
        <v>3181</v>
      </c>
      <c r="G67" s="372" t="s">
        <v>3182</v>
      </c>
      <c r="H67" s="373" t="s">
        <v>3003</v>
      </c>
      <c r="I67" s="374" t="s">
        <v>3003</v>
      </c>
      <c r="J67" s="421" t="s">
        <v>3183</v>
      </c>
      <c r="K67" s="421" t="s">
        <v>3185</v>
      </c>
      <c r="L67" s="329">
        <f>CONTINUA!BV67</f>
        <v>14</v>
      </c>
      <c r="M67" s="329">
        <f>CONTINUA!BW67</f>
        <v>0</v>
      </c>
      <c r="N67" s="895"/>
      <c r="O67" s="896" t="s">
        <v>3356</v>
      </c>
      <c r="P67" s="897">
        <v>0</v>
      </c>
      <c r="Q67" s="400">
        <v>26</v>
      </c>
      <c r="R67" s="401"/>
      <c r="S67" s="400">
        <v>1</v>
      </c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>
        <v>1</v>
      </c>
      <c r="AN67" s="401"/>
      <c r="AO67" s="400"/>
      <c r="AP67" s="401"/>
      <c r="AQ67" s="400">
        <v>1</v>
      </c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>
        <v>2</v>
      </c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26</v>
      </c>
      <c r="EQ67" s="171">
        <f t="shared" si="23"/>
        <v>0</v>
      </c>
      <c r="ER67" s="171">
        <f t="shared" si="24"/>
        <v>5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31</v>
      </c>
      <c r="EW67" s="173"/>
      <c r="EX67" s="248">
        <f t="shared" si="85"/>
        <v>0</v>
      </c>
      <c r="EY67" s="174">
        <f>(L67*regular)+(M67*Cadeirantee)</f>
        <v>134.96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3241</v>
      </c>
      <c r="B68" s="369" t="s">
        <v>3242</v>
      </c>
      <c r="C68" s="375" t="s">
        <v>3190</v>
      </c>
      <c r="D68" s="371" t="s">
        <v>3243</v>
      </c>
      <c r="E68" s="371" t="s">
        <v>3244</v>
      </c>
      <c r="F68" s="376" t="s">
        <v>3181</v>
      </c>
      <c r="G68" s="376" t="s">
        <v>3182</v>
      </c>
      <c r="H68" s="373" t="s">
        <v>3003</v>
      </c>
      <c r="I68" s="374" t="s">
        <v>3003</v>
      </c>
      <c r="J68" s="421" t="s">
        <v>3183</v>
      </c>
      <c r="K68" s="422" t="s">
        <v>3186</v>
      </c>
      <c r="L68" s="329">
        <f>CONTINUA!BV68</f>
        <v>0</v>
      </c>
      <c r="M68" s="329">
        <f>CONTINUA!BW68</f>
        <v>0</v>
      </c>
      <c r="N68" s="895"/>
      <c r="O68" s="896" t="s">
        <v>3356</v>
      </c>
      <c r="P68" s="897">
        <v>0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3241</v>
      </c>
      <c r="B69" s="369" t="s">
        <v>3242</v>
      </c>
      <c r="C69" s="375" t="s">
        <v>3190</v>
      </c>
      <c r="D69" s="371" t="s">
        <v>3243</v>
      </c>
      <c r="E69" s="371" t="s">
        <v>3244</v>
      </c>
      <c r="F69" s="376" t="s">
        <v>3181</v>
      </c>
      <c r="G69" s="376" t="s">
        <v>3182</v>
      </c>
      <c r="H69" s="373" t="s">
        <v>3003</v>
      </c>
      <c r="I69" s="374" t="s">
        <v>3003</v>
      </c>
      <c r="J69" s="421" t="s">
        <v>3183</v>
      </c>
      <c r="K69" s="423" t="s">
        <v>3187</v>
      </c>
      <c r="L69" s="329">
        <f>CONTINUA!BV69</f>
        <v>0</v>
      </c>
      <c r="M69" s="329">
        <f>CONTINUA!BW69</f>
        <v>0</v>
      </c>
      <c r="N69" s="895"/>
      <c r="O69" s="896" t="s">
        <v>3356</v>
      </c>
      <c r="P69" s="897">
        <v>0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3241</v>
      </c>
      <c r="B70" s="378" t="s">
        <v>3242</v>
      </c>
      <c r="C70" s="379" t="s">
        <v>3190</v>
      </c>
      <c r="D70" s="380" t="s">
        <v>3243</v>
      </c>
      <c r="E70" s="380" t="s">
        <v>3244</v>
      </c>
      <c r="F70" s="381" t="s">
        <v>3181</v>
      </c>
      <c r="G70" s="381" t="s">
        <v>3182</v>
      </c>
      <c r="H70" s="382" t="s">
        <v>3003</v>
      </c>
      <c r="I70" s="383" t="s">
        <v>3003</v>
      </c>
      <c r="J70" s="421" t="s">
        <v>3183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3356</v>
      </c>
      <c r="P70" s="897">
        <v>0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3245</v>
      </c>
      <c r="B71" s="522" t="s">
        <v>3246</v>
      </c>
      <c r="C71" s="523">
        <v>1</v>
      </c>
      <c r="D71" s="524" t="s">
        <v>3247</v>
      </c>
      <c r="E71" s="524" t="s">
        <v>3248</v>
      </c>
      <c r="F71" s="525" t="s">
        <v>3181</v>
      </c>
      <c r="G71" s="525" t="s">
        <v>3182</v>
      </c>
      <c r="H71" s="350" t="s">
        <v>3004</v>
      </c>
      <c r="I71" s="351" t="s">
        <v>3004</v>
      </c>
      <c r="J71" s="409" t="s">
        <v>3183</v>
      </c>
      <c r="K71" s="410" t="s">
        <v>3184</v>
      </c>
      <c r="L71" s="329">
        <f>CONTINUA!BV71</f>
        <v>0</v>
      </c>
      <c r="M71" s="329">
        <f>CONTINUA!BW71</f>
        <v>0</v>
      </c>
      <c r="N71" s="895"/>
      <c r="O71" s="896" t="s">
        <v>3357</v>
      </c>
      <c r="P71" s="897">
        <v>0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12115.28</v>
      </c>
      <c r="EY71" s="174">
        <f>(L71*regular)+(M71*Cadeirantee)</f>
        <v>0</v>
      </c>
      <c r="EZ71" s="249">
        <f>SUMIF(FG71:GJ71,"&gt;0")</f>
        <v>808.98300000000006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13029.311640000002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12115.28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308.18400000000003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269.661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231.13800000000003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3245</v>
      </c>
      <c r="B72" s="369" t="s">
        <v>3246</v>
      </c>
      <c r="C72" s="370" t="s">
        <v>3190</v>
      </c>
      <c r="D72" s="371" t="s">
        <v>3247</v>
      </c>
      <c r="E72" s="371" t="s">
        <v>3248</v>
      </c>
      <c r="F72" s="372" t="s">
        <v>3181</v>
      </c>
      <c r="G72" s="372" t="s">
        <v>3182</v>
      </c>
      <c r="H72" s="373" t="s">
        <v>3004</v>
      </c>
      <c r="I72" s="374" t="s">
        <v>3004</v>
      </c>
      <c r="J72" s="421" t="s">
        <v>3183</v>
      </c>
      <c r="K72" s="421" t="s">
        <v>3185</v>
      </c>
      <c r="L72" s="329">
        <f>CONTINUA!BV72</f>
        <v>9</v>
      </c>
      <c r="M72" s="329">
        <f>CONTINUA!BW72</f>
        <v>0</v>
      </c>
      <c r="N72" s="895">
        <v>0.752</v>
      </c>
      <c r="O72" s="896" t="s">
        <v>3357</v>
      </c>
      <c r="P72" s="897">
        <v>0</v>
      </c>
      <c r="Q72" s="400">
        <v>28</v>
      </c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>
        <v>1</v>
      </c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>
        <v>1</v>
      </c>
      <c r="BD72" s="401"/>
      <c r="BE72" s="400"/>
      <c r="BF72" s="401"/>
      <c r="BG72" s="400"/>
      <c r="BH72" s="401"/>
      <c r="BI72" s="400"/>
      <c r="BJ72" s="401"/>
      <c r="BK72" s="400"/>
      <c r="BL72" s="401"/>
      <c r="BM72" s="400">
        <v>1</v>
      </c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28</v>
      </c>
      <c r="EQ72" s="171">
        <f t="shared" si="23"/>
        <v>2</v>
      </c>
      <c r="ER72" s="171">
        <f t="shared" si="24"/>
        <v>1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31</v>
      </c>
      <c r="EW72" s="173"/>
      <c r="EX72" s="248">
        <f t="shared" si="90"/>
        <v>0</v>
      </c>
      <c r="EY72" s="174">
        <f>(L72*regular)+(M72*Cadeirantee)</f>
        <v>86.76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18.288640000000001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3245</v>
      </c>
      <c r="B73" s="369" t="s">
        <v>3246</v>
      </c>
      <c r="C73" s="375" t="s">
        <v>3190</v>
      </c>
      <c r="D73" s="371" t="s">
        <v>3247</v>
      </c>
      <c r="E73" s="371" t="s">
        <v>3248</v>
      </c>
      <c r="F73" s="376" t="s">
        <v>3181</v>
      </c>
      <c r="G73" s="376" t="s">
        <v>3182</v>
      </c>
      <c r="H73" s="373" t="s">
        <v>3004</v>
      </c>
      <c r="I73" s="374" t="s">
        <v>3004</v>
      </c>
      <c r="J73" s="421" t="s">
        <v>3183</v>
      </c>
      <c r="K73" s="422" t="s">
        <v>3186</v>
      </c>
      <c r="L73" s="329">
        <f>CONTINUA!BV73</f>
        <v>0</v>
      </c>
      <c r="M73" s="329">
        <f>CONTINUA!BW73</f>
        <v>0</v>
      </c>
      <c r="N73" s="895"/>
      <c r="O73" s="896" t="s">
        <v>3357</v>
      </c>
      <c r="P73" s="897">
        <v>0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3245</v>
      </c>
      <c r="B74" s="369" t="s">
        <v>3246</v>
      </c>
      <c r="C74" s="375" t="s">
        <v>3190</v>
      </c>
      <c r="D74" s="371" t="s">
        <v>3247</v>
      </c>
      <c r="E74" s="371" t="s">
        <v>3248</v>
      </c>
      <c r="F74" s="376" t="s">
        <v>3181</v>
      </c>
      <c r="G74" s="376" t="s">
        <v>3182</v>
      </c>
      <c r="H74" s="373" t="s">
        <v>3004</v>
      </c>
      <c r="I74" s="374" t="s">
        <v>3004</v>
      </c>
      <c r="J74" s="421" t="s">
        <v>3183</v>
      </c>
      <c r="K74" s="423" t="s">
        <v>3187</v>
      </c>
      <c r="L74" s="329">
        <f>CONTINUA!BV74</f>
        <v>0</v>
      </c>
      <c r="M74" s="329">
        <f>CONTINUA!BW74</f>
        <v>0</v>
      </c>
      <c r="N74" s="895"/>
      <c r="O74" s="896" t="s">
        <v>3357</v>
      </c>
      <c r="P74" s="897">
        <v>0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3245</v>
      </c>
      <c r="B75" s="378" t="s">
        <v>3246</v>
      </c>
      <c r="C75" s="379" t="s">
        <v>3190</v>
      </c>
      <c r="D75" s="380" t="s">
        <v>3247</v>
      </c>
      <c r="E75" s="380" t="s">
        <v>3248</v>
      </c>
      <c r="F75" s="381" t="s">
        <v>3181</v>
      </c>
      <c r="G75" s="381" t="s">
        <v>3182</v>
      </c>
      <c r="H75" s="382" t="s">
        <v>3004</v>
      </c>
      <c r="I75" s="383" t="s">
        <v>3004</v>
      </c>
      <c r="J75" s="421" t="s">
        <v>3183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3357</v>
      </c>
      <c r="P75" s="897">
        <v>0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3249</v>
      </c>
      <c r="B76" s="522" t="s">
        <v>3250</v>
      </c>
      <c r="C76" s="523">
        <v>1</v>
      </c>
      <c r="D76" s="524" t="s">
        <v>3251</v>
      </c>
      <c r="E76" s="524" t="s">
        <v>3252</v>
      </c>
      <c r="F76" s="525" t="s">
        <v>3181</v>
      </c>
      <c r="G76" s="525" t="s">
        <v>3182</v>
      </c>
      <c r="H76" s="350" t="s">
        <v>3005</v>
      </c>
      <c r="I76" s="351" t="s">
        <v>3005</v>
      </c>
      <c r="J76" s="409" t="s">
        <v>3183</v>
      </c>
      <c r="K76" s="410" t="s">
        <v>3184</v>
      </c>
      <c r="L76" s="329">
        <f>CONTINUA!BV76</f>
        <v>0</v>
      </c>
      <c r="M76" s="329">
        <f>CONTINUA!BW76</f>
        <v>0</v>
      </c>
      <c r="N76" s="895"/>
      <c r="O76" s="896" t="s">
        <v>3358</v>
      </c>
      <c r="P76" s="897">
        <v>0</v>
      </c>
      <c r="Q76" s="400">
        <v>21</v>
      </c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21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21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12500.51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12500.51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12500.51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3249</v>
      </c>
      <c r="B77" s="369" t="s">
        <v>3250</v>
      </c>
      <c r="C77" s="370" t="s">
        <v>3190</v>
      </c>
      <c r="D77" s="371" t="s">
        <v>3251</v>
      </c>
      <c r="E77" s="371" t="s">
        <v>3252</v>
      </c>
      <c r="F77" s="372" t="s">
        <v>3181</v>
      </c>
      <c r="G77" s="372" t="s">
        <v>3182</v>
      </c>
      <c r="H77" s="373" t="s">
        <v>3005</v>
      </c>
      <c r="I77" s="374" t="s">
        <v>3005</v>
      </c>
      <c r="J77" s="421" t="s">
        <v>3183</v>
      </c>
      <c r="K77" s="421" t="s">
        <v>3185</v>
      </c>
      <c r="L77" s="329">
        <f>CONTINUA!BV77</f>
        <v>0</v>
      </c>
      <c r="M77" s="329">
        <f>CONTINUA!BW77</f>
        <v>0</v>
      </c>
      <c r="N77" s="895"/>
      <c r="O77" s="896" t="s">
        <v>3358</v>
      </c>
      <c r="P77" s="897">
        <v>0</v>
      </c>
      <c r="Q77" s="400">
        <v>7</v>
      </c>
      <c r="R77" s="401"/>
      <c r="S77" s="400">
        <v>1</v>
      </c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7</v>
      </c>
      <c r="EQ77" s="171">
        <f t="shared" si="96"/>
        <v>0</v>
      </c>
      <c r="ER77" s="171">
        <f t="shared" si="97"/>
        <v>1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8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3249</v>
      </c>
      <c r="B78" s="369" t="s">
        <v>3250</v>
      </c>
      <c r="C78" s="375" t="s">
        <v>3190</v>
      </c>
      <c r="D78" s="371" t="s">
        <v>3251</v>
      </c>
      <c r="E78" s="371" t="s">
        <v>3252</v>
      </c>
      <c r="F78" s="376" t="s">
        <v>3181</v>
      </c>
      <c r="G78" s="376" t="s">
        <v>3182</v>
      </c>
      <c r="H78" s="373" t="s">
        <v>3005</v>
      </c>
      <c r="I78" s="374" t="s">
        <v>3005</v>
      </c>
      <c r="J78" s="421" t="s">
        <v>3183</v>
      </c>
      <c r="K78" s="422" t="s">
        <v>3186</v>
      </c>
      <c r="L78" s="329">
        <f>CONTINUA!BV78</f>
        <v>0</v>
      </c>
      <c r="M78" s="329">
        <f>CONTINUA!BW78</f>
        <v>0</v>
      </c>
      <c r="N78" s="895"/>
      <c r="O78" s="896" t="s">
        <v>3358</v>
      </c>
      <c r="P78" s="897">
        <v>0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3249</v>
      </c>
      <c r="B79" s="369" t="s">
        <v>3250</v>
      </c>
      <c r="C79" s="375" t="s">
        <v>3190</v>
      </c>
      <c r="D79" s="371" t="s">
        <v>3251</v>
      </c>
      <c r="E79" s="371" t="s">
        <v>3252</v>
      </c>
      <c r="F79" s="376" t="s">
        <v>3181</v>
      </c>
      <c r="G79" s="376" t="s">
        <v>3182</v>
      </c>
      <c r="H79" s="373" t="s">
        <v>3005</v>
      </c>
      <c r="I79" s="374" t="s">
        <v>3005</v>
      </c>
      <c r="J79" s="421" t="s">
        <v>3183</v>
      </c>
      <c r="K79" s="423" t="s">
        <v>3187</v>
      </c>
      <c r="L79" s="329">
        <f>CONTINUA!BV79</f>
        <v>0</v>
      </c>
      <c r="M79" s="329">
        <f>CONTINUA!BW79</f>
        <v>0</v>
      </c>
      <c r="N79" s="895"/>
      <c r="O79" s="896" t="s">
        <v>3358</v>
      </c>
      <c r="P79" s="897">
        <v>0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3249</v>
      </c>
      <c r="B80" s="378" t="s">
        <v>3250</v>
      </c>
      <c r="C80" s="379" t="s">
        <v>3190</v>
      </c>
      <c r="D80" s="380" t="s">
        <v>3251</v>
      </c>
      <c r="E80" s="380" t="s">
        <v>3252</v>
      </c>
      <c r="F80" s="381" t="s">
        <v>3181</v>
      </c>
      <c r="G80" s="381" t="s">
        <v>3182</v>
      </c>
      <c r="H80" s="382" t="s">
        <v>3005</v>
      </c>
      <c r="I80" s="383" t="s">
        <v>3005</v>
      </c>
      <c r="J80" s="421" t="s">
        <v>3183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3358</v>
      </c>
      <c r="P80" s="897">
        <v>0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3253</v>
      </c>
      <c r="B81" s="522" t="s">
        <v>3254</v>
      </c>
      <c r="C81" s="523">
        <v>1</v>
      </c>
      <c r="D81" s="524" t="s">
        <v>3255</v>
      </c>
      <c r="E81" s="524" t="s">
        <v>3256</v>
      </c>
      <c r="F81" s="525" t="s">
        <v>3181</v>
      </c>
      <c r="G81" s="525" t="s">
        <v>3182</v>
      </c>
      <c r="H81" s="350" t="s">
        <v>3006</v>
      </c>
      <c r="I81" s="351" t="s">
        <v>3006</v>
      </c>
      <c r="J81" s="409" t="s">
        <v>3183</v>
      </c>
      <c r="K81" s="410" t="s">
        <v>3184</v>
      </c>
      <c r="L81" s="329">
        <f>CONTINUA!BV81</f>
        <v>0</v>
      </c>
      <c r="M81" s="329">
        <f>CONTINUA!BW81</f>
        <v>0</v>
      </c>
      <c r="N81" s="895"/>
      <c r="O81" s="896" t="s">
        <v>3359</v>
      </c>
      <c r="P81" s="897">
        <v>0</v>
      </c>
      <c r="Q81" s="400"/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22516.49</v>
      </c>
      <c r="EY81" s="174">
        <f>(L81*regular)+(M81*Cadeirantee)</f>
        <v>0</v>
      </c>
      <c r="EZ81" s="249">
        <f>SUMIF(FG81:GJ81,"&gt;0")</f>
        <v>308.18400000000008</v>
      </c>
      <c r="FA81" s="249">
        <f>SUMIF(FG81:GJ81,"&lt;0")+SUMIF(GN81:HP81,"&lt;0")</f>
        <v>-796.14200000000005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22028.532000000003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22516.49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-359.548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231.13800000000003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-218.29700000000003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-205.45600000000002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51.364000000000004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25.682000000000002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-12.841000000000001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3253</v>
      </c>
      <c r="B82" s="369" t="s">
        <v>3254</v>
      </c>
      <c r="C82" s="370" t="s">
        <v>3190</v>
      </c>
      <c r="D82" s="371" t="s">
        <v>3255</v>
      </c>
      <c r="E82" s="371" t="s">
        <v>3256</v>
      </c>
      <c r="F82" s="372" t="s">
        <v>3181</v>
      </c>
      <c r="G82" s="372" t="s">
        <v>3182</v>
      </c>
      <c r="H82" s="373" t="s">
        <v>3006</v>
      </c>
      <c r="I82" s="374" t="s">
        <v>3006</v>
      </c>
      <c r="J82" s="421" t="s">
        <v>3183</v>
      </c>
      <c r="K82" s="421" t="s">
        <v>3185</v>
      </c>
      <c r="L82" s="329">
        <f>CONTINUA!BV82</f>
        <v>0</v>
      </c>
      <c r="M82" s="329">
        <f>CONTINUA!BW82</f>
        <v>0</v>
      </c>
      <c r="N82" s="895"/>
      <c r="O82" s="896" t="s">
        <v>3359</v>
      </c>
      <c r="P82" s="897">
        <v>0</v>
      </c>
      <c r="Q82" s="400">
        <v>55</v>
      </c>
      <c r="R82" s="401"/>
      <c r="S82" s="400"/>
      <c r="T82" s="401"/>
      <c r="U82" s="400"/>
      <c r="V82" s="401"/>
      <c r="W82" s="400"/>
      <c r="X82" s="401"/>
      <c r="Y82" s="400">
        <v>-1</v>
      </c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>
        <v>1</v>
      </c>
      <c r="BN82" s="401"/>
      <c r="BO82" s="400"/>
      <c r="BP82" s="401"/>
      <c r="BQ82" s="400">
        <v>-1</v>
      </c>
      <c r="BR82" s="401"/>
      <c r="BS82" s="400"/>
      <c r="BT82" s="401"/>
      <c r="BU82" s="400">
        <v>-1</v>
      </c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>
        <v>1</v>
      </c>
      <c r="DR82" s="401"/>
      <c r="DS82" s="400"/>
      <c r="DT82" s="401"/>
      <c r="DU82" s="400"/>
      <c r="DV82" s="401"/>
      <c r="DW82" s="400"/>
      <c r="DX82" s="401"/>
      <c r="DY82" s="400">
        <v>1</v>
      </c>
      <c r="DZ82" s="401"/>
      <c r="EA82" s="400"/>
      <c r="EB82" s="401"/>
      <c r="EC82" s="400">
        <v>-1</v>
      </c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55</v>
      </c>
      <c r="EQ82" s="171">
        <f t="shared" si="96"/>
        <v>-1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54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3253</v>
      </c>
      <c r="B83" s="369" t="s">
        <v>3254</v>
      </c>
      <c r="C83" s="375" t="s">
        <v>3190</v>
      </c>
      <c r="D83" s="371" t="s">
        <v>3255</v>
      </c>
      <c r="E83" s="371" t="s">
        <v>3256</v>
      </c>
      <c r="F83" s="376" t="s">
        <v>3181</v>
      </c>
      <c r="G83" s="376" t="s">
        <v>3182</v>
      </c>
      <c r="H83" s="373" t="s">
        <v>3006</v>
      </c>
      <c r="I83" s="374" t="s">
        <v>3006</v>
      </c>
      <c r="J83" s="421" t="s">
        <v>3183</v>
      </c>
      <c r="K83" s="422" t="s">
        <v>3186</v>
      </c>
      <c r="L83" s="329">
        <f>CONTINUA!BV83</f>
        <v>0</v>
      </c>
      <c r="M83" s="329">
        <f>CONTINUA!BW83</f>
        <v>0</v>
      </c>
      <c r="N83" s="895"/>
      <c r="O83" s="896" t="s">
        <v>3359</v>
      </c>
      <c r="P83" s="897">
        <v>0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3253</v>
      </c>
      <c r="B84" s="369" t="s">
        <v>3254</v>
      </c>
      <c r="C84" s="375" t="s">
        <v>3190</v>
      </c>
      <c r="D84" s="371" t="s">
        <v>3255</v>
      </c>
      <c r="E84" s="371" t="s">
        <v>3256</v>
      </c>
      <c r="F84" s="376" t="s">
        <v>3181</v>
      </c>
      <c r="G84" s="376" t="s">
        <v>3182</v>
      </c>
      <c r="H84" s="373" t="s">
        <v>3006</v>
      </c>
      <c r="I84" s="374" t="s">
        <v>3006</v>
      </c>
      <c r="J84" s="421" t="s">
        <v>3183</v>
      </c>
      <c r="K84" s="423" t="s">
        <v>3187</v>
      </c>
      <c r="L84" s="329">
        <f>CONTINUA!BV84</f>
        <v>0</v>
      </c>
      <c r="M84" s="329">
        <f>CONTINUA!BW84</f>
        <v>0</v>
      </c>
      <c r="N84" s="895"/>
      <c r="O84" s="896" t="s">
        <v>3359</v>
      </c>
      <c r="P84" s="897">
        <v>0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3253</v>
      </c>
      <c r="B85" s="378" t="s">
        <v>3254</v>
      </c>
      <c r="C85" s="379" t="s">
        <v>3190</v>
      </c>
      <c r="D85" s="380" t="s">
        <v>3255</v>
      </c>
      <c r="E85" s="380" t="s">
        <v>3256</v>
      </c>
      <c r="F85" s="381" t="s">
        <v>3181</v>
      </c>
      <c r="G85" s="381" t="s">
        <v>3182</v>
      </c>
      <c r="H85" s="382" t="s">
        <v>3006</v>
      </c>
      <c r="I85" s="383" t="s">
        <v>3006</v>
      </c>
      <c r="J85" s="421" t="s">
        <v>3183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3359</v>
      </c>
      <c r="P85" s="897">
        <v>0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3257</v>
      </c>
      <c r="B86" s="522" t="s">
        <v>3258</v>
      </c>
      <c r="C86" s="523">
        <v>1</v>
      </c>
      <c r="D86" s="524" t="s">
        <v>3259</v>
      </c>
      <c r="E86" s="524" t="s">
        <v>3260</v>
      </c>
      <c r="F86" s="525" t="s">
        <v>3181</v>
      </c>
      <c r="G86" s="525" t="s">
        <v>3182</v>
      </c>
      <c r="H86" s="350" t="s">
        <v>3007</v>
      </c>
      <c r="I86" s="351" t="s">
        <v>3007</v>
      </c>
      <c r="J86" s="409" t="s">
        <v>3183</v>
      </c>
      <c r="K86" s="410" t="s">
        <v>3184</v>
      </c>
      <c r="L86" s="329">
        <f>CONTINUA!BV86</f>
        <v>0</v>
      </c>
      <c r="M86" s="329">
        <f>CONTINUA!BW86</f>
        <v>0</v>
      </c>
      <c r="N86" s="895"/>
      <c r="O86" s="896" t="s">
        <v>3360</v>
      </c>
      <c r="P86" s="897">
        <v>0</v>
      </c>
      <c r="Q86" s="400">
        <v>24</v>
      </c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>
        <v>1</v>
      </c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>
        <v>-1</v>
      </c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24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24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15582.35</v>
      </c>
      <c r="EY86" s="174">
        <f>(L86*regular)+(M86*Cadeirantee)</f>
        <v>0</v>
      </c>
      <c r="EZ86" s="249">
        <f>SUMIF(FG86:GJ86,"&gt;0")</f>
        <v>629.20900000000006</v>
      </c>
      <c r="FA86" s="249">
        <f>SUMIF(FG86:GJ86,"&lt;0")+SUMIF(GN86:HP86,"&lt;0")</f>
        <v>-179.774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16118.545000000002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15582.35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321.02500000000003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308.18400000000003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-179.774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3257</v>
      </c>
      <c r="B87" s="369" t="s">
        <v>3258</v>
      </c>
      <c r="C87" s="370" t="s">
        <v>3190</v>
      </c>
      <c r="D87" s="371" t="s">
        <v>3259</v>
      </c>
      <c r="E87" s="371" t="s">
        <v>3260</v>
      </c>
      <c r="F87" s="372" t="s">
        <v>3181</v>
      </c>
      <c r="G87" s="372" t="s">
        <v>3182</v>
      </c>
      <c r="H87" s="373" t="s">
        <v>3007</v>
      </c>
      <c r="I87" s="374" t="s">
        <v>3007</v>
      </c>
      <c r="J87" s="421" t="s">
        <v>3183</v>
      </c>
      <c r="K87" s="421" t="s">
        <v>3185</v>
      </c>
      <c r="L87" s="329">
        <f>CONTINUA!BV87</f>
        <v>9</v>
      </c>
      <c r="M87" s="329">
        <f>CONTINUA!BW87</f>
        <v>0</v>
      </c>
      <c r="N87" s="895"/>
      <c r="O87" s="896" t="s">
        <v>3360</v>
      </c>
      <c r="P87" s="897">
        <v>0</v>
      </c>
      <c r="Q87" s="400">
        <v>11</v>
      </c>
      <c r="R87" s="401"/>
      <c r="S87" s="400">
        <v>2</v>
      </c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>
        <v>1</v>
      </c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11</v>
      </c>
      <c r="EQ87" s="171">
        <f t="shared" si="96"/>
        <v>1</v>
      </c>
      <c r="ER87" s="171">
        <f t="shared" si="97"/>
        <v>2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14</v>
      </c>
      <c r="EW87" s="173"/>
      <c r="EX87" s="248">
        <f t="shared" si="113"/>
        <v>0</v>
      </c>
      <c r="EY87" s="174">
        <f>(L87*regular)+(M87*Cadeirantee)</f>
        <v>86.76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3257</v>
      </c>
      <c r="B88" s="369" t="s">
        <v>3258</v>
      </c>
      <c r="C88" s="375" t="s">
        <v>3190</v>
      </c>
      <c r="D88" s="371" t="s">
        <v>3259</v>
      </c>
      <c r="E88" s="371" t="s">
        <v>3260</v>
      </c>
      <c r="F88" s="376" t="s">
        <v>3181</v>
      </c>
      <c r="G88" s="376" t="s">
        <v>3182</v>
      </c>
      <c r="H88" s="373" t="s">
        <v>3007</v>
      </c>
      <c r="I88" s="374" t="s">
        <v>3007</v>
      </c>
      <c r="J88" s="421" t="s">
        <v>3183</v>
      </c>
      <c r="K88" s="422" t="s">
        <v>3186</v>
      </c>
      <c r="L88" s="329">
        <f>CONTINUA!BV88</f>
        <v>0</v>
      </c>
      <c r="M88" s="329">
        <f>CONTINUA!BW88</f>
        <v>0</v>
      </c>
      <c r="N88" s="895"/>
      <c r="O88" s="896" t="s">
        <v>3360</v>
      </c>
      <c r="P88" s="897">
        <v>0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3257</v>
      </c>
      <c r="B89" s="369" t="s">
        <v>3258</v>
      </c>
      <c r="C89" s="375" t="s">
        <v>3190</v>
      </c>
      <c r="D89" s="371" t="s">
        <v>3259</v>
      </c>
      <c r="E89" s="371" t="s">
        <v>3260</v>
      </c>
      <c r="F89" s="376" t="s">
        <v>3181</v>
      </c>
      <c r="G89" s="376" t="s">
        <v>3182</v>
      </c>
      <c r="H89" s="373" t="s">
        <v>3007</v>
      </c>
      <c r="I89" s="374" t="s">
        <v>3007</v>
      </c>
      <c r="J89" s="421" t="s">
        <v>3183</v>
      </c>
      <c r="K89" s="423" t="s">
        <v>3187</v>
      </c>
      <c r="L89" s="329">
        <f>CONTINUA!BV89</f>
        <v>0</v>
      </c>
      <c r="M89" s="329">
        <f>CONTINUA!BW89</f>
        <v>0</v>
      </c>
      <c r="N89" s="895"/>
      <c r="O89" s="896" t="s">
        <v>3360</v>
      </c>
      <c r="P89" s="897">
        <v>0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3257</v>
      </c>
      <c r="B90" s="378" t="s">
        <v>3258</v>
      </c>
      <c r="C90" s="379" t="s">
        <v>3190</v>
      </c>
      <c r="D90" s="380" t="s">
        <v>3259</v>
      </c>
      <c r="E90" s="380" t="s">
        <v>3260</v>
      </c>
      <c r="F90" s="381" t="s">
        <v>3181</v>
      </c>
      <c r="G90" s="381" t="s">
        <v>3182</v>
      </c>
      <c r="H90" s="382" t="s">
        <v>3007</v>
      </c>
      <c r="I90" s="383" t="s">
        <v>3007</v>
      </c>
      <c r="J90" s="421" t="s">
        <v>3183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3360</v>
      </c>
      <c r="P90" s="897">
        <v>0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3261</v>
      </c>
      <c r="B91" s="522" t="s">
        <v>3262</v>
      </c>
      <c r="C91" s="523">
        <v>1</v>
      </c>
      <c r="D91" s="524" t="s">
        <v>3263</v>
      </c>
      <c r="E91" s="524" t="s">
        <v>3192</v>
      </c>
      <c r="F91" s="525" t="s">
        <v>3181</v>
      </c>
      <c r="G91" s="901">
        <v>46140</v>
      </c>
      <c r="H91" s="350" t="s">
        <v>3008</v>
      </c>
      <c r="I91" s="351" t="s">
        <v>3008</v>
      </c>
      <c r="J91" s="409" t="s">
        <v>3183</v>
      </c>
      <c r="K91" s="410" t="s">
        <v>3184</v>
      </c>
      <c r="L91" s="329">
        <f>CONTINUA!BV91</f>
        <v>0</v>
      </c>
      <c r="M91" s="329">
        <f>CONTINUA!BW91</f>
        <v>0</v>
      </c>
      <c r="N91" s="895"/>
      <c r="O91" s="896" t="s">
        <v>3361</v>
      </c>
      <c r="P91" s="897">
        <v>0</v>
      </c>
      <c r="Q91" s="400"/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17893.730000000003</v>
      </c>
      <c r="EY91" s="174">
        <f>(L91*regular)+(M91*Cadeirantee)</f>
        <v>0</v>
      </c>
      <c r="EZ91" s="249">
        <f>SUMIF(FG91:GJ91,"&gt;0")</f>
        <v>51.364000000000004</v>
      </c>
      <c r="FA91" s="249">
        <f>SUMIF(FG91:GJ91,"&lt;0")+SUMIF(GN91:HP91,"&lt;0")</f>
        <v>-1194.213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16750.881000000005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17893.730000000003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-89.887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51.364000000000004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-1104.326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3261</v>
      </c>
      <c r="B92" s="369" t="s">
        <v>3262</v>
      </c>
      <c r="C92" s="370" t="s">
        <v>3190</v>
      </c>
      <c r="D92" s="371" t="s">
        <v>3263</v>
      </c>
      <c r="E92" s="371" t="s">
        <v>3192</v>
      </c>
      <c r="F92" s="372" t="s">
        <v>3181</v>
      </c>
      <c r="G92" s="372" t="s">
        <v>3182</v>
      </c>
      <c r="H92" s="373" t="s">
        <v>3008</v>
      </c>
      <c r="I92" s="374" t="s">
        <v>3008</v>
      </c>
      <c r="J92" s="421" t="s">
        <v>3183</v>
      </c>
      <c r="K92" s="421" t="s">
        <v>3185</v>
      </c>
      <c r="L92" s="329">
        <f>CONTINUA!BV92</f>
        <v>0</v>
      </c>
      <c r="M92" s="329">
        <f>CONTINUA!BW92</f>
        <v>0</v>
      </c>
      <c r="N92" s="895"/>
      <c r="O92" s="896" t="s">
        <v>3361</v>
      </c>
      <c r="P92" s="897">
        <v>0</v>
      </c>
      <c r="Q92" s="400">
        <v>43</v>
      </c>
      <c r="R92" s="401"/>
      <c r="S92" s="400"/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>
        <v>-1</v>
      </c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>
        <v>1</v>
      </c>
      <c r="DR92" s="401"/>
      <c r="DS92" s="400"/>
      <c r="DT92" s="401"/>
      <c r="DU92" s="400"/>
      <c r="DV92" s="401"/>
      <c r="DW92" s="400"/>
      <c r="DX92" s="401"/>
      <c r="DY92" s="400">
        <v>-43</v>
      </c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43</v>
      </c>
      <c r="EQ92" s="171">
        <f t="shared" si="96"/>
        <v>-43</v>
      </c>
      <c r="ER92" s="171">
        <f t="shared" si="97"/>
        <v>0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0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3261</v>
      </c>
      <c r="B93" s="369" t="s">
        <v>3262</v>
      </c>
      <c r="C93" s="375" t="s">
        <v>3190</v>
      </c>
      <c r="D93" s="371" t="s">
        <v>3263</v>
      </c>
      <c r="E93" s="371" t="s">
        <v>3192</v>
      </c>
      <c r="F93" s="376" t="s">
        <v>3181</v>
      </c>
      <c r="G93" s="376" t="s">
        <v>3182</v>
      </c>
      <c r="H93" s="373" t="s">
        <v>3008</v>
      </c>
      <c r="I93" s="374" t="s">
        <v>3008</v>
      </c>
      <c r="J93" s="421" t="s">
        <v>3183</v>
      </c>
      <c r="K93" s="422" t="s">
        <v>3186</v>
      </c>
      <c r="L93" s="329">
        <f>CONTINUA!BV93</f>
        <v>0</v>
      </c>
      <c r="M93" s="329">
        <f>CONTINUA!BW93</f>
        <v>0</v>
      </c>
      <c r="N93" s="895"/>
      <c r="O93" s="896" t="s">
        <v>3361</v>
      </c>
      <c r="P93" s="897">
        <v>0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3261</v>
      </c>
      <c r="B94" s="369" t="s">
        <v>3262</v>
      </c>
      <c r="C94" s="375" t="s">
        <v>3190</v>
      </c>
      <c r="D94" s="371" t="s">
        <v>3263</v>
      </c>
      <c r="E94" s="371" t="s">
        <v>3192</v>
      </c>
      <c r="F94" s="376" t="s">
        <v>3181</v>
      </c>
      <c r="G94" s="376" t="s">
        <v>3182</v>
      </c>
      <c r="H94" s="373" t="s">
        <v>3008</v>
      </c>
      <c r="I94" s="374" t="s">
        <v>3008</v>
      </c>
      <c r="J94" s="421" t="s">
        <v>3183</v>
      </c>
      <c r="K94" s="423" t="s">
        <v>3187</v>
      </c>
      <c r="L94" s="329">
        <f>CONTINUA!BV94</f>
        <v>0</v>
      </c>
      <c r="M94" s="329">
        <f>CONTINUA!BW94</f>
        <v>0</v>
      </c>
      <c r="N94" s="895"/>
      <c r="O94" s="896" t="s">
        <v>3361</v>
      </c>
      <c r="P94" s="897">
        <v>0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3261</v>
      </c>
      <c r="B95" s="378" t="s">
        <v>3262</v>
      </c>
      <c r="C95" s="379" t="s">
        <v>3190</v>
      </c>
      <c r="D95" s="380" t="s">
        <v>3263</v>
      </c>
      <c r="E95" s="380" t="s">
        <v>3192</v>
      </c>
      <c r="F95" s="381" t="s">
        <v>3181</v>
      </c>
      <c r="G95" s="381" t="s">
        <v>3182</v>
      </c>
      <c r="H95" s="382" t="s">
        <v>3008</v>
      </c>
      <c r="I95" s="383" t="s">
        <v>3008</v>
      </c>
      <c r="J95" s="421" t="s">
        <v>3183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3361</v>
      </c>
      <c r="P95" s="897">
        <v>0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3264</v>
      </c>
      <c r="B96" s="522" t="s">
        <v>3265</v>
      </c>
      <c r="C96" s="523">
        <v>1</v>
      </c>
      <c r="D96" s="524" t="s">
        <v>3266</v>
      </c>
      <c r="E96" s="524" t="s">
        <v>3267</v>
      </c>
      <c r="F96" s="525" t="s">
        <v>3181</v>
      </c>
      <c r="G96" s="525" t="s">
        <v>3182</v>
      </c>
      <c r="H96" s="350" t="s">
        <v>3009</v>
      </c>
      <c r="I96" s="351" t="s">
        <v>3009</v>
      </c>
      <c r="J96" s="409" t="s">
        <v>3183</v>
      </c>
      <c r="K96" s="410" t="s">
        <v>3184</v>
      </c>
      <c r="L96" s="329">
        <f>CONTINUA!BV96</f>
        <v>0</v>
      </c>
      <c r="M96" s="329">
        <f>CONTINUA!BW96</f>
        <v>0</v>
      </c>
      <c r="N96" s="895"/>
      <c r="O96" s="896" t="s">
        <v>3362</v>
      </c>
      <c r="P96" s="897">
        <v>0</v>
      </c>
      <c r="Q96" s="400"/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0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0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12500.51</v>
      </c>
      <c r="EY96" s="174">
        <f>(L96*regular)+(M96*Cadeirantee)</f>
        <v>0</v>
      </c>
      <c r="EZ96" s="249">
        <f>SUMIF(FG96:GJ96,"&gt;0")</f>
        <v>924.55200000000013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13802.3884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12500.51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308.18400000000003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231.13800000000003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205.45600000000002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179.774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3264</v>
      </c>
      <c r="B97" s="369" t="s">
        <v>3265</v>
      </c>
      <c r="C97" s="370" t="s">
        <v>3190</v>
      </c>
      <c r="D97" s="371" t="s">
        <v>3266</v>
      </c>
      <c r="E97" s="371" t="s">
        <v>3267</v>
      </c>
      <c r="F97" s="372" t="s">
        <v>3181</v>
      </c>
      <c r="G97" s="372" t="s">
        <v>3182</v>
      </c>
      <c r="H97" s="373" t="s">
        <v>3009</v>
      </c>
      <c r="I97" s="374" t="s">
        <v>3009</v>
      </c>
      <c r="J97" s="421" t="s">
        <v>3183</v>
      </c>
      <c r="K97" s="421" t="s">
        <v>3185</v>
      </c>
      <c r="L97" s="329">
        <f>CONTINUA!BV97</f>
        <v>29</v>
      </c>
      <c r="M97" s="329">
        <f>CONTINUA!BW97</f>
        <v>0</v>
      </c>
      <c r="N97" s="895">
        <v>4.0199999999999996</v>
      </c>
      <c r="O97" s="896" t="s">
        <v>3362</v>
      </c>
      <c r="P97" s="897">
        <v>0</v>
      </c>
      <c r="Q97" s="400">
        <v>26</v>
      </c>
      <c r="R97" s="401"/>
      <c r="S97" s="400">
        <v>3</v>
      </c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>
        <v>1</v>
      </c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>
        <v>1</v>
      </c>
      <c r="BN97" s="401"/>
      <c r="BO97" s="400"/>
      <c r="BP97" s="401"/>
      <c r="BQ97" s="400"/>
      <c r="BR97" s="401"/>
      <c r="BS97" s="400"/>
      <c r="BT97" s="401"/>
      <c r="BU97" s="400"/>
      <c r="BV97" s="401"/>
      <c r="BW97" s="400">
        <v>1</v>
      </c>
      <c r="BX97" s="401"/>
      <c r="BY97" s="400"/>
      <c r="BZ97" s="401"/>
      <c r="CA97" s="400"/>
      <c r="CB97" s="401"/>
      <c r="CC97" s="400">
        <v>1</v>
      </c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26</v>
      </c>
      <c r="EQ97" s="171">
        <f t="shared" si="96"/>
        <v>3</v>
      </c>
      <c r="ER97" s="171">
        <f t="shared" si="97"/>
        <v>4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33</v>
      </c>
      <c r="EW97" s="173"/>
      <c r="EX97" s="248">
        <f t="shared" si="123"/>
        <v>0</v>
      </c>
      <c r="EY97" s="174">
        <f>(L97*regular)+(M97*Cadeirantee)</f>
        <v>279.56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97.766400000000004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3264</v>
      </c>
      <c r="B98" s="369" t="s">
        <v>3265</v>
      </c>
      <c r="C98" s="375" t="s">
        <v>3190</v>
      </c>
      <c r="D98" s="371" t="s">
        <v>3266</v>
      </c>
      <c r="E98" s="371" t="s">
        <v>3267</v>
      </c>
      <c r="F98" s="376" t="s">
        <v>3181</v>
      </c>
      <c r="G98" s="376" t="s">
        <v>3182</v>
      </c>
      <c r="H98" s="373" t="s">
        <v>3009</v>
      </c>
      <c r="I98" s="374" t="s">
        <v>3009</v>
      </c>
      <c r="J98" s="421" t="s">
        <v>3183</v>
      </c>
      <c r="K98" s="422" t="s">
        <v>3186</v>
      </c>
      <c r="L98" s="329">
        <f>CONTINUA!BV98</f>
        <v>0</v>
      </c>
      <c r="M98" s="329">
        <f>CONTINUA!BW98</f>
        <v>0</v>
      </c>
      <c r="N98" s="895"/>
      <c r="O98" s="896" t="s">
        <v>3362</v>
      </c>
      <c r="P98" s="897">
        <v>0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3264</v>
      </c>
      <c r="B99" s="369" t="s">
        <v>3265</v>
      </c>
      <c r="C99" s="375" t="s">
        <v>3190</v>
      </c>
      <c r="D99" s="371" t="s">
        <v>3266</v>
      </c>
      <c r="E99" s="371" t="s">
        <v>3267</v>
      </c>
      <c r="F99" s="376" t="s">
        <v>3181</v>
      </c>
      <c r="G99" s="376" t="s">
        <v>3182</v>
      </c>
      <c r="H99" s="373" t="s">
        <v>3009</v>
      </c>
      <c r="I99" s="374" t="s">
        <v>3009</v>
      </c>
      <c r="J99" s="421" t="s">
        <v>3183</v>
      </c>
      <c r="K99" s="423" t="s">
        <v>3187</v>
      </c>
      <c r="L99" s="329">
        <f>CONTINUA!BV99</f>
        <v>0</v>
      </c>
      <c r="M99" s="329">
        <f>CONTINUA!BW99</f>
        <v>0</v>
      </c>
      <c r="N99" s="895"/>
      <c r="O99" s="896" t="s">
        <v>3362</v>
      </c>
      <c r="P99" s="897">
        <v>0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3264</v>
      </c>
      <c r="B100" s="378" t="s">
        <v>3265</v>
      </c>
      <c r="C100" s="379" t="s">
        <v>3190</v>
      </c>
      <c r="D100" s="380" t="s">
        <v>3266</v>
      </c>
      <c r="E100" s="380" t="s">
        <v>3267</v>
      </c>
      <c r="F100" s="381" t="s">
        <v>3181</v>
      </c>
      <c r="G100" s="381" t="s">
        <v>3182</v>
      </c>
      <c r="H100" s="382" t="s">
        <v>3009</v>
      </c>
      <c r="I100" s="383" t="s">
        <v>3009</v>
      </c>
      <c r="J100" s="421" t="s">
        <v>3183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3362</v>
      </c>
      <c r="P100" s="897">
        <v>0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3268</v>
      </c>
      <c r="B101" s="522" t="s">
        <v>3269</v>
      </c>
      <c r="C101" s="523">
        <v>1</v>
      </c>
      <c r="D101" s="524" t="s">
        <v>3270</v>
      </c>
      <c r="E101" s="524" t="s">
        <v>3271</v>
      </c>
      <c r="F101" s="525" t="s">
        <v>3181</v>
      </c>
      <c r="G101" s="525" t="s">
        <v>3182</v>
      </c>
      <c r="H101" s="350" t="s">
        <v>3010</v>
      </c>
      <c r="I101" s="351" t="s">
        <v>3010</v>
      </c>
      <c r="J101" s="409" t="s">
        <v>3183</v>
      </c>
      <c r="K101" s="410" t="s">
        <v>3184</v>
      </c>
      <c r="L101" s="329">
        <f>CONTINUA!BV101</f>
        <v>0</v>
      </c>
      <c r="M101" s="329">
        <f>CONTINUA!BW101</f>
        <v>0</v>
      </c>
      <c r="N101" s="895"/>
      <c r="O101" s="896" t="s">
        <v>3363</v>
      </c>
      <c r="P101" s="897">
        <v>0</v>
      </c>
      <c r="Q101" s="400">
        <v>18</v>
      </c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18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18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21360.800000000003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21360.800000000003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21360.800000000003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3268</v>
      </c>
      <c r="B102" s="369" t="s">
        <v>3269</v>
      </c>
      <c r="C102" s="370" t="s">
        <v>3190</v>
      </c>
      <c r="D102" s="371" t="s">
        <v>3270</v>
      </c>
      <c r="E102" s="371" t="s">
        <v>3271</v>
      </c>
      <c r="F102" s="372" t="s">
        <v>3181</v>
      </c>
      <c r="G102" s="372" t="s">
        <v>3182</v>
      </c>
      <c r="H102" s="373" t="s">
        <v>3010</v>
      </c>
      <c r="I102" s="374" t="s">
        <v>3010</v>
      </c>
      <c r="J102" s="421" t="s">
        <v>3183</v>
      </c>
      <c r="K102" s="421" t="s">
        <v>3185</v>
      </c>
      <c r="L102" s="329">
        <f>CONTINUA!BV102</f>
        <v>0</v>
      </c>
      <c r="M102" s="329">
        <f>CONTINUA!BW102</f>
        <v>0</v>
      </c>
      <c r="N102" s="895"/>
      <c r="O102" s="896" t="s">
        <v>3363</v>
      </c>
      <c r="P102" s="897">
        <v>0</v>
      </c>
      <c r="Q102" s="400">
        <v>34</v>
      </c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34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34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3268</v>
      </c>
      <c r="B103" s="369" t="s">
        <v>3269</v>
      </c>
      <c r="C103" s="375" t="s">
        <v>3190</v>
      </c>
      <c r="D103" s="371" t="s">
        <v>3270</v>
      </c>
      <c r="E103" s="371" t="s">
        <v>3271</v>
      </c>
      <c r="F103" s="376" t="s">
        <v>3181</v>
      </c>
      <c r="G103" s="376" t="s">
        <v>3182</v>
      </c>
      <c r="H103" s="373" t="s">
        <v>3010</v>
      </c>
      <c r="I103" s="374" t="s">
        <v>3010</v>
      </c>
      <c r="J103" s="421" t="s">
        <v>3183</v>
      </c>
      <c r="K103" s="422" t="s">
        <v>3186</v>
      </c>
      <c r="L103" s="329">
        <f>CONTINUA!BV103</f>
        <v>0</v>
      </c>
      <c r="M103" s="329">
        <f>CONTINUA!BW103</f>
        <v>0</v>
      </c>
      <c r="N103" s="895"/>
      <c r="O103" s="896" t="s">
        <v>3363</v>
      </c>
      <c r="P103" s="897">
        <v>0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3268</v>
      </c>
      <c r="B104" s="369" t="s">
        <v>3269</v>
      </c>
      <c r="C104" s="375" t="s">
        <v>3190</v>
      </c>
      <c r="D104" s="371" t="s">
        <v>3270</v>
      </c>
      <c r="E104" s="371" t="s">
        <v>3271</v>
      </c>
      <c r="F104" s="376" t="s">
        <v>3181</v>
      </c>
      <c r="G104" s="376" t="s">
        <v>3182</v>
      </c>
      <c r="H104" s="373" t="s">
        <v>3010</v>
      </c>
      <c r="I104" s="374" t="s">
        <v>3010</v>
      </c>
      <c r="J104" s="421" t="s">
        <v>3183</v>
      </c>
      <c r="K104" s="423" t="s">
        <v>3187</v>
      </c>
      <c r="L104" s="329">
        <f>CONTINUA!BV104</f>
        <v>0</v>
      </c>
      <c r="M104" s="329">
        <f>CONTINUA!BW104</f>
        <v>0</v>
      </c>
      <c r="N104" s="895"/>
      <c r="O104" s="896" t="s">
        <v>3363</v>
      </c>
      <c r="P104" s="897">
        <v>0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3268</v>
      </c>
      <c r="B105" s="378" t="s">
        <v>3269</v>
      </c>
      <c r="C105" s="379" t="s">
        <v>3190</v>
      </c>
      <c r="D105" s="380" t="s">
        <v>3270</v>
      </c>
      <c r="E105" s="380" t="s">
        <v>3271</v>
      </c>
      <c r="F105" s="381" t="s">
        <v>3181</v>
      </c>
      <c r="G105" s="381" t="s">
        <v>3182</v>
      </c>
      <c r="H105" s="382" t="s">
        <v>3010</v>
      </c>
      <c r="I105" s="383" t="s">
        <v>3010</v>
      </c>
      <c r="J105" s="421" t="s">
        <v>3183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3363</v>
      </c>
      <c r="P105" s="897">
        <v>0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3272</v>
      </c>
      <c r="B106" s="522" t="s">
        <v>3273</v>
      </c>
      <c r="C106" s="523">
        <v>1</v>
      </c>
      <c r="D106" s="524" t="s">
        <v>3274</v>
      </c>
      <c r="E106" s="524" t="s">
        <v>3275</v>
      </c>
      <c r="F106" s="525" t="s">
        <v>3181</v>
      </c>
      <c r="G106" s="525" t="s">
        <v>3182</v>
      </c>
      <c r="H106" s="350" t="s">
        <v>3011</v>
      </c>
      <c r="I106" s="351" t="s">
        <v>3011</v>
      </c>
      <c r="J106" s="409" t="s">
        <v>3183</v>
      </c>
      <c r="K106" s="410" t="s">
        <v>3184</v>
      </c>
      <c r="L106" s="329">
        <f>CONTINUA!BV106</f>
        <v>0</v>
      </c>
      <c r="M106" s="329">
        <f>CONTINUA!BW106</f>
        <v>0</v>
      </c>
      <c r="N106" s="895"/>
      <c r="O106" s="896" t="s">
        <v>3364</v>
      </c>
      <c r="P106" s="897">
        <v>0</v>
      </c>
      <c r="Q106" s="400">
        <v>8</v>
      </c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>
        <v>1</v>
      </c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8</v>
      </c>
      <c r="EQ106" s="171">
        <f t="shared" si="96"/>
        <v>1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9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18664.190000000002</v>
      </c>
      <c r="EY106" s="174">
        <f>(L106*regular)+(M106*Cadeirantee)</f>
        <v>0</v>
      </c>
      <c r="EZ106" s="249">
        <f>SUMIF(FG106:GJ106,"&gt;0")</f>
        <v>783.30100000000004</v>
      </c>
      <c r="FA106" s="249">
        <f>SUMIF(FG106:GJ106,"&lt;0")+SUMIF(GN106:HP106,"&lt;0")</f>
        <v>-295.34300000000002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19152.148000000001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18664.190000000002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321.02500000000003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308.18400000000003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-295.34300000000002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154.09200000000001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3272</v>
      </c>
      <c r="B107" s="369" t="s">
        <v>3273</v>
      </c>
      <c r="C107" s="370" t="s">
        <v>3190</v>
      </c>
      <c r="D107" s="371" t="s">
        <v>3274</v>
      </c>
      <c r="E107" s="371" t="s">
        <v>3275</v>
      </c>
      <c r="F107" s="372" t="s">
        <v>3181</v>
      </c>
      <c r="G107" s="372" t="s">
        <v>3182</v>
      </c>
      <c r="H107" s="373" t="s">
        <v>3011</v>
      </c>
      <c r="I107" s="374" t="s">
        <v>3011</v>
      </c>
      <c r="J107" s="421" t="s">
        <v>3183</v>
      </c>
      <c r="K107" s="421" t="s">
        <v>3185</v>
      </c>
      <c r="L107" s="329">
        <f>CONTINUA!BV107</f>
        <v>0</v>
      </c>
      <c r="M107" s="329">
        <f>CONTINUA!BW107</f>
        <v>0</v>
      </c>
      <c r="N107" s="895"/>
      <c r="O107" s="896" t="s">
        <v>3364</v>
      </c>
      <c r="P107" s="897">
        <v>0</v>
      </c>
      <c r="Q107" s="400">
        <v>37</v>
      </c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>
        <v>1</v>
      </c>
      <c r="AP107" s="401"/>
      <c r="AQ107" s="400"/>
      <c r="AR107" s="401"/>
      <c r="AS107" s="400">
        <v>-1</v>
      </c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>
        <v>1</v>
      </c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37</v>
      </c>
      <c r="EQ107" s="171">
        <f t="shared" si="96"/>
        <v>1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38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3272</v>
      </c>
      <c r="B108" s="369" t="s">
        <v>3273</v>
      </c>
      <c r="C108" s="375" t="s">
        <v>3190</v>
      </c>
      <c r="D108" s="371" t="s">
        <v>3274</v>
      </c>
      <c r="E108" s="371" t="s">
        <v>3275</v>
      </c>
      <c r="F108" s="376" t="s">
        <v>3181</v>
      </c>
      <c r="G108" s="376" t="s">
        <v>3182</v>
      </c>
      <c r="H108" s="373" t="s">
        <v>3011</v>
      </c>
      <c r="I108" s="374" t="s">
        <v>3011</v>
      </c>
      <c r="J108" s="421" t="s">
        <v>3183</v>
      </c>
      <c r="K108" s="422" t="s">
        <v>3186</v>
      </c>
      <c r="L108" s="329">
        <f>CONTINUA!BV108</f>
        <v>0</v>
      </c>
      <c r="M108" s="329">
        <f>CONTINUA!BW108</f>
        <v>0</v>
      </c>
      <c r="N108" s="895"/>
      <c r="O108" s="896" t="s">
        <v>3364</v>
      </c>
      <c r="P108" s="897">
        <v>0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3272</v>
      </c>
      <c r="B109" s="369" t="s">
        <v>3273</v>
      </c>
      <c r="C109" s="375" t="s">
        <v>3190</v>
      </c>
      <c r="D109" s="371" t="s">
        <v>3274</v>
      </c>
      <c r="E109" s="371" t="s">
        <v>3275</v>
      </c>
      <c r="F109" s="376" t="s">
        <v>3181</v>
      </c>
      <c r="G109" s="376" t="s">
        <v>3182</v>
      </c>
      <c r="H109" s="373" t="s">
        <v>3011</v>
      </c>
      <c r="I109" s="374" t="s">
        <v>3011</v>
      </c>
      <c r="J109" s="421" t="s">
        <v>3183</v>
      </c>
      <c r="K109" s="423" t="s">
        <v>3187</v>
      </c>
      <c r="L109" s="329">
        <f>CONTINUA!BV109</f>
        <v>0</v>
      </c>
      <c r="M109" s="329">
        <f>CONTINUA!BW109</f>
        <v>0</v>
      </c>
      <c r="N109" s="895"/>
      <c r="O109" s="896" t="s">
        <v>3364</v>
      </c>
      <c r="P109" s="897">
        <v>0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3272</v>
      </c>
      <c r="B110" s="378" t="s">
        <v>3273</v>
      </c>
      <c r="C110" s="379" t="s">
        <v>3190</v>
      </c>
      <c r="D110" s="380" t="s">
        <v>3274</v>
      </c>
      <c r="E110" s="380" t="s">
        <v>3275</v>
      </c>
      <c r="F110" s="381" t="s">
        <v>3181</v>
      </c>
      <c r="G110" s="381" t="s">
        <v>3182</v>
      </c>
      <c r="H110" s="382" t="s">
        <v>3011</v>
      </c>
      <c r="I110" s="383" t="s">
        <v>3011</v>
      </c>
      <c r="J110" s="421" t="s">
        <v>3183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3364</v>
      </c>
      <c r="P110" s="897">
        <v>0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3276</v>
      </c>
      <c r="B111" s="522" t="s">
        <v>3277</v>
      </c>
      <c r="C111" s="523">
        <v>1</v>
      </c>
      <c r="D111" s="524" t="s">
        <v>3278</v>
      </c>
      <c r="E111" s="524" t="s">
        <v>3279</v>
      </c>
      <c r="F111" s="525" t="s">
        <v>3181</v>
      </c>
      <c r="G111" s="525" t="s">
        <v>3182</v>
      </c>
      <c r="H111" s="350" t="s">
        <v>3012</v>
      </c>
      <c r="I111" s="351" t="s">
        <v>3012</v>
      </c>
      <c r="J111" s="409" t="s">
        <v>3183</v>
      </c>
      <c r="K111" s="410" t="s">
        <v>3184</v>
      </c>
      <c r="L111" s="329">
        <f>CONTINUA!BV111</f>
        <v>0</v>
      </c>
      <c r="M111" s="329">
        <f>CONTINUA!BW111</f>
        <v>0</v>
      </c>
      <c r="N111" s="895"/>
      <c r="O111" s="896" t="s">
        <v>3365</v>
      </c>
      <c r="P111" s="897">
        <v>0</v>
      </c>
      <c r="Q111" s="400"/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0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0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20205.11</v>
      </c>
      <c r="EY111" s="174">
        <f>(L111*regular)+(M111*Cadeirantee)</f>
        <v>0</v>
      </c>
      <c r="EZ111" s="249">
        <f>SUMIF(FG111:GJ111,"&gt;0")</f>
        <v>1977.5140000000001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22182.624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20205.11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321.02500000000003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295.34300000000002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1130.008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231.13800000000003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3276</v>
      </c>
      <c r="B112" s="369" t="s">
        <v>3277</v>
      </c>
      <c r="C112" s="370" t="s">
        <v>3190</v>
      </c>
      <c r="D112" s="371" t="s">
        <v>3278</v>
      </c>
      <c r="E112" s="371" t="s">
        <v>3279</v>
      </c>
      <c r="F112" s="372" t="s">
        <v>3181</v>
      </c>
      <c r="G112" s="372" t="s">
        <v>3182</v>
      </c>
      <c r="H112" s="373" t="s">
        <v>3012</v>
      </c>
      <c r="I112" s="374" t="s">
        <v>3012</v>
      </c>
      <c r="J112" s="421" t="s">
        <v>3183</v>
      </c>
      <c r="K112" s="421" t="s">
        <v>3185</v>
      </c>
      <c r="L112" s="329">
        <f>CONTINUA!BV112</f>
        <v>0</v>
      </c>
      <c r="M112" s="329">
        <f>CONTINUA!BW112</f>
        <v>0</v>
      </c>
      <c r="N112" s="895"/>
      <c r="O112" s="896" t="s">
        <v>3365</v>
      </c>
      <c r="P112" s="897">
        <v>0</v>
      </c>
      <c r="Q112" s="400">
        <v>49</v>
      </c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>
        <v>1</v>
      </c>
      <c r="AN112" s="401"/>
      <c r="AO112" s="400"/>
      <c r="AP112" s="401"/>
      <c r="AQ112" s="400"/>
      <c r="AR112" s="401"/>
      <c r="AS112" s="400"/>
      <c r="AT112" s="401"/>
      <c r="AU112" s="400">
        <v>1</v>
      </c>
      <c r="AV112" s="401"/>
      <c r="AW112" s="400"/>
      <c r="AX112" s="401"/>
      <c r="AY112" s="400">
        <v>4</v>
      </c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>
        <v>1</v>
      </c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49</v>
      </c>
      <c r="EQ112" s="171">
        <f t="shared" si="96"/>
        <v>0</v>
      </c>
      <c r="ER112" s="171">
        <f t="shared" si="97"/>
        <v>7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56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3276</v>
      </c>
      <c r="B113" s="369" t="s">
        <v>3277</v>
      </c>
      <c r="C113" s="375" t="s">
        <v>3190</v>
      </c>
      <c r="D113" s="371" t="s">
        <v>3278</v>
      </c>
      <c r="E113" s="371" t="s">
        <v>3279</v>
      </c>
      <c r="F113" s="376" t="s">
        <v>3181</v>
      </c>
      <c r="G113" s="376" t="s">
        <v>3182</v>
      </c>
      <c r="H113" s="373" t="s">
        <v>3012</v>
      </c>
      <c r="I113" s="374" t="s">
        <v>3012</v>
      </c>
      <c r="J113" s="421" t="s">
        <v>3183</v>
      </c>
      <c r="K113" s="422" t="s">
        <v>3186</v>
      </c>
      <c r="L113" s="329">
        <f>CONTINUA!BV113</f>
        <v>0</v>
      </c>
      <c r="M113" s="329">
        <f>CONTINUA!BW113</f>
        <v>0</v>
      </c>
      <c r="N113" s="895"/>
      <c r="O113" s="896" t="s">
        <v>3365</v>
      </c>
      <c r="P113" s="897">
        <v>0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3276</v>
      </c>
      <c r="B114" s="369" t="s">
        <v>3277</v>
      </c>
      <c r="C114" s="375" t="s">
        <v>3190</v>
      </c>
      <c r="D114" s="371" t="s">
        <v>3278</v>
      </c>
      <c r="E114" s="371" t="s">
        <v>3279</v>
      </c>
      <c r="F114" s="376" t="s">
        <v>3181</v>
      </c>
      <c r="G114" s="376" t="s">
        <v>3182</v>
      </c>
      <c r="H114" s="373" t="s">
        <v>3012</v>
      </c>
      <c r="I114" s="374" t="s">
        <v>3012</v>
      </c>
      <c r="J114" s="421" t="s">
        <v>3183</v>
      </c>
      <c r="K114" s="423" t="s">
        <v>3187</v>
      </c>
      <c r="L114" s="329">
        <f>CONTINUA!BV114</f>
        <v>0</v>
      </c>
      <c r="M114" s="329">
        <f>CONTINUA!BW114</f>
        <v>0</v>
      </c>
      <c r="N114" s="895"/>
      <c r="O114" s="896" t="s">
        <v>3365</v>
      </c>
      <c r="P114" s="897">
        <v>0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3276</v>
      </c>
      <c r="B115" s="378" t="s">
        <v>3277</v>
      </c>
      <c r="C115" s="379" t="s">
        <v>3190</v>
      </c>
      <c r="D115" s="380" t="s">
        <v>3278</v>
      </c>
      <c r="E115" s="380" t="s">
        <v>3279</v>
      </c>
      <c r="F115" s="381" t="s">
        <v>3181</v>
      </c>
      <c r="G115" s="381" t="s">
        <v>3182</v>
      </c>
      <c r="H115" s="382" t="s">
        <v>3012</v>
      </c>
      <c r="I115" s="383" t="s">
        <v>3012</v>
      </c>
      <c r="J115" s="421" t="s">
        <v>3183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3365</v>
      </c>
      <c r="P115" s="897">
        <v>0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3280</v>
      </c>
      <c r="B116" s="522" t="s">
        <v>3281</v>
      </c>
      <c r="C116" s="523">
        <v>1</v>
      </c>
      <c r="D116" s="524" t="s">
        <v>3282</v>
      </c>
      <c r="E116" s="524" t="s">
        <v>3283</v>
      </c>
      <c r="F116" s="525" t="s">
        <v>3181</v>
      </c>
      <c r="G116" s="525" t="s">
        <v>3182</v>
      </c>
      <c r="H116" s="350" t="s">
        <v>3013</v>
      </c>
      <c r="I116" s="351" t="s">
        <v>3013</v>
      </c>
      <c r="J116" s="409" t="s">
        <v>3183</v>
      </c>
      <c r="K116" s="410" t="s">
        <v>3184</v>
      </c>
      <c r="L116" s="329">
        <f>CONTINUA!BV116</f>
        <v>0</v>
      </c>
      <c r="M116" s="329">
        <f>CONTINUA!BW116</f>
        <v>0</v>
      </c>
      <c r="N116" s="895"/>
      <c r="O116" s="896" t="s">
        <v>3366</v>
      </c>
      <c r="P116" s="897">
        <v>0</v>
      </c>
      <c r="Q116" s="400">
        <v>27</v>
      </c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27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27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14426.66</v>
      </c>
      <c r="EY116" s="174">
        <f>(L116*regular)+(M116*Cadeirantee)</f>
        <v>0</v>
      </c>
      <c r="EZ116" s="249">
        <f>SUMIF(FG116:GJ116,"&gt;0")</f>
        <v>0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14455.58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14426.66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3280</v>
      </c>
      <c r="B117" s="369" t="s">
        <v>3281</v>
      </c>
      <c r="C117" s="370" t="s">
        <v>3190</v>
      </c>
      <c r="D117" s="371" t="s">
        <v>3282</v>
      </c>
      <c r="E117" s="371" t="s">
        <v>3283</v>
      </c>
      <c r="F117" s="372" t="s">
        <v>3181</v>
      </c>
      <c r="G117" s="372" t="s">
        <v>3182</v>
      </c>
      <c r="H117" s="373" t="s">
        <v>3013</v>
      </c>
      <c r="I117" s="374" t="s">
        <v>3013</v>
      </c>
      <c r="J117" s="421" t="s">
        <v>3183</v>
      </c>
      <c r="K117" s="421" t="s">
        <v>3185</v>
      </c>
      <c r="L117" s="329">
        <f>CONTINUA!BV117</f>
        <v>3</v>
      </c>
      <c r="M117" s="329">
        <f>CONTINUA!BW117</f>
        <v>0</v>
      </c>
      <c r="N117" s="895"/>
      <c r="O117" s="896" t="s">
        <v>3366</v>
      </c>
      <c r="P117" s="897">
        <v>0</v>
      </c>
      <c r="Q117" s="400">
        <v>7</v>
      </c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7</v>
      </c>
      <c r="EQ117" s="171">
        <f t="shared" si="96"/>
        <v>0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7</v>
      </c>
      <c r="EW117" s="173"/>
      <c r="EX117" s="248">
        <f t="shared" si="143"/>
        <v>0</v>
      </c>
      <c r="EY117" s="174">
        <f>(L117*regular)+(M117*Cadeirantee)</f>
        <v>28.92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3280</v>
      </c>
      <c r="B118" s="369" t="s">
        <v>3281</v>
      </c>
      <c r="C118" s="375" t="s">
        <v>3190</v>
      </c>
      <c r="D118" s="371" t="s">
        <v>3282</v>
      </c>
      <c r="E118" s="371" t="s">
        <v>3283</v>
      </c>
      <c r="F118" s="376" t="s">
        <v>3181</v>
      </c>
      <c r="G118" s="376" t="s">
        <v>3182</v>
      </c>
      <c r="H118" s="373" t="s">
        <v>3013</v>
      </c>
      <c r="I118" s="374" t="s">
        <v>3013</v>
      </c>
      <c r="J118" s="421" t="s">
        <v>3183</v>
      </c>
      <c r="K118" s="422" t="s">
        <v>3186</v>
      </c>
      <c r="L118" s="329">
        <f>CONTINUA!BV118</f>
        <v>0</v>
      </c>
      <c r="M118" s="329">
        <f>CONTINUA!BW118</f>
        <v>0</v>
      </c>
      <c r="N118" s="895"/>
      <c r="O118" s="896" t="s">
        <v>3366</v>
      </c>
      <c r="P118" s="897">
        <v>0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3280</v>
      </c>
      <c r="B119" s="369" t="s">
        <v>3281</v>
      </c>
      <c r="C119" s="375" t="s">
        <v>3190</v>
      </c>
      <c r="D119" s="371" t="s">
        <v>3282</v>
      </c>
      <c r="E119" s="371" t="s">
        <v>3283</v>
      </c>
      <c r="F119" s="376" t="s">
        <v>3181</v>
      </c>
      <c r="G119" s="376" t="s">
        <v>3182</v>
      </c>
      <c r="H119" s="373" t="s">
        <v>3013</v>
      </c>
      <c r="I119" s="374" t="s">
        <v>3013</v>
      </c>
      <c r="J119" s="421" t="s">
        <v>3183</v>
      </c>
      <c r="K119" s="423" t="s">
        <v>3187</v>
      </c>
      <c r="L119" s="329">
        <f>CONTINUA!BV119</f>
        <v>0</v>
      </c>
      <c r="M119" s="329">
        <f>CONTINUA!BW119</f>
        <v>0</v>
      </c>
      <c r="N119" s="895"/>
      <c r="O119" s="896" t="s">
        <v>3366</v>
      </c>
      <c r="P119" s="897">
        <v>0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3280</v>
      </c>
      <c r="B120" s="378" t="s">
        <v>3281</v>
      </c>
      <c r="C120" s="379" t="s">
        <v>3190</v>
      </c>
      <c r="D120" s="380" t="s">
        <v>3282</v>
      </c>
      <c r="E120" s="380" t="s">
        <v>3283</v>
      </c>
      <c r="F120" s="381" t="s">
        <v>3181</v>
      </c>
      <c r="G120" s="381" t="s">
        <v>3182</v>
      </c>
      <c r="H120" s="382" t="s">
        <v>3013</v>
      </c>
      <c r="I120" s="383" t="s">
        <v>3013</v>
      </c>
      <c r="J120" s="421" t="s">
        <v>3183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3366</v>
      </c>
      <c r="P120" s="897">
        <v>0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3284</v>
      </c>
      <c r="B121" s="522" t="s">
        <v>3285</v>
      </c>
      <c r="C121" s="523">
        <v>1</v>
      </c>
      <c r="D121" s="524" t="s">
        <v>3286</v>
      </c>
      <c r="E121" s="524" t="s">
        <v>3287</v>
      </c>
      <c r="F121" s="525" t="s">
        <v>3181</v>
      </c>
      <c r="G121" s="525" t="s">
        <v>3182</v>
      </c>
      <c r="H121" s="350" t="s">
        <v>3016</v>
      </c>
      <c r="I121" s="351" t="s">
        <v>3016</v>
      </c>
      <c r="J121" s="409" t="s">
        <v>3183</v>
      </c>
      <c r="K121" s="410" t="s">
        <v>3184</v>
      </c>
      <c r="L121" s="329">
        <f>CONTINUA!BV121</f>
        <v>0</v>
      </c>
      <c r="M121" s="329">
        <f>CONTINUA!BW121</f>
        <v>0</v>
      </c>
      <c r="N121" s="895"/>
      <c r="O121" s="896" t="s">
        <v>3367</v>
      </c>
      <c r="P121" s="897">
        <v>0</v>
      </c>
      <c r="Q121" s="400">
        <v>15</v>
      </c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>
        <v>3</v>
      </c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15</v>
      </c>
      <c r="EQ121" s="171">
        <f t="shared" si="96"/>
        <v>3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18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17893.730000000003</v>
      </c>
      <c r="EY121" s="174">
        <f>(L121*regular)+(M121*Cadeirantee)</f>
        <v>0</v>
      </c>
      <c r="EZ121" s="249">
        <f>SUMIF(FG121:GJ121,"&gt;0")</f>
        <v>860.34700000000009</v>
      </c>
      <c r="FA121" s="249">
        <f>SUMIF(FG121:GJ121,"&lt;0")+SUMIF(GN121:HP121,"&lt;0")</f>
        <v>-295.34300000000002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18458.734000000004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17893.730000000003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-295.34300000000002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808.98300000000006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51.364000000000004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3284</v>
      </c>
      <c r="B122" s="369" t="s">
        <v>3285</v>
      </c>
      <c r="C122" s="370" t="s">
        <v>3190</v>
      </c>
      <c r="D122" s="371" t="s">
        <v>3286</v>
      </c>
      <c r="E122" s="371" t="s">
        <v>3287</v>
      </c>
      <c r="F122" s="372" t="s">
        <v>3181</v>
      </c>
      <c r="G122" s="372" t="s">
        <v>3182</v>
      </c>
      <c r="H122" s="373" t="s">
        <v>3016</v>
      </c>
      <c r="I122" s="374" t="s">
        <v>3016</v>
      </c>
      <c r="J122" s="421" t="s">
        <v>3183</v>
      </c>
      <c r="K122" s="421" t="s">
        <v>3185</v>
      </c>
      <c r="L122" s="329">
        <f>CONTINUA!BV122</f>
        <v>0</v>
      </c>
      <c r="M122" s="329">
        <f>CONTINUA!BW122</f>
        <v>0</v>
      </c>
      <c r="N122" s="895"/>
      <c r="O122" s="896" t="s">
        <v>3367</v>
      </c>
      <c r="P122" s="897">
        <v>0</v>
      </c>
      <c r="Q122" s="400">
        <v>28</v>
      </c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>
        <v>-1</v>
      </c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>
        <v>1</v>
      </c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28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28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3284</v>
      </c>
      <c r="B123" s="369" t="s">
        <v>3285</v>
      </c>
      <c r="C123" s="375" t="s">
        <v>3190</v>
      </c>
      <c r="D123" s="371" t="s">
        <v>3286</v>
      </c>
      <c r="E123" s="371" t="s">
        <v>3287</v>
      </c>
      <c r="F123" s="376" t="s">
        <v>3181</v>
      </c>
      <c r="G123" s="376" t="s">
        <v>3182</v>
      </c>
      <c r="H123" s="373" t="s">
        <v>3016</v>
      </c>
      <c r="I123" s="374" t="s">
        <v>3016</v>
      </c>
      <c r="J123" s="421" t="s">
        <v>3183</v>
      </c>
      <c r="K123" s="422" t="s">
        <v>3186</v>
      </c>
      <c r="L123" s="329">
        <f>CONTINUA!BV123</f>
        <v>0</v>
      </c>
      <c r="M123" s="329">
        <f>CONTINUA!BW123</f>
        <v>0</v>
      </c>
      <c r="N123" s="895"/>
      <c r="O123" s="896" t="s">
        <v>3367</v>
      </c>
      <c r="P123" s="897">
        <v>0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3284</v>
      </c>
      <c r="B124" s="369" t="s">
        <v>3285</v>
      </c>
      <c r="C124" s="375" t="s">
        <v>3190</v>
      </c>
      <c r="D124" s="371" t="s">
        <v>3286</v>
      </c>
      <c r="E124" s="371" t="s">
        <v>3287</v>
      </c>
      <c r="F124" s="376" t="s">
        <v>3181</v>
      </c>
      <c r="G124" s="376" t="s">
        <v>3182</v>
      </c>
      <c r="H124" s="373" t="s">
        <v>3016</v>
      </c>
      <c r="I124" s="374" t="s">
        <v>3016</v>
      </c>
      <c r="J124" s="421" t="s">
        <v>3183</v>
      </c>
      <c r="K124" s="423" t="s">
        <v>3187</v>
      </c>
      <c r="L124" s="329">
        <f>CONTINUA!BV124</f>
        <v>0</v>
      </c>
      <c r="M124" s="329">
        <f>CONTINUA!BW124</f>
        <v>0</v>
      </c>
      <c r="N124" s="895"/>
      <c r="O124" s="896" t="s">
        <v>3367</v>
      </c>
      <c r="P124" s="897">
        <v>0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3284</v>
      </c>
      <c r="B125" s="378" t="s">
        <v>3285</v>
      </c>
      <c r="C125" s="379" t="s">
        <v>3190</v>
      </c>
      <c r="D125" s="380" t="s">
        <v>3286</v>
      </c>
      <c r="E125" s="380" t="s">
        <v>3287</v>
      </c>
      <c r="F125" s="381" t="s">
        <v>3181</v>
      </c>
      <c r="G125" s="381" t="s">
        <v>3182</v>
      </c>
      <c r="H125" s="382" t="s">
        <v>3016</v>
      </c>
      <c r="I125" s="383" t="s">
        <v>3016</v>
      </c>
      <c r="J125" s="421" t="s">
        <v>3183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3367</v>
      </c>
      <c r="P125" s="897">
        <v>0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3288</v>
      </c>
      <c r="B126" s="522" t="s">
        <v>3289</v>
      </c>
      <c r="C126" s="523">
        <v>1</v>
      </c>
      <c r="D126" s="524" t="s">
        <v>3290</v>
      </c>
      <c r="E126" s="524" t="s">
        <v>3291</v>
      </c>
      <c r="F126" s="525" t="s">
        <v>3181</v>
      </c>
      <c r="G126" s="525" t="s">
        <v>3182</v>
      </c>
      <c r="H126" s="350" t="s">
        <v>3017</v>
      </c>
      <c r="I126" s="351" t="s">
        <v>3017</v>
      </c>
      <c r="J126" s="409" t="s">
        <v>3183</v>
      </c>
      <c r="K126" s="410" t="s">
        <v>3184</v>
      </c>
      <c r="L126" s="329">
        <f>CONTINUA!BV126</f>
        <v>0</v>
      </c>
      <c r="M126" s="329">
        <f>CONTINUA!BW126</f>
        <v>0</v>
      </c>
      <c r="N126" s="895"/>
      <c r="O126" s="896" t="s">
        <v>3368</v>
      </c>
      <c r="P126" s="897">
        <v>0</v>
      </c>
      <c r="Q126" s="400">
        <v>11</v>
      </c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11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11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13270.970000000001</v>
      </c>
      <c r="EY126" s="174">
        <f>(L126*regular)+(M126*Cadeirantee)</f>
        <v>0</v>
      </c>
      <c r="EZ126" s="249">
        <f>SUMIF(FG126:GJ126,"&gt;0")</f>
        <v>179.774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13450.744000000001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13270.970000000001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179.774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3288</v>
      </c>
      <c r="B127" s="369" t="s">
        <v>3289</v>
      </c>
      <c r="C127" s="370" t="s">
        <v>3190</v>
      </c>
      <c r="D127" s="371" t="s">
        <v>3290</v>
      </c>
      <c r="E127" s="371" t="s">
        <v>3291</v>
      </c>
      <c r="F127" s="372" t="s">
        <v>3181</v>
      </c>
      <c r="G127" s="372" t="s">
        <v>3182</v>
      </c>
      <c r="H127" s="373" t="s">
        <v>3017</v>
      </c>
      <c r="I127" s="374" t="s">
        <v>3017</v>
      </c>
      <c r="J127" s="421" t="s">
        <v>3183</v>
      </c>
      <c r="K127" s="421" t="s">
        <v>3185</v>
      </c>
      <c r="L127" s="329">
        <f>CONTINUA!BV127</f>
        <v>0</v>
      </c>
      <c r="M127" s="329">
        <f>CONTINUA!BW127</f>
        <v>0</v>
      </c>
      <c r="N127" s="895"/>
      <c r="O127" s="896" t="s">
        <v>3368</v>
      </c>
      <c r="P127" s="897">
        <v>0</v>
      </c>
      <c r="Q127" s="400">
        <v>19</v>
      </c>
      <c r="R127" s="401"/>
      <c r="S127" s="400">
        <v>1</v>
      </c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>
        <v>1</v>
      </c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19</v>
      </c>
      <c r="EQ127" s="171">
        <f t="shared" si="96"/>
        <v>1</v>
      </c>
      <c r="ER127" s="171">
        <f t="shared" si="97"/>
        <v>1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21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3288</v>
      </c>
      <c r="B128" s="369" t="s">
        <v>3289</v>
      </c>
      <c r="C128" s="375" t="s">
        <v>3190</v>
      </c>
      <c r="D128" s="371" t="s">
        <v>3290</v>
      </c>
      <c r="E128" s="371" t="s">
        <v>3291</v>
      </c>
      <c r="F128" s="376" t="s">
        <v>3181</v>
      </c>
      <c r="G128" s="376" t="s">
        <v>3182</v>
      </c>
      <c r="H128" s="373" t="s">
        <v>3017</v>
      </c>
      <c r="I128" s="374" t="s">
        <v>3017</v>
      </c>
      <c r="J128" s="421" t="s">
        <v>3183</v>
      </c>
      <c r="K128" s="422" t="s">
        <v>3186</v>
      </c>
      <c r="L128" s="329">
        <f>CONTINUA!BV128</f>
        <v>0</v>
      </c>
      <c r="M128" s="329">
        <f>CONTINUA!BW128</f>
        <v>0</v>
      </c>
      <c r="N128" s="895"/>
      <c r="O128" s="896" t="s">
        <v>3368</v>
      </c>
      <c r="P128" s="897">
        <v>0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3288</v>
      </c>
      <c r="B129" s="369" t="s">
        <v>3289</v>
      </c>
      <c r="C129" s="375" t="s">
        <v>3190</v>
      </c>
      <c r="D129" s="371" t="s">
        <v>3290</v>
      </c>
      <c r="E129" s="371" t="s">
        <v>3291</v>
      </c>
      <c r="F129" s="376" t="s">
        <v>3181</v>
      </c>
      <c r="G129" s="376" t="s">
        <v>3182</v>
      </c>
      <c r="H129" s="373" t="s">
        <v>3017</v>
      </c>
      <c r="I129" s="374" t="s">
        <v>3017</v>
      </c>
      <c r="J129" s="421" t="s">
        <v>3183</v>
      </c>
      <c r="K129" s="423" t="s">
        <v>3187</v>
      </c>
      <c r="L129" s="329">
        <f>CONTINUA!BV129</f>
        <v>0</v>
      </c>
      <c r="M129" s="329">
        <f>CONTINUA!BW129</f>
        <v>0</v>
      </c>
      <c r="N129" s="895"/>
      <c r="O129" s="896" t="s">
        <v>3368</v>
      </c>
      <c r="P129" s="897">
        <v>0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3288</v>
      </c>
      <c r="B130" s="378" t="s">
        <v>3289</v>
      </c>
      <c r="C130" s="379" t="s">
        <v>3190</v>
      </c>
      <c r="D130" s="380" t="s">
        <v>3290</v>
      </c>
      <c r="E130" s="380" t="s">
        <v>3291</v>
      </c>
      <c r="F130" s="381" t="s">
        <v>3181</v>
      </c>
      <c r="G130" s="381" t="s">
        <v>3182</v>
      </c>
      <c r="H130" s="382" t="s">
        <v>3017</v>
      </c>
      <c r="I130" s="383" t="s">
        <v>3017</v>
      </c>
      <c r="J130" s="421" t="s">
        <v>3183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3368</v>
      </c>
      <c r="P130" s="897">
        <v>0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3292</v>
      </c>
      <c r="B131" s="522" t="s">
        <v>3293</v>
      </c>
      <c r="C131" s="523">
        <v>1</v>
      </c>
      <c r="D131" s="524" t="s">
        <v>3294</v>
      </c>
      <c r="E131" s="524" t="s">
        <v>3295</v>
      </c>
      <c r="F131" s="525" t="s">
        <v>3181</v>
      </c>
      <c r="G131" s="525" t="s">
        <v>3182</v>
      </c>
      <c r="H131" s="350" t="s">
        <v>3019</v>
      </c>
      <c r="I131" s="351" t="s">
        <v>3019</v>
      </c>
      <c r="J131" s="409" t="s">
        <v>3183</v>
      </c>
      <c r="K131" s="410" t="s">
        <v>3184</v>
      </c>
      <c r="L131" s="329">
        <f>CONTINUA!BV131</f>
        <v>0</v>
      </c>
      <c r="M131" s="329">
        <f>CONTINUA!BW131</f>
        <v>0</v>
      </c>
      <c r="N131" s="895"/>
      <c r="O131" s="896" t="s">
        <v>3369</v>
      </c>
      <c r="P131" s="897">
        <v>0</v>
      </c>
      <c r="Q131" s="400">
        <v>54</v>
      </c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>
        <v>-1</v>
      </c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>
        <v>1</v>
      </c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54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54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22131.260000000002</v>
      </c>
      <c r="EY131" s="174">
        <f>(L131*regular)+(M131*Cadeirantee)</f>
        <v>0</v>
      </c>
      <c r="EZ131" s="249">
        <f>SUMIF(FG131:GJ131,"&gt;0")</f>
        <v>51.364000000000004</v>
      </c>
      <c r="FA131" s="249">
        <f>SUMIF(FG131:GJ131,"&lt;0")+SUMIF(GN131:HP131,"&lt;0")</f>
        <v>-218.29700000000003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21964.327000000005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22131.260000000002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-218.29700000000003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51.364000000000004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3292</v>
      </c>
      <c r="B132" s="369" t="s">
        <v>3293</v>
      </c>
      <c r="C132" s="370" t="s">
        <v>3190</v>
      </c>
      <c r="D132" s="371" t="s">
        <v>3294</v>
      </c>
      <c r="E132" s="371" t="s">
        <v>3295</v>
      </c>
      <c r="F132" s="372" t="s">
        <v>3181</v>
      </c>
      <c r="G132" s="372" t="s">
        <v>3182</v>
      </c>
      <c r="H132" s="373" t="s">
        <v>3019</v>
      </c>
      <c r="I132" s="374" t="s">
        <v>3019</v>
      </c>
      <c r="J132" s="421" t="s">
        <v>3183</v>
      </c>
      <c r="K132" s="421" t="s">
        <v>3185</v>
      </c>
      <c r="L132" s="329">
        <f>CONTINUA!BV132</f>
        <v>0</v>
      </c>
      <c r="M132" s="329">
        <f>CONTINUA!BW132</f>
        <v>0</v>
      </c>
      <c r="N132" s="895"/>
      <c r="O132" s="896" t="s">
        <v>3369</v>
      </c>
      <c r="P132" s="897">
        <v>0</v>
      </c>
      <c r="Q132" s="400"/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0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0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3292</v>
      </c>
      <c r="B133" s="369" t="s">
        <v>3293</v>
      </c>
      <c r="C133" s="375" t="s">
        <v>3190</v>
      </c>
      <c r="D133" s="371" t="s">
        <v>3294</v>
      </c>
      <c r="E133" s="371" t="s">
        <v>3295</v>
      </c>
      <c r="F133" s="376" t="s">
        <v>3181</v>
      </c>
      <c r="G133" s="376" t="s">
        <v>3182</v>
      </c>
      <c r="H133" s="373" t="s">
        <v>3019</v>
      </c>
      <c r="I133" s="374" t="s">
        <v>3019</v>
      </c>
      <c r="J133" s="421" t="s">
        <v>3183</v>
      </c>
      <c r="K133" s="422" t="s">
        <v>3186</v>
      </c>
      <c r="L133" s="329">
        <f>CONTINUA!BV133</f>
        <v>0</v>
      </c>
      <c r="M133" s="329">
        <f>CONTINUA!BW133</f>
        <v>0</v>
      </c>
      <c r="N133" s="895"/>
      <c r="O133" s="896" t="s">
        <v>3369</v>
      </c>
      <c r="P133" s="897">
        <v>0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3292</v>
      </c>
      <c r="B134" s="369" t="s">
        <v>3293</v>
      </c>
      <c r="C134" s="375" t="s">
        <v>3190</v>
      </c>
      <c r="D134" s="371" t="s">
        <v>3294</v>
      </c>
      <c r="E134" s="371" t="s">
        <v>3295</v>
      </c>
      <c r="F134" s="376" t="s">
        <v>3181</v>
      </c>
      <c r="G134" s="376" t="s">
        <v>3182</v>
      </c>
      <c r="H134" s="373" t="s">
        <v>3019</v>
      </c>
      <c r="I134" s="374" t="s">
        <v>3019</v>
      </c>
      <c r="J134" s="421" t="s">
        <v>3183</v>
      </c>
      <c r="K134" s="423" t="s">
        <v>3187</v>
      </c>
      <c r="L134" s="329">
        <f>CONTINUA!BV134</f>
        <v>0</v>
      </c>
      <c r="M134" s="329">
        <f>CONTINUA!BW134</f>
        <v>0</v>
      </c>
      <c r="N134" s="895"/>
      <c r="O134" s="896" t="s">
        <v>3369</v>
      </c>
      <c r="P134" s="897">
        <v>0</v>
      </c>
      <c r="Q134" s="400"/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3292</v>
      </c>
      <c r="B135" s="378" t="s">
        <v>3293</v>
      </c>
      <c r="C135" s="379" t="s">
        <v>3190</v>
      </c>
      <c r="D135" s="380" t="s">
        <v>3294</v>
      </c>
      <c r="E135" s="380" t="s">
        <v>3295</v>
      </c>
      <c r="F135" s="381" t="s">
        <v>3181</v>
      </c>
      <c r="G135" s="381" t="s">
        <v>3182</v>
      </c>
      <c r="H135" s="382" t="s">
        <v>3019</v>
      </c>
      <c r="I135" s="383" t="s">
        <v>3019</v>
      </c>
      <c r="J135" s="421" t="s">
        <v>3183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3369</v>
      </c>
      <c r="P135" s="897">
        <v>0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3296</v>
      </c>
      <c r="B136" s="522" t="s">
        <v>3297</v>
      </c>
      <c r="C136" s="523">
        <v>1</v>
      </c>
      <c r="D136" s="524" t="s">
        <v>3298</v>
      </c>
      <c r="E136" s="524" t="s">
        <v>3299</v>
      </c>
      <c r="F136" s="525" t="s">
        <v>3181</v>
      </c>
      <c r="G136" s="525" t="s">
        <v>3182</v>
      </c>
      <c r="H136" s="350" t="s">
        <v>3020</v>
      </c>
      <c r="I136" s="351" t="s">
        <v>3020</v>
      </c>
      <c r="J136" s="409" t="s">
        <v>3183</v>
      </c>
      <c r="K136" s="410" t="s">
        <v>3184</v>
      </c>
      <c r="L136" s="329">
        <f>CONTINUA!BV136</f>
        <v>0</v>
      </c>
      <c r="M136" s="329">
        <f>CONTINUA!BW136</f>
        <v>0</v>
      </c>
      <c r="N136" s="895"/>
      <c r="O136" s="896" t="s">
        <v>3370</v>
      </c>
      <c r="P136" s="897">
        <v>0</v>
      </c>
      <c r="Q136" s="400">
        <v>5</v>
      </c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5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5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10189.130000000001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10314.450000000001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10189.130000000001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3296</v>
      </c>
      <c r="B137" s="369" t="s">
        <v>3297</v>
      </c>
      <c r="C137" s="370" t="s">
        <v>3190</v>
      </c>
      <c r="D137" s="371" t="s">
        <v>3298</v>
      </c>
      <c r="E137" s="371" t="s">
        <v>3299</v>
      </c>
      <c r="F137" s="372" t="s">
        <v>3181</v>
      </c>
      <c r="G137" s="372" t="s">
        <v>3182</v>
      </c>
      <c r="H137" s="373" t="s">
        <v>3020</v>
      </c>
      <c r="I137" s="374" t="s">
        <v>3020</v>
      </c>
      <c r="J137" s="421" t="s">
        <v>3183</v>
      </c>
      <c r="K137" s="421" t="s">
        <v>3185</v>
      </c>
      <c r="L137" s="329">
        <f>CONTINUA!BV137</f>
        <v>13</v>
      </c>
      <c r="M137" s="329">
        <f>CONTINUA!BW137</f>
        <v>0</v>
      </c>
      <c r="N137" s="895"/>
      <c r="O137" s="896" t="s">
        <v>3370</v>
      </c>
      <c r="P137" s="897">
        <v>0</v>
      </c>
      <c r="Q137" s="400">
        <v>17</v>
      </c>
      <c r="R137" s="401"/>
      <c r="S137" s="400">
        <v>1</v>
      </c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17</v>
      </c>
      <c r="EQ137" s="171">
        <f t="shared" si="96"/>
        <v>0</v>
      </c>
      <c r="ER137" s="171">
        <f t="shared" si="97"/>
        <v>1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18</v>
      </c>
      <c r="EW137" s="173"/>
      <c r="EX137" s="248">
        <f t="shared" si="163"/>
        <v>0</v>
      </c>
      <c r="EY137" s="174">
        <f>(L137*regular)+(M137*Cadeirantee)</f>
        <v>125.32000000000001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3296</v>
      </c>
      <c r="B138" s="369" t="s">
        <v>3297</v>
      </c>
      <c r="C138" s="375" t="s">
        <v>3190</v>
      </c>
      <c r="D138" s="371" t="s">
        <v>3298</v>
      </c>
      <c r="E138" s="371" t="s">
        <v>3299</v>
      </c>
      <c r="F138" s="376" t="s">
        <v>3181</v>
      </c>
      <c r="G138" s="376" t="s">
        <v>3182</v>
      </c>
      <c r="H138" s="373" t="s">
        <v>3020</v>
      </c>
      <c r="I138" s="374" t="s">
        <v>3020</v>
      </c>
      <c r="J138" s="421" t="s">
        <v>3183</v>
      </c>
      <c r="K138" s="422" t="s">
        <v>3186</v>
      </c>
      <c r="L138" s="329">
        <f>CONTINUA!BV138</f>
        <v>0</v>
      </c>
      <c r="M138" s="329">
        <f>CONTINUA!BW138</f>
        <v>0</v>
      </c>
      <c r="N138" s="895"/>
      <c r="O138" s="896" t="s">
        <v>3370</v>
      </c>
      <c r="P138" s="897">
        <v>0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3296</v>
      </c>
      <c r="B139" s="369" t="s">
        <v>3297</v>
      </c>
      <c r="C139" s="375" t="s">
        <v>3190</v>
      </c>
      <c r="D139" s="371" t="s">
        <v>3298</v>
      </c>
      <c r="E139" s="371" t="s">
        <v>3299</v>
      </c>
      <c r="F139" s="376" t="s">
        <v>3181</v>
      </c>
      <c r="G139" s="376" t="s">
        <v>3182</v>
      </c>
      <c r="H139" s="373" t="s">
        <v>3020</v>
      </c>
      <c r="I139" s="374" t="s">
        <v>3020</v>
      </c>
      <c r="J139" s="421" t="s">
        <v>3183</v>
      </c>
      <c r="K139" s="423" t="s">
        <v>3187</v>
      </c>
      <c r="L139" s="329">
        <f>CONTINUA!BV139</f>
        <v>0</v>
      </c>
      <c r="M139" s="329">
        <f>CONTINUA!BW139</f>
        <v>0</v>
      </c>
      <c r="N139" s="895"/>
      <c r="O139" s="896" t="s">
        <v>3370</v>
      </c>
      <c r="P139" s="897">
        <v>0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195" si="168">Q139</f>
        <v>0</v>
      </c>
      <c r="EQ139" s="171">
        <f t="shared" ref="EQ139:EQ195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195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195" si="171">R139</f>
        <v>0</v>
      </c>
      <c r="ET139" s="171">
        <f t="shared" ref="ET139:ET195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195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195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195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3296</v>
      </c>
      <c r="B140" s="378" t="s">
        <v>3297</v>
      </c>
      <c r="C140" s="379" t="s">
        <v>3190</v>
      </c>
      <c r="D140" s="380" t="s">
        <v>3298</v>
      </c>
      <c r="E140" s="380" t="s">
        <v>3299</v>
      </c>
      <c r="F140" s="381" t="s">
        <v>3181</v>
      </c>
      <c r="G140" s="381" t="s">
        <v>3182</v>
      </c>
      <c r="H140" s="382" t="s">
        <v>3020</v>
      </c>
      <c r="I140" s="383" t="s">
        <v>3020</v>
      </c>
      <c r="J140" s="421" t="s">
        <v>3183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3370</v>
      </c>
      <c r="P140" s="897">
        <v>0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3300</v>
      </c>
      <c r="B141" s="522" t="s">
        <v>3301</v>
      </c>
      <c r="C141" s="523">
        <v>1</v>
      </c>
      <c r="D141" s="524" t="s">
        <v>3302</v>
      </c>
      <c r="E141" s="524" t="s">
        <v>3303</v>
      </c>
      <c r="F141" s="525" t="s">
        <v>3181</v>
      </c>
      <c r="G141" s="525" t="s">
        <v>3182</v>
      </c>
      <c r="H141" s="350" t="s">
        <v>3021</v>
      </c>
      <c r="I141" s="351" t="s">
        <v>3021</v>
      </c>
      <c r="J141" s="409" t="s">
        <v>3183</v>
      </c>
      <c r="K141" s="410" t="s">
        <v>3184</v>
      </c>
      <c r="L141" s="329">
        <f>CONTINUA!BV141</f>
        <v>0</v>
      </c>
      <c r="M141" s="329">
        <f>CONTINUA!BW141</f>
        <v>0</v>
      </c>
      <c r="N141" s="895"/>
      <c r="O141" s="896" t="s">
        <v>3371</v>
      </c>
      <c r="P141" s="897">
        <v>0</v>
      </c>
      <c r="Q141" s="400">
        <v>18</v>
      </c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18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18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20205.11</v>
      </c>
      <c r="EY141" s="174">
        <f>(L141*regular)+(M141*Cadeirantee)</f>
        <v>0</v>
      </c>
      <c r="EZ141" s="249">
        <f>SUMIF(FG141:GJ141,"&gt;0")</f>
        <v>282.50200000000001</v>
      </c>
      <c r="FA141" s="249">
        <f>SUMIF(FG141:GJ141,"&lt;0")+SUMIF(GN141:HP141,"&lt;0")</f>
        <v>-269.661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20217.951000000001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20205.11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282.50200000000001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-269.661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3300</v>
      </c>
      <c r="B142" s="369" t="s">
        <v>3301</v>
      </c>
      <c r="C142" s="370" t="s">
        <v>3190</v>
      </c>
      <c r="D142" s="371" t="s">
        <v>3302</v>
      </c>
      <c r="E142" s="371" t="s">
        <v>3303</v>
      </c>
      <c r="F142" s="372" t="s">
        <v>3181</v>
      </c>
      <c r="G142" s="372" t="s">
        <v>3182</v>
      </c>
      <c r="H142" s="373" t="s">
        <v>3021</v>
      </c>
      <c r="I142" s="374" t="s">
        <v>3021</v>
      </c>
      <c r="J142" s="421" t="s">
        <v>3183</v>
      </c>
      <c r="K142" s="421" t="s">
        <v>3185</v>
      </c>
      <c r="L142" s="329">
        <f>CONTINUA!BV142</f>
        <v>0</v>
      </c>
      <c r="M142" s="329">
        <f>CONTINUA!BW142</f>
        <v>0</v>
      </c>
      <c r="N142" s="895"/>
      <c r="O142" s="896" t="s">
        <v>3371</v>
      </c>
      <c r="P142" s="897">
        <v>0</v>
      </c>
      <c r="Q142" s="400">
        <v>30</v>
      </c>
      <c r="R142" s="401"/>
      <c r="S142" s="400">
        <v>1</v>
      </c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>
        <v>1</v>
      </c>
      <c r="AX142" s="401"/>
      <c r="AY142" s="400"/>
      <c r="AZ142" s="401"/>
      <c r="BA142" s="400">
        <v>-1</v>
      </c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30</v>
      </c>
      <c r="EQ142" s="171">
        <f t="shared" si="169"/>
        <v>0</v>
      </c>
      <c r="ER142" s="171">
        <f t="shared" si="170"/>
        <v>1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31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3300</v>
      </c>
      <c r="B143" s="369" t="s">
        <v>3301</v>
      </c>
      <c r="C143" s="375" t="s">
        <v>3190</v>
      </c>
      <c r="D143" s="371" t="s">
        <v>3302</v>
      </c>
      <c r="E143" s="371" t="s">
        <v>3303</v>
      </c>
      <c r="F143" s="376" t="s">
        <v>3181</v>
      </c>
      <c r="G143" s="376" t="s">
        <v>3182</v>
      </c>
      <c r="H143" s="373" t="s">
        <v>3021</v>
      </c>
      <c r="I143" s="374" t="s">
        <v>3021</v>
      </c>
      <c r="J143" s="421" t="s">
        <v>3183</v>
      </c>
      <c r="K143" s="422" t="s">
        <v>3186</v>
      </c>
      <c r="L143" s="329">
        <f>CONTINUA!BV143</f>
        <v>0</v>
      </c>
      <c r="M143" s="329">
        <f>CONTINUA!BW143</f>
        <v>0</v>
      </c>
      <c r="N143" s="895"/>
      <c r="O143" s="896" t="s">
        <v>3371</v>
      </c>
      <c r="P143" s="897">
        <v>0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3300</v>
      </c>
      <c r="B144" s="369" t="s">
        <v>3301</v>
      </c>
      <c r="C144" s="375" t="s">
        <v>3190</v>
      </c>
      <c r="D144" s="371" t="s">
        <v>3302</v>
      </c>
      <c r="E144" s="371" t="s">
        <v>3303</v>
      </c>
      <c r="F144" s="376" t="s">
        <v>3181</v>
      </c>
      <c r="G144" s="376" t="s">
        <v>3182</v>
      </c>
      <c r="H144" s="373" t="s">
        <v>3021</v>
      </c>
      <c r="I144" s="374" t="s">
        <v>3021</v>
      </c>
      <c r="J144" s="421" t="s">
        <v>3183</v>
      </c>
      <c r="K144" s="423" t="s">
        <v>3187</v>
      </c>
      <c r="L144" s="329">
        <f>CONTINUA!BV144</f>
        <v>0</v>
      </c>
      <c r="M144" s="329">
        <f>CONTINUA!BW144</f>
        <v>0</v>
      </c>
      <c r="N144" s="895"/>
      <c r="O144" s="896" t="s">
        <v>3371</v>
      </c>
      <c r="P144" s="897">
        <v>0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3300</v>
      </c>
      <c r="B145" s="378" t="s">
        <v>3301</v>
      </c>
      <c r="C145" s="379" t="s">
        <v>3190</v>
      </c>
      <c r="D145" s="380" t="s">
        <v>3302</v>
      </c>
      <c r="E145" s="380" t="s">
        <v>3303</v>
      </c>
      <c r="F145" s="381" t="s">
        <v>3181</v>
      </c>
      <c r="G145" s="381" t="s">
        <v>3182</v>
      </c>
      <c r="H145" s="382" t="s">
        <v>3021</v>
      </c>
      <c r="I145" s="383" t="s">
        <v>3021</v>
      </c>
      <c r="J145" s="421" t="s">
        <v>3183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3371</v>
      </c>
      <c r="P145" s="897">
        <v>0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3304</v>
      </c>
      <c r="B146" s="522" t="s">
        <v>3305</v>
      </c>
      <c r="C146" s="523">
        <v>1</v>
      </c>
      <c r="D146" s="524" t="s">
        <v>3306</v>
      </c>
      <c r="E146" s="524" t="s">
        <v>3307</v>
      </c>
      <c r="F146" s="525" t="s">
        <v>3181</v>
      </c>
      <c r="G146" s="525" t="s">
        <v>3182</v>
      </c>
      <c r="H146" s="350" t="s">
        <v>3022</v>
      </c>
      <c r="I146" s="351" t="s">
        <v>3022</v>
      </c>
      <c r="J146" s="409" t="s">
        <v>3183</v>
      </c>
      <c r="K146" s="410" t="s">
        <v>3184</v>
      </c>
      <c r="L146" s="329">
        <f>CONTINUA!BV146</f>
        <v>0</v>
      </c>
      <c r="M146" s="329">
        <f>CONTINUA!BW146</f>
        <v>0</v>
      </c>
      <c r="N146" s="895"/>
      <c r="O146" s="896" t="s">
        <v>3372</v>
      </c>
      <c r="P146" s="897">
        <v>0</v>
      </c>
      <c r="Q146" s="400">
        <v>19</v>
      </c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19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19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15582.35</v>
      </c>
      <c r="EY146" s="174">
        <f>(L146*regular)+(M146*Cadeirantee)</f>
        <v>0</v>
      </c>
      <c r="EZ146" s="249">
        <f>SUMIF(FG146:GJ146,"&gt;0")</f>
        <v>0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15630.550000000001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15582.35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3304</v>
      </c>
      <c r="B147" s="369" t="s">
        <v>3305</v>
      </c>
      <c r="C147" s="370" t="s">
        <v>3190</v>
      </c>
      <c r="D147" s="371" t="s">
        <v>3306</v>
      </c>
      <c r="E147" s="371" t="s">
        <v>3307</v>
      </c>
      <c r="F147" s="372" t="s">
        <v>3181</v>
      </c>
      <c r="G147" s="372" t="s">
        <v>3182</v>
      </c>
      <c r="H147" s="373" t="s">
        <v>3022</v>
      </c>
      <c r="I147" s="374" t="s">
        <v>3022</v>
      </c>
      <c r="J147" s="421" t="s">
        <v>3183</v>
      </c>
      <c r="K147" s="421" t="s">
        <v>3185</v>
      </c>
      <c r="L147" s="329">
        <f>CONTINUA!BV147</f>
        <v>5</v>
      </c>
      <c r="M147" s="329">
        <f>CONTINUA!BW147</f>
        <v>0</v>
      </c>
      <c r="N147" s="895"/>
      <c r="O147" s="896" t="s">
        <v>3372</v>
      </c>
      <c r="P147" s="897">
        <v>0</v>
      </c>
      <c r="Q147" s="400">
        <v>17</v>
      </c>
      <c r="R147" s="401"/>
      <c r="S147" s="400">
        <v>1</v>
      </c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17</v>
      </c>
      <c r="EQ147" s="171">
        <f t="shared" si="169"/>
        <v>0</v>
      </c>
      <c r="ER147" s="171">
        <f t="shared" si="170"/>
        <v>1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18</v>
      </c>
      <c r="EW147" s="173"/>
      <c r="EX147" s="248">
        <f t="shared" si="181"/>
        <v>0</v>
      </c>
      <c r="EY147" s="174">
        <f>(L147*regular)+(M147*Cadeirantee)</f>
        <v>48.2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3304</v>
      </c>
      <c r="B148" s="369" t="s">
        <v>3305</v>
      </c>
      <c r="C148" s="375" t="s">
        <v>3190</v>
      </c>
      <c r="D148" s="371" t="s">
        <v>3306</v>
      </c>
      <c r="E148" s="371" t="s">
        <v>3307</v>
      </c>
      <c r="F148" s="376" t="s">
        <v>3181</v>
      </c>
      <c r="G148" s="376" t="s">
        <v>3182</v>
      </c>
      <c r="H148" s="373" t="s">
        <v>3022</v>
      </c>
      <c r="I148" s="374" t="s">
        <v>3022</v>
      </c>
      <c r="J148" s="421" t="s">
        <v>3183</v>
      </c>
      <c r="K148" s="422" t="s">
        <v>3186</v>
      </c>
      <c r="L148" s="329">
        <f>CONTINUA!BV148</f>
        <v>0</v>
      </c>
      <c r="M148" s="329">
        <f>CONTINUA!BW148</f>
        <v>0</v>
      </c>
      <c r="N148" s="895"/>
      <c r="O148" s="896" t="s">
        <v>3372</v>
      </c>
      <c r="P148" s="897">
        <v>0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3304</v>
      </c>
      <c r="B149" s="369" t="s">
        <v>3305</v>
      </c>
      <c r="C149" s="375" t="s">
        <v>3190</v>
      </c>
      <c r="D149" s="371" t="s">
        <v>3306</v>
      </c>
      <c r="E149" s="371" t="s">
        <v>3307</v>
      </c>
      <c r="F149" s="376" t="s">
        <v>3181</v>
      </c>
      <c r="G149" s="376" t="s">
        <v>3182</v>
      </c>
      <c r="H149" s="373" t="s">
        <v>3022</v>
      </c>
      <c r="I149" s="374" t="s">
        <v>3022</v>
      </c>
      <c r="J149" s="421" t="s">
        <v>3183</v>
      </c>
      <c r="K149" s="423" t="s">
        <v>3187</v>
      </c>
      <c r="L149" s="329">
        <f>CONTINUA!BV149</f>
        <v>0</v>
      </c>
      <c r="M149" s="329">
        <f>CONTINUA!BW149</f>
        <v>0</v>
      </c>
      <c r="N149" s="895"/>
      <c r="O149" s="896" t="s">
        <v>3372</v>
      </c>
      <c r="P149" s="897">
        <v>0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3304</v>
      </c>
      <c r="B150" s="378" t="s">
        <v>3305</v>
      </c>
      <c r="C150" s="379" t="s">
        <v>3190</v>
      </c>
      <c r="D150" s="380" t="s">
        <v>3306</v>
      </c>
      <c r="E150" s="380" t="s">
        <v>3307</v>
      </c>
      <c r="F150" s="381" t="s">
        <v>3181</v>
      </c>
      <c r="G150" s="381" t="s">
        <v>3182</v>
      </c>
      <c r="H150" s="382" t="s">
        <v>3022</v>
      </c>
      <c r="I150" s="383" t="s">
        <v>3022</v>
      </c>
      <c r="J150" s="421" t="s">
        <v>3183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3372</v>
      </c>
      <c r="P150" s="897">
        <v>0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3308</v>
      </c>
      <c r="B151" s="522" t="s">
        <v>3309</v>
      </c>
      <c r="C151" s="523">
        <v>4</v>
      </c>
      <c r="D151" s="524" t="s">
        <v>3310</v>
      </c>
      <c r="E151" s="524" t="s">
        <v>3311</v>
      </c>
      <c r="F151" s="525" t="s">
        <v>3181</v>
      </c>
      <c r="G151" s="525" t="s">
        <v>3182</v>
      </c>
      <c r="H151" s="350" t="s">
        <v>3025</v>
      </c>
      <c r="I151" s="351" t="s">
        <v>3025</v>
      </c>
      <c r="J151" s="409" t="s">
        <v>3183</v>
      </c>
      <c r="K151" s="410" t="s">
        <v>3184</v>
      </c>
      <c r="L151" s="329">
        <f>CONTINUA!BV151</f>
        <v>0</v>
      </c>
      <c r="M151" s="329">
        <f>CONTINUA!BW151</f>
        <v>0</v>
      </c>
      <c r="N151" s="895"/>
      <c r="O151" s="896" t="s">
        <v>3373</v>
      </c>
      <c r="P151" s="897">
        <v>0</v>
      </c>
      <c r="Q151" s="400"/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11465.63</v>
      </c>
      <c r="EX151" s="248">
        <f t="shared" ref="EX151:EX154" si="186">FF151</f>
        <v>3467.07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14932.699999999999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3467.07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3308</v>
      </c>
      <c r="B152" s="369" t="s">
        <v>3309</v>
      </c>
      <c r="C152" s="370" t="s">
        <v>3191</v>
      </c>
      <c r="D152" s="371" t="s">
        <v>3310</v>
      </c>
      <c r="E152" s="371" t="s">
        <v>3311</v>
      </c>
      <c r="F152" s="372" t="s">
        <v>3181</v>
      </c>
      <c r="G152" s="372" t="s">
        <v>3182</v>
      </c>
      <c r="H152" s="373" t="s">
        <v>3025</v>
      </c>
      <c r="I152" s="374" t="s">
        <v>3025</v>
      </c>
      <c r="J152" s="421" t="s">
        <v>3183</v>
      </c>
      <c r="K152" s="421" t="s">
        <v>3185</v>
      </c>
      <c r="L152" s="329">
        <f>CONTINUA!BV152</f>
        <v>0</v>
      </c>
      <c r="M152" s="329">
        <f>CONTINUA!BW152</f>
        <v>0</v>
      </c>
      <c r="N152" s="895"/>
      <c r="O152" s="896" t="s">
        <v>3373</v>
      </c>
      <c r="P152" s="897">
        <v>0</v>
      </c>
      <c r="Q152" s="400">
        <v>9</v>
      </c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9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9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3308</v>
      </c>
      <c r="B153" s="369" t="s">
        <v>3309</v>
      </c>
      <c r="C153" s="375" t="s">
        <v>3191</v>
      </c>
      <c r="D153" s="371" t="s">
        <v>3310</v>
      </c>
      <c r="E153" s="371" t="s">
        <v>3311</v>
      </c>
      <c r="F153" s="376" t="s">
        <v>3181</v>
      </c>
      <c r="G153" s="376" t="s">
        <v>3182</v>
      </c>
      <c r="H153" s="373" t="s">
        <v>3025</v>
      </c>
      <c r="I153" s="374" t="s">
        <v>3025</v>
      </c>
      <c r="J153" s="421" t="s">
        <v>3183</v>
      </c>
      <c r="K153" s="422" t="s">
        <v>3186</v>
      </c>
      <c r="L153" s="329">
        <f>CONTINUA!BV153</f>
        <v>0</v>
      </c>
      <c r="M153" s="329">
        <f>CONTINUA!BW153</f>
        <v>0</v>
      </c>
      <c r="N153" s="895"/>
      <c r="O153" s="896" t="s">
        <v>3373</v>
      </c>
      <c r="P153" s="897">
        <v>0</v>
      </c>
      <c r="Q153" s="400"/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3308</v>
      </c>
      <c r="B154" s="369" t="s">
        <v>3309</v>
      </c>
      <c r="C154" s="375" t="s">
        <v>3191</v>
      </c>
      <c r="D154" s="371" t="s">
        <v>3310</v>
      </c>
      <c r="E154" s="371" t="s">
        <v>3311</v>
      </c>
      <c r="F154" s="376" t="s">
        <v>3181</v>
      </c>
      <c r="G154" s="376" t="s">
        <v>3182</v>
      </c>
      <c r="H154" s="373" t="s">
        <v>3025</v>
      </c>
      <c r="I154" s="374" t="s">
        <v>3025</v>
      </c>
      <c r="J154" s="421" t="s">
        <v>3183</v>
      </c>
      <c r="K154" s="423" t="s">
        <v>3187</v>
      </c>
      <c r="L154" s="329">
        <f>CONTINUA!BV154</f>
        <v>0</v>
      </c>
      <c r="M154" s="329">
        <f>CONTINUA!BW154</f>
        <v>0</v>
      </c>
      <c r="N154" s="895"/>
      <c r="O154" s="896" t="s">
        <v>3373</v>
      </c>
      <c r="P154" s="897">
        <v>0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3308</v>
      </c>
      <c r="B155" s="378" t="s">
        <v>3309</v>
      </c>
      <c r="C155" s="379" t="s">
        <v>3191</v>
      </c>
      <c r="D155" s="380" t="s">
        <v>3310</v>
      </c>
      <c r="E155" s="380" t="s">
        <v>3311</v>
      </c>
      <c r="F155" s="381" t="s">
        <v>3181</v>
      </c>
      <c r="G155" s="381" t="s">
        <v>3182</v>
      </c>
      <c r="H155" s="382" t="s">
        <v>3025</v>
      </c>
      <c r="I155" s="383" t="s">
        <v>3025</v>
      </c>
      <c r="J155" s="421" t="s">
        <v>3183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3373</v>
      </c>
      <c r="P155" s="897">
        <v>0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3312</v>
      </c>
      <c r="B156" s="522" t="s">
        <v>3313</v>
      </c>
      <c r="C156" s="523">
        <v>1</v>
      </c>
      <c r="D156" s="524" t="s">
        <v>3314</v>
      </c>
      <c r="E156" s="524" t="s">
        <v>3315</v>
      </c>
      <c r="F156" s="525" t="s">
        <v>3181</v>
      </c>
      <c r="G156" s="525" t="s">
        <v>3182</v>
      </c>
      <c r="H156" s="350" t="s">
        <v>3026</v>
      </c>
      <c r="I156" s="351" t="s">
        <v>3026</v>
      </c>
      <c r="J156" s="409" t="s">
        <v>3183</v>
      </c>
      <c r="K156" s="410" t="s">
        <v>3184</v>
      </c>
      <c r="L156" s="329">
        <f>CONTINUA!BV156</f>
        <v>0</v>
      </c>
      <c r="M156" s="329">
        <f>CONTINUA!BW156</f>
        <v>0</v>
      </c>
      <c r="N156" s="895"/>
      <c r="O156" s="896" t="s">
        <v>3374</v>
      </c>
      <c r="P156" s="897">
        <v>0</v>
      </c>
      <c r="Q156" s="400">
        <v>12</v>
      </c>
      <c r="R156" s="401"/>
      <c r="S156" s="400"/>
      <c r="T156" s="401"/>
      <c r="U156" s="400">
        <v>-1</v>
      </c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12</v>
      </c>
      <c r="EQ156" s="171">
        <f t="shared" si="169"/>
        <v>-1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11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27909.710000000003</v>
      </c>
      <c r="EY156" s="174">
        <f>(L156*regular)+(M156*Cadeirantee)</f>
        <v>0</v>
      </c>
      <c r="EZ156" s="249">
        <f>SUMIF(FG156:GJ156,"&gt;0")</f>
        <v>51.364000000000004</v>
      </c>
      <c r="FA156" s="249">
        <f>SUMIF(FG156:GJ156,"&lt;0")+SUMIF(GN156:HP156,"&lt;0")</f>
        <v>-667.73200000000008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27804.077000000005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27909.710000000003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-372.38900000000001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-256.82000000000005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51.364000000000004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-38.523000000000003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3312</v>
      </c>
      <c r="B157" s="369" t="s">
        <v>3313</v>
      </c>
      <c r="C157" s="370" t="s">
        <v>3190</v>
      </c>
      <c r="D157" s="371" t="s">
        <v>3314</v>
      </c>
      <c r="E157" s="371" t="s">
        <v>3315</v>
      </c>
      <c r="F157" s="372" t="s">
        <v>3181</v>
      </c>
      <c r="G157" s="372" t="s">
        <v>3182</v>
      </c>
      <c r="H157" s="373" t="s">
        <v>3026</v>
      </c>
      <c r="I157" s="374" t="s">
        <v>3026</v>
      </c>
      <c r="J157" s="421" t="s">
        <v>3183</v>
      </c>
      <c r="K157" s="421" t="s">
        <v>3185</v>
      </c>
      <c r="L157" s="329">
        <f>CONTINUA!BV157</f>
        <v>33</v>
      </c>
      <c r="M157" s="329">
        <f>CONTINUA!BW157</f>
        <v>0</v>
      </c>
      <c r="N157" s="895"/>
      <c r="O157" s="896" t="s">
        <v>3374</v>
      </c>
      <c r="P157" s="897">
        <v>0</v>
      </c>
      <c r="Q157" s="400">
        <v>42</v>
      </c>
      <c r="R157" s="401"/>
      <c r="S157" s="400">
        <v>15</v>
      </c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>
        <v>-1</v>
      </c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>
        <v>1</v>
      </c>
      <c r="DR157" s="401"/>
      <c r="DS157" s="400"/>
      <c r="DT157" s="401"/>
      <c r="DU157" s="400">
        <v>-1</v>
      </c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42</v>
      </c>
      <c r="EQ157" s="171">
        <f t="shared" si="169"/>
        <v>0</v>
      </c>
      <c r="ER157" s="171">
        <f t="shared" si="170"/>
        <v>14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56</v>
      </c>
      <c r="EW157" s="173"/>
      <c r="EX157" s="248">
        <f t="shared" si="191"/>
        <v>0</v>
      </c>
      <c r="EY157" s="174">
        <f>(L157*regular)+(M157*Cadeirantee)</f>
        <v>318.12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3312</v>
      </c>
      <c r="B158" s="369" t="s">
        <v>3313</v>
      </c>
      <c r="C158" s="375" t="s">
        <v>3190</v>
      </c>
      <c r="D158" s="371" t="s">
        <v>3314</v>
      </c>
      <c r="E158" s="371" t="s">
        <v>3315</v>
      </c>
      <c r="F158" s="376" t="s">
        <v>3181</v>
      </c>
      <c r="G158" s="376" t="s">
        <v>3182</v>
      </c>
      <c r="H158" s="373" t="s">
        <v>3026</v>
      </c>
      <c r="I158" s="374" t="s">
        <v>3026</v>
      </c>
      <c r="J158" s="421" t="s">
        <v>3183</v>
      </c>
      <c r="K158" s="422" t="s">
        <v>3186</v>
      </c>
      <c r="L158" s="329">
        <f>CONTINUA!BV158</f>
        <v>0</v>
      </c>
      <c r="M158" s="329">
        <f>CONTINUA!BW158</f>
        <v>0</v>
      </c>
      <c r="N158" s="895"/>
      <c r="O158" s="896" t="s">
        <v>3374</v>
      </c>
      <c r="P158" s="897">
        <v>0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3312</v>
      </c>
      <c r="B159" s="369" t="s">
        <v>3313</v>
      </c>
      <c r="C159" s="375" t="s">
        <v>3190</v>
      </c>
      <c r="D159" s="371" t="s">
        <v>3314</v>
      </c>
      <c r="E159" s="371" t="s">
        <v>3315</v>
      </c>
      <c r="F159" s="376" t="s">
        <v>3181</v>
      </c>
      <c r="G159" s="376" t="s">
        <v>3182</v>
      </c>
      <c r="H159" s="373" t="s">
        <v>3026</v>
      </c>
      <c r="I159" s="374" t="s">
        <v>3026</v>
      </c>
      <c r="J159" s="421" t="s">
        <v>3183</v>
      </c>
      <c r="K159" s="423" t="s">
        <v>3187</v>
      </c>
      <c r="L159" s="329">
        <f>CONTINUA!BV159</f>
        <v>0</v>
      </c>
      <c r="M159" s="329">
        <f>CONTINUA!BW159</f>
        <v>0</v>
      </c>
      <c r="N159" s="895"/>
      <c r="O159" s="896" t="s">
        <v>3374</v>
      </c>
      <c r="P159" s="897">
        <v>0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3312</v>
      </c>
      <c r="B160" s="378" t="s">
        <v>3313</v>
      </c>
      <c r="C160" s="379" t="s">
        <v>3190</v>
      </c>
      <c r="D160" s="380" t="s">
        <v>3314</v>
      </c>
      <c r="E160" s="380" t="s">
        <v>3315</v>
      </c>
      <c r="F160" s="381" t="s">
        <v>3181</v>
      </c>
      <c r="G160" s="381" t="s">
        <v>3182</v>
      </c>
      <c r="H160" s="382" t="s">
        <v>3026</v>
      </c>
      <c r="I160" s="383" t="s">
        <v>3026</v>
      </c>
      <c r="J160" s="421" t="s">
        <v>3183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3374</v>
      </c>
      <c r="P160" s="897">
        <v>0</v>
      </c>
      <c r="Q160" s="400">
        <v>1</v>
      </c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1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1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192.61500000000001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385.23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3316</v>
      </c>
      <c r="B161" s="522" t="s">
        <v>3317</v>
      </c>
      <c r="C161" s="523">
        <v>1</v>
      </c>
      <c r="D161" s="524" t="s">
        <v>3318</v>
      </c>
      <c r="E161" s="524" t="s">
        <v>3319</v>
      </c>
      <c r="F161" s="525" t="s">
        <v>3181</v>
      </c>
      <c r="G161" s="525" t="s">
        <v>3182</v>
      </c>
      <c r="H161" s="350" t="s">
        <v>3027</v>
      </c>
      <c r="I161" s="351" t="s">
        <v>3027</v>
      </c>
      <c r="J161" s="409" t="s">
        <v>3183</v>
      </c>
      <c r="K161" s="410" t="s">
        <v>3184</v>
      </c>
      <c r="L161" s="329">
        <f>CONTINUA!BV161</f>
        <v>0</v>
      </c>
      <c r="M161" s="329">
        <f>CONTINUA!BW161</f>
        <v>0</v>
      </c>
      <c r="N161" s="895"/>
      <c r="O161" s="896" t="s">
        <v>3375</v>
      </c>
      <c r="P161" s="897">
        <v>0</v>
      </c>
      <c r="Q161" s="400">
        <v>46</v>
      </c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>
        <v>-1</v>
      </c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>
        <v>1</v>
      </c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>
        <v>-1</v>
      </c>
      <c r="DJ161" s="401"/>
      <c r="DK161" s="400"/>
      <c r="DL161" s="401"/>
      <c r="DM161" s="400"/>
      <c r="DN161" s="401"/>
      <c r="DO161" s="400"/>
      <c r="DP161" s="401"/>
      <c r="DQ161" s="400">
        <v>1</v>
      </c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46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46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19049.420000000002</v>
      </c>
      <c r="EY161" s="174">
        <f>(L161*regular)+(M161*Cadeirantee)</f>
        <v>0</v>
      </c>
      <c r="EZ161" s="249">
        <f>SUMIF(FG161:GJ161,"&gt;0")</f>
        <v>256.82000000000005</v>
      </c>
      <c r="FA161" s="249">
        <f>SUMIF(FG161:GJ161,"&lt;0")+SUMIF(GN161:HP161,"&lt;0")</f>
        <v>-385.23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18921.010000000002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19049.420000000002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-308.18400000000003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205.45600000000002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-77.046000000000006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51.364000000000004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3316</v>
      </c>
      <c r="B162" s="369" t="s">
        <v>3317</v>
      </c>
      <c r="C162" s="370" t="s">
        <v>3190</v>
      </c>
      <c r="D162" s="371" t="s">
        <v>3318</v>
      </c>
      <c r="E162" s="371" t="s">
        <v>3319</v>
      </c>
      <c r="F162" s="372" t="s">
        <v>3181</v>
      </c>
      <c r="G162" s="372" t="s">
        <v>3182</v>
      </c>
      <c r="H162" s="373" t="s">
        <v>3027</v>
      </c>
      <c r="I162" s="374" t="s">
        <v>3027</v>
      </c>
      <c r="J162" s="421" t="s">
        <v>3183</v>
      </c>
      <c r="K162" s="421" t="s">
        <v>3185</v>
      </c>
      <c r="L162" s="329">
        <f>CONTINUA!BV162</f>
        <v>0</v>
      </c>
      <c r="M162" s="329">
        <f>CONTINUA!BW162</f>
        <v>0</v>
      </c>
      <c r="N162" s="895"/>
      <c r="O162" s="896" t="s">
        <v>3375</v>
      </c>
      <c r="P162" s="897">
        <v>0</v>
      </c>
      <c r="Q162" s="400"/>
      <c r="R162" s="401"/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0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0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3316</v>
      </c>
      <c r="B163" s="369" t="s">
        <v>3317</v>
      </c>
      <c r="C163" s="375" t="s">
        <v>3190</v>
      </c>
      <c r="D163" s="371" t="s">
        <v>3318</v>
      </c>
      <c r="E163" s="371" t="s">
        <v>3319</v>
      </c>
      <c r="F163" s="376" t="s">
        <v>3181</v>
      </c>
      <c r="G163" s="376" t="s">
        <v>3182</v>
      </c>
      <c r="H163" s="373" t="s">
        <v>3027</v>
      </c>
      <c r="I163" s="374" t="s">
        <v>3027</v>
      </c>
      <c r="J163" s="421" t="s">
        <v>3183</v>
      </c>
      <c r="K163" s="422" t="s">
        <v>3186</v>
      </c>
      <c r="L163" s="329">
        <f>CONTINUA!BV163</f>
        <v>0</v>
      </c>
      <c r="M163" s="329">
        <f>CONTINUA!BW163</f>
        <v>0</v>
      </c>
      <c r="N163" s="895"/>
      <c r="O163" s="896" t="s">
        <v>3375</v>
      </c>
      <c r="P163" s="897">
        <v>0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3316</v>
      </c>
      <c r="B164" s="369" t="s">
        <v>3317</v>
      </c>
      <c r="C164" s="375" t="s">
        <v>3190</v>
      </c>
      <c r="D164" s="371" t="s">
        <v>3318</v>
      </c>
      <c r="E164" s="371" t="s">
        <v>3319</v>
      </c>
      <c r="F164" s="376" t="s">
        <v>3181</v>
      </c>
      <c r="G164" s="376" t="s">
        <v>3182</v>
      </c>
      <c r="H164" s="373" t="s">
        <v>3027</v>
      </c>
      <c r="I164" s="374" t="s">
        <v>3027</v>
      </c>
      <c r="J164" s="421" t="s">
        <v>3183</v>
      </c>
      <c r="K164" s="423" t="s">
        <v>3187</v>
      </c>
      <c r="L164" s="329">
        <f>CONTINUA!BV164</f>
        <v>0</v>
      </c>
      <c r="M164" s="329">
        <f>CONTINUA!BW164</f>
        <v>0</v>
      </c>
      <c r="N164" s="895"/>
      <c r="O164" s="896" t="s">
        <v>3375</v>
      </c>
      <c r="P164" s="897">
        <v>0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3316</v>
      </c>
      <c r="B165" s="378" t="s">
        <v>3317</v>
      </c>
      <c r="C165" s="379" t="s">
        <v>3190</v>
      </c>
      <c r="D165" s="380" t="s">
        <v>3318</v>
      </c>
      <c r="E165" s="380" t="s">
        <v>3319</v>
      </c>
      <c r="F165" s="381" t="s">
        <v>3181</v>
      </c>
      <c r="G165" s="381" t="s">
        <v>3182</v>
      </c>
      <c r="H165" s="382" t="s">
        <v>3027</v>
      </c>
      <c r="I165" s="383" t="s">
        <v>3027</v>
      </c>
      <c r="J165" s="421" t="s">
        <v>3183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3375</v>
      </c>
      <c r="P165" s="897">
        <v>0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3320</v>
      </c>
      <c r="B166" s="522" t="s">
        <v>3321</v>
      </c>
      <c r="C166" s="523">
        <v>1</v>
      </c>
      <c r="D166" s="524" t="s">
        <v>3322</v>
      </c>
      <c r="E166" s="524" t="s">
        <v>3323</v>
      </c>
      <c r="F166" s="525" t="s">
        <v>3181</v>
      </c>
      <c r="G166" s="525" t="s">
        <v>3182</v>
      </c>
      <c r="H166" s="350" t="s">
        <v>3028</v>
      </c>
      <c r="I166" s="351" t="s">
        <v>3028</v>
      </c>
      <c r="J166" s="409" t="s">
        <v>3183</v>
      </c>
      <c r="K166" s="410" t="s">
        <v>3184</v>
      </c>
      <c r="L166" s="329">
        <f>CONTINUA!BV166</f>
        <v>0</v>
      </c>
      <c r="M166" s="329">
        <f>CONTINUA!BW166</f>
        <v>0</v>
      </c>
      <c r="N166" s="895"/>
      <c r="O166" s="896" t="s">
        <v>3376</v>
      </c>
      <c r="P166" s="897">
        <v>0</v>
      </c>
      <c r="Q166" s="400">
        <v>13</v>
      </c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>
        <v>-1</v>
      </c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13</v>
      </c>
      <c r="EQ166" s="171">
        <f t="shared" si="169"/>
        <v>-1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12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15967.580000000002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-102.72800000000001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16028.732000000002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15967.580000000002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-102.72800000000001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3320</v>
      </c>
      <c r="B167" s="369" t="s">
        <v>3321</v>
      </c>
      <c r="C167" s="370" t="s">
        <v>3190</v>
      </c>
      <c r="D167" s="371" t="s">
        <v>3322</v>
      </c>
      <c r="E167" s="371" t="s">
        <v>3323</v>
      </c>
      <c r="F167" s="372" t="s">
        <v>3181</v>
      </c>
      <c r="G167" s="372" t="s">
        <v>3182</v>
      </c>
      <c r="H167" s="373" t="s">
        <v>3028</v>
      </c>
      <c r="I167" s="374" t="s">
        <v>3028</v>
      </c>
      <c r="J167" s="421" t="s">
        <v>3183</v>
      </c>
      <c r="K167" s="421" t="s">
        <v>3185</v>
      </c>
      <c r="L167" s="329">
        <f>CONTINUA!BV167</f>
        <v>17</v>
      </c>
      <c r="M167" s="329">
        <f>CONTINUA!BW167</f>
        <v>0</v>
      </c>
      <c r="N167" s="895"/>
      <c r="O167" s="896" t="s">
        <v>3376</v>
      </c>
      <c r="P167" s="897">
        <v>0</v>
      </c>
      <c r="Q167" s="400">
        <v>23</v>
      </c>
      <c r="R167" s="401"/>
      <c r="S167" s="400">
        <v>2</v>
      </c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23</v>
      </c>
      <c r="EQ167" s="171">
        <f t="shared" si="169"/>
        <v>0</v>
      </c>
      <c r="ER167" s="171">
        <f t="shared" si="170"/>
        <v>2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25</v>
      </c>
      <c r="EW167" s="173"/>
      <c r="EX167" s="248">
        <f t="shared" si="201"/>
        <v>0</v>
      </c>
      <c r="EY167" s="174">
        <f>(L167*regular)+(M167*Cadeirantee)</f>
        <v>163.88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3320</v>
      </c>
      <c r="B168" s="369" t="s">
        <v>3321</v>
      </c>
      <c r="C168" s="375" t="s">
        <v>3190</v>
      </c>
      <c r="D168" s="371" t="s">
        <v>3322</v>
      </c>
      <c r="E168" s="371" t="s">
        <v>3323</v>
      </c>
      <c r="F168" s="376" t="s">
        <v>3181</v>
      </c>
      <c r="G168" s="376" t="s">
        <v>3182</v>
      </c>
      <c r="H168" s="373" t="s">
        <v>3028</v>
      </c>
      <c r="I168" s="374" t="s">
        <v>3028</v>
      </c>
      <c r="J168" s="421" t="s">
        <v>3183</v>
      </c>
      <c r="K168" s="422" t="s">
        <v>3186</v>
      </c>
      <c r="L168" s="329">
        <f>CONTINUA!BV168</f>
        <v>0</v>
      </c>
      <c r="M168" s="329">
        <f>CONTINUA!BW168</f>
        <v>0</v>
      </c>
      <c r="N168" s="895"/>
      <c r="O168" s="896" t="s">
        <v>3376</v>
      </c>
      <c r="P168" s="897">
        <v>0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3320</v>
      </c>
      <c r="B169" s="369" t="s">
        <v>3321</v>
      </c>
      <c r="C169" s="375" t="s">
        <v>3190</v>
      </c>
      <c r="D169" s="371" t="s">
        <v>3322</v>
      </c>
      <c r="E169" s="371" t="s">
        <v>3323</v>
      </c>
      <c r="F169" s="376" t="s">
        <v>3181</v>
      </c>
      <c r="G169" s="376" t="s">
        <v>3182</v>
      </c>
      <c r="H169" s="373" t="s">
        <v>3028</v>
      </c>
      <c r="I169" s="374" t="s">
        <v>3028</v>
      </c>
      <c r="J169" s="421" t="s">
        <v>3183</v>
      </c>
      <c r="K169" s="423" t="s">
        <v>3187</v>
      </c>
      <c r="L169" s="329">
        <f>CONTINUA!BV169</f>
        <v>0</v>
      </c>
      <c r="M169" s="329">
        <f>CONTINUA!BW169</f>
        <v>0</v>
      </c>
      <c r="N169" s="895"/>
      <c r="O169" s="896" t="s">
        <v>3376</v>
      </c>
      <c r="P169" s="897">
        <v>0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3320</v>
      </c>
      <c r="B170" s="378" t="s">
        <v>3321</v>
      </c>
      <c r="C170" s="379" t="s">
        <v>3190</v>
      </c>
      <c r="D170" s="380" t="s">
        <v>3322</v>
      </c>
      <c r="E170" s="380" t="s">
        <v>3323</v>
      </c>
      <c r="F170" s="381" t="s">
        <v>3181</v>
      </c>
      <c r="G170" s="381" t="s">
        <v>3182</v>
      </c>
      <c r="H170" s="382" t="s">
        <v>3028</v>
      </c>
      <c r="I170" s="383" t="s">
        <v>3028</v>
      </c>
      <c r="J170" s="421" t="s">
        <v>3183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3376</v>
      </c>
      <c r="P170" s="897">
        <v>0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3324</v>
      </c>
      <c r="B171" s="522" t="s">
        <v>3325</v>
      </c>
      <c r="C171" s="523">
        <v>2</v>
      </c>
      <c r="D171" s="524" t="s">
        <v>3326</v>
      </c>
      <c r="E171" s="524" t="s">
        <v>3327</v>
      </c>
      <c r="F171" s="525" t="s">
        <v>3181</v>
      </c>
      <c r="G171" s="525" t="s">
        <v>3182</v>
      </c>
      <c r="H171" s="350" t="s">
        <v>3029</v>
      </c>
      <c r="I171" s="351" t="s">
        <v>3029</v>
      </c>
      <c r="J171" s="409" t="s">
        <v>3188</v>
      </c>
      <c r="K171" s="410" t="s">
        <v>3184</v>
      </c>
      <c r="L171" s="329">
        <f>CONTINUA!BV171</f>
        <v>0</v>
      </c>
      <c r="M171" s="329">
        <f>CONTINUA!BW171</f>
        <v>0</v>
      </c>
      <c r="N171" s="895"/>
      <c r="O171" s="896" t="s">
        <v>3377</v>
      </c>
      <c r="P171" s="897">
        <v>0</v>
      </c>
      <c r="Q171" s="400"/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16587.809999999998</v>
      </c>
      <c r="EY171" s="174">
        <f>(L171*regular)+(M171*Cadeirantee)</f>
        <v>0</v>
      </c>
      <c r="EZ171" s="249">
        <f>SUMIF(FG171:GJ171,"&gt;0")</f>
        <v>308.18400000000003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17021.313999999998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16587.809999999998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308.18400000000003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3324</v>
      </c>
      <c r="B172" s="369" t="s">
        <v>3325</v>
      </c>
      <c r="C172" s="370" t="s">
        <v>3190</v>
      </c>
      <c r="D172" s="371" t="s">
        <v>3326</v>
      </c>
      <c r="E172" s="371" t="s">
        <v>3327</v>
      </c>
      <c r="F172" s="372" t="s">
        <v>3181</v>
      </c>
      <c r="G172" s="372" t="s">
        <v>3182</v>
      </c>
      <c r="H172" s="373" t="s">
        <v>3029</v>
      </c>
      <c r="I172" s="374" t="s">
        <v>3029</v>
      </c>
      <c r="J172" s="421" t="s">
        <v>3188</v>
      </c>
      <c r="K172" s="421" t="s">
        <v>3185</v>
      </c>
      <c r="L172" s="329">
        <f>CONTINUA!BV172</f>
        <v>13</v>
      </c>
      <c r="M172" s="329">
        <f>CONTINUA!BW172</f>
        <v>0</v>
      </c>
      <c r="N172" s="895"/>
      <c r="O172" s="896" t="s">
        <v>3377</v>
      </c>
      <c r="P172" s="897">
        <v>0</v>
      </c>
      <c r="Q172" s="400">
        <v>13</v>
      </c>
      <c r="R172" s="401">
        <v>3</v>
      </c>
      <c r="S172" s="400"/>
      <c r="T172" s="401">
        <v>1</v>
      </c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>
        <v>1</v>
      </c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13</v>
      </c>
      <c r="EQ172" s="171">
        <f t="shared" si="169"/>
        <v>1</v>
      </c>
      <c r="ER172" s="171">
        <f t="shared" si="170"/>
        <v>0</v>
      </c>
      <c r="ES172" s="171">
        <f t="shared" si="171"/>
        <v>3</v>
      </c>
      <c r="ET172" s="171">
        <f t="shared" si="172"/>
        <v>0</v>
      </c>
      <c r="EU172" s="171">
        <f t="shared" si="173"/>
        <v>1</v>
      </c>
      <c r="EV172" s="172">
        <f t="shared" si="174"/>
        <v>18</v>
      </c>
      <c r="EW172" s="173"/>
      <c r="EX172" s="248">
        <f t="shared" si="206"/>
        <v>0</v>
      </c>
      <c r="EY172" s="174">
        <f>(L172*regular)+(M172*Cadeirantee)</f>
        <v>125.32000000000001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3324</v>
      </c>
      <c r="B173" s="369" t="s">
        <v>3325</v>
      </c>
      <c r="C173" s="375" t="s">
        <v>3190</v>
      </c>
      <c r="D173" s="371" t="s">
        <v>3326</v>
      </c>
      <c r="E173" s="371" t="s">
        <v>3327</v>
      </c>
      <c r="F173" s="376" t="s">
        <v>3181</v>
      </c>
      <c r="G173" s="376" t="s">
        <v>3182</v>
      </c>
      <c r="H173" s="373" t="s">
        <v>3029</v>
      </c>
      <c r="I173" s="374" t="s">
        <v>3029</v>
      </c>
      <c r="J173" s="421" t="s">
        <v>3188</v>
      </c>
      <c r="K173" s="422" t="s">
        <v>3186</v>
      </c>
      <c r="L173" s="329">
        <f>CONTINUA!BV173</f>
        <v>0</v>
      </c>
      <c r="M173" s="329">
        <f>CONTINUA!BW173</f>
        <v>0</v>
      </c>
      <c r="N173" s="895"/>
      <c r="O173" s="896" t="s">
        <v>3377</v>
      </c>
      <c r="P173" s="897">
        <v>0</v>
      </c>
      <c r="Q173" s="400"/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3324</v>
      </c>
      <c r="B174" s="369" t="s">
        <v>3325</v>
      </c>
      <c r="C174" s="375" t="s">
        <v>3190</v>
      </c>
      <c r="D174" s="371" t="s">
        <v>3326</v>
      </c>
      <c r="E174" s="371" t="s">
        <v>3327</v>
      </c>
      <c r="F174" s="376" t="s">
        <v>3181</v>
      </c>
      <c r="G174" s="376" t="s">
        <v>3182</v>
      </c>
      <c r="H174" s="373" t="s">
        <v>3029</v>
      </c>
      <c r="I174" s="374" t="s">
        <v>3029</v>
      </c>
      <c r="J174" s="421" t="s">
        <v>3188</v>
      </c>
      <c r="K174" s="423" t="s">
        <v>3187</v>
      </c>
      <c r="L174" s="329">
        <f>CONTINUA!BV174</f>
        <v>0</v>
      </c>
      <c r="M174" s="329">
        <f>CONTINUA!BW174</f>
        <v>0</v>
      </c>
      <c r="N174" s="895"/>
      <c r="O174" s="896" t="s">
        <v>3377</v>
      </c>
      <c r="P174" s="897">
        <v>0</v>
      </c>
      <c r="Q174" s="400"/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3324</v>
      </c>
      <c r="B175" s="378" t="s">
        <v>3325</v>
      </c>
      <c r="C175" s="379" t="s">
        <v>3190</v>
      </c>
      <c r="D175" s="380" t="s">
        <v>3326</v>
      </c>
      <c r="E175" s="380" t="s">
        <v>3327</v>
      </c>
      <c r="F175" s="381" t="s">
        <v>3181</v>
      </c>
      <c r="G175" s="381" t="s">
        <v>3182</v>
      </c>
      <c r="H175" s="382" t="s">
        <v>3029</v>
      </c>
      <c r="I175" s="383" t="s">
        <v>3029</v>
      </c>
      <c r="J175" s="421" t="s">
        <v>3188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3377</v>
      </c>
      <c r="P175" s="897">
        <v>0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3328</v>
      </c>
      <c r="B176" s="522" t="s">
        <v>3329</v>
      </c>
      <c r="C176" s="523">
        <v>1</v>
      </c>
      <c r="D176" s="524" t="s">
        <v>3330</v>
      </c>
      <c r="E176" s="524" t="s">
        <v>3331</v>
      </c>
      <c r="F176" s="525" t="s">
        <v>3181</v>
      </c>
      <c r="G176" s="525" t="s">
        <v>3182</v>
      </c>
      <c r="H176" s="350" t="s">
        <v>3033</v>
      </c>
      <c r="I176" s="351" t="s">
        <v>3033</v>
      </c>
      <c r="J176" s="409" t="s">
        <v>3183</v>
      </c>
      <c r="K176" s="410" t="s">
        <v>3184</v>
      </c>
      <c r="L176" s="329">
        <f>CONTINUA!BV176</f>
        <v>0</v>
      </c>
      <c r="M176" s="329">
        <f>CONTINUA!BW176</f>
        <v>0</v>
      </c>
      <c r="N176" s="895"/>
      <c r="O176" s="896" t="s">
        <v>3378</v>
      </c>
      <c r="P176" s="897">
        <v>0</v>
      </c>
      <c r="Q176" s="400"/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0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0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14426.66</v>
      </c>
      <c r="EY176" s="174">
        <f>(L176*regular)+(M176*Cadeirantee)</f>
        <v>0</v>
      </c>
      <c r="EZ176" s="249">
        <f>SUMIF(FG176:GJ176,"&gt;0")</f>
        <v>436.59400000000005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15142.813999999998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14426.66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436.59400000000005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3328</v>
      </c>
      <c r="B177" s="369" t="s">
        <v>3329</v>
      </c>
      <c r="C177" s="370" t="s">
        <v>3190</v>
      </c>
      <c r="D177" s="371" t="s">
        <v>3330</v>
      </c>
      <c r="E177" s="371" t="s">
        <v>3331</v>
      </c>
      <c r="F177" s="372" t="s">
        <v>3181</v>
      </c>
      <c r="G177" s="372" t="s">
        <v>3182</v>
      </c>
      <c r="H177" s="373" t="s">
        <v>3033</v>
      </c>
      <c r="I177" s="374" t="s">
        <v>3033</v>
      </c>
      <c r="J177" s="421" t="s">
        <v>3183</v>
      </c>
      <c r="K177" s="421" t="s">
        <v>3185</v>
      </c>
      <c r="L177" s="329">
        <f>CONTINUA!BV177</f>
        <v>29</v>
      </c>
      <c r="M177" s="329">
        <f>CONTINUA!BW177</f>
        <v>0</v>
      </c>
      <c r="N177" s="895"/>
      <c r="O177" s="896" t="s">
        <v>3378</v>
      </c>
      <c r="P177" s="897">
        <v>0</v>
      </c>
      <c r="Q177" s="400">
        <v>34</v>
      </c>
      <c r="R177" s="401"/>
      <c r="S177" s="400"/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>
        <v>2</v>
      </c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34</v>
      </c>
      <c r="EQ177" s="171">
        <f t="shared" si="169"/>
        <v>2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36</v>
      </c>
      <c r="EW177" s="173"/>
      <c r="EX177" s="248">
        <f t="shared" si="211"/>
        <v>0</v>
      </c>
      <c r="EY177" s="174">
        <f>(L177*regular)+(M177*Cadeirantee)</f>
        <v>279.56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3328</v>
      </c>
      <c r="B178" s="369" t="s">
        <v>3329</v>
      </c>
      <c r="C178" s="375" t="s">
        <v>3190</v>
      </c>
      <c r="D178" s="371" t="s">
        <v>3330</v>
      </c>
      <c r="E178" s="371" t="s">
        <v>3331</v>
      </c>
      <c r="F178" s="376" t="s">
        <v>3181</v>
      </c>
      <c r="G178" s="376" t="s">
        <v>3182</v>
      </c>
      <c r="H178" s="373" t="s">
        <v>3033</v>
      </c>
      <c r="I178" s="374" t="s">
        <v>3033</v>
      </c>
      <c r="J178" s="421" t="s">
        <v>3183</v>
      </c>
      <c r="K178" s="422" t="s">
        <v>3186</v>
      </c>
      <c r="L178" s="329">
        <f>CONTINUA!BV178</f>
        <v>0</v>
      </c>
      <c r="M178" s="329">
        <f>CONTINUA!BW178</f>
        <v>0</v>
      </c>
      <c r="N178" s="895"/>
      <c r="O178" s="896" t="s">
        <v>3378</v>
      </c>
      <c r="P178" s="897">
        <v>0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3328</v>
      </c>
      <c r="B179" s="369" t="s">
        <v>3329</v>
      </c>
      <c r="C179" s="375" t="s">
        <v>3190</v>
      </c>
      <c r="D179" s="371" t="s">
        <v>3330</v>
      </c>
      <c r="E179" s="371" t="s">
        <v>3331</v>
      </c>
      <c r="F179" s="376" t="s">
        <v>3181</v>
      </c>
      <c r="G179" s="376" t="s">
        <v>3182</v>
      </c>
      <c r="H179" s="373" t="s">
        <v>3033</v>
      </c>
      <c r="I179" s="374" t="s">
        <v>3033</v>
      </c>
      <c r="J179" s="421" t="s">
        <v>3183</v>
      </c>
      <c r="K179" s="423" t="s">
        <v>3187</v>
      </c>
      <c r="L179" s="329">
        <f>CONTINUA!BV179</f>
        <v>0</v>
      </c>
      <c r="M179" s="329">
        <f>CONTINUA!BW179</f>
        <v>0</v>
      </c>
      <c r="N179" s="895"/>
      <c r="O179" s="896" t="s">
        <v>3378</v>
      </c>
      <c r="P179" s="897">
        <v>0</v>
      </c>
      <c r="Q179" s="400"/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3328</v>
      </c>
      <c r="B180" s="378" t="s">
        <v>3329</v>
      </c>
      <c r="C180" s="379" t="s">
        <v>3190</v>
      </c>
      <c r="D180" s="380" t="s">
        <v>3330</v>
      </c>
      <c r="E180" s="380" t="s">
        <v>3331</v>
      </c>
      <c r="F180" s="381" t="s">
        <v>3181</v>
      </c>
      <c r="G180" s="381" t="s">
        <v>3182</v>
      </c>
      <c r="H180" s="382" t="s">
        <v>3033</v>
      </c>
      <c r="I180" s="383" t="s">
        <v>3033</v>
      </c>
      <c r="J180" s="421" t="s">
        <v>3183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3378</v>
      </c>
      <c r="P180" s="897">
        <v>0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3332</v>
      </c>
      <c r="B181" s="522" t="s">
        <v>3333</v>
      </c>
      <c r="C181" s="523">
        <v>1</v>
      </c>
      <c r="D181" s="524" t="s">
        <v>3334</v>
      </c>
      <c r="E181" s="524" t="s">
        <v>3335</v>
      </c>
      <c r="F181" s="525" t="s">
        <v>3181</v>
      </c>
      <c r="G181" s="525" t="s">
        <v>3182</v>
      </c>
      <c r="H181" s="350" t="s">
        <v>3034</v>
      </c>
      <c r="I181" s="351" t="s">
        <v>3034</v>
      </c>
      <c r="J181" s="409" t="s">
        <v>3183</v>
      </c>
      <c r="K181" s="410" t="s">
        <v>3184</v>
      </c>
      <c r="L181" s="329">
        <f>CONTINUA!BV181</f>
        <v>0</v>
      </c>
      <c r="M181" s="329">
        <f>CONTINUA!BW181</f>
        <v>0</v>
      </c>
      <c r="N181" s="895"/>
      <c r="O181" s="896" t="s">
        <v>3379</v>
      </c>
      <c r="P181" s="897">
        <v>0</v>
      </c>
      <c r="Q181" s="400">
        <v>49</v>
      </c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>
        <v>3</v>
      </c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>
        <v>3</v>
      </c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>
        <v>4</v>
      </c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>
        <v>2</v>
      </c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49</v>
      </c>
      <c r="EQ181" s="171">
        <f t="shared" si="169"/>
        <v>12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61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33302.93</v>
      </c>
      <c r="EY181" s="174">
        <f>(L181*regular)+(M181*Cadeirantee)</f>
        <v>0</v>
      </c>
      <c r="EZ181" s="249">
        <f>SUMIF(FG181:GJ181,"&gt;0")</f>
        <v>3133.2040000000002</v>
      </c>
      <c r="FA181" s="249">
        <f>SUMIF(FG181:GJ181,"&lt;0")+SUMIF(GN181:HP181,"&lt;0")</f>
        <v>-192.61500000000001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36523.078999999998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33302.93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1284.1000000000001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693.4140000000001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719.096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205.45600000000002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179.774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-154.09200000000001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51.364000000000004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-38.523000000000003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3332</v>
      </c>
      <c r="B182" s="369" t="s">
        <v>3333</v>
      </c>
      <c r="C182" s="370" t="s">
        <v>3190</v>
      </c>
      <c r="D182" s="371" t="s">
        <v>3334</v>
      </c>
      <c r="E182" s="371" t="s">
        <v>3335</v>
      </c>
      <c r="F182" s="372" t="s">
        <v>3181</v>
      </c>
      <c r="G182" s="372" t="s">
        <v>3182</v>
      </c>
      <c r="H182" s="373" t="s">
        <v>3034</v>
      </c>
      <c r="I182" s="374" t="s">
        <v>3034</v>
      </c>
      <c r="J182" s="421" t="s">
        <v>3183</v>
      </c>
      <c r="K182" s="421" t="s">
        <v>3185</v>
      </c>
      <c r="L182" s="329">
        <f>CONTINUA!BV182</f>
        <v>29</v>
      </c>
      <c r="M182" s="329">
        <f>CONTINUA!BW182</f>
        <v>0</v>
      </c>
      <c r="N182" s="895"/>
      <c r="O182" s="896" t="s">
        <v>3379</v>
      </c>
      <c r="P182" s="897">
        <v>0</v>
      </c>
      <c r="Q182" s="400">
        <v>34</v>
      </c>
      <c r="R182" s="401"/>
      <c r="S182" s="400"/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>
        <v>1</v>
      </c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>
        <v>2</v>
      </c>
      <c r="DB182" s="401"/>
      <c r="DC182" s="400"/>
      <c r="DD182" s="401"/>
      <c r="DE182" s="400"/>
      <c r="DF182" s="401"/>
      <c r="DG182" s="400"/>
      <c r="DH182" s="401"/>
      <c r="DI182" s="400">
        <v>-2</v>
      </c>
      <c r="DJ182" s="401"/>
      <c r="DK182" s="400"/>
      <c r="DL182" s="401"/>
      <c r="DM182" s="400"/>
      <c r="DN182" s="401"/>
      <c r="DO182" s="400"/>
      <c r="DP182" s="401"/>
      <c r="DQ182" s="400">
        <v>1</v>
      </c>
      <c r="DR182" s="401"/>
      <c r="DS182" s="400"/>
      <c r="DT182" s="401"/>
      <c r="DU182" s="400">
        <v>-1</v>
      </c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34</v>
      </c>
      <c r="EQ182" s="171">
        <f t="shared" si="169"/>
        <v>1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35</v>
      </c>
      <c r="EW182" s="173"/>
      <c r="EX182" s="248">
        <f t="shared" si="216"/>
        <v>0</v>
      </c>
      <c r="EY182" s="174">
        <f>(L182*regular)+(M182*Cadeirantee)</f>
        <v>279.56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3332</v>
      </c>
      <c r="B183" s="369" t="s">
        <v>3333</v>
      </c>
      <c r="C183" s="375" t="s">
        <v>3190</v>
      </c>
      <c r="D183" s="371" t="s">
        <v>3334</v>
      </c>
      <c r="E183" s="371" t="s">
        <v>3335</v>
      </c>
      <c r="F183" s="376" t="s">
        <v>3181</v>
      </c>
      <c r="G183" s="376" t="s">
        <v>3182</v>
      </c>
      <c r="H183" s="373" t="s">
        <v>3034</v>
      </c>
      <c r="I183" s="374" t="s">
        <v>3034</v>
      </c>
      <c r="J183" s="421" t="s">
        <v>3183</v>
      </c>
      <c r="K183" s="422" t="s">
        <v>3186</v>
      </c>
      <c r="L183" s="329">
        <f>CONTINUA!BV183</f>
        <v>0</v>
      </c>
      <c r="M183" s="329">
        <f>CONTINUA!BW183</f>
        <v>0</v>
      </c>
      <c r="N183" s="895"/>
      <c r="O183" s="896" t="s">
        <v>3379</v>
      </c>
      <c r="P183" s="897">
        <v>0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3332</v>
      </c>
      <c r="B184" s="369" t="s">
        <v>3333</v>
      </c>
      <c r="C184" s="375" t="s">
        <v>3190</v>
      </c>
      <c r="D184" s="371" t="s">
        <v>3334</v>
      </c>
      <c r="E184" s="371" t="s">
        <v>3335</v>
      </c>
      <c r="F184" s="376" t="s">
        <v>3181</v>
      </c>
      <c r="G184" s="376" t="s">
        <v>3182</v>
      </c>
      <c r="H184" s="373" t="s">
        <v>3034</v>
      </c>
      <c r="I184" s="374" t="s">
        <v>3034</v>
      </c>
      <c r="J184" s="421" t="s">
        <v>3183</v>
      </c>
      <c r="K184" s="423" t="s">
        <v>3187</v>
      </c>
      <c r="L184" s="329">
        <f>CONTINUA!BV184</f>
        <v>0</v>
      </c>
      <c r="M184" s="329">
        <f>CONTINUA!BW184</f>
        <v>0</v>
      </c>
      <c r="N184" s="895"/>
      <c r="O184" s="896" t="s">
        <v>3379</v>
      </c>
      <c r="P184" s="897">
        <v>0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3332</v>
      </c>
      <c r="B185" s="378" t="s">
        <v>3333</v>
      </c>
      <c r="C185" s="379" t="s">
        <v>3190</v>
      </c>
      <c r="D185" s="380" t="s">
        <v>3334</v>
      </c>
      <c r="E185" s="380" t="s">
        <v>3335</v>
      </c>
      <c r="F185" s="381" t="s">
        <v>3181</v>
      </c>
      <c r="G185" s="381" t="s">
        <v>3182</v>
      </c>
      <c r="H185" s="382" t="s">
        <v>3034</v>
      </c>
      <c r="I185" s="383" t="s">
        <v>3034</v>
      </c>
      <c r="J185" s="421" t="s">
        <v>3183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3379</v>
      </c>
      <c r="P185" s="897">
        <v>0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3336</v>
      </c>
      <c r="B186" s="522" t="s">
        <v>3337</v>
      </c>
      <c r="C186" s="523">
        <v>1</v>
      </c>
      <c r="D186" s="524" t="s">
        <v>3338</v>
      </c>
      <c r="E186" s="524" t="s">
        <v>3339</v>
      </c>
      <c r="F186" s="525" t="s">
        <v>3181</v>
      </c>
      <c r="G186" s="525" t="s">
        <v>3182</v>
      </c>
      <c r="H186" s="350" t="s">
        <v>3035</v>
      </c>
      <c r="I186" s="351" t="s">
        <v>3035</v>
      </c>
      <c r="J186" s="409" t="s">
        <v>3183</v>
      </c>
      <c r="K186" s="410" t="s">
        <v>3184</v>
      </c>
      <c r="L186" s="329">
        <f>CONTINUA!BV186</f>
        <v>0</v>
      </c>
      <c r="M186" s="329">
        <f>CONTINUA!BW186</f>
        <v>0</v>
      </c>
      <c r="N186" s="895"/>
      <c r="O186" s="896" t="s">
        <v>3380</v>
      </c>
      <c r="P186" s="897">
        <v>0</v>
      </c>
      <c r="Q186" s="400">
        <v>16</v>
      </c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16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16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22131.260000000002</v>
      </c>
      <c r="EY186" s="174">
        <f>(L186*regular)+(M186*Cadeirantee)</f>
        <v>0</v>
      </c>
      <c r="EZ186" s="249">
        <f>SUMIF(FG186:GJ186,"&gt;0")</f>
        <v>462.27600000000007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23566.436000000002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22131.260000000002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372.38900000000001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51.364000000000004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38.523000000000003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3336</v>
      </c>
      <c r="B187" s="369" t="s">
        <v>3337</v>
      </c>
      <c r="C187" s="370" t="s">
        <v>3190</v>
      </c>
      <c r="D187" s="371" t="s">
        <v>3338</v>
      </c>
      <c r="E187" s="371" t="s">
        <v>3339</v>
      </c>
      <c r="F187" s="372" t="s">
        <v>3181</v>
      </c>
      <c r="G187" s="372" t="s">
        <v>3182</v>
      </c>
      <c r="H187" s="373" t="s">
        <v>3035</v>
      </c>
      <c r="I187" s="374" t="s">
        <v>3035</v>
      </c>
      <c r="J187" s="421" t="s">
        <v>3183</v>
      </c>
      <c r="K187" s="421" t="s">
        <v>3185</v>
      </c>
      <c r="L187" s="329">
        <f>CONTINUA!BV187</f>
        <v>21</v>
      </c>
      <c r="M187" s="329">
        <f>CONTINUA!BW187</f>
        <v>0</v>
      </c>
      <c r="N187" s="895"/>
      <c r="O187" s="896" t="s">
        <v>3380</v>
      </c>
      <c r="P187" s="897">
        <v>0</v>
      </c>
      <c r="Q187" s="400">
        <v>36</v>
      </c>
      <c r="R187" s="401"/>
      <c r="S187" s="400">
        <v>2</v>
      </c>
      <c r="T187" s="401"/>
      <c r="U187" s="400">
        <v>1</v>
      </c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>
        <v>1</v>
      </c>
      <c r="DR187" s="401"/>
      <c r="DS187" s="400"/>
      <c r="DT187" s="401"/>
      <c r="DU187" s="400">
        <v>1</v>
      </c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36</v>
      </c>
      <c r="EQ187" s="171">
        <f t="shared" si="169"/>
        <v>3</v>
      </c>
      <c r="ER187" s="171">
        <f t="shared" si="170"/>
        <v>2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41</v>
      </c>
      <c r="EW187" s="173"/>
      <c r="EX187" s="248">
        <f t="shared" si="221"/>
        <v>0</v>
      </c>
      <c r="EY187" s="174">
        <f>(L187*regular)+(M187*Cadeirantee)</f>
        <v>202.44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3336</v>
      </c>
      <c r="B188" s="369" t="s">
        <v>3337</v>
      </c>
      <c r="C188" s="375" t="s">
        <v>3190</v>
      </c>
      <c r="D188" s="371" t="s">
        <v>3338</v>
      </c>
      <c r="E188" s="371" t="s">
        <v>3339</v>
      </c>
      <c r="F188" s="376" t="s">
        <v>3181</v>
      </c>
      <c r="G188" s="376" t="s">
        <v>3182</v>
      </c>
      <c r="H188" s="373" t="s">
        <v>3035</v>
      </c>
      <c r="I188" s="374" t="s">
        <v>3035</v>
      </c>
      <c r="J188" s="421" t="s">
        <v>3183</v>
      </c>
      <c r="K188" s="422" t="s">
        <v>3186</v>
      </c>
      <c r="L188" s="329">
        <f>CONTINUA!BV188</f>
        <v>0</v>
      </c>
      <c r="M188" s="329">
        <f>CONTINUA!BW188</f>
        <v>0</v>
      </c>
      <c r="N188" s="895"/>
      <c r="O188" s="896" t="s">
        <v>3380</v>
      </c>
      <c r="P188" s="897">
        <v>0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3336</v>
      </c>
      <c r="B189" s="369" t="s">
        <v>3337</v>
      </c>
      <c r="C189" s="375" t="s">
        <v>3190</v>
      </c>
      <c r="D189" s="371" t="s">
        <v>3338</v>
      </c>
      <c r="E189" s="371" t="s">
        <v>3339</v>
      </c>
      <c r="F189" s="376" t="s">
        <v>3181</v>
      </c>
      <c r="G189" s="376" t="s">
        <v>3182</v>
      </c>
      <c r="H189" s="373" t="s">
        <v>3035</v>
      </c>
      <c r="I189" s="374" t="s">
        <v>3035</v>
      </c>
      <c r="J189" s="421" t="s">
        <v>3183</v>
      </c>
      <c r="K189" s="423" t="s">
        <v>3187</v>
      </c>
      <c r="L189" s="329">
        <f>CONTINUA!BV189</f>
        <v>0</v>
      </c>
      <c r="M189" s="329">
        <f>CONTINUA!BW189</f>
        <v>0</v>
      </c>
      <c r="N189" s="895"/>
      <c r="O189" s="896" t="s">
        <v>3380</v>
      </c>
      <c r="P189" s="897">
        <v>0</v>
      </c>
      <c r="Q189" s="400"/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3336</v>
      </c>
      <c r="B190" s="378" t="s">
        <v>3337</v>
      </c>
      <c r="C190" s="379" t="s">
        <v>3190</v>
      </c>
      <c r="D190" s="380" t="s">
        <v>3338</v>
      </c>
      <c r="E190" s="380" t="s">
        <v>3339</v>
      </c>
      <c r="F190" s="381" t="s">
        <v>3181</v>
      </c>
      <c r="G190" s="381" t="s">
        <v>3182</v>
      </c>
      <c r="H190" s="382" t="s">
        <v>3035</v>
      </c>
      <c r="I190" s="383" t="s">
        <v>3035</v>
      </c>
      <c r="J190" s="421" t="s">
        <v>3183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3380</v>
      </c>
      <c r="P190" s="897">
        <v>0</v>
      </c>
      <c r="Q190" s="400">
        <v>4</v>
      </c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4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4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770.46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1540.92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3340</v>
      </c>
      <c r="B191" s="522" t="s">
        <v>3341</v>
      </c>
      <c r="C191" s="523">
        <v>1</v>
      </c>
      <c r="D191" s="524" t="s">
        <v>3342</v>
      </c>
      <c r="E191" s="524" t="s">
        <v>3343</v>
      </c>
      <c r="F191" s="525" t="s">
        <v>3181</v>
      </c>
      <c r="G191" s="525" t="s">
        <v>3182</v>
      </c>
      <c r="H191" s="350" t="s">
        <v>3037</v>
      </c>
      <c r="I191" s="351" t="s">
        <v>3037</v>
      </c>
      <c r="J191" s="409" t="s">
        <v>3183</v>
      </c>
      <c r="K191" s="410" t="s">
        <v>3184</v>
      </c>
      <c r="L191" s="329">
        <f>CONTINUA!BV191</f>
        <v>0</v>
      </c>
      <c r="M191" s="329">
        <f>CONTINUA!BW191</f>
        <v>0</v>
      </c>
      <c r="N191" s="895"/>
      <c r="O191" s="896" t="s">
        <v>3381</v>
      </c>
      <c r="P191" s="897">
        <v>0</v>
      </c>
      <c r="Q191" s="400">
        <v>8</v>
      </c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8</v>
      </c>
      <c r="EQ191" s="171">
        <f t="shared" si="169"/>
        <v>0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8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15197.119999999999</v>
      </c>
      <c r="EY191" s="174">
        <f>(L191*regular)+(M191*Cadeirantee)</f>
        <v>0</v>
      </c>
      <c r="EZ191" s="249">
        <f>SUMIF(FG191:GJ191,"&gt;0")</f>
        <v>603.52700000000004</v>
      </c>
      <c r="FA191" s="249">
        <f>SUMIF(FG191:GJ191,"&lt;0")+SUMIF(GN191:HP191,"&lt;0")</f>
        <v>0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16465.807000000001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15197.119999999999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321.02500000000003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231.13800000000003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51.364000000000004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3340</v>
      </c>
      <c r="B192" s="369" t="s">
        <v>3341</v>
      </c>
      <c r="C192" s="370" t="s">
        <v>3190</v>
      </c>
      <c r="D192" s="371" t="s">
        <v>3342</v>
      </c>
      <c r="E192" s="371" t="s">
        <v>3343</v>
      </c>
      <c r="F192" s="372" t="s">
        <v>3181</v>
      </c>
      <c r="G192" s="372" t="s">
        <v>3182</v>
      </c>
      <c r="H192" s="373" t="s">
        <v>3037</v>
      </c>
      <c r="I192" s="374" t="s">
        <v>3037</v>
      </c>
      <c r="J192" s="421" t="s">
        <v>3183</v>
      </c>
      <c r="K192" s="421" t="s">
        <v>3185</v>
      </c>
      <c r="L192" s="329">
        <f>CONTINUA!BV192</f>
        <v>69</v>
      </c>
      <c r="M192" s="329">
        <f>CONTINUA!BW192</f>
        <v>0</v>
      </c>
      <c r="N192" s="895"/>
      <c r="O192" s="896" t="s">
        <v>3381</v>
      </c>
      <c r="P192" s="897">
        <v>0</v>
      </c>
      <c r="Q192" s="400">
        <v>27</v>
      </c>
      <c r="R192" s="401"/>
      <c r="S192" s="400">
        <v>1</v>
      </c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>
        <v>1</v>
      </c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>
        <v>1</v>
      </c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>
        <v>1</v>
      </c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27</v>
      </c>
      <c r="EQ192" s="171">
        <f t="shared" si="169"/>
        <v>1</v>
      </c>
      <c r="ER192" s="171">
        <f t="shared" si="170"/>
        <v>3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31</v>
      </c>
      <c r="EW192" s="173"/>
      <c r="EX192" s="248">
        <f t="shared" si="226"/>
        <v>0</v>
      </c>
      <c r="EY192" s="174">
        <f>(L192*regular)+(M192*Cadeirantee)</f>
        <v>665.16000000000008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3340</v>
      </c>
      <c r="B193" s="369" t="s">
        <v>3341</v>
      </c>
      <c r="C193" s="375" t="s">
        <v>3190</v>
      </c>
      <c r="D193" s="371" t="s">
        <v>3342</v>
      </c>
      <c r="E193" s="371" t="s">
        <v>3343</v>
      </c>
      <c r="F193" s="376" t="s">
        <v>3181</v>
      </c>
      <c r="G193" s="376" t="s">
        <v>3182</v>
      </c>
      <c r="H193" s="373" t="s">
        <v>3037</v>
      </c>
      <c r="I193" s="374" t="s">
        <v>3037</v>
      </c>
      <c r="J193" s="421" t="s">
        <v>3183</v>
      </c>
      <c r="K193" s="422" t="s">
        <v>3186</v>
      </c>
      <c r="L193" s="329">
        <f>CONTINUA!BV193</f>
        <v>0</v>
      </c>
      <c r="M193" s="329">
        <f>CONTINUA!BW193</f>
        <v>0</v>
      </c>
      <c r="N193" s="895"/>
      <c r="O193" s="896" t="s">
        <v>3381</v>
      </c>
      <c r="P193" s="897">
        <v>0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3340</v>
      </c>
      <c r="B194" s="369" t="s">
        <v>3341</v>
      </c>
      <c r="C194" s="375" t="s">
        <v>3190</v>
      </c>
      <c r="D194" s="371" t="s">
        <v>3342</v>
      </c>
      <c r="E194" s="371" t="s">
        <v>3343</v>
      </c>
      <c r="F194" s="376" t="s">
        <v>3181</v>
      </c>
      <c r="G194" s="376" t="s">
        <v>3182</v>
      </c>
      <c r="H194" s="373" t="s">
        <v>3037</v>
      </c>
      <c r="I194" s="374" t="s">
        <v>3037</v>
      </c>
      <c r="J194" s="421" t="s">
        <v>3183</v>
      </c>
      <c r="K194" s="423" t="s">
        <v>3187</v>
      </c>
      <c r="L194" s="329">
        <f>CONTINUA!BV194</f>
        <v>0</v>
      </c>
      <c r="M194" s="329">
        <f>CONTINUA!BW194</f>
        <v>0</v>
      </c>
      <c r="N194" s="895"/>
      <c r="O194" s="896" t="s">
        <v>3381</v>
      </c>
      <c r="P194" s="897">
        <v>0</v>
      </c>
      <c r="Q194" s="400"/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3340</v>
      </c>
      <c r="B195" s="378" t="s">
        <v>3341</v>
      </c>
      <c r="C195" s="379" t="s">
        <v>3190</v>
      </c>
      <c r="D195" s="380" t="s">
        <v>3342</v>
      </c>
      <c r="E195" s="380" t="s">
        <v>3343</v>
      </c>
      <c r="F195" s="381" t="s">
        <v>3181</v>
      </c>
      <c r="G195" s="381" t="s">
        <v>3182</v>
      </c>
      <c r="H195" s="382" t="s">
        <v>3037</v>
      </c>
      <c r="I195" s="383" t="s">
        <v>3037</v>
      </c>
      <c r="J195" s="421" t="s">
        <v>3183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3381</v>
      </c>
      <c r="P195" s="897">
        <v>0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ht="11.25" x14ac:dyDescent="0.2">
      <c r="G196" s="7"/>
      <c r="H196" s="7"/>
      <c r="I196" s="7"/>
      <c r="J196" s="7"/>
      <c r="K196" s="7"/>
      <c r="L196" s="7">
        <f t="shared" ref="L196:P197" si="231">K196+1</f>
        <v>1</v>
      </c>
      <c r="M196" s="7">
        <f t="shared" si="231"/>
        <v>2</v>
      </c>
      <c r="N196" s="7">
        <f t="shared" si="231"/>
        <v>3</v>
      </c>
      <c r="O196" s="7">
        <f t="shared" si="231"/>
        <v>4</v>
      </c>
      <c r="P196" s="7">
        <f t="shared" si="231"/>
        <v>5</v>
      </c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>
        <f t="shared" ref="EM196:EQ197" si="232">EL196+1</f>
        <v>1</v>
      </c>
      <c r="EN196" s="7">
        <f t="shared" si="232"/>
        <v>2</v>
      </c>
      <c r="EO196" s="7">
        <f t="shared" si="232"/>
        <v>3</v>
      </c>
      <c r="EP196" s="7">
        <f t="shared" si="232"/>
        <v>4</v>
      </c>
      <c r="EQ196" s="7">
        <f t="shared" si="232"/>
        <v>5</v>
      </c>
      <c r="ER196" s="7">
        <f t="shared" ref="ER196:GO197" si="233">EQ196+1</f>
        <v>6</v>
      </c>
      <c r="ES196" s="7">
        <f t="shared" si="233"/>
        <v>7</v>
      </c>
      <c r="ET196" s="7">
        <f t="shared" si="233"/>
        <v>8</v>
      </c>
      <c r="EU196" s="7">
        <f t="shared" si="233"/>
        <v>9</v>
      </c>
      <c r="EV196" s="7">
        <f t="shared" si="233"/>
        <v>10</v>
      </c>
      <c r="EW196" s="7">
        <f t="shared" si="233"/>
        <v>11</v>
      </c>
      <c r="EX196" s="7">
        <f t="shared" si="233"/>
        <v>12</v>
      </c>
      <c r="EY196" s="7">
        <f t="shared" si="233"/>
        <v>13</v>
      </c>
      <c r="EZ196" s="7">
        <f t="shared" si="233"/>
        <v>14</v>
      </c>
      <c r="FA196" s="7">
        <f t="shared" si="233"/>
        <v>15</v>
      </c>
      <c r="FB196" s="7">
        <f t="shared" si="233"/>
        <v>16</v>
      </c>
      <c r="FC196" s="7">
        <f t="shared" si="233"/>
        <v>17</v>
      </c>
      <c r="FD196" s="7">
        <f t="shared" si="233"/>
        <v>18</v>
      </c>
      <c r="FE196" s="7">
        <f t="shared" si="233"/>
        <v>19</v>
      </c>
      <c r="FF196" s="7">
        <f t="shared" si="233"/>
        <v>20</v>
      </c>
      <c r="FG196" s="7">
        <f t="shared" si="233"/>
        <v>21</v>
      </c>
      <c r="FH196" s="7">
        <f t="shared" si="233"/>
        <v>22</v>
      </c>
      <c r="FI196" s="7">
        <f t="shared" si="233"/>
        <v>23</v>
      </c>
      <c r="FJ196" s="7">
        <f t="shared" si="233"/>
        <v>24</v>
      </c>
      <c r="FK196" s="7">
        <f t="shared" si="233"/>
        <v>25</v>
      </c>
      <c r="FL196" s="7">
        <f t="shared" si="233"/>
        <v>26</v>
      </c>
      <c r="FM196" s="7">
        <f t="shared" si="233"/>
        <v>27</v>
      </c>
      <c r="FN196" s="7">
        <f t="shared" si="233"/>
        <v>28</v>
      </c>
      <c r="FO196" s="7">
        <f t="shared" si="233"/>
        <v>29</v>
      </c>
      <c r="FP196" s="7">
        <f t="shared" si="233"/>
        <v>30</v>
      </c>
      <c r="FQ196" s="7">
        <f t="shared" si="233"/>
        <v>31</v>
      </c>
      <c r="FR196" s="7">
        <f t="shared" si="233"/>
        <v>32</v>
      </c>
      <c r="FS196" s="7">
        <f t="shared" si="233"/>
        <v>33</v>
      </c>
      <c r="FT196" s="7">
        <f t="shared" si="233"/>
        <v>34</v>
      </c>
      <c r="FU196" s="7">
        <f t="shared" si="233"/>
        <v>35</v>
      </c>
      <c r="FV196" s="7">
        <f t="shared" si="233"/>
        <v>36</v>
      </c>
      <c r="FW196" s="7">
        <f t="shared" si="233"/>
        <v>37</v>
      </c>
      <c r="FX196" s="7">
        <f t="shared" si="233"/>
        <v>38</v>
      </c>
      <c r="FY196" s="7">
        <f t="shared" si="233"/>
        <v>39</v>
      </c>
      <c r="FZ196" s="7">
        <f t="shared" si="233"/>
        <v>40</v>
      </c>
      <c r="GA196" s="7">
        <f t="shared" si="233"/>
        <v>41</v>
      </c>
      <c r="GB196" s="7">
        <f t="shared" si="233"/>
        <v>42</v>
      </c>
      <c r="GC196" s="7">
        <f t="shared" si="233"/>
        <v>43</v>
      </c>
      <c r="GD196" s="7">
        <f t="shared" si="233"/>
        <v>44</v>
      </c>
      <c r="GE196" s="7">
        <f t="shared" si="233"/>
        <v>45</v>
      </c>
      <c r="GF196" s="7">
        <f t="shared" si="233"/>
        <v>46</v>
      </c>
      <c r="GG196" s="7">
        <f t="shared" si="233"/>
        <v>47</v>
      </c>
      <c r="GH196" s="7">
        <f t="shared" si="233"/>
        <v>48</v>
      </c>
      <c r="GI196" s="7">
        <f t="shared" si="233"/>
        <v>49</v>
      </c>
      <c r="GJ196" s="7">
        <f t="shared" si="233"/>
        <v>50</v>
      </c>
      <c r="GK196" s="7">
        <f t="shared" si="233"/>
        <v>51</v>
      </c>
      <c r="GL196" s="7">
        <f t="shared" si="233"/>
        <v>52</v>
      </c>
      <c r="GM196" s="7">
        <f t="shared" si="233"/>
        <v>53</v>
      </c>
      <c r="GN196" s="7">
        <f t="shared" si="233"/>
        <v>54</v>
      </c>
      <c r="GO196" s="7">
        <f t="shared" si="233"/>
        <v>55</v>
      </c>
      <c r="GP196" s="7">
        <f t="shared" ref="GP196:IA196" si="234">GO196+1</f>
        <v>56</v>
      </c>
      <c r="GQ196" s="7">
        <f t="shared" si="234"/>
        <v>57</v>
      </c>
      <c r="GR196" s="7">
        <f t="shared" si="234"/>
        <v>58</v>
      </c>
      <c r="GS196" s="7">
        <f t="shared" si="234"/>
        <v>59</v>
      </c>
      <c r="GT196" s="7">
        <f t="shared" si="234"/>
        <v>60</v>
      </c>
      <c r="GU196" s="7">
        <f t="shared" si="234"/>
        <v>61</v>
      </c>
      <c r="GV196" s="7">
        <f t="shared" si="234"/>
        <v>62</v>
      </c>
      <c r="GW196" s="7">
        <f t="shared" si="234"/>
        <v>63</v>
      </c>
      <c r="GX196" s="7">
        <f t="shared" si="234"/>
        <v>64</v>
      </c>
      <c r="GY196" s="7">
        <f t="shared" si="234"/>
        <v>65</v>
      </c>
      <c r="GZ196" s="7">
        <f t="shared" si="234"/>
        <v>66</v>
      </c>
      <c r="HA196" s="7">
        <f t="shared" si="234"/>
        <v>67</v>
      </c>
      <c r="HB196" s="7">
        <f t="shared" si="234"/>
        <v>68</v>
      </c>
      <c r="HC196" s="7">
        <f t="shared" si="234"/>
        <v>69</v>
      </c>
      <c r="HD196" s="7">
        <f t="shared" si="234"/>
        <v>70</v>
      </c>
      <c r="HE196" s="7">
        <f t="shared" si="234"/>
        <v>71</v>
      </c>
      <c r="HF196" s="7">
        <f t="shared" si="234"/>
        <v>72</v>
      </c>
      <c r="HG196" s="7">
        <f t="shared" si="234"/>
        <v>73</v>
      </c>
      <c r="HH196" s="7">
        <f t="shared" si="234"/>
        <v>74</v>
      </c>
      <c r="HI196" s="7">
        <f t="shared" si="234"/>
        <v>75</v>
      </c>
      <c r="HJ196" s="7">
        <f t="shared" si="234"/>
        <v>76</v>
      </c>
      <c r="HK196" s="7">
        <f t="shared" si="234"/>
        <v>77</v>
      </c>
      <c r="HL196" s="7">
        <f t="shared" si="234"/>
        <v>78</v>
      </c>
      <c r="HM196" s="7">
        <f t="shared" si="234"/>
        <v>79</v>
      </c>
      <c r="HN196" s="7">
        <f t="shared" si="234"/>
        <v>80</v>
      </c>
      <c r="HO196" s="7">
        <f t="shared" si="234"/>
        <v>81</v>
      </c>
      <c r="HP196" s="7">
        <f t="shared" si="234"/>
        <v>82</v>
      </c>
      <c r="HQ196" s="7">
        <f t="shared" si="234"/>
        <v>83</v>
      </c>
      <c r="HR196" s="7">
        <f t="shared" si="234"/>
        <v>84</v>
      </c>
      <c r="HS196" s="7">
        <f t="shared" si="234"/>
        <v>85</v>
      </c>
      <c r="HT196" s="7">
        <f t="shared" si="234"/>
        <v>86</v>
      </c>
      <c r="HU196" s="7">
        <f t="shared" si="234"/>
        <v>87</v>
      </c>
      <c r="HV196" s="7">
        <f t="shared" si="234"/>
        <v>88</v>
      </c>
      <c r="HW196" s="7">
        <f t="shared" si="234"/>
        <v>89</v>
      </c>
      <c r="HX196" s="7">
        <f t="shared" si="234"/>
        <v>90</v>
      </c>
      <c r="HY196" s="7">
        <f t="shared" si="234"/>
        <v>91</v>
      </c>
      <c r="HZ196" s="7">
        <f t="shared" si="234"/>
        <v>92</v>
      </c>
      <c r="IA196" s="7">
        <f t="shared" si="234"/>
        <v>93</v>
      </c>
    </row>
    <row r="197" spans="1:237" ht="11.25" x14ac:dyDescent="0.2">
      <c r="G197" s="7"/>
      <c r="H197" s="7"/>
      <c r="I197" s="7"/>
      <c r="J197" s="7"/>
      <c r="K197" s="7"/>
      <c r="L197" s="7">
        <f t="shared" si="231"/>
        <v>1</v>
      </c>
      <c r="M197" s="7">
        <f t="shared" si="231"/>
        <v>2</v>
      </c>
      <c r="N197" s="7">
        <f t="shared" si="231"/>
        <v>3</v>
      </c>
      <c r="O197" s="7">
        <f t="shared" si="231"/>
        <v>4</v>
      </c>
      <c r="P197" s="7">
        <f t="shared" si="231"/>
        <v>5</v>
      </c>
      <c r="Q197" s="7">
        <f t="shared" ref="Q197" si="235">P197+1</f>
        <v>6</v>
      </c>
      <c r="R197" s="7">
        <f t="shared" ref="R197" si="236">Q197+1</f>
        <v>7</v>
      </c>
      <c r="S197" s="7">
        <f t="shared" ref="S197" si="237">R197+1</f>
        <v>8</v>
      </c>
      <c r="T197" s="7">
        <f t="shared" ref="T197" si="238">S197+1</f>
        <v>9</v>
      </c>
      <c r="U197" s="7">
        <f t="shared" ref="U197" si="239">T197+1</f>
        <v>10</v>
      </c>
      <c r="V197" s="7">
        <f t="shared" ref="V197" si="240">U197+1</f>
        <v>11</v>
      </c>
      <c r="W197" s="7">
        <f t="shared" ref="W197" si="241">V197+1</f>
        <v>12</v>
      </c>
      <c r="X197" s="7">
        <f t="shared" ref="X197" si="242">W197+1</f>
        <v>13</v>
      </c>
      <c r="Y197" s="7">
        <f t="shared" ref="Y197" si="243">X197+1</f>
        <v>14</v>
      </c>
      <c r="Z197" s="7">
        <f t="shared" ref="Z197" si="244">Y197+1</f>
        <v>15</v>
      </c>
      <c r="AA197" s="7">
        <f t="shared" ref="AA197" si="245">Z197+1</f>
        <v>16</v>
      </c>
      <c r="AB197" s="7">
        <f t="shared" ref="AB197" si="246">AA197+1</f>
        <v>17</v>
      </c>
      <c r="AC197" s="7">
        <f t="shared" ref="AC197" si="247">AB197+1</f>
        <v>18</v>
      </c>
      <c r="AD197" s="7">
        <f t="shared" ref="AD197" si="248">AC197+1</f>
        <v>19</v>
      </c>
      <c r="AE197" s="7">
        <f t="shared" ref="AE197" si="249">AD197+1</f>
        <v>20</v>
      </c>
      <c r="AF197" s="7">
        <f t="shared" ref="AF197" si="250">AE197+1</f>
        <v>21</v>
      </c>
      <c r="AG197" s="7">
        <f t="shared" ref="AG197" si="251">AF197+1</f>
        <v>22</v>
      </c>
      <c r="AH197" s="7">
        <f t="shared" ref="AH197" si="252">AG197+1</f>
        <v>23</v>
      </c>
      <c r="AI197" s="7">
        <f t="shared" ref="AI197" si="253">AH197+1</f>
        <v>24</v>
      </c>
      <c r="AJ197" s="7">
        <f t="shared" ref="AJ197" si="254">AI197+1</f>
        <v>25</v>
      </c>
      <c r="AK197" s="7">
        <f t="shared" ref="AK197" si="255">AJ197+1</f>
        <v>26</v>
      </c>
      <c r="AL197" s="7">
        <f t="shared" ref="AL197" si="256">AK197+1</f>
        <v>27</v>
      </c>
      <c r="AM197" s="7">
        <f t="shared" ref="AM197" si="257">AL197+1</f>
        <v>28</v>
      </c>
      <c r="AN197" s="7">
        <f t="shared" ref="AN197" si="258">AM197+1</f>
        <v>29</v>
      </c>
      <c r="AO197" s="7">
        <f t="shared" ref="AO197" si="259">AN197+1</f>
        <v>30</v>
      </c>
      <c r="AP197" s="7">
        <f t="shared" ref="AP197" si="260">AO197+1</f>
        <v>31</v>
      </c>
      <c r="AQ197" s="7">
        <f t="shared" ref="AQ197" si="261">AP197+1</f>
        <v>32</v>
      </c>
      <c r="AR197" s="7">
        <f t="shared" ref="AR197" si="262">AQ197+1</f>
        <v>33</v>
      </c>
      <c r="AS197" s="7">
        <f t="shared" ref="AS197" si="263">AR197+1</f>
        <v>34</v>
      </c>
      <c r="AT197" s="7">
        <f t="shared" ref="AT197" si="264">AS197+1</f>
        <v>35</v>
      </c>
      <c r="AU197" s="7">
        <f t="shared" ref="AU197" si="265">AT197+1</f>
        <v>36</v>
      </c>
      <c r="AV197" s="7">
        <f t="shared" ref="AV197" si="266">AU197+1</f>
        <v>37</v>
      </c>
      <c r="AW197" s="7">
        <f t="shared" ref="AW197" si="267">AV197+1</f>
        <v>38</v>
      </c>
      <c r="AX197" s="7">
        <f t="shared" ref="AX197" si="268">AW197+1</f>
        <v>39</v>
      </c>
      <c r="AY197" s="7">
        <f t="shared" ref="AY197" si="269">AX197+1</f>
        <v>40</v>
      </c>
      <c r="AZ197" s="7">
        <f t="shared" ref="AZ197" si="270">AY197+1</f>
        <v>41</v>
      </c>
      <c r="BA197" s="7">
        <f t="shared" ref="BA197" si="271">AZ197+1</f>
        <v>42</v>
      </c>
      <c r="BB197" s="7">
        <f t="shared" ref="BB197" si="272">BA197+1</f>
        <v>43</v>
      </c>
      <c r="BC197" s="7">
        <f t="shared" ref="BC197" si="273">BB197+1</f>
        <v>44</v>
      </c>
      <c r="BD197" s="7">
        <f t="shared" ref="BD197" si="274">BC197+1</f>
        <v>45</v>
      </c>
      <c r="BE197" s="7">
        <f t="shared" ref="BE197" si="275">BD197+1</f>
        <v>46</v>
      </c>
      <c r="BF197" s="7">
        <f t="shared" ref="BF197" si="276">BE197+1</f>
        <v>47</v>
      </c>
      <c r="BG197" s="7">
        <f t="shared" ref="BG197" si="277">BF197+1</f>
        <v>48</v>
      </c>
      <c r="BH197" s="7">
        <f t="shared" ref="BH197" si="278">BG197+1</f>
        <v>49</v>
      </c>
      <c r="BI197" s="7">
        <f t="shared" ref="BI197" si="279">BH197+1</f>
        <v>50</v>
      </c>
      <c r="BJ197" s="7">
        <f t="shared" ref="BJ197" si="280">BI197+1</f>
        <v>51</v>
      </c>
      <c r="BK197" s="7">
        <f t="shared" ref="BK197" si="281">BJ197+1</f>
        <v>52</v>
      </c>
      <c r="BL197" s="7">
        <f t="shared" ref="BL197" si="282">BK197+1</f>
        <v>53</v>
      </c>
      <c r="BM197" s="7">
        <f t="shared" ref="BM197" si="283">BL197+1</f>
        <v>54</v>
      </c>
      <c r="BN197" s="7">
        <f t="shared" ref="BN197" si="284">BM197+1</f>
        <v>55</v>
      </c>
      <c r="BO197" s="7">
        <f t="shared" ref="BO197" si="285">BN197+1</f>
        <v>56</v>
      </c>
      <c r="BP197" s="7">
        <f t="shared" ref="BP197" si="286">BO197+1</f>
        <v>57</v>
      </c>
      <c r="BQ197" s="7">
        <f t="shared" ref="BQ197" si="287">BP197+1</f>
        <v>58</v>
      </c>
      <c r="BR197" s="7">
        <f t="shared" ref="BR197" si="288">BQ197+1</f>
        <v>59</v>
      </c>
      <c r="BS197" s="7">
        <f t="shared" ref="BS197" si="289">BR197+1</f>
        <v>60</v>
      </c>
      <c r="BT197" s="7">
        <f t="shared" ref="BT197" si="290">BS197+1</f>
        <v>61</v>
      </c>
      <c r="BU197" s="7">
        <f t="shared" ref="BU197" si="291">BT197+1</f>
        <v>62</v>
      </c>
      <c r="BV197" s="7">
        <f t="shared" ref="BV197" si="292">BU197+1</f>
        <v>63</v>
      </c>
      <c r="BW197" s="7">
        <f t="shared" ref="BW197" si="293">BV197+1</f>
        <v>64</v>
      </c>
      <c r="BX197" s="7">
        <f t="shared" ref="BX197" si="294">BW197+1</f>
        <v>65</v>
      </c>
      <c r="BY197" s="7">
        <f t="shared" ref="BY197" si="295">BX197+1</f>
        <v>66</v>
      </c>
      <c r="BZ197" s="7">
        <f t="shared" ref="BZ197" si="296">BY197+1</f>
        <v>67</v>
      </c>
      <c r="CA197" s="7">
        <f t="shared" ref="CA197" si="297">BZ197+1</f>
        <v>68</v>
      </c>
      <c r="CB197" s="7">
        <f t="shared" ref="CB197" si="298">CA197+1</f>
        <v>69</v>
      </c>
      <c r="CC197" s="7">
        <f t="shared" ref="CC197" si="299">CB197+1</f>
        <v>70</v>
      </c>
      <c r="CD197" s="7">
        <f t="shared" ref="CD197" si="300">CC197+1</f>
        <v>71</v>
      </c>
      <c r="CE197" s="7">
        <f t="shared" ref="CE197" si="301">CD197+1</f>
        <v>72</v>
      </c>
      <c r="CF197" s="7">
        <f t="shared" ref="CF197" si="302">CE197+1</f>
        <v>73</v>
      </c>
      <c r="CG197" s="7">
        <f t="shared" ref="CG197" si="303">CF197+1</f>
        <v>74</v>
      </c>
      <c r="CH197" s="7">
        <f t="shared" ref="CH197" si="304">CG197+1</f>
        <v>75</v>
      </c>
      <c r="CI197" s="7">
        <f t="shared" ref="CI197" si="305">CH197+1</f>
        <v>76</v>
      </c>
      <c r="CJ197" s="7">
        <f t="shared" ref="CJ197" si="306">CI197+1</f>
        <v>77</v>
      </c>
      <c r="CK197" s="7">
        <f t="shared" ref="CK197" si="307">CJ197+1</f>
        <v>78</v>
      </c>
      <c r="CL197" s="7">
        <f t="shared" ref="CL197" si="308">CK197+1</f>
        <v>79</v>
      </c>
      <c r="CM197" s="7">
        <f t="shared" ref="CM197" si="309">CL197+1</f>
        <v>80</v>
      </c>
      <c r="CN197" s="7">
        <f t="shared" ref="CN197" si="310">CM197+1</f>
        <v>81</v>
      </c>
      <c r="CO197" s="7">
        <f t="shared" ref="CO197" si="311">CN197+1</f>
        <v>82</v>
      </c>
      <c r="CP197" s="7">
        <f t="shared" ref="CP197" si="312">CO197+1</f>
        <v>83</v>
      </c>
      <c r="CQ197" s="7">
        <f t="shared" ref="CQ197" si="313">CP197+1</f>
        <v>84</v>
      </c>
      <c r="CR197" s="7">
        <f t="shared" ref="CR197" si="314">CQ197+1</f>
        <v>85</v>
      </c>
      <c r="CS197" s="7">
        <f t="shared" ref="CS197" si="315">CR197+1</f>
        <v>86</v>
      </c>
      <c r="CT197" s="7">
        <f t="shared" ref="CT197" si="316">CS197+1</f>
        <v>87</v>
      </c>
      <c r="CU197" s="7">
        <f t="shared" ref="CU197" si="317">CT197+1</f>
        <v>88</v>
      </c>
      <c r="CV197" s="7">
        <f t="shared" ref="CV197" si="318">CU197+1</f>
        <v>89</v>
      </c>
      <c r="CW197" s="7">
        <f t="shared" ref="CW197" si="319">CV197+1</f>
        <v>90</v>
      </c>
      <c r="CX197" s="7">
        <f t="shared" ref="CX197" si="320">CW197+1</f>
        <v>91</v>
      </c>
      <c r="CY197" s="7">
        <f t="shared" ref="CY197" si="321">CX197+1</f>
        <v>92</v>
      </c>
      <c r="CZ197" s="7">
        <f t="shared" ref="CZ197" si="322">CY197+1</f>
        <v>93</v>
      </c>
      <c r="DA197" s="7">
        <f t="shared" ref="DA197" si="323">CZ197+1</f>
        <v>94</v>
      </c>
      <c r="DB197" s="7">
        <f t="shared" ref="DB197" si="324">DA197+1</f>
        <v>95</v>
      </c>
      <c r="DC197" s="7">
        <f t="shared" ref="DC197" si="325">DB197+1</f>
        <v>96</v>
      </c>
      <c r="DD197" s="7">
        <f t="shared" ref="DD197" si="326">DC197+1</f>
        <v>97</v>
      </c>
      <c r="DE197" s="7">
        <f t="shared" ref="DE197" si="327">DD197+1</f>
        <v>98</v>
      </c>
      <c r="DF197" s="7">
        <f t="shared" ref="DF197" si="328">DE197+1</f>
        <v>99</v>
      </c>
      <c r="DG197" s="7">
        <f t="shared" ref="DG197" si="329">DF197+1</f>
        <v>100</v>
      </c>
      <c r="DH197" s="7">
        <f t="shared" ref="DH197" si="330">DG197+1</f>
        <v>101</v>
      </c>
      <c r="DI197" s="7">
        <f t="shared" ref="DI197" si="331">DH197+1</f>
        <v>102</v>
      </c>
      <c r="DJ197" s="7">
        <f t="shared" ref="DJ197" si="332">DI197+1</f>
        <v>103</v>
      </c>
      <c r="DK197" s="7">
        <f t="shared" ref="DK197" si="333">DJ197+1</f>
        <v>104</v>
      </c>
      <c r="DL197" s="7">
        <f t="shared" ref="DL197" si="334">DK197+1</f>
        <v>105</v>
      </c>
      <c r="DM197" s="7">
        <f t="shared" ref="DM197" si="335">DL197+1</f>
        <v>106</v>
      </c>
      <c r="DN197" s="7">
        <f t="shared" ref="DN197" si="336">DM197+1</f>
        <v>107</v>
      </c>
      <c r="DO197" s="7">
        <f t="shared" ref="DO197" si="337">DN197+1</f>
        <v>108</v>
      </c>
      <c r="DP197" s="7">
        <f t="shared" ref="DP197" si="338">DO197+1</f>
        <v>109</v>
      </c>
      <c r="DQ197" s="7">
        <f t="shared" ref="DQ197" si="339">DP197+1</f>
        <v>110</v>
      </c>
      <c r="DR197" s="7">
        <f t="shared" ref="DR197" si="340">DQ197+1</f>
        <v>111</v>
      </c>
      <c r="DS197" s="7">
        <f t="shared" ref="DS197" si="341">DR197+1</f>
        <v>112</v>
      </c>
      <c r="DT197" s="7">
        <f t="shared" ref="DT197" si="342">DS197+1</f>
        <v>113</v>
      </c>
      <c r="DU197" s="7">
        <f t="shared" ref="DU197" si="343">DT197+1</f>
        <v>114</v>
      </c>
      <c r="DV197" s="7">
        <f t="shared" ref="DV197" si="344">DU197+1</f>
        <v>115</v>
      </c>
      <c r="DW197" s="7">
        <f t="shared" ref="DW197" si="345">DV197+1</f>
        <v>116</v>
      </c>
      <c r="DX197" s="7">
        <f t="shared" ref="DX197" si="346">DW197+1</f>
        <v>117</v>
      </c>
      <c r="DY197" s="7">
        <f t="shared" ref="DY197" si="347">DX197+1</f>
        <v>118</v>
      </c>
      <c r="DZ197" s="7">
        <f t="shared" ref="DZ197" si="348">DY197+1</f>
        <v>119</v>
      </c>
      <c r="EA197" s="7">
        <f t="shared" ref="EA197" si="349">DZ197+1</f>
        <v>120</v>
      </c>
      <c r="EB197" s="7">
        <f t="shared" ref="EB197" si="350">EA197+1</f>
        <v>121</v>
      </c>
      <c r="EC197" s="7">
        <f t="shared" ref="EC197" si="351">EB197+1</f>
        <v>122</v>
      </c>
      <c r="ED197" s="7">
        <f t="shared" ref="ED197" si="352">EC197+1</f>
        <v>123</v>
      </c>
      <c r="EE197" s="7">
        <f t="shared" ref="EE197" si="353">ED197+1</f>
        <v>124</v>
      </c>
      <c r="EF197" s="7">
        <f t="shared" ref="EF197" si="354">EE197+1</f>
        <v>125</v>
      </c>
      <c r="EG197" s="7">
        <f t="shared" ref="EG197" si="355">EF197+1</f>
        <v>126</v>
      </c>
      <c r="EH197" s="7">
        <f t="shared" ref="EH197" si="356">EG197+1</f>
        <v>127</v>
      </c>
      <c r="EI197" s="7">
        <f t="shared" ref="EI197" si="357">EH197+1</f>
        <v>128</v>
      </c>
      <c r="EJ197" s="7">
        <f t="shared" ref="EJ197" si="358">EI197+1</f>
        <v>129</v>
      </c>
      <c r="EK197" s="7">
        <f t="shared" ref="EK197" si="359">EJ197+1</f>
        <v>130</v>
      </c>
      <c r="EL197" s="7">
        <f t="shared" ref="EL197" si="360">EK197+1</f>
        <v>131</v>
      </c>
      <c r="EM197" s="7">
        <f t="shared" si="232"/>
        <v>132</v>
      </c>
      <c r="EN197" s="7">
        <f t="shared" si="232"/>
        <v>133</v>
      </c>
      <c r="EO197" s="7">
        <f t="shared" si="232"/>
        <v>134</v>
      </c>
      <c r="EP197" s="7">
        <f t="shared" si="232"/>
        <v>135</v>
      </c>
      <c r="EQ197" s="7">
        <f t="shared" si="232"/>
        <v>136</v>
      </c>
      <c r="ER197" s="7">
        <f t="shared" si="233"/>
        <v>137</v>
      </c>
      <c r="ES197" s="7">
        <f t="shared" si="233"/>
        <v>138</v>
      </c>
      <c r="ET197" s="7">
        <f t="shared" si="233"/>
        <v>139</v>
      </c>
      <c r="EU197" s="7">
        <f t="shared" si="233"/>
        <v>140</v>
      </c>
      <c r="EV197" s="7">
        <f t="shared" si="233"/>
        <v>141</v>
      </c>
      <c r="EW197" s="7">
        <f t="shared" si="233"/>
        <v>142</v>
      </c>
      <c r="EX197" s="7">
        <f t="shared" si="233"/>
        <v>143</v>
      </c>
      <c r="EY197" s="7">
        <f t="shared" si="233"/>
        <v>144</v>
      </c>
      <c r="EZ197" s="7">
        <f t="shared" si="233"/>
        <v>145</v>
      </c>
      <c r="FA197" s="7">
        <f t="shared" si="233"/>
        <v>146</v>
      </c>
      <c r="FB197" s="7">
        <f t="shared" si="233"/>
        <v>147</v>
      </c>
      <c r="FC197" s="7">
        <f t="shared" si="233"/>
        <v>148</v>
      </c>
      <c r="FD197" s="7">
        <f t="shared" si="233"/>
        <v>149</v>
      </c>
      <c r="FE197" s="7">
        <f t="shared" si="233"/>
        <v>150</v>
      </c>
      <c r="FF197" s="7">
        <f t="shared" si="233"/>
        <v>151</v>
      </c>
      <c r="FG197" s="7">
        <f t="shared" si="233"/>
        <v>152</v>
      </c>
      <c r="FH197" s="7">
        <f t="shared" si="233"/>
        <v>153</v>
      </c>
      <c r="FI197" s="7">
        <f t="shared" si="233"/>
        <v>154</v>
      </c>
      <c r="FJ197" s="7">
        <f t="shared" si="233"/>
        <v>155</v>
      </c>
      <c r="FK197" s="7">
        <f t="shared" si="233"/>
        <v>156</v>
      </c>
      <c r="FL197" s="7">
        <f t="shared" si="233"/>
        <v>157</v>
      </c>
      <c r="FM197" s="7">
        <f t="shared" si="233"/>
        <v>158</v>
      </c>
      <c r="FN197" s="7">
        <f t="shared" si="233"/>
        <v>159</v>
      </c>
      <c r="FO197" s="7">
        <f t="shared" si="233"/>
        <v>160</v>
      </c>
      <c r="FP197" s="7">
        <f t="shared" si="233"/>
        <v>161</v>
      </c>
      <c r="FQ197" s="7">
        <f t="shared" si="233"/>
        <v>162</v>
      </c>
      <c r="FR197" s="7">
        <f t="shared" si="233"/>
        <v>163</v>
      </c>
      <c r="FS197" s="7">
        <f t="shared" si="233"/>
        <v>164</v>
      </c>
      <c r="FT197" s="7">
        <f t="shared" si="233"/>
        <v>165</v>
      </c>
      <c r="FU197" s="7">
        <f t="shared" si="233"/>
        <v>166</v>
      </c>
      <c r="FV197" s="7">
        <f t="shared" si="233"/>
        <v>167</v>
      </c>
      <c r="FW197" s="7">
        <f t="shared" si="233"/>
        <v>168</v>
      </c>
      <c r="FX197" s="7">
        <f t="shared" si="233"/>
        <v>169</v>
      </c>
      <c r="FY197" s="7">
        <f t="shared" si="233"/>
        <v>170</v>
      </c>
    </row>
    <row r="198" spans="1:237" x14ac:dyDescent="0.25">
      <c r="N198"/>
      <c r="P198" s="84"/>
    </row>
    <row r="199" spans="1:237" x14ac:dyDescent="0.25">
      <c r="P199" s="84"/>
    </row>
    <row r="200" spans="1:237" x14ac:dyDescent="0.25">
      <c r="P200" s="84"/>
    </row>
    <row r="201" spans="1:237" x14ac:dyDescent="0.25">
      <c r="P201" s="84"/>
    </row>
    <row r="202" spans="1:237" x14ac:dyDescent="0.25">
      <c r="P202" s="84"/>
    </row>
    <row r="203" spans="1:237" x14ac:dyDescent="0.25">
      <c r="P203" s="84"/>
    </row>
    <row r="204" spans="1:237" x14ac:dyDescent="0.25">
      <c r="P204" s="84"/>
    </row>
    <row r="205" spans="1:237" x14ac:dyDescent="0.25">
      <c r="P205" s="84"/>
    </row>
    <row r="206" spans="1:237" x14ac:dyDescent="0.25">
      <c r="P206" s="84"/>
    </row>
    <row r="207" spans="1:237" x14ac:dyDescent="0.25">
      <c r="P207" s="84"/>
    </row>
    <row r="208" spans="1:237" x14ac:dyDescent="0.25">
      <c r="P208" s="84"/>
    </row>
    <row r="209" spans="16:16" x14ac:dyDescent="0.25">
      <c r="P209" s="84"/>
    </row>
    <row r="210" spans="16:16" x14ac:dyDescent="0.25">
      <c r="P210" s="84"/>
    </row>
    <row r="211" spans="16:16" x14ac:dyDescent="0.25">
      <c r="P211" s="84"/>
    </row>
    <row r="212" spans="16:16" x14ac:dyDescent="0.25">
      <c r="P212" s="84"/>
    </row>
    <row r="213" spans="16:16" x14ac:dyDescent="0.25">
      <c r="P213" s="84"/>
    </row>
    <row r="214" spans="16:16" x14ac:dyDescent="0.25">
      <c r="P214" s="84"/>
    </row>
    <row r="215" spans="16:16" x14ac:dyDescent="0.25">
      <c r="P215" s="84"/>
    </row>
    <row r="216" spans="16:16" x14ac:dyDescent="0.25">
      <c r="P216" s="84"/>
    </row>
    <row r="217" spans="16:16" x14ac:dyDescent="0.25">
      <c r="P217" s="84"/>
    </row>
    <row r="218" spans="16:16" x14ac:dyDescent="0.25">
      <c r="P218" s="84"/>
    </row>
    <row r="219" spans="16:16" x14ac:dyDescent="0.25">
      <c r="P219" s="84"/>
    </row>
    <row r="220" spans="16:16" x14ac:dyDescent="0.25">
      <c r="P220" s="84"/>
    </row>
    <row r="221" spans="16:16" x14ac:dyDescent="0.25">
      <c r="P221" s="84"/>
    </row>
    <row r="222" spans="16:16" x14ac:dyDescent="0.25">
      <c r="P222" s="84"/>
    </row>
    <row r="223" spans="16:16" x14ac:dyDescent="0.25">
      <c r="P223" s="84"/>
    </row>
    <row r="224" spans="16:16" x14ac:dyDescent="0.25">
      <c r="P224" s="84"/>
    </row>
    <row r="225" spans="16:16" x14ac:dyDescent="0.25">
      <c r="P225" s="84"/>
    </row>
    <row r="226" spans="16:16" x14ac:dyDescent="0.25">
      <c r="P226" s="84"/>
    </row>
    <row r="227" spans="16:16" x14ac:dyDescent="0.25">
      <c r="P227" s="84"/>
    </row>
    <row r="228" spans="16:16" x14ac:dyDescent="0.25">
      <c r="P228" s="84"/>
    </row>
    <row r="229" spans="16:16" x14ac:dyDescent="0.25">
      <c r="P229" s="84"/>
    </row>
    <row r="230" spans="16:16" x14ac:dyDescent="0.25">
      <c r="P230" s="84"/>
    </row>
    <row r="231" spans="16:16" x14ac:dyDescent="0.25">
      <c r="P231" s="84"/>
    </row>
    <row r="232" spans="16:16" x14ac:dyDescent="0.25">
      <c r="P232" s="84"/>
    </row>
    <row r="233" spans="16:16" x14ac:dyDescent="0.25">
      <c r="P233" s="84"/>
    </row>
    <row r="234" spans="16:16" x14ac:dyDescent="0.25">
      <c r="P234" s="84"/>
    </row>
    <row r="235" spans="16:16" x14ac:dyDescent="0.25">
      <c r="P235" s="84"/>
    </row>
    <row r="236" spans="16:16" x14ac:dyDescent="0.25">
      <c r="P236" s="84"/>
    </row>
    <row r="237" spans="16:16" x14ac:dyDescent="0.25">
      <c r="P237" s="84"/>
    </row>
    <row r="238" spans="16:16" x14ac:dyDescent="0.25">
      <c r="P238" s="84"/>
    </row>
    <row r="239" spans="16:16" x14ac:dyDescent="0.25">
      <c r="P239" s="84"/>
    </row>
    <row r="240" spans="16:16" x14ac:dyDescent="0.25">
      <c r="P240" s="84"/>
    </row>
    <row r="241" spans="16:16" x14ac:dyDescent="0.25">
      <c r="P241" s="84"/>
    </row>
    <row r="242" spans="16:16" x14ac:dyDescent="0.25">
      <c r="P242" s="84"/>
    </row>
    <row r="243" spans="16:16" x14ac:dyDescent="0.25">
      <c r="P243" s="84"/>
    </row>
    <row r="244" spans="16:16" x14ac:dyDescent="0.25">
      <c r="P244" s="84"/>
    </row>
    <row r="245" spans="16:16" x14ac:dyDescent="0.25">
      <c r="P245" s="84"/>
    </row>
    <row r="246" spans="16:16" x14ac:dyDescent="0.25">
      <c r="P246" s="84"/>
    </row>
    <row r="247" spans="16:16" x14ac:dyDescent="0.25">
      <c r="P247" s="84"/>
    </row>
    <row r="248" spans="16:16" x14ac:dyDescent="0.25">
      <c r="P248" s="84"/>
    </row>
    <row r="249" spans="16:16" x14ac:dyDescent="0.25">
      <c r="P249" s="84"/>
    </row>
    <row r="250" spans="16:16" x14ac:dyDescent="0.25">
      <c r="P250" s="84"/>
    </row>
    <row r="251" spans="16:16" x14ac:dyDescent="0.25">
      <c r="P251" s="84"/>
    </row>
    <row r="252" spans="16:16" x14ac:dyDescent="0.25">
      <c r="P252" s="84"/>
    </row>
    <row r="253" spans="16:16" x14ac:dyDescent="0.25">
      <c r="P253" s="84"/>
    </row>
    <row r="254" spans="16:16" x14ac:dyDescent="0.25">
      <c r="P254" s="84"/>
    </row>
    <row r="255" spans="16:16" x14ac:dyDescent="0.25">
      <c r="P255" s="84"/>
    </row>
    <row r="256" spans="16:16" x14ac:dyDescent="0.25">
      <c r="P256" s="84"/>
    </row>
    <row r="257" spans="16:16" x14ac:dyDescent="0.25">
      <c r="P257" s="84"/>
    </row>
    <row r="258" spans="16:16" x14ac:dyDescent="0.25">
      <c r="P258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195">
    <cfRule type="cellIs" dxfId="466" priority="8127" operator="greaterThan">
      <formula>0</formula>
    </cfRule>
  </conditionalFormatting>
  <conditionalFormatting sqref="J6:J195">
    <cfRule type="cellIs" dxfId="465" priority="1" operator="equal">
      <formula>"CRECHE"</formula>
    </cfRule>
    <cfRule type="cellIs" dxfId="46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195 EJ6:EJ195 EH6:EH195 EF6:EF195 ED6:ED195 EB6:EB195 DZ6:DZ195 DX6:DX195 DV6:DV195 DT6:DT195 DR6:DR195 DP6:DP195 DN6:DN195 DL6:DL195 DJ6:DJ195 DH6:DH195 DF6:DF195 DD6:DD195 DB6:DB195 CZ6:CZ195 CX6:CX195 CV6:CV195 CT6:CT195 CR6:CR195 CP6:CP195 CN6:CN195 CL6:CL195 CJ6:CJ195 CH6:CH195 CF6:CF195 CD6:CD195 CB6:CB195 BZ6:BZ195 BX6:BX195 BV6:BV195 BT6:BT195 BR6:BR195 BP6:BP195 BN6:BN195 BL6:BL195 BJ6:BJ195 BH6:BH195 BF6:BF195 BD6:BD195 BB6:BB195 AZ6:AZ195 AX6:AX195 AV6:AV195 AT6:AT195 AR6:AR195 AP6:AP195 AN6:AN195 AL6:AL195 AJ6:AJ195 AH6:AH195 AF6:AF195 AD6:AD195 AB6:AB195 Z6:Z195 X6:X195 V6:V195 T6:T195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99"/>
  <sheetViews>
    <sheetView showGridLines="0" topLeftCell="R1" zoomScale="80" zoomScaleNormal="80" workbookViewId="0">
      <selection activeCell="L191" sqref="L191:BU195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São Mateus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3193</v>
      </c>
      <c r="B6" s="526" t="s">
        <v>3194</v>
      </c>
      <c r="C6" s="527">
        <v>1</v>
      </c>
      <c r="D6" s="528" t="s">
        <v>3195</v>
      </c>
      <c r="E6" s="426" t="s">
        <v>3196</v>
      </c>
      <c r="F6" s="529" t="s">
        <v>3181</v>
      </c>
      <c r="G6" s="529" t="s">
        <v>3182</v>
      </c>
      <c r="H6" s="530" t="s">
        <v>2976</v>
      </c>
      <c r="I6" s="384" t="s">
        <v>2976</v>
      </c>
      <c r="J6" s="353" t="s">
        <v>3183</v>
      </c>
      <c r="K6" s="354" t="s">
        <v>3184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3193</v>
      </c>
      <c r="B7" s="386" t="s">
        <v>3194</v>
      </c>
      <c r="C7" s="352" t="s">
        <v>3190</v>
      </c>
      <c r="D7" s="387" t="s">
        <v>3195</v>
      </c>
      <c r="E7" s="388" t="s">
        <v>3196</v>
      </c>
      <c r="F7" s="389" t="s">
        <v>3181</v>
      </c>
      <c r="G7" s="389" t="s">
        <v>3182</v>
      </c>
      <c r="H7" s="390" t="s">
        <v>2976</v>
      </c>
      <c r="I7" s="391" t="s">
        <v>2976</v>
      </c>
      <c r="J7" s="353" t="s">
        <v>3183</v>
      </c>
      <c r="K7" s="353" t="s">
        <v>3185</v>
      </c>
      <c r="L7" s="400">
        <v>20</v>
      </c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20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3193</v>
      </c>
      <c r="B8" s="386" t="s">
        <v>3194</v>
      </c>
      <c r="C8" s="392" t="s">
        <v>3190</v>
      </c>
      <c r="D8" s="387" t="s">
        <v>3195</v>
      </c>
      <c r="E8" s="388" t="s">
        <v>3196</v>
      </c>
      <c r="F8" s="389" t="s">
        <v>3181</v>
      </c>
      <c r="G8" s="389" t="s">
        <v>3182</v>
      </c>
      <c r="H8" s="390" t="s">
        <v>2976</v>
      </c>
      <c r="I8" s="391" t="s">
        <v>2976</v>
      </c>
      <c r="J8" s="353" t="s">
        <v>3183</v>
      </c>
      <c r="K8" s="355" t="s">
        <v>3186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3193</v>
      </c>
      <c r="B9" s="386" t="s">
        <v>3194</v>
      </c>
      <c r="C9" s="392" t="s">
        <v>3190</v>
      </c>
      <c r="D9" s="387" t="s">
        <v>3195</v>
      </c>
      <c r="E9" s="388" t="s">
        <v>3196</v>
      </c>
      <c r="F9" s="389" t="s">
        <v>3181</v>
      </c>
      <c r="G9" s="389" t="s">
        <v>3182</v>
      </c>
      <c r="H9" s="390" t="s">
        <v>2976</v>
      </c>
      <c r="I9" s="391" t="s">
        <v>2976</v>
      </c>
      <c r="J9" s="353" t="s">
        <v>3183</v>
      </c>
      <c r="K9" s="356" t="s">
        <v>3187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3193</v>
      </c>
      <c r="B10" s="393" t="s">
        <v>3194</v>
      </c>
      <c r="C10" s="394" t="s">
        <v>3190</v>
      </c>
      <c r="D10" s="395" t="s">
        <v>3195</v>
      </c>
      <c r="E10" s="411" t="s">
        <v>3196</v>
      </c>
      <c r="F10" s="396" t="s">
        <v>3181</v>
      </c>
      <c r="G10" s="396" t="s">
        <v>3182</v>
      </c>
      <c r="H10" s="397" t="s">
        <v>2976</v>
      </c>
      <c r="I10" s="899" t="s">
        <v>2976</v>
      </c>
      <c r="J10" s="353" t="s">
        <v>3183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3197</v>
      </c>
      <c r="B11" s="526" t="s">
        <v>3198</v>
      </c>
      <c r="C11" s="527">
        <v>4</v>
      </c>
      <c r="D11" s="528" t="s">
        <v>3199</v>
      </c>
      <c r="E11" s="426" t="s">
        <v>3200</v>
      </c>
      <c r="F11" s="529" t="s">
        <v>3181</v>
      </c>
      <c r="G11" s="529" t="s">
        <v>3182</v>
      </c>
      <c r="H11" s="530" t="s">
        <v>2977</v>
      </c>
      <c r="I11" s="384" t="s">
        <v>2977</v>
      </c>
      <c r="J11" s="353" t="s">
        <v>3183</v>
      </c>
      <c r="K11" s="354" t="s">
        <v>3184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3197</v>
      </c>
      <c r="B12" s="386" t="s">
        <v>3198</v>
      </c>
      <c r="C12" s="352" t="s">
        <v>3191</v>
      </c>
      <c r="D12" s="387" t="s">
        <v>3199</v>
      </c>
      <c r="E12" s="388" t="s">
        <v>3200</v>
      </c>
      <c r="F12" s="389" t="s">
        <v>3181</v>
      </c>
      <c r="G12" s="389" t="s">
        <v>3182</v>
      </c>
      <c r="H12" s="390" t="s">
        <v>2977</v>
      </c>
      <c r="I12" s="391" t="s">
        <v>2977</v>
      </c>
      <c r="J12" s="353" t="s">
        <v>3183</v>
      </c>
      <c r="K12" s="353" t="s">
        <v>3185</v>
      </c>
      <c r="L12" s="400">
        <v>43</v>
      </c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43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3197</v>
      </c>
      <c r="B13" s="386" t="s">
        <v>3198</v>
      </c>
      <c r="C13" s="392" t="s">
        <v>3191</v>
      </c>
      <c r="D13" s="387" t="s">
        <v>3199</v>
      </c>
      <c r="E13" s="388" t="s">
        <v>3200</v>
      </c>
      <c r="F13" s="389" t="s">
        <v>3181</v>
      </c>
      <c r="G13" s="389" t="s">
        <v>3182</v>
      </c>
      <c r="H13" s="390" t="s">
        <v>2977</v>
      </c>
      <c r="I13" s="391" t="s">
        <v>2977</v>
      </c>
      <c r="J13" s="353" t="s">
        <v>3183</v>
      </c>
      <c r="K13" s="355" t="s">
        <v>3186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3197</v>
      </c>
      <c r="B14" s="386" t="s">
        <v>3198</v>
      </c>
      <c r="C14" s="392" t="s">
        <v>3191</v>
      </c>
      <c r="D14" s="387" t="s">
        <v>3199</v>
      </c>
      <c r="E14" s="388" t="s">
        <v>3200</v>
      </c>
      <c r="F14" s="389" t="s">
        <v>3181</v>
      </c>
      <c r="G14" s="389" t="s">
        <v>3182</v>
      </c>
      <c r="H14" s="390" t="s">
        <v>2977</v>
      </c>
      <c r="I14" s="391" t="s">
        <v>2977</v>
      </c>
      <c r="J14" s="353" t="s">
        <v>3183</v>
      </c>
      <c r="K14" s="356" t="s">
        <v>3187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3197</v>
      </c>
      <c r="B15" s="393" t="s">
        <v>3198</v>
      </c>
      <c r="C15" s="394" t="s">
        <v>3191</v>
      </c>
      <c r="D15" s="395" t="s">
        <v>3199</v>
      </c>
      <c r="E15" s="411" t="s">
        <v>3200</v>
      </c>
      <c r="F15" s="396" t="s">
        <v>3181</v>
      </c>
      <c r="G15" s="396" t="s">
        <v>3182</v>
      </c>
      <c r="H15" s="397" t="s">
        <v>2977</v>
      </c>
      <c r="I15" s="899" t="s">
        <v>2977</v>
      </c>
      <c r="J15" s="353" t="s">
        <v>3183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3201</v>
      </c>
      <c r="B16" s="526" t="s">
        <v>3202</v>
      </c>
      <c r="C16" s="527">
        <v>1</v>
      </c>
      <c r="D16" s="528" t="s">
        <v>3203</v>
      </c>
      <c r="E16" s="426" t="s">
        <v>3204</v>
      </c>
      <c r="F16" s="529" t="s">
        <v>3181</v>
      </c>
      <c r="G16" s="529" t="s">
        <v>3182</v>
      </c>
      <c r="H16" s="530" t="s">
        <v>2984</v>
      </c>
      <c r="I16" s="384" t="s">
        <v>2984</v>
      </c>
      <c r="J16" s="353" t="s">
        <v>3183</v>
      </c>
      <c r="K16" s="354" t="s">
        <v>3184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3201</v>
      </c>
      <c r="B17" s="386" t="s">
        <v>3202</v>
      </c>
      <c r="C17" s="352" t="s">
        <v>3190</v>
      </c>
      <c r="D17" s="387" t="s">
        <v>3203</v>
      </c>
      <c r="E17" s="388" t="s">
        <v>3204</v>
      </c>
      <c r="F17" s="389" t="s">
        <v>3181</v>
      </c>
      <c r="G17" s="389" t="s">
        <v>3182</v>
      </c>
      <c r="H17" s="390" t="s">
        <v>2984</v>
      </c>
      <c r="I17" s="391" t="s">
        <v>2984</v>
      </c>
      <c r="J17" s="353" t="s">
        <v>3183</v>
      </c>
      <c r="K17" s="353" t="s">
        <v>3185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3201</v>
      </c>
      <c r="B18" s="386" t="s">
        <v>3202</v>
      </c>
      <c r="C18" s="392" t="s">
        <v>3190</v>
      </c>
      <c r="D18" s="387" t="s">
        <v>3203</v>
      </c>
      <c r="E18" s="388" t="s">
        <v>3204</v>
      </c>
      <c r="F18" s="389" t="s">
        <v>3181</v>
      </c>
      <c r="G18" s="389" t="s">
        <v>3182</v>
      </c>
      <c r="H18" s="390" t="s">
        <v>2984</v>
      </c>
      <c r="I18" s="391" t="s">
        <v>2984</v>
      </c>
      <c r="J18" s="353" t="s">
        <v>3183</v>
      </c>
      <c r="K18" s="355" t="s">
        <v>3186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3201</v>
      </c>
      <c r="B19" s="386" t="s">
        <v>3202</v>
      </c>
      <c r="C19" s="392" t="s">
        <v>3190</v>
      </c>
      <c r="D19" s="387" t="s">
        <v>3203</v>
      </c>
      <c r="E19" s="388" t="s">
        <v>3204</v>
      </c>
      <c r="F19" s="389" t="s">
        <v>3181</v>
      </c>
      <c r="G19" s="389" t="s">
        <v>3182</v>
      </c>
      <c r="H19" s="390" t="s">
        <v>2984</v>
      </c>
      <c r="I19" s="391" t="s">
        <v>2984</v>
      </c>
      <c r="J19" s="353" t="s">
        <v>3183</v>
      </c>
      <c r="K19" s="356" t="s">
        <v>3187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3201</v>
      </c>
      <c r="B20" s="393" t="s">
        <v>3202</v>
      </c>
      <c r="C20" s="394" t="s">
        <v>3190</v>
      </c>
      <c r="D20" s="395" t="s">
        <v>3203</v>
      </c>
      <c r="E20" s="411" t="s">
        <v>3204</v>
      </c>
      <c r="F20" s="396" t="s">
        <v>3181</v>
      </c>
      <c r="G20" s="396" t="s">
        <v>3182</v>
      </c>
      <c r="H20" s="397" t="s">
        <v>2984</v>
      </c>
      <c r="I20" s="899" t="s">
        <v>2984</v>
      </c>
      <c r="J20" s="353" t="s">
        <v>3183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3205</v>
      </c>
      <c r="B21" s="526" t="s">
        <v>3206</v>
      </c>
      <c r="C21" s="527">
        <v>1</v>
      </c>
      <c r="D21" s="528" t="s">
        <v>3207</v>
      </c>
      <c r="E21" s="426" t="s">
        <v>3208</v>
      </c>
      <c r="F21" s="529" t="s">
        <v>3181</v>
      </c>
      <c r="G21" s="529" t="s">
        <v>3182</v>
      </c>
      <c r="H21" s="530" t="s">
        <v>2987</v>
      </c>
      <c r="I21" s="384" t="s">
        <v>2987</v>
      </c>
      <c r="J21" s="353" t="s">
        <v>3183</v>
      </c>
      <c r="K21" s="354" t="s">
        <v>3184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3205</v>
      </c>
      <c r="B22" s="386" t="s">
        <v>3206</v>
      </c>
      <c r="C22" s="352" t="s">
        <v>3190</v>
      </c>
      <c r="D22" s="387" t="s">
        <v>3207</v>
      </c>
      <c r="E22" s="388" t="s">
        <v>3208</v>
      </c>
      <c r="F22" s="389" t="s">
        <v>3181</v>
      </c>
      <c r="G22" s="389" t="s">
        <v>3182</v>
      </c>
      <c r="H22" s="390" t="s">
        <v>2987</v>
      </c>
      <c r="I22" s="391" t="s">
        <v>2987</v>
      </c>
      <c r="J22" s="353" t="s">
        <v>3183</v>
      </c>
      <c r="K22" s="353" t="s">
        <v>3185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3205</v>
      </c>
      <c r="B23" s="386" t="s">
        <v>3206</v>
      </c>
      <c r="C23" s="392" t="s">
        <v>3190</v>
      </c>
      <c r="D23" s="387" t="s">
        <v>3207</v>
      </c>
      <c r="E23" s="388" t="s">
        <v>3208</v>
      </c>
      <c r="F23" s="389" t="s">
        <v>3181</v>
      </c>
      <c r="G23" s="389" t="s">
        <v>3182</v>
      </c>
      <c r="H23" s="390" t="s">
        <v>2987</v>
      </c>
      <c r="I23" s="391" t="s">
        <v>2987</v>
      </c>
      <c r="J23" s="353" t="s">
        <v>3183</v>
      </c>
      <c r="K23" s="355" t="s">
        <v>3186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3205</v>
      </c>
      <c r="B24" s="386" t="s">
        <v>3206</v>
      </c>
      <c r="C24" s="392" t="s">
        <v>3190</v>
      </c>
      <c r="D24" s="387" t="s">
        <v>3207</v>
      </c>
      <c r="E24" s="388" t="s">
        <v>3208</v>
      </c>
      <c r="F24" s="389" t="s">
        <v>3181</v>
      </c>
      <c r="G24" s="389" t="s">
        <v>3182</v>
      </c>
      <c r="H24" s="390" t="s">
        <v>2987</v>
      </c>
      <c r="I24" s="391" t="s">
        <v>2987</v>
      </c>
      <c r="J24" s="353" t="s">
        <v>3183</v>
      </c>
      <c r="K24" s="356" t="s">
        <v>3187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3205</v>
      </c>
      <c r="B25" s="393" t="s">
        <v>3206</v>
      </c>
      <c r="C25" s="394" t="s">
        <v>3190</v>
      </c>
      <c r="D25" s="395" t="s">
        <v>3207</v>
      </c>
      <c r="E25" s="411" t="s">
        <v>3208</v>
      </c>
      <c r="F25" s="396" t="s">
        <v>3181</v>
      </c>
      <c r="G25" s="396" t="s">
        <v>3182</v>
      </c>
      <c r="H25" s="397" t="s">
        <v>2987</v>
      </c>
      <c r="I25" s="899" t="s">
        <v>2987</v>
      </c>
      <c r="J25" s="353" t="s">
        <v>3183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3209</v>
      </c>
      <c r="B26" s="526" t="s">
        <v>3210</v>
      </c>
      <c r="C26" s="527">
        <v>1</v>
      </c>
      <c r="D26" s="528" t="s">
        <v>3211</v>
      </c>
      <c r="E26" s="426" t="s">
        <v>3212</v>
      </c>
      <c r="F26" s="529" t="s">
        <v>3181</v>
      </c>
      <c r="G26" s="529" t="s">
        <v>3182</v>
      </c>
      <c r="H26" s="530" t="s">
        <v>2989</v>
      </c>
      <c r="I26" s="384" t="s">
        <v>2989</v>
      </c>
      <c r="J26" s="353" t="s">
        <v>3183</v>
      </c>
      <c r="K26" s="354" t="s">
        <v>3184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3209</v>
      </c>
      <c r="B27" s="386" t="s">
        <v>3210</v>
      </c>
      <c r="C27" s="352" t="s">
        <v>3190</v>
      </c>
      <c r="D27" s="387" t="s">
        <v>3211</v>
      </c>
      <c r="E27" s="388" t="s">
        <v>3212</v>
      </c>
      <c r="F27" s="389" t="s">
        <v>3181</v>
      </c>
      <c r="G27" s="389" t="s">
        <v>3182</v>
      </c>
      <c r="H27" s="390" t="s">
        <v>2989</v>
      </c>
      <c r="I27" s="391" t="s">
        <v>2989</v>
      </c>
      <c r="J27" s="353" t="s">
        <v>3183</v>
      </c>
      <c r="K27" s="353" t="s">
        <v>3185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3209</v>
      </c>
      <c r="B28" s="386" t="s">
        <v>3210</v>
      </c>
      <c r="C28" s="392" t="s">
        <v>3190</v>
      </c>
      <c r="D28" s="387" t="s">
        <v>3211</v>
      </c>
      <c r="E28" s="388" t="s">
        <v>3212</v>
      </c>
      <c r="F28" s="389" t="s">
        <v>3181</v>
      </c>
      <c r="G28" s="389" t="s">
        <v>3182</v>
      </c>
      <c r="H28" s="390" t="s">
        <v>2989</v>
      </c>
      <c r="I28" s="391" t="s">
        <v>2989</v>
      </c>
      <c r="J28" s="353" t="s">
        <v>3183</v>
      </c>
      <c r="K28" s="355" t="s">
        <v>3186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3209</v>
      </c>
      <c r="B29" s="386" t="s">
        <v>3210</v>
      </c>
      <c r="C29" s="392" t="s">
        <v>3190</v>
      </c>
      <c r="D29" s="387" t="s">
        <v>3211</v>
      </c>
      <c r="E29" s="388" t="s">
        <v>3212</v>
      </c>
      <c r="F29" s="389" t="s">
        <v>3181</v>
      </c>
      <c r="G29" s="389" t="s">
        <v>3182</v>
      </c>
      <c r="H29" s="390" t="s">
        <v>2989</v>
      </c>
      <c r="I29" s="391" t="s">
        <v>2989</v>
      </c>
      <c r="J29" s="353" t="s">
        <v>3183</v>
      </c>
      <c r="K29" s="356" t="s">
        <v>3187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3209</v>
      </c>
      <c r="B30" s="393" t="s">
        <v>3210</v>
      </c>
      <c r="C30" s="394" t="s">
        <v>3190</v>
      </c>
      <c r="D30" s="395" t="s">
        <v>3211</v>
      </c>
      <c r="E30" s="411" t="s">
        <v>3212</v>
      </c>
      <c r="F30" s="396" t="s">
        <v>3181</v>
      </c>
      <c r="G30" s="396" t="s">
        <v>3182</v>
      </c>
      <c r="H30" s="397" t="s">
        <v>2989</v>
      </c>
      <c r="I30" s="899" t="s">
        <v>2989</v>
      </c>
      <c r="J30" s="353" t="s">
        <v>3183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3213</v>
      </c>
      <c r="B31" s="526" t="s">
        <v>3214</v>
      </c>
      <c r="C31" s="527">
        <v>1</v>
      </c>
      <c r="D31" s="528" t="s">
        <v>3215</v>
      </c>
      <c r="E31" s="426" t="s">
        <v>3216</v>
      </c>
      <c r="F31" s="529" t="s">
        <v>3181</v>
      </c>
      <c r="G31" s="529" t="s">
        <v>3182</v>
      </c>
      <c r="H31" s="530" t="s">
        <v>2990</v>
      </c>
      <c r="I31" s="384" t="s">
        <v>2990</v>
      </c>
      <c r="J31" s="353" t="s">
        <v>3183</v>
      </c>
      <c r="K31" s="354" t="s">
        <v>3184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3213</v>
      </c>
      <c r="B32" s="386" t="s">
        <v>3214</v>
      </c>
      <c r="C32" s="352" t="s">
        <v>3190</v>
      </c>
      <c r="D32" s="387" t="s">
        <v>3215</v>
      </c>
      <c r="E32" s="388" t="s">
        <v>3216</v>
      </c>
      <c r="F32" s="389" t="s">
        <v>3181</v>
      </c>
      <c r="G32" s="389" t="s">
        <v>3182</v>
      </c>
      <c r="H32" s="390" t="s">
        <v>2990</v>
      </c>
      <c r="I32" s="391" t="s">
        <v>2990</v>
      </c>
      <c r="J32" s="353" t="s">
        <v>3183</v>
      </c>
      <c r="K32" s="353" t="s">
        <v>3185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3213</v>
      </c>
      <c r="B33" s="386" t="s">
        <v>3214</v>
      </c>
      <c r="C33" s="392" t="s">
        <v>3190</v>
      </c>
      <c r="D33" s="387" t="s">
        <v>3215</v>
      </c>
      <c r="E33" s="388" t="s">
        <v>3216</v>
      </c>
      <c r="F33" s="389" t="s">
        <v>3181</v>
      </c>
      <c r="G33" s="389" t="s">
        <v>3182</v>
      </c>
      <c r="H33" s="390" t="s">
        <v>2990</v>
      </c>
      <c r="I33" s="391" t="s">
        <v>2990</v>
      </c>
      <c r="J33" s="353" t="s">
        <v>3183</v>
      </c>
      <c r="K33" s="355" t="s">
        <v>3186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3213</v>
      </c>
      <c r="B34" s="386" t="s">
        <v>3214</v>
      </c>
      <c r="C34" s="392" t="s">
        <v>3190</v>
      </c>
      <c r="D34" s="387" t="s">
        <v>3215</v>
      </c>
      <c r="E34" s="388" t="s">
        <v>3216</v>
      </c>
      <c r="F34" s="389" t="s">
        <v>3181</v>
      </c>
      <c r="G34" s="389" t="s">
        <v>3182</v>
      </c>
      <c r="H34" s="390" t="s">
        <v>2990</v>
      </c>
      <c r="I34" s="391" t="s">
        <v>2990</v>
      </c>
      <c r="J34" s="353" t="s">
        <v>3183</v>
      </c>
      <c r="K34" s="356" t="s">
        <v>3187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3213</v>
      </c>
      <c r="B35" s="393" t="s">
        <v>3214</v>
      </c>
      <c r="C35" s="394" t="s">
        <v>3190</v>
      </c>
      <c r="D35" s="395" t="s">
        <v>3215</v>
      </c>
      <c r="E35" s="411" t="s">
        <v>3216</v>
      </c>
      <c r="F35" s="396" t="s">
        <v>3181</v>
      </c>
      <c r="G35" s="396" t="s">
        <v>3182</v>
      </c>
      <c r="H35" s="397" t="s">
        <v>2990</v>
      </c>
      <c r="I35" s="899" t="s">
        <v>2990</v>
      </c>
      <c r="J35" s="353" t="s">
        <v>3183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3217</v>
      </c>
      <c r="B36" s="526" t="s">
        <v>3218</v>
      </c>
      <c r="C36" s="527">
        <v>4</v>
      </c>
      <c r="D36" s="528" t="s">
        <v>3219</v>
      </c>
      <c r="E36" s="426" t="s">
        <v>3220</v>
      </c>
      <c r="F36" s="529" t="s">
        <v>3181</v>
      </c>
      <c r="G36" s="529" t="s">
        <v>3182</v>
      </c>
      <c r="H36" s="530" t="s">
        <v>2992</v>
      </c>
      <c r="I36" s="384" t="s">
        <v>2992</v>
      </c>
      <c r="J36" s="353" t="s">
        <v>3183</v>
      </c>
      <c r="K36" s="354" t="s">
        <v>3184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3217</v>
      </c>
      <c r="B37" s="386" t="s">
        <v>3218</v>
      </c>
      <c r="C37" s="352" t="s">
        <v>3191</v>
      </c>
      <c r="D37" s="387" t="s">
        <v>3219</v>
      </c>
      <c r="E37" s="388" t="s">
        <v>3220</v>
      </c>
      <c r="F37" s="389" t="s">
        <v>3181</v>
      </c>
      <c r="G37" s="389" t="s">
        <v>3182</v>
      </c>
      <c r="H37" s="390" t="s">
        <v>2992</v>
      </c>
      <c r="I37" s="391" t="s">
        <v>2992</v>
      </c>
      <c r="J37" s="353" t="s">
        <v>3183</v>
      </c>
      <c r="K37" s="353" t="s">
        <v>3185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3217</v>
      </c>
      <c r="B38" s="386" t="s">
        <v>3218</v>
      </c>
      <c r="C38" s="392" t="s">
        <v>3191</v>
      </c>
      <c r="D38" s="387" t="s">
        <v>3219</v>
      </c>
      <c r="E38" s="388" t="s">
        <v>3220</v>
      </c>
      <c r="F38" s="389" t="s">
        <v>3181</v>
      </c>
      <c r="G38" s="389" t="s">
        <v>3182</v>
      </c>
      <c r="H38" s="390" t="s">
        <v>2992</v>
      </c>
      <c r="I38" s="391" t="s">
        <v>2992</v>
      </c>
      <c r="J38" s="353" t="s">
        <v>3183</v>
      </c>
      <c r="K38" s="355" t="s">
        <v>3186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3217</v>
      </c>
      <c r="B39" s="386" t="s">
        <v>3218</v>
      </c>
      <c r="C39" s="392" t="s">
        <v>3191</v>
      </c>
      <c r="D39" s="387" t="s">
        <v>3219</v>
      </c>
      <c r="E39" s="388" t="s">
        <v>3220</v>
      </c>
      <c r="F39" s="389" t="s">
        <v>3181</v>
      </c>
      <c r="G39" s="389" t="s">
        <v>3182</v>
      </c>
      <c r="H39" s="390" t="s">
        <v>2992</v>
      </c>
      <c r="I39" s="391" t="s">
        <v>2992</v>
      </c>
      <c r="J39" s="353" t="s">
        <v>3183</v>
      </c>
      <c r="K39" s="356" t="s">
        <v>3187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3217</v>
      </c>
      <c r="B40" s="393" t="s">
        <v>3218</v>
      </c>
      <c r="C40" s="394" t="s">
        <v>3191</v>
      </c>
      <c r="D40" s="395" t="s">
        <v>3219</v>
      </c>
      <c r="E40" s="411" t="s">
        <v>3220</v>
      </c>
      <c r="F40" s="396" t="s">
        <v>3181</v>
      </c>
      <c r="G40" s="396" t="s">
        <v>3182</v>
      </c>
      <c r="H40" s="397" t="s">
        <v>2992</v>
      </c>
      <c r="I40" s="899" t="s">
        <v>2992</v>
      </c>
      <c r="J40" s="353" t="s">
        <v>3183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3221</v>
      </c>
      <c r="B41" s="526" t="s">
        <v>3222</v>
      </c>
      <c r="C41" s="527">
        <v>1</v>
      </c>
      <c r="D41" s="528" t="s">
        <v>3223</v>
      </c>
      <c r="E41" s="426" t="s">
        <v>3224</v>
      </c>
      <c r="F41" s="529" t="s">
        <v>3181</v>
      </c>
      <c r="G41" s="529" t="s">
        <v>3182</v>
      </c>
      <c r="H41" s="530" t="s">
        <v>2993</v>
      </c>
      <c r="I41" s="384" t="s">
        <v>2993</v>
      </c>
      <c r="J41" s="353" t="s">
        <v>3183</v>
      </c>
      <c r="K41" s="354" t="s">
        <v>3184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3221</v>
      </c>
      <c r="B42" s="386" t="s">
        <v>3222</v>
      </c>
      <c r="C42" s="352" t="s">
        <v>3190</v>
      </c>
      <c r="D42" s="387" t="s">
        <v>3223</v>
      </c>
      <c r="E42" s="388" t="s">
        <v>3224</v>
      </c>
      <c r="F42" s="389" t="s">
        <v>3181</v>
      </c>
      <c r="G42" s="389" t="s">
        <v>3182</v>
      </c>
      <c r="H42" s="390" t="s">
        <v>2993</v>
      </c>
      <c r="I42" s="391" t="s">
        <v>2993</v>
      </c>
      <c r="J42" s="353" t="s">
        <v>3183</v>
      </c>
      <c r="K42" s="353" t="s">
        <v>3185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3221</v>
      </c>
      <c r="B43" s="386" t="s">
        <v>3222</v>
      </c>
      <c r="C43" s="392" t="s">
        <v>3190</v>
      </c>
      <c r="D43" s="387" t="s">
        <v>3223</v>
      </c>
      <c r="E43" s="388" t="s">
        <v>3224</v>
      </c>
      <c r="F43" s="389" t="s">
        <v>3181</v>
      </c>
      <c r="G43" s="389" t="s">
        <v>3182</v>
      </c>
      <c r="H43" s="390" t="s">
        <v>2993</v>
      </c>
      <c r="I43" s="391" t="s">
        <v>2993</v>
      </c>
      <c r="J43" s="353" t="s">
        <v>3183</v>
      </c>
      <c r="K43" s="355" t="s">
        <v>3186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3221</v>
      </c>
      <c r="B44" s="386" t="s">
        <v>3222</v>
      </c>
      <c r="C44" s="392" t="s">
        <v>3190</v>
      </c>
      <c r="D44" s="387" t="s">
        <v>3223</v>
      </c>
      <c r="E44" s="388" t="s">
        <v>3224</v>
      </c>
      <c r="F44" s="389" t="s">
        <v>3181</v>
      </c>
      <c r="G44" s="389" t="s">
        <v>3182</v>
      </c>
      <c r="H44" s="390" t="s">
        <v>2993</v>
      </c>
      <c r="I44" s="391" t="s">
        <v>2993</v>
      </c>
      <c r="J44" s="353" t="s">
        <v>3183</v>
      </c>
      <c r="K44" s="356" t="s">
        <v>3187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3221</v>
      </c>
      <c r="B45" s="393" t="s">
        <v>3222</v>
      </c>
      <c r="C45" s="394" t="s">
        <v>3190</v>
      </c>
      <c r="D45" s="395" t="s">
        <v>3223</v>
      </c>
      <c r="E45" s="411" t="s">
        <v>3224</v>
      </c>
      <c r="F45" s="396" t="s">
        <v>3181</v>
      </c>
      <c r="G45" s="396" t="s">
        <v>3182</v>
      </c>
      <c r="H45" s="397" t="s">
        <v>2993</v>
      </c>
      <c r="I45" s="899" t="s">
        <v>2993</v>
      </c>
      <c r="J45" s="353" t="s">
        <v>3183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3225</v>
      </c>
      <c r="B46" s="526" t="s">
        <v>3226</v>
      </c>
      <c r="C46" s="527">
        <v>1</v>
      </c>
      <c r="D46" s="528" t="s">
        <v>3227</v>
      </c>
      <c r="E46" s="426" t="s">
        <v>3228</v>
      </c>
      <c r="F46" s="529" t="s">
        <v>3181</v>
      </c>
      <c r="G46" s="529" t="s">
        <v>3182</v>
      </c>
      <c r="H46" s="530" t="s">
        <v>2995</v>
      </c>
      <c r="I46" s="384" t="s">
        <v>2995</v>
      </c>
      <c r="J46" s="353" t="s">
        <v>3183</v>
      </c>
      <c r="K46" s="354" t="s">
        <v>3184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3225</v>
      </c>
      <c r="B47" s="386" t="s">
        <v>3226</v>
      </c>
      <c r="C47" s="352" t="s">
        <v>3190</v>
      </c>
      <c r="D47" s="387" t="s">
        <v>3227</v>
      </c>
      <c r="E47" s="388" t="s">
        <v>3228</v>
      </c>
      <c r="F47" s="389" t="s">
        <v>3181</v>
      </c>
      <c r="G47" s="389" t="s">
        <v>3182</v>
      </c>
      <c r="H47" s="390" t="s">
        <v>2995</v>
      </c>
      <c r="I47" s="391" t="s">
        <v>2995</v>
      </c>
      <c r="J47" s="353" t="s">
        <v>3183</v>
      </c>
      <c r="K47" s="353" t="s">
        <v>3185</v>
      </c>
      <c r="L47" s="400">
        <v>4</v>
      </c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4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3225</v>
      </c>
      <c r="B48" s="386" t="s">
        <v>3226</v>
      </c>
      <c r="C48" s="392" t="s">
        <v>3190</v>
      </c>
      <c r="D48" s="387" t="s">
        <v>3227</v>
      </c>
      <c r="E48" s="388" t="s">
        <v>3228</v>
      </c>
      <c r="F48" s="389" t="s">
        <v>3181</v>
      </c>
      <c r="G48" s="389" t="s">
        <v>3182</v>
      </c>
      <c r="H48" s="390" t="s">
        <v>2995</v>
      </c>
      <c r="I48" s="391" t="s">
        <v>2995</v>
      </c>
      <c r="J48" s="353" t="s">
        <v>3183</v>
      </c>
      <c r="K48" s="355" t="s">
        <v>3186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3225</v>
      </c>
      <c r="B49" s="386" t="s">
        <v>3226</v>
      </c>
      <c r="C49" s="392" t="s">
        <v>3190</v>
      </c>
      <c r="D49" s="387" t="s">
        <v>3227</v>
      </c>
      <c r="E49" s="388" t="s">
        <v>3228</v>
      </c>
      <c r="F49" s="389" t="s">
        <v>3181</v>
      </c>
      <c r="G49" s="389" t="s">
        <v>3182</v>
      </c>
      <c r="H49" s="390" t="s">
        <v>2995</v>
      </c>
      <c r="I49" s="391" t="s">
        <v>2995</v>
      </c>
      <c r="J49" s="353" t="s">
        <v>3183</v>
      </c>
      <c r="K49" s="356" t="s">
        <v>3187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3225</v>
      </c>
      <c r="B50" s="393" t="s">
        <v>3226</v>
      </c>
      <c r="C50" s="394" t="s">
        <v>3190</v>
      </c>
      <c r="D50" s="395" t="s">
        <v>3227</v>
      </c>
      <c r="E50" s="411" t="s">
        <v>3228</v>
      </c>
      <c r="F50" s="396" t="s">
        <v>3181</v>
      </c>
      <c r="G50" s="396" t="s">
        <v>3182</v>
      </c>
      <c r="H50" s="397" t="s">
        <v>2995</v>
      </c>
      <c r="I50" s="899" t="s">
        <v>2995</v>
      </c>
      <c r="J50" s="353" t="s">
        <v>3183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3229</v>
      </c>
      <c r="B51" s="526" t="s">
        <v>3230</v>
      </c>
      <c r="C51" s="527">
        <v>1</v>
      </c>
      <c r="D51" s="528" t="s">
        <v>3231</v>
      </c>
      <c r="E51" s="426" t="s">
        <v>3232</v>
      </c>
      <c r="F51" s="529" t="s">
        <v>3181</v>
      </c>
      <c r="G51" s="529" t="s">
        <v>3182</v>
      </c>
      <c r="H51" s="530" t="s">
        <v>2997</v>
      </c>
      <c r="I51" s="384" t="s">
        <v>2997</v>
      </c>
      <c r="J51" s="353" t="s">
        <v>3183</v>
      </c>
      <c r="K51" s="354" t="s">
        <v>3184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3229</v>
      </c>
      <c r="B52" s="386" t="s">
        <v>3230</v>
      </c>
      <c r="C52" s="352" t="s">
        <v>3190</v>
      </c>
      <c r="D52" s="387" t="s">
        <v>3231</v>
      </c>
      <c r="E52" s="388" t="s">
        <v>3232</v>
      </c>
      <c r="F52" s="389" t="s">
        <v>3181</v>
      </c>
      <c r="G52" s="389" t="s">
        <v>3182</v>
      </c>
      <c r="H52" s="390" t="s">
        <v>2997</v>
      </c>
      <c r="I52" s="391" t="s">
        <v>2997</v>
      </c>
      <c r="J52" s="353" t="s">
        <v>3183</v>
      </c>
      <c r="K52" s="353" t="s">
        <v>3185</v>
      </c>
      <c r="L52" s="400">
        <v>31</v>
      </c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31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3229</v>
      </c>
      <c r="B53" s="386" t="s">
        <v>3230</v>
      </c>
      <c r="C53" s="392" t="s">
        <v>3190</v>
      </c>
      <c r="D53" s="387" t="s">
        <v>3231</v>
      </c>
      <c r="E53" s="388" t="s">
        <v>3232</v>
      </c>
      <c r="F53" s="389" t="s">
        <v>3181</v>
      </c>
      <c r="G53" s="389" t="s">
        <v>3182</v>
      </c>
      <c r="H53" s="390" t="s">
        <v>2997</v>
      </c>
      <c r="I53" s="391" t="s">
        <v>2997</v>
      </c>
      <c r="J53" s="353" t="s">
        <v>3183</v>
      </c>
      <c r="K53" s="355" t="s">
        <v>3186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3229</v>
      </c>
      <c r="B54" s="386" t="s">
        <v>3230</v>
      </c>
      <c r="C54" s="392" t="s">
        <v>3190</v>
      </c>
      <c r="D54" s="387" t="s">
        <v>3231</v>
      </c>
      <c r="E54" s="388" t="s">
        <v>3232</v>
      </c>
      <c r="F54" s="389" t="s">
        <v>3181</v>
      </c>
      <c r="G54" s="389" t="s">
        <v>3182</v>
      </c>
      <c r="H54" s="390" t="s">
        <v>2997</v>
      </c>
      <c r="I54" s="391" t="s">
        <v>2997</v>
      </c>
      <c r="J54" s="353" t="s">
        <v>3183</v>
      </c>
      <c r="K54" s="356" t="s">
        <v>3187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3229</v>
      </c>
      <c r="B55" s="393" t="s">
        <v>3230</v>
      </c>
      <c r="C55" s="394" t="s">
        <v>3190</v>
      </c>
      <c r="D55" s="395" t="s">
        <v>3231</v>
      </c>
      <c r="E55" s="411" t="s">
        <v>3232</v>
      </c>
      <c r="F55" s="396" t="s">
        <v>3181</v>
      </c>
      <c r="G55" s="396" t="s">
        <v>3182</v>
      </c>
      <c r="H55" s="397" t="s">
        <v>2997</v>
      </c>
      <c r="I55" s="899" t="s">
        <v>2997</v>
      </c>
      <c r="J55" s="353" t="s">
        <v>3183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3233</v>
      </c>
      <c r="B56" s="526" t="s">
        <v>3234</v>
      </c>
      <c r="C56" s="527">
        <v>1</v>
      </c>
      <c r="D56" s="528" t="s">
        <v>3235</v>
      </c>
      <c r="E56" s="426" t="s">
        <v>3236</v>
      </c>
      <c r="F56" s="529" t="s">
        <v>3181</v>
      </c>
      <c r="G56" s="529" t="s">
        <v>3182</v>
      </c>
      <c r="H56" s="530" t="s">
        <v>2998</v>
      </c>
      <c r="I56" s="384" t="s">
        <v>2998</v>
      </c>
      <c r="J56" s="353" t="s">
        <v>3183</v>
      </c>
      <c r="K56" s="354" t="s">
        <v>3184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3233</v>
      </c>
      <c r="B57" s="386" t="s">
        <v>3234</v>
      </c>
      <c r="C57" s="352" t="s">
        <v>3190</v>
      </c>
      <c r="D57" s="387" t="s">
        <v>3235</v>
      </c>
      <c r="E57" s="388" t="s">
        <v>3236</v>
      </c>
      <c r="F57" s="389" t="s">
        <v>3181</v>
      </c>
      <c r="G57" s="389" t="s">
        <v>3182</v>
      </c>
      <c r="H57" s="390" t="s">
        <v>2998</v>
      </c>
      <c r="I57" s="391" t="s">
        <v>2998</v>
      </c>
      <c r="J57" s="353" t="s">
        <v>3183</v>
      </c>
      <c r="K57" s="353" t="s">
        <v>3185</v>
      </c>
      <c r="L57" s="400">
        <v>34</v>
      </c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34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3233</v>
      </c>
      <c r="B58" s="386" t="s">
        <v>3234</v>
      </c>
      <c r="C58" s="392" t="s">
        <v>3190</v>
      </c>
      <c r="D58" s="387" t="s">
        <v>3235</v>
      </c>
      <c r="E58" s="388" t="s">
        <v>3236</v>
      </c>
      <c r="F58" s="389" t="s">
        <v>3181</v>
      </c>
      <c r="G58" s="389" t="s">
        <v>3182</v>
      </c>
      <c r="H58" s="390" t="s">
        <v>2998</v>
      </c>
      <c r="I58" s="391" t="s">
        <v>2998</v>
      </c>
      <c r="J58" s="353" t="s">
        <v>3183</v>
      </c>
      <c r="K58" s="355" t="s">
        <v>3186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3233</v>
      </c>
      <c r="B59" s="386" t="s">
        <v>3234</v>
      </c>
      <c r="C59" s="392" t="s">
        <v>3190</v>
      </c>
      <c r="D59" s="387" t="s">
        <v>3235</v>
      </c>
      <c r="E59" s="388" t="s">
        <v>3236</v>
      </c>
      <c r="F59" s="389" t="s">
        <v>3181</v>
      </c>
      <c r="G59" s="389" t="s">
        <v>3182</v>
      </c>
      <c r="H59" s="390" t="s">
        <v>2998</v>
      </c>
      <c r="I59" s="391" t="s">
        <v>2998</v>
      </c>
      <c r="J59" s="353" t="s">
        <v>3183</v>
      </c>
      <c r="K59" s="356" t="s">
        <v>3187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3233</v>
      </c>
      <c r="B60" s="393" t="s">
        <v>3234</v>
      </c>
      <c r="C60" s="394" t="s">
        <v>3190</v>
      </c>
      <c r="D60" s="395" t="s">
        <v>3235</v>
      </c>
      <c r="E60" s="411" t="s">
        <v>3236</v>
      </c>
      <c r="F60" s="396" t="s">
        <v>3181</v>
      </c>
      <c r="G60" s="396" t="s">
        <v>3182</v>
      </c>
      <c r="H60" s="397" t="s">
        <v>2998</v>
      </c>
      <c r="I60" s="899" t="s">
        <v>2998</v>
      </c>
      <c r="J60" s="353" t="s">
        <v>3183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3237</v>
      </c>
      <c r="B61" s="526" t="s">
        <v>3238</v>
      </c>
      <c r="C61" s="527">
        <v>1</v>
      </c>
      <c r="D61" s="528" t="s">
        <v>3239</v>
      </c>
      <c r="E61" s="426" t="s">
        <v>3240</v>
      </c>
      <c r="F61" s="529" t="s">
        <v>3181</v>
      </c>
      <c r="G61" s="529" t="s">
        <v>3182</v>
      </c>
      <c r="H61" s="530" t="s">
        <v>2999</v>
      </c>
      <c r="I61" s="384" t="s">
        <v>2999</v>
      </c>
      <c r="J61" s="353" t="s">
        <v>3183</v>
      </c>
      <c r="K61" s="354" t="s">
        <v>3184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3237</v>
      </c>
      <c r="B62" s="386" t="s">
        <v>3238</v>
      </c>
      <c r="C62" s="352" t="s">
        <v>3190</v>
      </c>
      <c r="D62" s="387" t="s">
        <v>3239</v>
      </c>
      <c r="E62" s="388" t="s">
        <v>3240</v>
      </c>
      <c r="F62" s="389" t="s">
        <v>3181</v>
      </c>
      <c r="G62" s="389" t="s">
        <v>3182</v>
      </c>
      <c r="H62" s="390" t="s">
        <v>2999</v>
      </c>
      <c r="I62" s="391" t="s">
        <v>2999</v>
      </c>
      <c r="J62" s="353" t="s">
        <v>3183</v>
      </c>
      <c r="K62" s="353" t="s">
        <v>3185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3237</v>
      </c>
      <c r="B63" s="386" t="s">
        <v>3238</v>
      </c>
      <c r="C63" s="392" t="s">
        <v>3190</v>
      </c>
      <c r="D63" s="387" t="s">
        <v>3239</v>
      </c>
      <c r="E63" s="388" t="s">
        <v>3240</v>
      </c>
      <c r="F63" s="389" t="s">
        <v>3181</v>
      </c>
      <c r="G63" s="389" t="s">
        <v>3182</v>
      </c>
      <c r="H63" s="390" t="s">
        <v>2999</v>
      </c>
      <c r="I63" s="391" t="s">
        <v>2999</v>
      </c>
      <c r="J63" s="353" t="s">
        <v>3183</v>
      </c>
      <c r="K63" s="355" t="s">
        <v>3186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3237</v>
      </c>
      <c r="B64" s="386" t="s">
        <v>3238</v>
      </c>
      <c r="C64" s="392" t="s">
        <v>3190</v>
      </c>
      <c r="D64" s="387" t="s">
        <v>3239</v>
      </c>
      <c r="E64" s="388" t="s">
        <v>3240</v>
      </c>
      <c r="F64" s="389" t="s">
        <v>3181</v>
      </c>
      <c r="G64" s="389" t="s">
        <v>3182</v>
      </c>
      <c r="H64" s="390" t="s">
        <v>2999</v>
      </c>
      <c r="I64" s="391" t="s">
        <v>2999</v>
      </c>
      <c r="J64" s="353" t="s">
        <v>3183</v>
      </c>
      <c r="K64" s="356" t="s">
        <v>3187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3237</v>
      </c>
      <c r="B65" s="393" t="s">
        <v>3238</v>
      </c>
      <c r="C65" s="394" t="s">
        <v>3190</v>
      </c>
      <c r="D65" s="395" t="s">
        <v>3239</v>
      </c>
      <c r="E65" s="411" t="s">
        <v>3240</v>
      </c>
      <c r="F65" s="396" t="s">
        <v>3181</v>
      </c>
      <c r="G65" s="396" t="s">
        <v>3182</v>
      </c>
      <c r="H65" s="397" t="s">
        <v>2999</v>
      </c>
      <c r="I65" s="899" t="s">
        <v>2999</v>
      </c>
      <c r="J65" s="353" t="s">
        <v>3183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3241</v>
      </c>
      <c r="B66" s="526" t="s">
        <v>3242</v>
      </c>
      <c r="C66" s="527">
        <v>1</v>
      </c>
      <c r="D66" s="528" t="s">
        <v>3243</v>
      </c>
      <c r="E66" s="426" t="s">
        <v>3244</v>
      </c>
      <c r="F66" s="529" t="s">
        <v>3181</v>
      </c>
      <c r="G66" s="529" t="s">
        <v>3182</v>
      </c>
      <c r="H66" s="530" t="s">
        <v>3003</v>
      </c>
      <c r="I66" s="384" t="s">
        <v>3003</v>
      </c>
      <c r="J66" s="353" t="s">
        <v>3183</v>
      </c>
      <c r="K66" s="354" t="s">
        <v>3184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3241</v>
      </c>
      <c r="B67" s="386" t="s">
        <v>3242</v>
      </c>
      <c r="C67" s="352" t="s">
        <v>3190</v>
      </c>
      <c r="D67" s="387" t="s">
        <v>3243</v>
      </c>
      <c r="E67" s="388" t="s">
        <v>3244</v>
      </c>
      <c r="F67" s="389" t="s">
        <v>3181</v>
      </c>
      <c r="G67" s="389" t="s">
        <v>3182</v>
      </c>
      <c r="H67" s="390" t="s">
        <v>3003</v>
      </c>
      <c r="I67" s="391" t="s">
        <v>3003</v>
      </c>
      <c r="J67" s="353" t="s">
        <v>3183</v>
      </c>
      <c r="K67" s="353" t="s">
        <v>3185</v>
      </c>
      <c r="L67" s="400">
        <v>14</v>
      </c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14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3241</v>
      </c>
      <c r="B68" s="386" t="s">
        <v>3242</v>
      </c>
      <c r="C68" s="392" t="s">
        <v>3190</v>
      </c>
      <c r="D68" s="387" t="s">
        <v>3243</v>
      </c>
      <c r="E68" s="388" t="s">
        <v>3244</v>
      </c>
      <c r="F68" s="389" t="s">
        <v>3181</v>
      </c>
      <c r="G68" s="389" t="s">
        <v>3182</v>
      </c>
      <c r="H68" s="390" t="s">
        <v>3003</v>
      </c>
      <c r="I68" s="391" t="s">
        <v>3003</v>
      </c>
      <c r="J68" s="353" t="s">
        <v>3183</v>
      </c>
      <c r="K68" s="355" t="s">
        <v>3186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3241</v>
      </c>
      <c r="B69" s="386" t="s">
        <v>3242</v>
      </c>
      <c r="C69" s="392" t="s">
        <v>3190</v>
      </c>
      <c r="D69" s="387" t="s">
        <v>3243</v>
      </c>
      <c r="E69" s="388" t="s">
        <v>3244</v>
      </c>
      <c r="F69" s="389" t="s">
        <v>3181</v>
      </c>
      <c r="G69" s="389" t="s">
        <v>3182</v>
      </c>
      <c r="H69" s="390" t="s">
        <v>3003</v>
      </c>
      <c r="I69" s="391" t="s">
        <v>3003</v>
      </c>
      <c r="J69" s="353" t="s">
        <v>3183</v>
      </c>
      <c r="K69" s="356" t="s">
        <v>3187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3241</v>
      </c>
      <c r="B70" s="393" t="s">
        <v>3242</v>
      </c>
      <c r="C70" s="394" t="s">
        <v>3190</v>
      </c>
      <c r="D70" s="395" t="s">
        <v>3243</v>
      </c>
      <c r="E70" s="411" t="s">
        <v>3244</v>
      </c>
      <c r="F70" s="396" t="s">
        <v>3181</v>
      </c>
      <c r="G70" s="396" t="s">
        <v>3182</v>
      </c>
      <c r="H70" s="397" t="s">
        <v>3003</v>
      </c>
      <c r="I70" s="899" t="s">
        <v>3003</v>
      </c>
      <c r="J70" s="353" t="s">
        <v>3183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3245</v>
      </c>
      <c r="B71" s="526" t="s">
        <v>3246</v>
      </c>
      <c r="C71" s="527">
        <v>1</v>
      </c>
      <c r="D71" s="528" t="s">
        <v>3247</v>
      </c>
      <c r="E71" s="426" t="s">
        <v>3248</v>
      </c>
      <c r="F71" s="529" t="s">
        <v>3181</v>
      </c>
      <c r="G71" s="529" t="s">
        <v>3182</v>
      </c>
      <c r="H71" s="530" t="s">
        <v>3004</v>
      </c>
      <c r="I71" s="384" t="s">
        <v>3004</v>
      </c>
      <c r="J71" s="353" t="s">
        <v>3183</v>
      </c>
      <c r="K71" s="354" t="s">
        <v>3184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3245</v>
      </c>
      <c r="B72" s="386" t="s">
        <v>3246</v>
      </c>
      <c r="C72" s="352" t="s">
        <v>3190</v>
      </c>
      <c r="D72" s="387" t="s">
        <v>3247</v>
      </c>
      <c r="E72" s="388" t="s">
        <v>3248</v>
      </c>
      <c r="F72" s="389" t="s">
        <v>3181</v>
      </c>
      <c r="G72" s="389" t="s">
        <v>3182</v>
      </c>
      <c r="H72" s="390" t="s">
        <v>3004</v>
      </c>
      <c r="I72" s="391" t="s">
        <v>3004</v>
      </c>
      <c r="J72" s="353" t="s">
        <v>3183</v>
      </c>
      <c r="K72" s="353" t="s">
        <v>3185</v>
      </c>
      <c r="L72" s="400">
        <v>9</v>
      </c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9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3245</v>
      </c>
      <c r="B73" s="386" t="s">
        <v>3246</v>
      </c>
      <c r="C73" s="392" t="s">
        <v>3190</v>
      </c>
      <c r="D73" s="387" t="s">
        <v>3247</v>
      </c>
      <c r="E73" s="388" t="s">
        <v>3248</v>
      </c>
      <c r="F73" s="389" t="s">
        <v>3181</v>
      </c>
      <c r="G73" s="389" t="s">
        <v>3182</v>
      </c>
      <c r="H73" s="390" t="s">
        <v>3004</v>
      </c>
      <c r="I73" s="391" t="s">
        <v>3004</v>
      </c>
      <c r="J73" s="353" t="s">
        <v>3183</v>
      </c>
      <c r="K73" s="355" t="s">
        <v>3186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3245</v>
      </c>
      <c r="B74" s="386" t="s">
        <v>3246</v>
      </c>
      <c r="C74" s="392" t="s">
        <v>3190</v>
      </c>
      <c r="D74" s="387" t="s">
        <v>3247</v>
      </c>
      <c r="E74" s="388" t="s">
        <v>3248</v>
      </c>
      <c r="F74" s="389" t="s">
        <v>3181</v>
      </c>
      <c r="G74" s="389" t="s">
        <v>3182</v>
      </c>
      <c r="H74" s="390" t="s">
        <v>3004</v>
      </c>
      <c r="I74" s="391" t="s">
        <v>3004</v>
      </c>
      <c r="J74" s="353" t="s">
        <v>3183</v>
      </c>
      <c r="K74" s="356" t="s">
        <v>3187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3245</v>
      </c>
      <c r="B75" s="393" t="s">
        <v>3246</v>
      </c>
      <c r="C75" s="394" t="s">
        <v>3190</v>
      </c>
      <c r="D75" s="395" t="s">
        <v>3247</v>
      </c>
      <c r="E75" s="411" t="s">
        <v>3248</v>
      </c>
      <c r="F75" s="396" t="s">
        <v>3181</v>
      </c>
      <c r="G75" s="396" t="s">
        <v>3182</v>
      </c>
      <c r="H75" s="397" t="s">
        <v>3004</v>
      </c>
      <c r="I75" s="899" t="s">
        <v>3004</v>
      </c>
      <c r="J75" s="353" t="s">
        <v>3183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3249</v>
      </c>
      <c r="B76" s="526" t="s">
        <v>3250</v>
      </c>
      <c r="C76" s="527">
        <v>1</v>
      </c>
      <c r="D76" s="528" t="s">
        <v>3251</v>
      </c>
      <c r="E76" s="426" t="s">
        <v>3252</v>
      </c>
      <c r="F76" s="529" t="s">
        <v>3181</v>
      </c>
      <c r="G76" s="529" t="s">
        <v>3182</v>
      </c>
      <c r="H76" s="530" t="s">
        <v>3005</v>
      </c>
      <c r="I76" s="384" t="s">
        <v>3005</v>
      </c>
      <c r="J76" s="353" t="s">
        <v>3183</v>
      </c>
      <c r="K76" s="354" t="s">
        <v>3184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3249</v>
      </c>
      <c r="B77" s="386" t="s">
        <v>3250</v>
      </c>
      <c r="C77" s="352" t="s">
        <v>3190</v>
      </c>
      <c r="D77" s="387" t="s">
        <v>3251</v>
      </c>
      <c r="E77" s="388" t="s">
        <v>3252</v>
      </c>
      <c r="F77" s="389" t="s">
        <v>3181</v>
      </c>
      <c r="G77" s="389" t="s">
        <v>3182</v>
      </c>
      <c r="H77" s="390" t="s">
        <v>3005</v>
      </c>
      <c r="I77" s="391" t="s">
        <v>3005</v>
      </c>
      <c r="J77" s="353" t="s">
        <v>3183</v>
      </c>
      <c r="K77" s="353" t="s">
        <v>3185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3249</v>
      </c>
      <c r="B78" s="386" t="s">
        <v>3250</v>
      </c>
      <c r="C78" s="392" t="s">
        <v>3190</v>
      </c>
      <c r="D78" s="387" t="s">
        <v>3251</v>
      </c>
      <c r="E78" s="388" t="s">
        <v>3252</v>
      </c>
      <c r="F78" s="389" t="s">
        <v>3181</v>
      </c>
      <c r="G78" s="389" t="s">
        <v>3182</v>
      </c>
      <c r="H78" s="390" t="s">
        <v>3005</v>
      </c>
      <c r="I78" s="391" t="s">
        <v>3005</v>
      </c>
      <c r="J78" s="353" t="s">
        <v>3183</v>
      </c>
      <c r="K78" s="355" t="s">
        <v>3186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3249</v>
      </c>
      <c r="B79" s="386" t="s">
        <v>3250</v>
      </c>
      <c r="C79" s="392" t="s">
        <v>3190</v>
      </c>
      <c r="D79" s="387" t="s">
        <v>3251</v>
      </c>
      <c r="E79" s="388" t="s">
        <v>3252</v>
      </c>
      <c r="F79" s="389" t="s">
        <v>3181</v>
      </c>
      <c r="G79" s="389" t="s">
        <v>3182</v>
      </c>
      <c r="H79" s="390" t="s">
        <v>3005</v>
      </c>
      <c r="I79" s="391" t="s">
        <v>3005</v>
      </c>
      <c r="J79" s="353" t="s">
        <v>3183</v>
      </c>
      <c r="K79" s="356" t="s">
        <v>3187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3249</v>
      </c>
      <c r="B80" s="393" t="s">
        <v>3250</v>
      </c>
      <c r="C80" s="394" t="s">
        <v>3190</v>
      </c>
      <c r="D80" s="395" t="s">
        <v>3251</v>
      </c>
      <c r="E80" s="411" t="s">
        <v>3252</v>
      </c>
      <c r="F80" s="396" t="s">
        <v>3181</v>
      </c>
      <c r="G80" s="396" t="s">
        <v>3182</v>
      </c>
      <c r="H80" s="397" t="s">
        <v>3005</v>
      </c>
      <c r="I80" s="899" t="s">
        <v>3005</v>
      </c>
      <c r="J80" s="353" t="s">
        <v>3183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3253</v>
      </c>
      <c r="B81" s="526" t="s">
        <v>3254</v>
      </c>
      <c r="C81" s="527">
        <v>1</v>
      </c>
      <c r="D81" s="528" t="s">
        <v>3255</v>
      </c>
      <c r="E81" s="426" t="s">
        <v>3256</v>
      </c>
      <c r="F81" s="529" t="s">
        <v>3181</v>
      </c>
      <c r="G81" s="529" t="s">
        <v>3182</v>
      </c>
      <c r="H81" s="530" t="s">
        <v>3006</v>
      </c>
      <c r="I81" s="384" t="s">
        <v>3006</v>
      </c>
      <c r="J81" s="353" t="s">
        <v>3183</v>
      </c>
      <c r="K81" s="354" t="s">
        <v>3184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3253</v>
      </c>
      <c r="B82" s="386" t="s">
        <v>3254</v>
      </c>
      <c r="C82" s="352" t="s">
        <v>3190</v>
      </c>
      <c r="D82" s="387" t="s">
        <v>3255</v>
      </c>
      <c r="E82" s="388" t="s">
        <v>3256</v>
      </c>
      <c r="F82" s="389" t="s">
        <v>3181</v>
      </c>
      <c r="G82" s="389" t="s">
        <v>3182</v>
      </c>
      <c r="H82" s="390" t="s">
        <v>3006</v>
      </c>
      <c r="I82" s="391" t="s">
        <v>3006</v>
      </c>
      <c r="J82" s="353" t="s">
        <v>3183</v>
      </c>
      <c r="K82" s="353" t="s">
        <v>3185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3253</v>
      </c>
      <c r="B83" s="386" t="s">
        <v>3254</v>
      </c>
      <c r="C83" s="392" t="s">
        <v>3190</v>
      </c>
      <c r="D83" s="387" t="s">
        <v>3255</v>
      </c>
      <c r="E83" s="388" t="s">
        <v>3256</v>
      </c>
      <c r="F83" s="389" t="s">
        <v>3181</v>
      </c>
      <c r="G83" s="389" t="s">
        <v>3182</v>
      </c>
      <c r="H83" s="390" t="s">
        <v>3006</v>
      </c>
      <c r="I83" s="391" t="s">
        <v>3006</v>
      </c>
      <c r="J83" s="353" t="s">
        <v>3183</v>
      </c>
      <c r="K83" s="355" t="s">
        <v>3186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3253</v>
      </c>
      <c r="B84" s="386" t="s">
        <v>3254</v>
      </c>
      <c r="C84" s="392" t="s">
        <v>3190</v>
      </c>
      <c r="D84" s="387" t="s">
        <v>3255</v>
      </c>
      <c r="E84" s="388" t="s">
        <v>3256</v>
      </c>
      <c r="F84" s="389" t="s">
        <v>3181</v>
      </c>
      <c r="G84" s="389" t="s">
        <v>3182</v>
      </c>
      <c r="H84" s="390" t="s">
        <v>3006</v>
      </c>
      <c r="I84" s="391" t="s">
        <v>3006</v>
      </c>
      <c r="J84" s="353" t="s">
        <v>3183</v>
      </c>
      <c r="K84" s="356" t="s">
        <v>3187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3253</v>
      </c>
      <c r="B85" s="393" t="s">
        <v>3254</v>
      </c>
      <c r="C85" s="394" t="s">
        <v>3190</v>
      </c>
      <c r="D85" s="395" t="s">
        <v>3255</v>
      </c>
      <c r="E85" s="411" t="s">
        <v>3256</v>
      </c>
      <c r="F85" s="396" t="s">
        <v>3181</v>
      </c>
      <c r="G85" s="396" t="s">
        <v>3182</v>
      </c>
      <c r="H85" s="397" t="s">
        <v>3006</v>
      </c>
      <c r="I85" s="899" t="s">
        <v>3006</v>
      </c>
      <c r="J85" s="353" t="s">
        <v>3183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3257</v>
      </c>
      <c r="B86" s="526" t="s">
        <v>3258</v>
      </c>
      <c r="C86" s="527">
        <v>1</v>
      </c>
      <c r="D86" s="528" t="s">
        <v>3259</v>
      </c>
      <c r="E86" s="426" t="s">
        <v>3260</v>
      </c>
      <c r="F86" s="529" t="s">
        <v>3181</v>
      </c>
      <c r="G86" s="529" t="s">
        <v>3182</v>
      </c>
      <c r="H86" s="530" t="s">
        <v>3007</v>
      </c>
      <c r="I86" s="384" t="s">
        <v>3007</v>
      </c>
      <c r="J86" s="353" t="s">
        <v>3183</v>
      </c>
      <c r="K86" s="354" t="s">
        <v>3184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3257</v>
      </c>
      <c r="B87" s="386" t="s">
        <v>3258</v>
      </c>
      <c r="C87" s="352" t="s">
        <v>3190</v>
      </c>
      <c r="D87" s="387" t="s">
        <v>3259</v>
      </c>
      <c r="E87" s="388" t="s">
        <v>3260</v>
      </c>
      <c r="F87" s="389" t="s">
        <v>3181</v>
      </c>
      <c r="G87" s="389" t="s">
        <v>3182</v>
      </c>
      <c r="H87" s="390" t="s">
        <v>3007</v>
      </c>
      <c r="I87" s="391" t="s">
        <v>3007</v>
      </c>
      <c r="J87" s="353" t="s">
        <v>3183</v>
      </c>
      <c r="K87" s="353" t="s">
        <v>3185</v>
      </c>
      <c r="L87" s="400">
        <v>9</v>
      </c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9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3257</v>
      </c>
      <c r="B88" s="386" t="s">
        <v>3258</v>
      </c>
      <c r="C88" s="392" t="s">
        <v>3190</v>
      </c>
      <c r="D88" s="387" t="s">
        <v>3259</v>
      </c>
      <c r="E88" s="388" t="s">
        <v>3260</v>
      </c>
      <c r="F88" s="389" t="s">
        <v>3181</v>
      </c>
      <c r="G88" s="389" t="s">
        <v>3182</v>
      </c>
      <c r="H88" s="390" t="s">
        <v>3007</v>
      </c>
      <c r="I88" s="391" t="s">
        <v>3007</v>
      </c>
      <c r="J88" s="353" t="s">
        <v>3183</v>
      </c>
      <c r="K88" s="355" t="s">
        <v>3186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3257</v>
      </c>
      <c r="B89" s="386" t="s">
        <v>3258</v>
      </c>
      <c r="C89" s="392" t="s">
        <v>3190</v>
      </c>
      <c r="D89" s="387" t="s">
        <v>3259</v>
      </c>
      <c r="E89" s="388" t="s">
        <v>3260</v>
      </c>
      <c r="F89" s="389" t="s">
        <v>3181</v>
      </c>
      <c r="G89" s="389" t="s">
        <v>3182</v>
      </c>
      <c r="H89" s="390" t="s">
        <v>3007</v>
      </c>
      <c r="I89" s="391" t="s">
        <v>3007</v>
      </c>
      <c r="J89" s="353" t="s">
        <v>3183</v>
      </c>
      <c r="K89" s="356" t="s">
        <v>3187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3257</v>
      </c>
      <c r="B90" s="393" t="s">
        <v>3258</v>
      </c>
      <c r="C90" s="394" t="s">
        <v>3190</v>
      </c>
      <c r="D90" s="395" t="s">
        <v>3259</v>
      </c>
      <c r="E90" s="411" t="s">
        <v>3260</v>
      </c>
      <c r="F90" s="396" t="s">
        <v>3181</v>
      </c>
      <c r="G90" s="396" t="s">
        <v>3182</v>
      </c>
      <c r="H90" s="397" t="s">
        <v>3007</v>
      </c>
      <c r="I90" s="899" t="s">
        <v>3007</v>
      </c>
      <c r="J90" s="353" t="s">
        <v>3183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3261</v>
      </c>
      <c r="B91" s="526" t="s">
        <v>3262</v>
      </c>
      <c r="C91" s="527">
        <v>1</v>
      </c>
      <c r="D91" s="528" t="s">
        <v>3263</v>
      </c>
      <c r="E91" s="426" t="s">
        <v>3192</v>
      </c>
      <c r="F91" s="529" t="s">
        <v>3181</v>
      </c>
      <c r="G91" s="529">
        <v>46140</v>
      </c>
      <c r="H91" s="530" t="s">
        <v>3008</v>
      </c>
      <c r="I91" s="384" t="s">
        <v>3008</v>
      </c>
      <c r="J91" s="353" t="s">
        <v>3183</v>
      </c>
      <c r="K91" s="354" t="s">
        <v>3184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3261</v>
      </c>
      <c r="B92" s="386" t="s">
        <v>3262</v>
      </c>
      <c r="C92" s="352" t="s">
        <v>3190</v>
      </c>
      <c r="D92" s="387" t="s">
        <v>3263</v>
      </c>
      <c r="E92" s="388" t="s">
        <v>3192</v>
      </c>
      <c r="F92" s="389" t="s">
        <v>3181</v>
      </c>
      <c r="G92" s="389" t="s">
        <v>3182</v>
      </c>
      <c r="H92" s="390" t="s">
        <v>3008</v>
      </c>
      <c r="I92" s="391" t="s">
        <v>3008</v>
      </c>
      <c r="J92" s="353" t="s">
        <v>3183</v>
      </c>
      <c r="K92" s="353" t="s">
        <v>3185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3261</v>
      </c>
      <c r="B93" s="386" t="s">
        <v>3262</v>
      </c>
      <c r="C93" s="392" t="s">
        <v>3190</v>
      </c>
      <c r="D93" s="387" t="s">
        <v>3263</v>
      </c>
      <c r="E93" s="388" t="s">
        <v>3192</v>
      </c>
      <c r="F93" s="389" t="s">
        <v>3181</v>
      </c>
      <c r="G93" s="389" t="s">
        <v>3182</v>
      </c>
      <c r="H93" s="390" t="s">
        <v>3008</v>
      </c>
      <c r="I93" s="391" t="s">
        <v>3008</v>
      </c>
      <c r="J93" s="353" t="s">
        <v>3183</v>
      </c>
      <c r="K93" s="355" t="s">
        <v>3186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3261</v>
      </c>
      <c r="B94" s="386" t="s">
        <v>3262</v>
      </c>
      <c r="C94" s="392" t="s">
        <v>3190</v>
      </c>
      <c r="D94" s="387" t="s">
        <v>3263</v>
      </c>
      <c r="E94" s="388" t="s">
        <v>3192</v>
      </c>
      <c r="F94" s="389" t="s">
        <v>3181</v>
      </c>
      <c r="G94" s="389" t="s">
        <v>3182</v>
      </c>
      <c r="H94" s="390" t="s">
        <v>3008</v>
      </c>
      <c r="I94" s="391" t="s">
        <v>3008</v>
      </c>
      <c r="J94" s="353" t="s">
        <v>3183</v>
      </c>
      <c r="K94" s="356" t="s">
        <v>3187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3261</v>
      </c>
      <c r="B95" s="393" t="s">
        <v>3262</v>
      </c>
      <c r="C95" s="394" t="s">
        <v>3190</v>
      </c>
      <c r="D95" s="395" t="s">
        <v>3263</v>
      </c>
      <c r="E95" s="411" t="s">
        <v>3192</v>
      </c>
      <c r="F95" s="396" t="s">
        <v>3181</v>
      </c>
      <c r="G95" s="396" t="s">
        <v>3182</v>
      </c>
      <c r="H95" s="397" t="s">
        <v>3008</v>
      </c>
      <c r="I95" s="899" t="s">
        <v>3008</v>
      </c>
      <c r="J95" s="353" t="s">
        <v>3183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3264</v>
      </c>
      <c r="B96" s="526" t="s">
        <v>3265</v>
      </c>
      <c r="C96" s="527">
        <v>1</v>
      </c>
      <c r="D96" s="528" t="s">
        <v>3266</v>
      </c>
      <c r="E96" s="426" t="s">
        <v>3267</v>
      </c>
      <c r="F96" s="529" t="s">
        <v>3181</v>
      </c>
      <c r="G96" s="529" t="s">
        <v>3182</v>
      </c>
      <c r="H96" s="530" t="s">
        <v>3009</v>
      </c>
      <c r="I96" s="384" t="s">
        <v>3009</v>
      </c>
      <c r="J96" s="353" t="s">
        <v>3183</v>
      </c>
      <c r="K96" s="354" t="s">
        <v>3184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3264</v>
      </c>
      <c r="B97" s="386" t="s">
        <v>3265</v>
      </c>
      <c r="C97" s="352" t="s">
        <v>3190</v>
      </c>
      <c r="D97" s="387" t="s">
        <v>3266</v>
      </c>
      <c r="E97" s="388" t="s">
        <v>3267</v>
      </c>
      <c r="F97" s="389" t="s">
        <v>3181</v>
      </c>
      <c r="G97" s="389" t="s">
        <v>3182</v>
      </c>
      <c r="H97" s="390" t="s">
        <v>3009</v>
      </c>
      <c r="I97" s="391" t="s">
        <v>3009</v>
      </c>
      <c r="J97" s="353" t="s">
        <v>3183</v>
      </c>
      <c r="K97" s="353" t="s">
        <v>3185</v>
      </c>
      <c r="L97" s="400">
        <v>29</v>
      </c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/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/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29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3264</v>
      </c>
      <c r="B98" s="386" t="s">
        <v>3265</v>
      </c>
      <c r="C98" s="392" t="s">
        <v>3190</v>
      </c>
      <c r="D98" s="387" t="s">
        <v>3266</v>
      </c>
      <c r="E98" s="388" t="s">
        <v>3267</v>
      </c>
      <c r="F98" s="389" t="s">
        <v>3181</v>
      </c>
      <c r="G98" s="389" t="s">
        <v>3182</v>
      </c>
      <c r="H98" s="390" t="s">
        <v>3009</v>
      </c>
      <c r="I98" s="391" t="s">
        <v>3009</v>
      </c>
      <c r="J98" s="353" t="s">
        <v>3183</v>
      </c>
      <c r="K98" s="355" t="s">
        <v>3186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3264</v>
      </c>
      <c r="B99" s="386" t="s">
        <v>3265</v>
      </c>
      <c r="C99" s="392" t="s">
        <v>3190</v>
      </c>
      <c r="D99" s="387" t="s">
        <v>3266</v>
      </c>
      <c r="E99" s="388" t="s">
        <v>3267</v>
      </c>
      <c r="F99" s="389" t="s">
        <v>3181</v>
      </c>
      <c r="G99" s="389" t="s">
        <v>3182</v>
      </c>
      <c r="H99" s="390" t="s">
        <v>3009</v>
      </c>
      <c r="I99" s="391" t="s">
        <v>3009</v>
      </c>
      <c r="J99" s="353" t="s">
        <v>3183</v>
      </c>
      <c r="K99" s="356" t="s">
        <v>3187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3264</v>
      </c>
      <c r="B100" s="393" t="s">
        <v>3265</v>
      </c>
      <c r="C100" s="394" t="s">
        <v>3190</v>
      </c>
      <c r="D100" s="395" t="s">
        <v>3266</v>
      </c>
      <c r="E100" s="411" t="s">
        <v>3267</v>
      </c>
      <c r="F100" s="396" t="s">
        <v>3181</v>
      </c>
      <c r="G100" s="396" t="s">
        <v>3182</v>
      </c>
      <c r="H100" s="397" t="s">
        <v>3009</v>
      </c>
      <c r="I100" s="899" t="s">
        <v>3009</v>
      </c>
      <c r="J100" s="353" t="s">
        <v>3183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3268</v>
      </c>
      <c r="B101" s="526" t="s">
        <v>3269</v>
      </c>
      <c r="C101" s="527">
        <v>1</v>
      </c>
      <c r="D101" s="528" t="s">
        <v>3270</v>
      </c>
      <c r="E101" s="426" t="s">
        <v>3271</v>
      </c>
      <c r="F101" s="529" t="s">
        <v>3181</v>
      </c>
      <c r="G101" s="529" t="s">
        <v>3182</v>
      </c>
      <c r="H101" s="530" t="s">
        <v>3010</v>
      </c>
      <c r="I101" s="384" t="s">
        <v>3010</v>
      </c>
      <c r="J101" s="353" t="s">
        <v>3183</v>
      </c>
      <c r="K101" s="354" t="s">
        <v>3184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3268</v>
      </c>
      <c r="B102" s="386" t="s">
        <v>3269</v>
      </c>
      <c r="C102" s="352" t="s">
        <v>3190</v>
      </c>
      <c r="D102" s="387" t="s">
        <v>3270</v>
      </c>
      <c r="E102" s="388" t="s">
        <v>3271</v>
      </c>
      <c r="F102" s="389" t="s">
        <v>3181</v>
      </c>
      <c r="G102" s="389" t="s">
        <v>3182</v>
      </c>
      <c r="H102" s="390" t="s">
        <v>3010</v>
      </c>
      <c r="I102" s="391" t="s">
        <v>3010</v>
      </c>
      <c r="J102" s="353" t="s">
        <v>3183</v>
      </c>
      <c r="K102" s="353" t="s">
        <v>3185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3268</v>
      </c>
      <c r="B103" s="386" t="s">
        <v>3269</v>
      </c>
      <c r="C103" s="392" t="s">
        <v>3190</v>
      </c>
      <c r="D103" s="387" t="s">
        <v>3270</v>
      </c>
      <c r="E103" s="388" t="s">
        <v>3271</v>
      </c>
      <c r="F103" s="389" t="s">
        <v>3181</v>
      </c>
      <c r="G103" s="389" t="s">
        <v>3182</v>
      </c>
      <c r="H103" s="390" t="s">
        <v>3010</v>
      </c>
      <c r="I103" s="391" t="s">
        <v>3010</v>
      </c>
      <c r="J103" s="353" t="s">
        <v>3183</v>
      </c>
      <c r="K103" s="355" t="s">
        <v>3186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3268</v>
      </c>
      <c r="B104" s="386" t="s">
        <v>3269</v>
      </c>
      <c r="C104" s="392" t="s">
        <v>3190</v>
      </c>
      <c r="D104" s="387" t="s">
        <v>3270</v>
      </c>
      <c r="E104" s="388" t="s">
        <v>3271</v>
      </c>
      <c r="F104" s="389" t="s">
        <v>3181</v>
      </c>
      <c r="G104" s="389" t="s">
        <v>3182</v>
      </c>
      <c r="H104" s="390" t="s">
        <v>3010</v>
      </c>
      <c r="I104" s="391" t="s">
        <v>3010</v>
      </c>
      <c r="J104" s="353" t="s">
        <v>3183</v>
      </c>
      <c r="K104" s="356" t="s">
        <v>3187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3268</v>
      </c>
      <c r="B105" s="393" t="s">
        <v>3269</v>
      </c>
      <c r="C105" s="394" t="s">
        <v>3190</v>
      </c>
      <c r="D105" s="395" t="s">
        <v>3270</v>
      </c>
      <c r="E105" s="411" t="s">
        <v>3271</v>
      </c>
      <c r="F105" s="396" t="s">
        <v>3181</v>
      </c>
      <c r="G105" s="396" t="s">
        <v>3182</v>
      </c>
      <c r="H105" s="397" t="s">
        <v>3010</v>
      </c>
      <c r="I105" s="899" t="s">
        <v>3010</v>
      </c>
      <c r="J105" s="353" t="s">
        <v>3183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3272</v>
      </c>
      <c r="B106" s="526" t="s">
        <v>3273</v>
      </c>
      <c r="C106" s="527">
        <v>1</v>
      </c>
      <c r="D106" s="528" t="s">
        <v>3274</v>
      </c>
      <c r="E106" s="426" t="s">
        <v>3275</v>
      </c>
      <c r="F106" s="529" t="s">
        <v>3181</v>
      </c>
      <c r="G106" s="529" t="s">
        <v>3182</v>
      </c>
      <c r="H106" s="530" t="s">
        <v>3011</v>
      </c>
      <c r="I106" s="384" t="s">
        <v>3011</v>
      </c>
      <c r="J106" s="353" t="s">
        <v>3183</v>
      </c>
      <c r="K106" s="354" t="s">
        <v>3184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3272</v>
      </c>
      <c r="B107" s="386" t="s">
        <v>3273</v>
      </c>
      <c r="C107" s="352" t="s">
        <v>3190</v>
      </c>
      <c r="D107" s="387" t="s">
        <v>3274</v>
      </c>
      <c r="E107" s="388" t="s">
        <v>3275</v>
      </c>
      <c r="F107" s="389" t="s">
        <v>3181</v>
      </c>
      <c r="G107" s="389" t="s">
        <v>3182</v>
      </c>
      <c r="H107" s="390" t="s">
        <v>3011</v>
      </c>
      <c r="I107" s="391" t="s">
        <v>3011</v>
      </c>
      <c r="J107" s="353" t="s">
        <v>3183</v>
      </c>
      <c r="K107" s="353" t="s">
        <v>3185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3272</v>
      </c>
      <c r="B108" s="386" t="s">
        <v>3273</v>
      </c>
      <c r="C108" s="392" t="s">
        <v>3190</v>
      </c>
      <c r="D108" s="387" t="s">
        <v>3274</v>
      </c>
      <c r="E108" s="388" t="s">
        <v>3275</v>
      </c>
      <c r="F108" s="389" t="s">
        <v>3181</v>
      </c>
      <c r="G108" s="389" t="s">
        <v>3182</v>
      </c>
      <c r="H108" s="390" t="s">
        <v>3011</v>
      </c>
      <c r="I108" s="391" t="s">
        <v>3011</v>
      </c>
      <c r="J108" s="353" t="s">
        <v>3183</v>
      </c>
      <c r="K108" s="355" t="s">
        <v>3186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3272</v>
      </c>
      <c r="B109" s="386" t="s">
        <v>3273</v>
      </c>
      <c r="C109" s="392" t="s">
        <v>3190</v>
      </c>
      <c r="D109" s="387" t="s">
        <v>3274</v>
      </c>
      <c r="E109" s="388" t="s">
        <v>3275</v>
      </c>
      <c r="F109" s="389" t="s">
        <v>3181</v>
      </c>
      <c r="G109" s="389" t="s">
        <v>3182</v>
      </c>
      <c r="H109" s="390" t="s">
        <v>3011</v>
      </c>
      <c r="I109" s="391" t="s">
        <v>3011</v>
      </c>
      <c r="J109" s="353" t="s">
        <v>3183</v>
      </c>
      <c r="K109" s="356" t="s">
        <v>3187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3272</v>
      </c>
      <c r="B110" s="393" t="s">
        <v>3273</v>
      </c>
      <c r="C110" s="394" t="s">
        <v>3190</v>
      </c>
      <c r="D110" s="395" t="s">
        <v>3274</v>
      </c>
      <c r="E110" s="411" t="s">
        <v>3275</v>
      </c>
      <c r="F110" s="396" t="s">
        <v>3181</v>
      </c>
      <c r="G110" s="396" t="s">
        <v>3182</v>
      </c>
      <c r="H110" s="397" t="s">
        <v>3011</v>
      </c>
      <c r="I110" s="899" t="s">
        <v>3011</v>
      </c>
      <c r="J110" s="353" t="s">
        <v>3183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3276</v>
      </c>
      <c r="B111" s="526" t="s">
        <v>3277</v>
      </c>
      <c r="C111" s="527">
        <v>1</v>
      </c>
      <c r="D111" s="528" t="s">
        <v>3278</v>
      </c>
      <c r="E111" s="426" t="s">
        <v>3279</v>
      </c>
      <c r="F111" s="529" t="s">
        <v>3181</v>
      </c>
      <c r="G111" s="529" t="s">
        <v>3182</v>
      </c>
      <c r="H111" s="530" t="s">
        <v>3012</v>
      </c>
      <c r="I111" s="384" t="s">
        <v>3012</v>
      </c>
      <c r="J111" s="353" t="s">
        <v>3183</v>
      </c>
      <c r="K111" s="354" t="s">
        <v>3184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3276</v>
      </c>
      <c r="B112" s="386" t="s">
        <v>3277</v>
      </c>
      <c r="C112" s="352" t="s">
        <v>3190</v>
      </c>
      <c r="D112" s="387" t="s">
        <v>3278</v>
      </c>
      <c r="E112" s="388" t="s">
        <v>3279</v>
      </c>
      <c r="F112" s="389" t="s">
        <v>3181</v>
      </c>
      <c r="G112" s="389" t="s">
        <v>3182</v>
      </c>
      <c r="H112" s="390" t="s">
        <v>3012</v>
      </c>
      <c r="I112" s="391" t="s">
        <v>3012</v>
      </c>
      <c r="J112" s="353" t="s">
        <v>3183</v>
      </c>
      <c r="K112" s="353" t="s">
        <v>3185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3276</v>
      </c>
      <c r="B113" s="386" t="s">
        <v>3277</v>
      </c>
      <c r="C113" s="392" t="s">
        <v>3190</v>
      </c>
      <c r="D113" s="387" t="s">
        <v>3278</v>
      </c>
      <c r="E113" s="388" t="s">
        <v>3279</v>
      </c>
      <c r="F113" s="389" t="s">
        <v>3181</v>
      </c>
      <c r="G113" s="389" t="s">
        <v>3182</v>
      </c>
      <c r="H113" s="390" t="s">
        <v>3012</v>
      </c>
      <c r="I113" s="391" t="s">
        <v>3012</v>
      </c>
      <c r="J113" s="353" t="s">
        <v>3183</v>
      </c>
      <c r="K113" s="355" t="s">
        <v>3186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3276</v>
      </c>
      <c r="B114" s="386" t="s">
        <v>3277</v>
      </c>
      <c r="C114" s="392" t="s">
        <v>3190</v>
      </c>
      <c r="D114" s="387" t="s">
        <v>3278</v>
      </c>
      <c r="E114" s="388" t="s">
        <v>3279</v>
      </c>
      <c r="F114" s="389" t="s">
        <v>3181</v>
      </c>
      <c r="G114" s="389" t="s">
        <v>3182</v>
      </c>
      <c r="H114" s="390" t="s">
        <v>3012</v>
      </c>
      <c r="I114" s="391" t="s">
        <v>3012</v>
      </c>
      <c r="J114" s="353" t="s">
        <v>3183</v>
      </c>
      <c r="K114" s="356" t="s">
        <v>3187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3276</v>
      </c>
      <c r="B115" s="393" t="s">
        <v>3277</v>
      </c>
      <c r="C115" s="394" t="s">
        <v>3190</v>
      </c>
      <c r="D115" s="395" t="s">
        <v>3278</v>
      </c>
      <c r="E115" s="411" t="s">
        <v>3279</v>
      </c>
      <c r="F115" s="396" t="s">
        <v>3181</v>
      </c>
      <c r="G115" s="396" t="s">
        <v>3182</v>
      </c>
      <c r="H115" s="397" t="s">
        <v>3012</v>
      </c>
      <c r="I115" s="899" t="s">
        <v>3012</v>
      </c>
      <c r="J115" s="353" t="s">
        <v>3183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3280</v>
      </c>
      <c r="B116" s="526" t="s">
        <v>3281</v>
      </c>
      <c r="C116" s="527">
        <v>1</v>
      </c>
      <c r="D116" s="528" t="s">
        <v>3282</v>
      </c>
      <c r="E116" s="426" t="s">
        <v>3283</v>
      </c>
      <c r="F116" s="529" t="s">
        <v>3181</v>
      </c>
      <c r="G116" s="529" t="s">
        <v>3182</v>
      </c>
      <c r="H116" s="530" t="s">
        <v>3013</v>
      </c>
      <c r="I116" s="384" t="s">
        <v>3013</v>
      </c>
      <c r="J116" s="353" t="s">
        <v>3183</v>
      </c>
      <c r="K116" s="354" t="s">
        <v>3184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3280</v>
      </c>
      <c r="B117" s="386" t="s">
        <v>3281</v>
      </c>
      <c r="C117" s="352" t="s">
        <v>3190</v>
      </c>
      <c r="D117" s="387" t="s">
        <v>3282</v>
      </c>
      <c r="E117" s="388" t="s">
        <v>3283</v>
      </c>
      <c r="F117" s="389" t="s">
        <v>3181</v>
      </c>
      <c r="G117" s="389" t="s">
        <v>3182</v>
      </c>
      <c r="H117" s="390" t="s">
        <v>3013</v>
      </c>
      <c r="I117" s="391" t="s">
        <v>3013</v>
      </c>
      <c r="J117" s="353" t="s">
        <v>3183</v>
      </c>
      <c r="K117" s="353" t="s">
        <v>3185</v>
      </c>
      <c r="L117" s="400">
        <v>3</v>
      </c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3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3280</v>
      </c>
      <c r="B118" s="386" t="s">
        <v>3281</v>
      </c>
      <c r="C118" s="392" t="s">
        <v>3190</v>
      </c>
      <c r="D118" s="387" t="s">
        <v>3282</v>
      </c>
      <c r="E118" s="388" t="s">
        <v>3283</v>
      </c>
      <c r="F118" s="389" t="s">
        <v>3181</v>
      </c>
      <c r="G118" s="389" t="s">
        <v>3182</v>
      </c>
      <c r="H118" s="390" t="s">
        <v>3013</v>
      </c>
      <c r="I118" s="391" t="s">
        <v>3013</v>
      </c>
      <c r="J118" s="353" t="s">
        <v>3183</v>
      </c>
      <c r="K118" s="355" t="s">
        <v>3186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3280</v>
      </c>
      <c r="B119" s="386" t="s">
        <v>3281</v>
      </c>
      <c r="C119" s="392" t="s">
        <v>3190</v>
      </c>
      <c r="D119" s="387" t="s">
        <v>3282</v>
      </c>
      <c r="E119" s="388" t="s">
        <v>3283</v>
      </c>
      <c r="F119" s="389" t="s">
        <v>3181</v>
      </c>
      <c r="G119" s="389" t="s">
        <v>3182</v>
      </c>
      <c r="H119" s="390" t="s">
        <v>3013</v>
      </c>
      <c r="I119" s="391" t="s">
        <v>3013</v>
      </c>
      <c r="J119" s="353" t="s">
        <v>3183</v>
      </c>
      <c r="K119" s="356" t="s">
        <v>3187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3280</v>
      </c>
      <c r="B120" s="393" t="s">
        <v>3281</v>
      </c>
      <c r="C120" s="394" t="s">
        <v>3190</v>
      </c>
      <c r="D120" s="395" t="s">
        <v>3282</v>
      </c>
      <c r="E120" s="411" t="s">
        <v>3283</v>
      </c>
      <c r="F120" s="396" t="s">
        <v>3181</v>
      </c>
      <c r="G120" s="396" t="s">
        <v>3182</v>
      </c>
      <c r="H120" s="397" t="s">
        <v>3013</v>
      </c>
      <c r="I120" s="899" t="s">
        <v>3013</v>
      </c>
      <c r="J120" s="353" t="s">
        <v>3183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3284</v>
      </c>
      <c r="B121" s="526" t="s">
        <v>3285</v>
      </c>
      <c r="C121" s="527">
        <v>1</v>
      </c>
      <c r="D121" s="528" t="s">
        <v>3286</v>
      </c>
      <c r="E121" s="426" t="s">
        <v>3287</v>
      </c>
      <c r="F121" s="529" t="s">
        <v>3181</v>
      </c>
      <c r="G121" s="529" t="s">
        <v>3182</v>
      </c>
      <c r="H121" s="530" t="s">
        <v>3016</v>
      </c>
      <c r="I121" s="384" t="s">
        <v>3016</v>
      </c>
      <c r="J121" s="353" t="s">
        <v>3183</v>
      </c>
      <c r="K121" s="354" t="s">
        <v>3184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3284</v>
      </c>
      <c r="B122" s="386" t="s">
        <v>3285</v>
      </c>
      <c r="C122" s="352" t="s">
        <v>3190</v>
      </c>
      <c r="D122" s="387" t="s">
        <v>3286</v>
      </c>
      <c r="E122" s="388" t="s">
        <v>3287</v>
      </c>
      <c r="F122" s="389" t="s">
        <v>3181</v>
      </c>
      <c r="G122" s="389" t="s">
        <v>3182</v>
      </c>
      <c r="H122" s="390" t="s">
        <v>3016</v>
      </c>
      <c r="I122" s="391" t="s">
        <v>3016</v>
      </c>
      <c r="J122" s="353" t="s">
        <v>3183</v>
      </c>
      <c r="K122" s="353" t="s">
        <v>3185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3284</v>
      </c>
      <c r="B123" s="386" t="s">
        <v>3285</v>
      </c>
      <c r="C123" s="392" t="s">
        <v>3190</v>
      </c>
      <c r="D123" s="387" t="s">
        <v>3286</v>
      </c>
      <c r="E123" s="388" t="s">
        <v>3287</v>
      </c>
      <c r="F123" s="389" t="s">
        <v>3181</v>
      </c>
      <c r="G123" s="389" t="s">
        <v>3182</v>
      </c>
      <c r="H123" s="390" t="s">
        <v>3016</v>
      </c>
      <c r="I123" s="391" t="s">
        <v>3016</v>
      </c>
      <c r="J123" s="353" t="s">
        <v>3183</v>
      </c>
      <c r="K123" s="355" t="s">
        <v>3186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3284</v>
      </c>
      <c r="B124" s="386" t="s">
        <v>3285</v>
      </c>
      <c r="C124" s="392" t="s">
        <v>3190</v>
      </c>
      <c r="D124" s="387" t="s">
        <v>3286</v>
      </c>
      <c r="E124" s="388" t="s">
        <v>3287</v>
      </c>
      <c r="F124" s="389" t="s">
        <v>3181</v>
      </c>
      <c r="G124" s="389" t="s">
        <v>3182</v>
      </c>
      <c r="H124" s="390" t="s">
        <v>3016</v>
      </c>
      <c r="I124" s="391" t="s">
        <v>3016</v>
      </c>
      <c r="J124" s="353" t="s">
        <v>3183</v>
      </c>
      <c r="K124" s="356" t="s">
        <v>3187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3284</v>
      </c>
      <c r="B125" s="393" t="s">
        <v>3285</v>
      </c>
      <c r="C125" s="394" t="s">
        <v>3190</v>
      </c>
      <c r="D125" s="395" t="s">
        <v>3286</v>
      </c>
      <c r="E125" s="411" t="s">
        <v>3287</v>
      </c>
      <c r="F125" s="396" t="s">
        <v>3181</v>
      </c>
      <c r="G125" s="396" t="s">
        <v>3182</v>
      </c>
      <c r="H125" s="397" t="s">
        <v>3016</v>
      </c>
      <c r="I125" s="899" t="s">
        <v>3016</v>
      </c>
      <c r="J125" s="353" t="s">
        <v>3183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3288</v>
      </c>
      <c r="B126" s="526" t="s">
        <v>3289</v>
      </c>
      <c r="C126" s="527">
        <v>1</v>
      </c>
      <c r="D126" s="528" t="s">
        <v>3290</v>
      </c>
      <c r="E126" s="426" t="s">
        <v>3291</v>
      </c>
      <c r="F126" s="529" t="s">
        <v>3181</v>
      </c>
      <c r="G126" s="529" t="s">
        <v>3182</v>
      </c>
      <c r="H126" s="530" t="s">
        <v>3017</v>
      </c>
      <c r="I126" s="384" t="s">
        <v>3017</v>
      </c>
      <c r="J126" s="353" t="s">
        <v>3183</v>
      </c>
      <c r="K126" s="354" t="s">
        <v>3184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3288</v>
      </c>
      <c r="B127" s="386" t="s">
        <v>3289</v>
      </c>
      <c r="C127" s="352" t="s">
        <v>3190</v>
      </c>
      <c r="D127" s="387" t="s">
        <v>3290</v>
      </c>
      <c r="E127" s="388" t="s">
        <v>3291</v>
      </c>
      <c r="F127" s="389" t="s">
        <v>3181</v>
      </c>
      <c r="G127" s="389" t="s">
        <v>3182</v>
      </c>
      <c r="H127" s="390" t="s">
        <v>3017</v>
      </c>
      <c r="I127" s="391" t="s">
        <v>3017</v>
      </c>
      <c r="J127" s="353" t="s">
        <v>3183</v>
      </c>
      <c r="K127" s="353" t="s">
        <v>3185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3288</v>
      </c>
      <c r="B128" s="386" t="s">
        <v>3289</v>
      </c>
      <c r="C128" s="392" t="s">
        <v>3190</v>
      </c>
      <c r="D128" s="387" t="s">
        <v>3290</v>
      </c>
      <c r="E128" s="388" t="s">
        <v>3291</v>
      </c>
      <c r="F128" s="389" t="s">
        <v>3181</v>
      </c>
      <c r="G128" s="389" t="s">
        <v>3182</v>
      </c>
      <c r="H128" s="390" t="s">
        <v>3017</v>
      </c>
      <c r="I128" s="391" t="s">
        <v>3017</v>
      </c>
      <c r="J128" s="353" t="s">
        <v>3183</v>
      </c>
      <c r="K128" s="355" t="s">
        <v>3186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3288</v>
      </c>
      <c r="B129" s="386" t="s">
        <v>3289</v>
      </c>
      <c r="C129" s="392" t="s">
        <v>3190</v>
      </c>
      <c r="D129" s="387" t="s">
        <v>3290</v>
      </c>
      <c r="E129" s="388" t="s">
        <v>3291</v>
      </c>
      <c r="F129" s="389" t="s">
        <v>3181</v>
      </c>
      <c r="G129" s="389" t="s">
        <v>3182</v>
      </c>
      <c r="H129" s="390" t="s">
        <v>3017</v>
      </c>
      <c r="I129" s="391" t="s">
        <v>3017</v>
      </c>
      <c r="J129" s="353" t="s">
        <v>3183</v>
      </c>
      <c r="K129" s="356" t="s">
        <v>3187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3288</v>
      </c>
      <c r="B130" s="393" t="s">
        <v>3289</v>
      </c>
      <c r="C130" s="394" t="s">
        <v>3190</v>
      </c>
      <c r="D130" s="395" t="s">
        <v>3290</v>
      </c>
      <c r="E130" s="411" t="s">
        <v>3291</v>
      </c>
      <c r="F130" s="396" t="s">
        <v>3181</v>
      </c>
      <c r="G130" s="396" t="s">
        <v>3182</v>
      </c>
      <c r="H130" s="397" t="s">
        <v>3017</v>
      </c>
      <c r="I130" s="899" t="s">
        <v>3017</v>
      </c>
      <c r="J130" s="353" t="s">
        <v>3183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3292</v>
      </c>
      <c r="B131" s="526" t="s">
        <v>3293</v>
      </c>
      <c r="C131" s="527">
        <v>1</v>
      </c>
      <c r="D131" s="528" t="s">
        <v>3294</v>
      </c>
      <c r="E131" s="426" t="s">
        <v>3295</v>
      </c>
      <c r="F131" s="529" t="s">
        <v>3181</v>
      </c>
      <c r="G131" s="529" t="s">
        <v>3182</v>
      </c>
      <c r="H131" s="530" t="s">
        <v>3019</v>
      </c>
      <c r="I131" s="384" t="s">
        <v>3019</v>
      </c>
      <c r="J131" s="353" t="s">
        <v>3183</v>
      </c>
      <c r="K131" s="354" t="s">
        <v>3184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3292</v>
      </c>
      <c r="B132" s="386" t="s">
        <v>3293</v>
      </c>
      <c r="C132" s="352" t="s">
        <v>3190</v>
      </c>
      <c r="D132" s="387" t="s">
        <v>3294</v>
      </c>
      <c r="E132" s="388" t="s">
        <v>3295</v>
      </c>
      <c r="F132" s="389" t="s">
        <v>3181</v>
      </c>
      <c r="G132" s="389" t="s">
        <v>3182</v>
      </c>
      <c r="H132" s="390" t="s">
        <v>3019</v>
      </c>
      <c r="I132" s="391" t="s">
        <v>3019</v>
      </c>
      <c r="J132" s="353" t="s">
        <v>3183</v>
      </c>
      <c r="K132" s="353" t="s">
        <v>3185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3292</v>
      </c>
      <c r="B133" s="386" t="s">
        <v>3293</v>
      </c>
      <c r="C133" s="392" t="s">
        <v>3190</v>
      </c>
      <c r="D133" s="387" t="s">
        <v>3294</v>
      </c>
      <c r="E133" s="388" t="s">
        <v>3295</v>
      </c>
      <c r="F133" s="389" t="s">
        <v>3181</v>
      </c>
      <c r="G133" s="389" t="s">
        <v>3182</v>
      </c>
      <c r="H133" s="390" t="s">
        <v>3019</v>
      </c>
      <c r="I133" s="391" t="s">
        <v>3019</v>
      </c>
      <c r="J133" s="353" t="s">
        <v>3183</v>
      </c>
      <c r="K133" s="355" t="s">
        <v>3186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3292</v>
      </c>
      <c r="B134" s="386" t="s">
        <v>3293</v>
      </c>
      <c r="C134" s="392" t="s">
        <v>3190</v>
      </c>
      <c r="D134" s="387" t="s">
        <v>3294</v>
      </c>
      <c r="E134" s="388" t="s">
        <v>3295</v>
      </c>
      <c r="F134" s="389" t="s">
        <v>3181</v>
      </c>
      <c r="G134" s="389" t="s">
        <v>3182</v>
      </c>
      <c r="H134" s="390" t="s">
        <v>3019</v>
      </c>
      <c r="I134" s="391" t="s">
        <v>3019</v>
      </c>
      <c r="J134" s="353" t="s">
        <v>3183</v>
      </c>
      <c r="K134" s="356" t="s">
        <v>3187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3292</v>
      </c>
      <c r="B135" s="393" t="s">
        <v>3293</v>
      </c>
      <c r="C135" s="394" t="s">
        <v>3190</v>
      </c>
      <c r="D135" s="395" t="s">
        <v>3294</v>
      </c>
      <c r="E135" s="411" t="s">
        <v>3295</v>
      </c>
      <c r="F135" s="396" t="s">
        <v>3181</v>
      </c>
      <c r="G135" s="396" t="s">
        <v>3182</v>
      </c>
      <c r="H135" s="397" t="s">
        <v>3019</v>
      </c>
      <c r="I135" s="899" t="s">
        <v>3019</v>
      </c>
      <c r="J135" s="353" t="s">
        <v>3183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3296</v>
      </c>
      <c r="B136" s="526" t="s">
        <v>3297</v>
      </c>
      <c r="C136" s="527">
        <v>1</v>
      </c>
      <c r="D136" s="528" t="s">
        <v>3298</v>
      </c>
      <c r="E136" s="426" t="s">
        <v>3299</v>
      </c>
      <c r="F136" s="529" t="s">
        <v>3181</v>
      </c>
      <c r="G136" s="529" t="s">
        <v>3182</v>
      </c>
      <c r="H136" s="530" t="s">
        <v>3020</v>
      </c>
      <c r="I136" s="384" t="s">
        <v>3020</v>
      </c>
      <c r="J136" s="353" t="s">
        <v>3183</v>
      </c>
      <c r="K136" s="354" t="s">
        <v>3184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3296</v>
      </c>
      <c r="B137" s="386" t="s">
        <v>3297</v>
      </c>
      <c r="C137" s="352" t="s">
        <v>3190</v>
      </c>
      <c r="D137" s="387" t="s">
        <v>3298</v>
      </c>
      <c r="E137" s="388" t="s">
        <v>3299</v>
      </c>
      <c r="F137" s="389" t="s">
        <v>3181</v>
      </c>
      <c r="G137" s="389" t="s">
        <v>3182</v>
      </c>
      <c r="H137" s="390" t="s">
        <v>3020</v>
      </c>
      <c r="I137" s="391" t="s">
        <v>3020</v>
      </c>
      <c r="J137" s="353" t="s">
        <v>3183</v>
      </c>
      <c r="K137" s="353" t="s">
        <v>3185</v>
      </c>
      <c r="L137" s="400">
        <v>13</v>
      </c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13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3296</v>
      </c>
      <c r="B138" s="386" t="s">
        <v>3297</v>
      </c>
      <c r="C138" s="392" t="s">
        <v>3190</v>
      </c>
      <c r="D138" s="387" t="s">
        <v>3298</v>
      </c>
      <c r="E138" s="388" t="s">
        <v>3299</v>
      </c>
      <c r="F138" s="389" t="s">
        <v>3181</v>
      </c>
      <c r="G138" s="389" t="s">
        <v>3182</v>
      </c>
      <c r="H138" s="390" t="s">
        <v>3020</v>
      </c>
      <c r="I138" s="391" t="s">
        <v>3020</v>
      </c>
      <c r="J138" s="353" t="s">
        <v>3183</v>
      </c>
      <c r="K138" s="355" t="s">
        <v>3186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3296</v>
      </c>
      <c r="B139" s="386" t="s">
        <v>3297</v>
      </c>
      <c r="C139" s="392" t="s">
        <v>3190</v>
      </c>
      <c r="D139" s="387" t="s">
        <v>3298</v>
      </c>
      <c r="E139" s="388" t="s">
        <v>3299</v>
      </c>
      <c r="F139" s="389" t="s">
        <v>3181</v>
      </c>
      <c r="G139" s="389" t="s">
        <v>3182</v>
      </c>
      <c r="H139" s="390" t="s">
        <v>3020</v>
      </c>
      <c r="I139" s="391" t="s">
        <v>3020</v>
      </c>
      <c r="J139" s="353" t="s">
        <v>3183</v>
      </c>
      <c r="K139" s="356" t="s">
        <v>3187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3296</v>
      </c>
      <c r="B140" s="393" t="s">
        <v>3297</v>
      </c>
      <c r="C140" s="394" t="s">
        <v>3190</v>
      </c>
      <c r="D140" s="395" t="s">
        <v>3298</v>
      </c>
      <c r="E140" s="411" t="s">
        <v>3299</v>
      </c>
      <c r="F140" s="396" t="s">
        <v>3181</v>
      </c>
      <c r="G140" s="396" t="s">
        <v>3182</v>
      </c>
      <c r="H140" s="397" t="s">
        <v>3020</v>
      </c>
      <c r="I140" s="899" t="s">
        <v>3020</v>
      </c>
      <c r="J140" s="353" t="s">
        <v>3183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3300</v>
      </c>
      <c r="B141" s="526" t="s">
        <v>3301</v>
      </c>
      <c r="C141" s="527">
        <v>1</v>
      </c>
      <c r="D141" s="528" t="s">
        <v>3302</v>
      </c>
      <c r="E141" s="426" t="s">
        <v>3303</v>
      </c>
      <c r="F141" s="529" t="s">
        <v>3181</v>
      </c>
      <c r="G141" s="529" t="s">
        <v>3182</v>
      </c>
      <c r="H141" s="530" t="s">
        <v>3021</v>
      </c>
      <c r="I141" s="384" t="s">
        <v>3021</v>
      </c>
      <c r="J141" s="353" t="s">
        <v>3183</v>
      </c>
      <c r="K141" s="354" t="s">
        <v>3184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3300</v>
      </c>
      <c r="B142" s="386" t="s">
        <v>3301</v>
      </c>
      <c r="C142" s="352" t="s">
        <v>3190</v>
      </c>
      <c r="D142" s="387" t="s">
        <v>3302</v>
      </c>
      <c r="E142" s="388" t="s">
        <v>3303</v>
      </c>
      <c r="F142" s="389" t="s">
        <v>3181</v>
      </c>
      <c r="G142" s="389" t="s">
        <v>3182</v>
      </c>
      <c r="H142" s="390" t="s">
        <v>3021</v>
      </c>
      <c r="I142" s="391" t="s">
        <v>3021</v>
      </c>
      <c r="J142" s="353" t="s">
        <v>3183</v>
      </c>
      <c r="K142" s="353" t="s">
        <v>3185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3300</v>
      </c>
      <c r="B143" s="386" t="s">
        <v>3301</v>
      </c>
      <c r="C143" s="392" t="s">
        <v>3190</v>
      </c>
      <c r="D143" s="387" t="s">
        <v>3302</v>
      </c>
      <c r="E143" s="388" t="s">
        <v>3303</v>
      </c>
      <c r="F143" s="389" t="s">
        <v>3181</v>
      </c>
      <c r="G143" s="389" t="s">
        <v>3182</v>
      </c>
      <c r="H143" s="390" t="s">
        <v>3021</v>
      </c>
      <c r="I143" s="391" t="s">
        <v>3021</v>
      </c>
      <c r="J143" s="353" t="s">
        <v>3183</v>
      </c>
      <c r="K143" s="355" t="s">
        <v>3186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3300</v>
      </c>
      <c r="B144" s="386" t="s">
        <v>3301</v>
      </c>
      <c r="C144" s="392" t="s">
        <v>3190</v>
      </c>
      <c r="D144" s="387" t="s">
        <v>3302</v>
      </c>
      <c r="E144" s="388" t="s">
        <v>3303</v>
      </c>
      <c r="F144" s="389" t="s">
        <v>3181</v>
      </c>
      <c r="G144" s="389" t="s">
        <v>3182</v>
      </c>
      <c r="H144" s="390" t="s">
        <v>3021</v>
      </c>
      <c r="I144" s="391" t="s">
        <v>3021</v>
      </c>
      <c r="J144" s="353" t="s">
        <v>3183</v>
      </c>
      <c r="K144" s="356" t="s">
        <v>3187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3300</v>
      </c>
      <c r="B145" s="393" t="s">
        <v>3301</v>
      </c>
      <c r="C145" s="394" t="s">
        <v>3190</v>
      </c>
      <c r="D145" s="395" t="s">
        <v>3302</v>
      </c>
      <c r="E145" s="411" t="s">
        <v>3303</v>
      </c>
      <c r="F145" s="396" t="s">
        <v>3181</v>
      </c>
      <c r="G145" s="396" t="s">
        <v>3182</v>
      </c>
      <c r="H145" s="397" t="s">
        <v>3021</v>
      </c>
      <c r="I145" s="899" t="s">
        <v>3021</v>
      </c>
      <c r="J145" s="353" t="s">
        <v>3183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3304</v>
      </c>
      <c r="B146" s="526" t="s">
        <v>3305</v>
      </c>
      <c r="C146" s="527">
        <v>1</v>
      </c>
      <c r="D146" s="528" t="s">
        <v>3306</v>
      </c>
      <c r="E146" s="426" t="s">
        <v>3307</v>
      </c>
      <c r="F146" s="529" t="s">
        <v>3181</v>
      </c>
      <c r="G146" s="529" t="s">
        <v>3182</v>
      </c>
      <c r="H146" s="530" t="s">
        <v>3022</v>
      </c>
      <c r="I146" s="384" t="s">
        <v>3022</v>
      </c>
      <c r="J146" s="353" t="s">
        <v>3183</v>
      </c>
      <c r="K146" s="354" t="s">
        <v>3184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3304</v>
      </c>
      <c r="B147" s="386" t="s">
        <v>3305</v>
      </c>
      <c r="C147" s="352" t="s">
        <v>3190</v>
      </c>
      <c r="D147" s="387" t="s">
        <v>3306</v>
      </c>
      <c r="E147" s="388" t="s">
        <v>3307</v>
      </c>
      <c r="F147" s="389" t="s">
        <v>3181</v>
      </c>
      <c r="G147" s="389" t="s">
        <v>3182</v>
      </c>
      <c r="H147" s="390" t="s">
        <v>3022</v>
      </c>
      <c r="I147" s="391" t="s">
        <v>3022</v>
      </c>
      <c r="J147" s="353" t="s">
        <v>3183</v>
      </c>
      <c r="K147" s="353" t="s">
        <v>3185</v>
      </c>
      <c r="L147" s="400">
        <v>5</v>
      </c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5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3304</v>
      </c>
      <c r="B148" s="386" t="s">
        <v>3305</v>
      </c>
      <c r="C148" s="392" t="s">
        <v>3190</v>
      </c>
      <c r="D148" s="387" t="s">
        <v>3306</v>
      </c>
      <c r="E148" s="388" t="s">
        <v>3307</v>
      </c>
      <c r="F148" s="389" t="s">
        <v>3181</v>
      </c>
      <c r="G148" s="389" t="s">
        <v>3182</v>
      </c>
      <c r="H148" s="390" t="s">
        <v>3022</v>
      </c>
      <c r="I148" s="391" t="s">
        <v>3022</v>
      </c>
      <c r="J148" s="353" t="s">
        <v>3183</v>
      </c>
      <c r="K148" s="355" t="s">
        <v>3186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3304</v>
      </c>
      <c r="B149" s="386" t="s">
        <v>3305</v>
      </c>
      <c r="C149" s="392" t="s">
        <v>3190</v>
      </c>
      <c r="D149" s="387" t="s">
        <v>3306</v>
      </c>
      <c r="E149" s="388" t="s">
        <v>3307</v>
      </c>
      <c r="F149" s="389" t="s">
        <v>3181</v>
      </c>
      <c r="G149" s="389" t="s">
        <v>3182</v>
      </c>
      <c r="H149" s="390" t="s">
        <v>3022</v>
      </c>
      <c r="I149" s="391" t="s">
        <v>3022</v>
      </c>
      <c r="J149" s="353" t="s">
        <v>3183</v>
      </c>
      <c r="K149" s="356" t="s">
        <v>3187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3304</v>
      </c>
      <c r="B150" s="393" t="s">
        <v>3305</v>
      </c>
      <c r="C150" s="394" t="s">
        <v>3190</v>
      </c>
      <c r="D150" s="395" t="s">
        <v>3306</v>
      </c>
      <c r="E150" s="411" t="s">
        <v>3307</v>
      </c>
      <c r="F150" s="396" t="s">
        <v>3181</v>
      </c>
      <c r="G150" s="396" t="s">
        <v>3182</v>
      </c>
      <c r="H150" s="397" t="s">
        <v>3022</v>
      </c>
      <c r="I150" s="899" t="s">
        <v>3022</v>
      </c>
      <c r="J150" s="353" t="s">
        <v>3183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3308</v>
      </c>
      <c r="B151" s="526" t="s">
        <v>3309</v>
      </c>
      <c r="C151" s="527">
        <v>4</v>
      </c>
      <c r="D151" s="528" t="s">
        <v>3310</v>
      </c>
      <c r="E151" s="426" t="s">
        <v>3311</v>
      </c>
      <c r="F151" s="529" t="s">
        <v>3181</v>
      </c>
      <c r="G151" s="529" t="s">
        <v>3182</v>
      </c>
      <c r="H151" s="530" t="s">
        <v>3025</v>
      </c>
      <c r="I151" s="384" t="s">
        <v>3025</v>
      </c>
      <c r="J151" s="353" t="s">
        <v>3183</v>
      </c>
      <c r="K151" s="354" t="s">
        <v>3184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3308</v>
      </c>
      <c r="B152" s="386" t="s">
        <v>3309</v>
      </c>
      <c r="C152" s="352" t="s">
        <v>3191</v>
      </c>
      <c r="D152" s="387" t="s">
        <v>3310</v>
      </c>
      <c r="E152" s="388" t="s">
        <v>3311</v>
      </c>
      <c r="F152" s="389" t="s">
        <v>3181</v>
      </c>
      <c r="G152" s="389" t="s">
        <v>3182</v>
      </c>
      <c r="H152" s="390" t="s">
        <v>3025</v>
      </c>
      <c r="I152" s="391" t="s">
        <v>3025</v>
      </c>
      <c r="J152" s="353" t="s">
        <v>3183</v>
      </c>
      <c r="K152" s="353" t="s">
        <v>3185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3308</v>
      </c>
      <c r="B153" s="386" t="s">
        <v>3309</v>
      </c>
      <c r="C153" s="392" t="s">
        <v>3191</v>
      </c>
      <c r="D153" s="387" t="s">
        <v>3310</v>
      </c>
      <c r="E153" s="388" t="s">
        <v>3311</v>
      </c>
      <c r="F153" s="389" t="s">
        <v>3181</v>
      </c>
      <c r="G153" s="389" t="s">
        <v>3182</v>
      </c>
      <c r="H153" s="390" t="s">
        <v>3025</v>
      </c>
      <c r="I153" s="391" t="s">
        <v>3025</v>
      </c>
      <c r="J153" s="353" t="s">
        <v>3183</v>
      </c>
      <c r="K153" s="355" t="s">
        <v>3186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3308</v>
      </c>
      <c r="B154" s="386" t="s">
        <v>3309</v>
      </c>
      <c r="C154" s="392" t="s">
        <v>3191</v>
      </c>
      <c r="D154" s="387" t="s">
        <v>3310</v>
      </c>
      <c r="E154" s="388" t="s">
        <v>3311</v>
      </c>
      <c r="F154" s="389" t="s">
        <v>3181</v>
      </c>
      <c r="G154" s="389" t="s">
        <v>3182</v>
      </c>
      <c r="H154" s="390" t="s">
        <v>3025</v>
      </c>
      <c r="I154" s="391" t="s">
        <v>3025</v>
      </c>
      <c r="J154" s="353" t="s">
        <v>3183</v>
      </c>
      <c r="K154" s="356" t="s">
        <v>3187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3308</v>
      </c>
      <c r="B155" s="393" t="s">
        <v>3309</v>
      </c>
      <c r="C155" s="394" t="s">
        <v>3191</v>
      </c>
      <c r="D155" s="395" t="s">
        <v>3310</v>
      </c>
      <c r="E155" s="411" t="s">
        <v>3311</v>
      </c>
      <c r="F155" s="396" t="s">
        <v>3181</v>
      </c>
      <c r="G155" s="396" t="s">
        <v>3182</v>
      </c>
      <c r="H155" s="397" t="s">
        <v>3025</v>
      </c>
      <c r="I155" s="899" t="s">
        <v>3025</v>
      </c>
      <c r="J155" s="353" t="s">
        <v>3183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3312</v>
      </c>
      <c r="B156" s="526" t="s">
        <v>3313</v>
      </c>
      <c r="C156" s="527">
        <v>1</v>
      </c>
      <c r="D156" s="528" t="s">
        <v>3314</v>
      </c>
      <c r="E156" s="426" t="s">
        <v>3315</v>
      </c>
      <c r="F156" s="529" t="s">
        <v>3181</v>
      </c>
      <c r="G156" s="529" t="s">
        <v>3182</v>
      </c>
      <c r="H156" s="530" t="s">
        <v>3026</v>
      </c>
      <c r="I156" s="384" t="s">
        <v>3026</v>
      </c>
      <c r="J156" s="353" t="s">
        <v>3183</v>
      </c>
      <c r="K156" s="354" t="s">
        <v>3184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3312</v>
      </c>
      <c r="B157" s="386" t="s">
        <v>3313</v>
      </c>
      <c r="C157" s="352" t="s">
        <v>3190</v>
      </c>
      <c r="D157" s="387" t="s">
        <v>3314</v>
      </c>
      <c r="E157" s="388" t="s">
        <v>3315</v>
      </c>
      <c r="F157" s="389" t="s">
        <v>3181</v>
      </c>
      <c r="G157" s="389" t="s">
        <v>3182</v>
      </c>
      <c r="H157" s="390" t="s">
        <v>3026</v>
      </c>
      <c r="I157" s="391" t="s">
        <v>3026</v>
      </c>
      <c r="J157" s="353" t="s">
        <v>3183</v>
      </c>
      <c r="K157" s="353" t="s">
        <v>3185</v>
      </c>
      <c r="L157" s="400">
        <v>33</v>
      </c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33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3312</v>
      </c>
      <c r="B158" s="386" t="s">
        <v>3313</v>
      </c>
      <c r="C158" s="392" t="s">
        <v>3190</v>
      </c>
      <c r="D158" s="387" t="s">
        <v>3314</v>
      </c>
      <c r="E158" s="388" t="s">
        <v>3315</v>
      </c>
      <c r="F158" s="389" t="s">
        <v>3181</v>
      </c>
      <c r="G158" s="389" t="s">
        <v>3182</v>
      </c>
      <c r="H158" s="390" t="s">
        <v>3026</v>
      </c>
      <c r="I158" s="391" t="s">
        <v>3026</v>
      </c>
      <c r="J158" s="353" t="s">
        <v>3183</v>
      </c>
      <c r="K158" s="355" t="s">
        <v>3186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3312</v>
      </c>
      <c r="B159" s="386" t="s">
        <v>3313</v>
      </c>
      <c r="C159" s="392" t="s">
        <v>3190</v>
      </c>
      <c r="D159" s="387" t="s">
        <v>3314</v>
      </c>
      <c r="E159" s="388" t="s">
        <v>3315</v>
      </c>
      <c r="F159" s="389" t="s">
        <v>3181</v>
      </c>
      <c r="G159" s="389" t="s">
        <v>3182</v>
      </c>
      <c r="H159" s="390" t="s">
        <v>3026</v>
      </c>
      <c r="I159" s="391" t="s">
        <v>3026</v>
      </c>
      <c r="J159" s="353" t="s">
        <v>3183</v>
      </c>
      <c r="K159" s="356" t="s">
        <v>3187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3312</v>
      </c>
      <c r="B160" s="393" t="s">
        <v>3313</v>
      </c>
      <c r="C160" s="394" t="s">
        <v>3190</v>
      </c>
      <c r="D160" s="395" t="s">
        <v>3314</v>
      </c>
      <c r="E160" s="411" t="s">
        <v>3315</v>
      </c>
      <c r="F160" s="396" t="s">
        <v>3181</v>
      </c>
      <c r="G160" s="396" t="s">
        <v>3182</v>
      </c>
      <c r="H160" s="397" t="s">
        <v>3026</v>
      </c>
      <c r="I160" s="899" t="s">
        <v>3026</v>
      </c>
      <c r="J160" s="353" t="s">
        <v>3183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3316</v>
      </c>
      <c r="B161" s="526" t="s">
        <v>3317</v>
      </c>
      <c r="C161" s="527">
        <v>1</v>
      </c>
      <c r="D161" s="528" t="s">
        <v>3318</v>
      </c>
      <c r="E161" s="426" t="s">
        <v>3319</v>
      </c>
      <c r="F161" s="529" t="s">
        <v>3181</v>
      </c>
      <c r="G161" s="529" t="s">
        <v>3182</v>
      </c>
      <c r="H161" s="530" t="s">
        <v>3027</v>
      </c>
      <c r="I161" s="384" t="s">
        <v>3027</v>
      </c>
      <c r="J161" s="353" t="s">
        <v>3183</v>
      </c>
      <c r="K161" s="354" t="s">
        <v>3184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3316</v>
      </c>
      <c r="B162" s="386" t="s">
        <v>3317</v>
      </c>
      <c r="C162" s="352" t="s">
        <v>3190</v>
      </c>
      <c r="D162" s="387" t="s">
        <v>3318</v>
      </c>
      <c r="E162" s="388" t="s">
        <v>3319</v>
      </c>
      <c r="F162" s="389" t="s">
        <v>3181</v>
      </c>
      <c r="G162" s="389" t="s">
        <v>3182</v>
      </c>
      <c r="H162" s="390" t="s">
        <v>3027</v>
      </c>
      <c r="I162" s="391" t="s">
        <v>3027</v>
      </c>
      <c r="J162" s="353" t="s">
        <v>3183</v>
      </c>
      <c r="K162" s="353" t="s">
        <v>3185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3316</v>
      </c>
      <c r="B163" s="386" t="s">
        <v>3317</v>
      </c>
      <c r="C163" s="392" t="s">
        <v>3190</v>
      </c>
      <c r="D163" s="387" t="s">
        <v>3318</v>
      </c>
      <c r="E163" s="388" t="s">
        <v>3319</v>
      </c>
      <c r="F163" s="389" t="s">
        <v>3181</v>
      </c>
      <c r="G163" s="389" t="s">
        <v>3182</v>
      </c>
      <c r="H163" s="390" t="s">
        <v>3027</v>
      </c>
      <c r="I163" s="391" t="s">
        <v>3027</v>
      </c>
      <c r="J163" s="353" t="s">
        <v>3183</v>
      </c>
      <c r="K163" s="355" t="s">
        <v>3186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3316</v>
      </c>
      <c r="B164" s="386" t="s">
        <v>3317</v>
      </c>
      <c r="C164" s="392" t="s">
        <v>3190</v>
      </c>
      <c r="D164" s="387" t="s">
        <v>3318</v>
      </c>
      <c r="E164" s="388" t="s">
        <v>3319</v>
      </c>
      <c r="F164" s="389" t="s">
        <v>3181</v>
      </c>
      <c r="G164" s="389" t="s">
        <v>3182</v>
      </c>
      <c r="H164" s="390" t="s">
        <v>3027</v>
      </c>
      <c r="I164" s="391" t="s">
        <v>3027</v>
      </c>
      <c r="J164" s="353" t="s">
        <v>3183</v>
      </c>
      <c r="K164" s="356" t="s">
        <v>3187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3316</v>
      </c>
      <c r="B165" s="393" t="s">
        <v>3317</v>
      </c>
      <c r="C165" s="394" t="s">
        <v>3190</v>
      </c>
      <c r="D165" s="395" t="s">
        <v>3318</v>
      </c>
      <c r="E165" s="411" t="s">
        <v>3319</v>
      </c>
      <c r="F165" s="396" t="s">
        <v>3181</v>
      </c>
      <c r="G165" s="396" t="s">
        <v>3182</v>
      </c>
      <c r="H165" s="397" t="s">
        <v>3027</v>
      </c>
      <c r="I165" s="899" t="s">
        <v>3027</v>
      </c>
      <c r="J165" s="353" t="s">
        <v>3183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3320</v>
      </c>
      <c r="B166" s="526" t="s">
        <v>3321</v>
      </c>
      <c r="C166" s="527">
        <v>1</v>
      </c>
      <c r="D166" s="528" t="s">
        <v>3322</v>
      </c>
      <c r="E166" s="426" t="s">
        <v>3323</v>
      </c>
      <c r="F166" s="529" t="s">
        <v>3181</v>
      </c>
      <c r="G166" s="529" t="s">
        <v>3182</v>
      </c>
      <c r="H166" s="530" t="s">
        <v>3028</v>
      </c>
      <c r="I166" s="384" t="s">
        <v>3028</v>
      </c>
      <c r="J166" s="353" t="s">
        <v>3183</v>
      </c>
      <c r="K166" s="354" t="s">
        <v>3184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3320</v>
      </c>
      <c r="B167" s="386" t="s">
        <v>3321</v>
      </c>
      <c r="C167" s="352" t="s">
        <v>3190</v>
      </c>
      <c r="D167" s="387" t="s">
        <v>3322</v>
      </c>
      <c r="E167" s="388" t="s">
        <v>3323</v>
      </c>
      <c r="F167" s="389" t="s">
        <v>3181</v>
      </c>
      <c r="G167" s="389" t="s">
        <v>3182</v>
      </c>
      <c r="H167" s="390" t="s">
        <v>3028</v>
      </c>
      <c r="I167" s="391" t="s">
        <v>3028</v>
      </c>
      <c r="J167" s="353" t="s">
        <v>3183</v>
      </c>
      <c r="K167" s="353" t="s">
        <v>3185</v>
      </c>
      <c r="L167" s="400">
        <v>17</v>
      </c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17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3320</v>
      </c>
      <c r="B168" s="386" t="s">
        <v>3321</v>
      </c>
      <c r="C168" s="392" t="s">
        <v>3190</v>
      </c>
      <c r="D168" s="387" t="s">
        <v>3322</v>
      </c>
      <c r="E168" s="388" t="s">
        <v>3323</v>
      </c>
      <c r="F168" s="389" t="s">
        <v>3181</v>
      </c>
      <c r="G168" s="389" t="s">
        <v>3182</v>
      </c>
      <c r="H168" s="390" t="s">
        <v>3028</v>
      </c>
      <c r="I168" s="391" t="s">
        <v>3028</v>
      </c>
      <c r="J168" s="353" t="s">
        <v>3183</v>
      </c>
      <c r="K168" s="355" t="s">
        <v>3186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3320</v>
      </c>
      <c r="B169" s="386" t="s">
        <v>3321</v>
      </c>
      <c r="C169" s="392" t="s">
        <v>3190</v>
      </c>
      <c r="D169" s="387" t="s">
        <v>3322</v>
      </c>
      <c r="E169" s="388" t="s">
        <v>3323</v>
      </c>
      <c r="F169" s="389" t="s">
        <v>3181</v>
      </c>
      <c r="G169" s="389" t="s">
        <v>3182</v>
      </c>
      <c r="H169" s="390" t="s">
        <v>3028</v>
      </c>
      <c r="I169" s="391" t="s">
        <v>3028</v>
      </c>
      <c r="J169" s="353" t="s">
        <v>3183</v>
      </c>
      <c r="K169" s="356" t="s">
        <v>3187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3320</v>
      </c>
      <c r="B170" s="393" t="s">
        <v>3321</v>
      </c>
      <c r="C170" s="394" t="s">
        <v>3190</v>
      </c>
      <c r="D170" s="395" t="s">
        <v>3322</v>
      </c>
      <c r="E170" s="411" t="s">
        <v>3323</v>
      </c>
      <c r="F170" s="396" t="s">
        <v>3181</v>
      </c>
      <c r="G170" s="396" t="s">
        <v>3182</v>
      </c>
      <c r="H170" s="397" t="s">
        <v>3028</v>
      </c>
      <c r="I170" s="899" t="s">
        <v>3028</v>
      </c>
      <c r="J170" s="353" t="s">
        <v>3183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3324</v>
      </c>
      <c r="B171" s="526" t="s">
        <v>3325</v>
      </c>
      <c r="C171" s="527">
        <v>2</v>
      </c>
      <c r="D171" s="528" t="s">
        <v>3326</v>
      </c>
      <c r="E171" s="426" t="s">
        <v>3327</v>
      </c>
      <c r="F171" s="529" t="s">
        <v>3181</v>
      </c>
      <c r="G171" s="529" t="s">
        <v>3182</v>
      </c>
      <c r="H171" s="530" t="s">
        <v>3029</v>
      </c>
      <c r="I171" s="384" t="s">
        <v>3029</v>
      </c>
      <c r="J171" s="353" t="s">
        <v>3188</v>
      </c>
      <c r="K171" s="354" t="s">
        <v>3184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3324</v>
      </c>
      <c r="B172" s="386" t="s">
        <v>3325</v>
      </c>
      <c r="C172" s="352" t="s">
        <v>3190</v>
      </c>
      <c r="D172" s="387" t="s">
        <v>3326</v>
      </c>
      <c r="E172" s="388" t="s">
        <v>3327</v>
      </c>
      <c r="F172" s="389" t="s">
        <v>3181</v>
      </c>
      <c r="G172" s="389" t="s">
        <v>3182</v>
      </c>
      <c r="H172" s="390" t="s">
        <v>3029</v>
      </c>
      <c r="I172" s="391" t="s">
        <v>3029</v>
      </c>
      <c r="J172" s="353" t="s">
        <v>3188</v>
      </c>
      <c r="K172" s="353" t="s">
        <v>3185</v>
      </c>
      <c r="L172" s="400">
        <v>13</v>
      </c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/>
      <c r="AA172" s="401"/>
      <c r="AB172" s="400"/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/>
      <c r="AO172" s="401"/>
      <c r="AP172" s="400"/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/>
      <c r="BC172" s="401"/>
      <c r="BD172" s="400"/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/>
      <c r="BQ172" s="401"/>
      <c r="BR172" s="400"/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13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3324</v>
      </c>
      <c r="B173" s="386" t="s">
        <v>3325</v>
      </c>
      <c r="C173" s="392" t="s">
        <v>3190</v>
      </c>
      <c r="D173" s="387" t="s">
        <v>3326</v>
      </c>
      <c r="E173" s="388" t="s">
        <v>3327</v>
      </c>
      <c r="F173" s="389" t="s">
        <v>3181</v>
      </c>
      <c r="G173" s="389" t="s">
        <v>3182</v>
      </c>
      <c r="H173" s="390" t="s">
        <v>3029</v>
      </c>
      <c r="I173" s="391" t="s">
        <v>3029</v>
      </c>
      <c r="J173" s="353" t="s">
        <v>3188</v>
      </c>
      <c r="K173" s="355" t="s">
        <v>3186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3324</v>
      </c>
      <c r="B174" s="386" t="s">
        <v>3325</v>
      </c>
      <c r="C174" s="392" t="s">
        <v>3190</v>
      </c>
      <c r="D174" s="387" t="s">
        <v>3326</v>
      </c>
      <c r="E174" s="388" t="s">
        <v>3327</v>
      </c>
      <c r="F174" s="389" t="s">
        <v>3181</v>
      </c>
      <c r="G174" s="389" t="s">
        <v>3182</v>
      </c>
      <c r="H174" s="390" t="s">
        <v>3029</v>
      </c>
      <c r="I174" s="391" t="s">
        <v>3029</v>
      </c>
      <c r="J174" s="353" t="s">
        <v>3188</v>
      </c>
      <c r="K174" s="356" t="s">
        <v>3187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3324</v>
      </c>
      <c r="B175" s="393" t="s">
        <v>3325</v>
      </c>
      <c r="C175" s="394" t="s">
        <v>3190</v>
      </c>
      <c r="D175" s="395" t="s">
        <v>3326</v>
      </c>
      <c r="E175" s="411" t="s">
        <v>3327</v>
      </c>
      <c r="F175" s="396" t="s">
        <v>3181</v>
      </c>
      <c r="G175" s="396" t="s">
        <v>3182</v>
      </c>
      <c r="H175" s="397" t="s">
        <v>3029</v>
      </c>
      <c r="I175" s="899" t="s">
        <v>3029</v>
      </c>
      <c r="J175" s="353" t="s">
        <v>3188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3328</v>
      </c>
      <c r="B176" s="526" t="s">
        <v>3329</v>
      </c>
      <c r="C176" s="527">
        <v>1</v>
      </c>
      <c r="D176" s="528" t="s">
        <v>3330</v>
      </c>
      <c r="E176" s="426" t="s">
        <v>3331</v>
      </c>
      <c r="F176" s="529" t="s">
        <v>3181</v>
      </c>
      <c r="G176" s="529" t="s">
        <v>3182</v>
      </c>
      <c r="H176" s="530" t="s">
        <v>3033</v>
      </c>
      <c r="I176" s="384" t="s">
        <v>3033</v>
      </c>
      <c r="J176" s="353" t="s">
        <v>3183</v>
      </c>
      <c r="K176" s="354" t="s">
        <v>3184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3328</v>
      </c>
      <c r="B177" s="386" t="s">
        <v>3329</v>
      </c>
      <c r="C177" s="352" t="s">
        <v>3190</v>
      </c>
      <c r="D177" s="387" t="s">
        <v>3330</v>
      </c>
      <c r="E177" s="388" t="s">
        <v>3331</v>
      </c>
      <c r="F177" s="389" t="s">
        <v>3181</v>
      </c>
      <c r="G177" s="389" t="s">
        <v>3182</v>
      </c>
      <c r="H177" s="390" t="s">
        <v>3033</v>
      </c>
      <c r="I177" s="391" t="s">
        <v>3033</v>
      </c>
      <c r="J177" s="353" t="s">
        <v>3183</v>
      </c>
      <c r="K177" s="353" t="s">
        <v>3185</v>
      </c>
      <c r="L177" s="400">
        <v>29</v>
      </c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29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3328</v>
      </c>
      <c r="B178" s="386" t="s">
        <v>3329</v>
      </c>
      <c r="C178" s="392" t="s">
        <v>3190</v>
      </c>
      <c r="D178" s="387" t="s">
        <v>3330</v>
      </c>
      <c r="E178" s="388" t="s">
        <v>3331</v>
      </c>
      <c r="F178" s="389" t="s">
        <v>3181</v>
      </c>
      <c r="G178" s="389" t="s">
        <v>3182</v>
      </c>
      <c r="H178" s="390" t="s">
        <v>3033</v>
      </c>
      <c r="I178" s="391" t="s">
        <v>3033</v>
      </c>
      <c r="J178" s="353" t="s">
        <v>3183</v>
      </c>
      <c r="K178" s="355" t="s">
        <v>3186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3328</v>
      </c>
      <c r="B179" s="386" t="s">
        <v>3329</v>
      </c>
      <c r="C179" s="392" t="s">
        <v>3190</v>
      </c>
      <c r="D179" s="387" t="s">
        <v>3330</v>
      </c>
      <c r="E179" s="388" t="s">
        <v>3331</v>
      </c>
      <c r="F179" s="389" t="s">
        <v>3181</v>
      </c>
      <c r="G179" s="389" t="s">
        <v>3182</v>
      </c>
      <c r="H179" s="390" t="s">
        <v>3033</v>
      </c>
      <c r="I179" s="391" t="s">
        <v>3033</v>
      </c>
      <c r="J179" s="353" t="s">
        <v>3183</v>
      </c>
      <c r="K179" s="356" t="s">
        <v>3187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3328</v>
      </c>
      <c r="B180" s="393" t="s">
        <v>3329</v>
      </c>
      <c r="C180" s="394" t="s">
        <v>3190</v>
      </c>
      <c r="D180" s="395" t="s">
        <v>3330</v>
      </c>
      <c r="E180" s="411" t="s">
        <v>3331</v>
      </c>
      <c r="F180" s="396" t="s">
        <v>3181</v>
      </c>
      <c r="G180" s="396" t="s">
        <v>3182</v>
      </c>
      <c r="H180" s="397" t="s">
        <v>3033</v>
      </c>
      <c r="I180" s="899" t="s">
        <v>3033</v>
      </c>
      <c r="J180" s="353" t="s">
        <v>3183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3332</v>
      </c>
      <c r="B181" s="526" t="s">
        <v>3333</v>
      </c>
      <c r="C181" s="527">
        <v>1</v>
      </c>
      <c r="D181" s="528" t="s">
        <v>3334</v>
      </c>
      <c r="E181" s="426" t="s">
        <v>3335</v>
      </c>
      <c r="F181" s="529" t="s">
        <v>3181</v>
      </c>
      <c r="G181" s="529" t="s">
        <v>3182</v>
      </c>
      <c r="H181" s="530" t="s">
        <v>3034</v>
      </c>
      <c r="I181" s="384" t="s">
        <v>3034</v>
      </c>
      <c r="J181" s="353" t="s">
        <v>3183</v>
      </c>
      <c r="K181" s="354" t="s">
        <v>3184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3332</v>
      </c>
      <c r="B182" s="386" t="s">
        <v>3333</v>
      </c>
      <c r="C182" s="352" t="s">
        <v>3190</v>
      </c>
      <c r="D182" s="387" t="s">
        <v>3334</v>
      </c>
      <c r="E182" s="388" t="s">
        <v>3335</v>
      </c>
      <c r="F182" s="389" t="s">
        <v>3181</v>
      </c>
      <c r="G182" s="389" t="s">
        <v>3182</v>
      </c>
      <c r="H182" s="390" t="s">
        <v>3034</v>
      </c>
      <c r="I182" s="391" t="s">
        <v>3034</v>
      </c>
      <c r="J182" s="353" t="s">
        <v>3183</v>
      </c>
      <c r="K182" s="353" t="s">
        <v>3185</v>
      </c>
      <c r="L182" s="400">
        <v>29</v>
      </c>
      <c r="M182" s="401"/>
      <c r="N182" s="400"/>
      <c r="O182" s="401"/>
      <c r="P182" s="400"/>
      <c r="Q182" s="401"/>
      <c r="R182" s="400"/>
      <c r="S182" s="401"/>
      <c r="T182" s="400"/>
      <c r="U182" s="401"/>
      <c r="V182" s="400"/>
      <c r="W182" s="401"/>
      <c r="X182" s="400"/>
      <c r="Y182" s="401"/>
      <c r="Z182" s="400"/>
      <c r="AA182" s="401"/>
      <c r="AB182" s="400"/>
      <c r="AC182" s="401"/>
      <c r="AD182" s="400"/>
      <c r="AE182" s="401"/>
      <c r="AF182" s="400"/>
      <c r="AG182" s="401"/>
      <c r="AH182" s="400"/>
      <c r="AI182" s="401"/>
      <c r="AJ182" s="400"/>
      <c r="AK182" s="401"/>
      <c r="AL182" s="400"/>
      <c r="AM182" s="401"/>
      <c r="AN182" s="400"/>
      <c r="AO182" s="401"/>
      <c r="AP182" s="400"/>
      <c r="AQ182" s="401"/>
      <c r="AR182" s="400"/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/>
      <c r="BC182" s="401"/>
      <c r="BD182" s="400"/>
      <c r="BE182" s="401"/>
      <c r="BF182" s="400"/>
      <c r="BG182" s="401"/>
      <c r="BH182" s="400"/>
      <c r="BI182" s="401"/>
      <c r="BJ182" s="400"/>
      <c r="BK182" s="401"/>
      <c r="BL182" s="400"/>
      <c r="BM182" s="401"/>
      <c r="BN182" s="400"/>
      <c r="BO182" s="401"/>
      <c r="BP182" s="400"/>
      <c r="BQ182" s="401"/>
      <c r="BR182" s="400"/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29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3332</v>
      </c>
      <c r="B183" s="386" t="s">
        <v>3333</v>
      </c>
      <c r="C183" s="392" t="s">
        <v>3190</v>
      </c>
      <c r="D183" s="387" t="s">
        <v>3334</v>
      </c>
      <c r="E183" s="388" t="s">
        <v>3335</v>
      </c>
      <c r="F183" s="389" t="s">
        <v>3181</v>
      </c>
      <c r="G183" s="389" t="s">
        <v>3182</v>
      </c>
      <c r="H183" s="390" t="s">
        <v>3034</v>
      </c>
      <c r="I183" s="391" t="s">
        <v>3034</v>
      </c>
      <c r="J183" s="353" t="s">
        <v>3183</v>
      </c>
      <c r="K183" s="355" t="s">
        <v>3186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3332</v>
      </c>
      <c r="B184" s="386" t="s">
        <v>3333</v>
      </c>
      <c r="C184" s="392" t="s">
        <v>3190</v>
      </c>
      <c r="D184" s="387" t="s">
        <v>3334</v>
      </c>
      <c r="E184" s="388" t="s">
        <v>3335</v>
      </c>
      <c r="F184" s="389" t="s">
        <v>3181</v>
      </c>
      <c r="G184" s="389" t="s">
        <v>3182</v>
      </c>
      <c r="H184" s="390" t="s">
        <v>3034</v>
      </c>
      <c r="I184" s="391" t="s">
        <v>3034</v>
      </c>
      <c r="J184" s="353" t="s">
        <v>3183</v>
      </c>
      <c r="K184" s="356" t="s">
        <v>3187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3332</v>
      </c>
      <c r="B185" s="393" t="s">
        <v>3333</v>
      </c>
      <c r="C185" s="394" t="s">
        <v>3190</v>
      </c>
      <c r="D185" s="395" t="s">
        <v>3334</v>
      </c>
      <c r="E185" s="411" t="s">
        <v>3335</v>
      </c>
      <c r="F185" s="396" t="s">
        <v>3181</v>
      </c>
      <c r="G185" s="396" t="s">
        <v>3182</v>
      </c>
      <c r="H185" s="397" t="s">
        <v>3034</v>
      </c>
      <c r="I185" s="899" t="s">
        <v>3034</v>
      </c>
      <c r="J185" s="353" t="s">
        <v>3183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3336</v>
      </c>
      <c r="B186" s="526" t="s">
        <v>3337</v>
      </c>
      <c r="C186" s="527">
        <v>1</v>
      </c>
      <c r="D186" s="528" t="s">
        <v>3338</v>
      </c>
      <c r="E186" s="426" t="s">
        <v>3339</v>
      </c>
      <c r="F186" s="529" t="s">
        <v>3181</v>
      </c>
      <c r="G186" s="529" t="s">
        <v>3182</v>
      </c>
      <c r="H186" s="530" t="s">
        <v>3035</v>
      </c>
      <c r="I186" s="384" t="s">
        <v>3035</v>
      </c>
      <c r="J186" s="353" t="s">
        <v>3183</v>
      </c>
      <c r="K186" s="354" t="s">
        <v>3184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3336</v>
      </c>
      <c r="B187" s="386" t="s">
        <v>3337</v>
      </c>
      <c r="C187" s="352" t="s">
        <v>3190</v>
      </c>
      <c r="D187" s="387" t="s">
        <v>3338</v>
      </c>
      <c r="E187" s="388" t="s">
        <v>3339</v>
      </c>
      <c r="F187" s="389" t="s">
        <v>3181</v>
      </c>
      <c r="G187" s="389" t="s">
        <v>3182</v>
      </c>
      <c r="H187" s="390" t="s">
        <v>3035</v>
      </c>
      <c r="I187" s="391" t="s">
        <v>3035</v>
      </c>
      <c r="J187" s="353" t="s">
        <v>3183</v>
      </c>
      <c r="K187" s="353" t="s">
        <v>3185</v>
      </c>
      <c r="L187" s="400">
        <v>21</v>
      </c>
      <c r="M187" s="401"/>
      <c r="N187" s="400"/>
      <c r="O187" s="401"/>
      <c r="P187" s="400"/>
      <c r="Q187" s="401"/>
      <c r="R187" s="400"/>
      <c r="S187" s="401"/>
      <c r="T187" s="400"/>
      <c r="U187" s="401"/>
      <c r="V187" s="400"/>
      <c r="W187" s="401"/>
      <c r="X187" s="400"/>
      <c r="Y187" s="401"/>
      <c r="Z187" s="400"/>
      <c r="AA187" s="401"/>
      <c r="AB187" s="400"/>
      <c r="AC187" s="401"/>
      <c r="AD187" s="400"/>
      <c r="AE187" s="401"/>
      <c r="AF187" s="400"/>
      <c r="AG187" s="401"/>
      <c r="AH187" s="400"/>
      <c r="AI187" s="401"/>
      <c r="AJ187" s="400"/>
      <c r="AK187" s="401"/>
      <c r="AL187" s="400"/>
      <c r="AM187" s="401"/>
      <c r="AN187" s="400"/>
      <c r="AO187" s="401"/>
      <c r="AP187" s="400"/>
      <c r="AQ187" s="401"/>
      <c r="AR187" s="400"/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/>
      <c r="BC187" s="401"/>
      <c r="BD187" s="400"/>
      <c r="BE187" s="401"/>
      <c r="BF187" s="400"/>
      <c r="BG187" s="401"/>
      <c r="BH187" s="400"/>
      <c r="BI187" s="401"/>
      <c r="BJ187" s="400"/>
      <c r="BK187" s="401"/>
      <c r="BL187" s="400"/>
      <c r="BM187" s="401"/>
      <c r="BN187" s="400"/>
      <c r="BO187" s="401"/>
      <c r="BP187" s="400"/>
      <c r="BQ187" s="401"/>
      <c r="BR187" s="400"/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21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3336</v>
      </c>
      <c r="B188" s="386" t="s">
        <v>3337</v>
      </c>
      <c r="C188" s="392" t="s">
        <v>3190</v>
      </c>
      <c r="D188" s="387" t="s">
        <v>3338</v>
      </c>
      <c r="E188" s="388" t="s">
        <v>3339</v>
      </c>
      <c r="F188" s="389" t="s">
        <v>3181</v>
      </c>
      <c r="G188" s="389" t="s">
        <v>3182</v>
      </c>
      <c r="H188" s="390" t="s">
        <v>3035</v>
      </c>
      <c r="I188" s="391" t="s">
        <v>3035</v>
      </c>
      <c r="J188" s="353" t="s">
        <v>3183</v>
      </c>
      <c r="K188" s="355" t="s">
        <v>3186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3336</v>
      </c>
      <c r="B189" s="386" t="s">
        <v>3337</v>
      </c>
      <c r="C189" s="392" t="s">
        <v>3190</v>
      </c>
      <c r="D189" s="387" t="s">
        <v>3338</v>
      </c>
      <c r="E189" s="388" t="s">
        <v>3339</v>
      </c>
      <c r="F189" s="389" t="s">
        <v>3181</v>
      </c>
      <c r="G189" s="389" t="s">
        <v>3182</v>
      </c>
      <c r="H189" s="390" t="s">
        <v>3035</v>
      </c>
      <c r="I189" s="391" t="s">
        <v>3035</v>
      </c>
      <c r="J189" s="353" t="s">
        <v>3183</v>
      </c>
      <c r="K189" s="356" t="s">
        <v>3187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3336</v>
      </c>
      <c r="B190" s="393" t="s">
        <v>3337</v>
      </c>
      <c r="C190" s="394" t="s">
        <v>3190</v>
      </c>
      <c r="D190" s="395" t="s">
        <v>3338</v>
      </c>
      <c r="E190" s="411" t="s">
        <v>3339</v>
      </c>
      <c r="F190" s="396" t="s">
        <v>3181</v>
      </c>
      <c r="G190" s="396" t="s">
        <v>3182</v>
      </c>
      <c r="H190" s="397" t="s">
        <v>3035</v>
      </c>
      <c r="I190" s="899" t="s">
        <v>3035</v>
      </c>
      <c r="J190" s="353" t="s">
        <v>3183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3340</v>
      </c>
      <c r="B191" s="526" t="s">
        <v>3341</v>
      </c>
      <c r="C191" s="527">
        <v>1</v>
      </c>
      <c r="D191" s="528" t="s">
        <v>3342</v>
      </c>
      <c r="E191" s="426" t="s">
        <v>3343</v>
      </c>
      <c r="F191" s="529" t="s">
        <v>3181</v>
      </c>
      <c r="G191" s="529" t="s">
        <v>3182</v>
      </c>
      <c r="H191" s="530" t="s">
        <v>3037</v>
      </c>
      <c r="I191" s="384" t="s">
        <v>3037</v>
      </c>
      <c r="J191" s="353" t="s">
        <v>3183</v>
      </c>
      <c r="K191" s="354" t="s">
        <v>3184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3340</v>
      </c>
      <c r="B192" s="386" t="s">
        <v>3341</v>
      </c>
      <c r="C192" s="352" t="s">
        <v>3190</v>
      </c>
      <c r="D192" s="387" t="s">
        <v>3342</v>
      </c>
      <c r="E192" s="388" t="s">
        <v>3343</v>
      </c>
      <c r="F192" s="389" t="s">
        <v>3181</v>
      </c>
      <c r="G192" s="389" t="s">
        <v>3182</v>
      </c>
      <c r="H192" s="390" t="s">
        <v>3037</v>
      </c>
      <c r="I192" s="391" t="s">
        <v>3037</v>
      </c>
      <c r="J192" s="353" t="s">
        <v>3183</v>
      </c>
      <c r="K192" s="353" t="s">
        <v>3185</v>
      </c>
      <c r="L192" s="400">
        <v>69</v>
      </c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/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/>
      <c r="BM192" s="401"/>
      <c r="BN192" s="400"/>
      <c r="BO192" s="401"/>
      <c r="BP192" s="400"/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69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3340</v>
      </c>
      <c r="B193" s="386" t="s">
        <v>3341</v>
      </c>
      <c r="C193" s="392" t="s">
        <v>3190</v>
      </c>
      <c r="D193" s="387" t="s">
        <v>3342</v>
      </c>
      <c r="E193" s="388" t="s">
        <v>3343</v>
      </c>
      <c r="F193" s="389" t="s">
        <v>3181</v>
      </c>
      <c r="G193" s="389" t="s">
        <v>3182</v>
      </c>
      <c r="H193" s="390" t="s">
        <v>3037</v>
      </c>
      <c r="I193" s="391" t="s">
        <v>3037</v>
      </c>
      <c r="J193" s="353" t="s">
        <v>3183</v>
      </c>
      <c r="K193" s="355" t="s">
        <v>3186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3340</v>
      </c>
      <c r="B194" s="386" t="s">
        <v>3341</v>
      </c>
      <c r="C194" s="392" t="s">
        <v>3190</v>
      </c>
      <c r="D194" s="387" t="s">
        <v>3342</v>
      </c>
      <c r="E194" s="388" t="s">
        <v>3343</v>
      </c>
      <c r="F194" s="389" t="s">
        <v>3181</v>
      </c>
      <c r="G194" s="389" t="s">
        <v>3182</v>
      </c>
      <c r="H194" s="390" t="s">
        <v>3037</v>
      </c>
      <c r="I194" s="391" t="s">
        <v>3037</v>
      </c>
      <c r="J194" s="353" t="s">
        <v>3183</v>
      </c>
      <c r="K194" s="356" t="s">
        <v>3187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x14ac:dyDescent="0.2">
      <c r="A195" s="898" t="s">
        <v>3340</v>
      </c>
      <c r="B195" s="393" t="s">
        <v>3341</v>
      </c>
      <c r="C195" s="394" t="s">
        <v>3190</v>
      </c>
      <c r="D195" s="395" t="s">
        <v>3342</v>
      </c>
      <c r="E195" s="411" t="s">
        <v>3343</v>
      </c>
      <c r="F195" s="396" t="s">
        <v>3181</v>
      </c>
      <c r="G195" s="396" t="s">
        <v>3182</v>
      </c>
      <c r="H195" s="397" t="s">
        <v>3037</v>
      </c>
      <c r="I195" s="899" t="s">
        <v>3037</v>
      </c>
      <c r="J195" s="353" t="s">
        <v>3183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">
      <c r="A196" s="5"/>
      <c r="B196" s="5"/>
      <c r="C196" s="6"/>
      <c r="D196" s="7"/>
      <c r="E196" s="7"/>
      <c r="F196" s="7"/>
      <c r="G196" s="6"/>
      <c r="H196" s="5"/>
      <c r="I196" s="79"/>
      <c r="J196" s="5"/>
      <c r="K196" s="5"/>
      <c r="L196" s="335"/>
      <c r="M196" s="336"/>
      <c r="N196" s="335"/>
      <c r="O196" s="336"/>
      <c r="P196" s="335"/>
      <c r="Q196" s="336"/>
      <c r="R196" s="335"/>
      <c r="S196" s="336"/>
      <c r="T196" s="335"/>
      <c r="U196" s="336"/>
      <c r="V196" s="335"/>
      <c r="W196" s="336"/>
      <c r="X196" s="335"/>
      <c r="Y196" s="336"/>
      <c r="Z196" s="335"/>
      <c r="AA196" s="336"/>
      <c r="AB196" s="335"/>
      <c r="AC196" s="336"/>
      <c r="AD196" s="335"/>
      <c r="AE196" s="336"/>
      <c r="AF196" s="335"/>
      <c r="AG196" s="336"/>
      <c r="AH196" s="335"/>
      <c r="AI196" s="336"/>
      <c r="AJ196" s="335"/>
      <c r="AK196" s="336"/>
      <c r="AL196" s="335"/>
      <c r="AM196" s="336"/>
      <c r="AN196" s="335"/>
      <c r="AO196" s="336"/>
      <c r="AP196" s="335"/>
      <c r="AQ196" s="336"/>
      <c r="AR196" s="335"/>
      <c r="AS196" s="336"/>
      <c r="AT196" s="335"/>
      <c r="AU196" s="336"/>
      <c r="AV196" s="335"/>
      <c r="AW196" s="336"/>
      <c r="AX196" s="335"/>
      <c r="AY196" s="336"/>
      <c r="AZ196" s="335"/>
      <c r="BA196" s="336"/>
      <c r="BB196" s="335"/>
      <c r="BC196" s="336"/>
      <c r="BD196" s="335"/>
      <c r="BE196" s="336"/>
      <c r="BF196" s="335"/>
      <c r="BG196" s="336"/>
      <c r="BH196" s="335"/>
      <c r="BI196" s="336"/>
      <c r="BJ196" s="335"/>
      <c r="BK196" s="336"/>
      <c r="BL196" s="335"/>
      <c r="BM196" s="336"/>
      <c r="BN196" s="335"/>
      <c r="BO196" s="336"/>
      <c r="BP196" s="335"/>
      <c r="BQ196" s="336"/>
      <c r="BR196" s="335"/>
      <c r="BS196" s="336"/>
      <c r="BT196" s="335"/>
      <c r="BU196" s="336"/>
      <c r="BV196" s="337"/>
      <c r="BW196" s="337"/>
    </row>
    <row r="197" spans="1:75" s="64" customFormat="1" ht="21.95" customHeight="1" x14ac:dyDescent="0.2">
      <c r="A197" s="5"/>
      <c r="B197" s="5"/>
      <c r="C197" s="6"/>
      <c r="D197" s="7"/>
      <c r="E197" s="7"/>
      <c r="F197" s="7"/>
      <c r="G197" s="6"/>
      <c r="H197" s="5"/>
      <c r="I197" s="79"/>
      <c r="J197" s="5"/>
      <c r="K197" s="5"/>
      <c r="L197" s="335">
        <f t="shared" ref="L197:BU197" si="79">SUM(L6:L196)</f>
        <v>425</v>
      </c>
      <c r="M197" s="335">
        <f t="shared" si="79"/>
        <v>0</v>
      </c>
      <c r="N197" s="335">
        <f t="shared" si="79"/>
        <v>0</v>
      </c>
      <c r="O197" s="335">
        <f t="shared" si="79"/>
        <v>0</v>
      </c>
      <c r="P197" s="335">
        <f t="shared" si="79"/>
        <v>0</v>
      </c>
      <c r="Q197" s="335">
        <f t="shared" si="79"/>
        <v>0</v>
      </c>
      <c r="R197" s="335">
        <f t="shared" si="79"/>
        <v>0</v>
      </c>
      <c r="S197" s="335">
        <f t="shared" si="79"/>
        <v>0</v>
      </c>
      <c r="T197" s="335">
        <f t="shared" si="79"/>
        <v>0</v>
      </c>
      <c r="U197" s="335">
        <f t="shared" si="79"/>
        <v>0</v>
      </c>
      <c r="V197" s="335">
        <f t="shared" si="79"/>
        <v>0</v>
      </c>
      <c r="W197" s="335">
        <f t="shared" si="79"/>
        <v>0</v>
      </c>
      <c r="X197" s="335">
        <f t="shared" si="79"/>
        <v>0</v>
      </c>
      <c r="Y197" s="335">
        <f t="shared" si="79"/>
        <v>0</v>
      </c>
      <c r="Z197" s="335">
        <f t="shared" si="79"/>
        <v>0</v>
      </c>
      <c r="AA197" s="335">
        <f t="shared" si="79"/>
        <v>0</v>
      </c>
      <c r="AB197" s="335">
        <f t="shared" si="79"/>
        <v>0</v>
      </c>
      <c r="AC197" s="335">
        <f t="shared" si="79"/>
        <v>0</v>
      </c>
      <c r="AD197" s="335">
        <f t="shared" si="79"/>
        <v>0</v>
      </c>
      <c r="AE197" s="335">
        <f t="shared" si="79"/>
        <v>0</v>
      </c>
      <c r="AF197" s="335">
        <f t="shared" si="79"/>
        <v>0</v>
      </c>
      <c r="AG197" s="335">
        <f t="shared" si="79"/>
        <v>0</v>
      </c>
      <c r="AH197" s="335">
        <f t="shared" si="79"/>
        <v>0</v>
      </c>
      <c r="AI197" s="335">
        <f t="shared" si="79"/>
        <v>0</v>
      </c>
      <c r="AJ197" s="335">
        <f t="shared" si="79"/>
        <v>0</v>
      </c>
      <c r="AK197" s="335">
        <f t="shared" si="79"/>
        <v>0</v>
      </c>
      <c r="AL197" s="335">
        <f t="shared" si="79"/>
        <v>0</v>
      </c>
      <c r="AM197" s="335">
        <f t="shared" si="79"/>
        <v>0</v>
      </c>
      <c r="AN197" s="335">
        <f t="shared" si="79"/>
        <v>0</v>
      </c>
      <c r="AO197" s="335">
        <f t="shared" si="79"/>
        <v>0</v>
      </c>
      <c r="AP197" s="335">
        <f t="shared" si="79"/>
        <v>0</v>
      </c>
      <c r="AQ197" s="335">
        <f t="shared" si="79"/>
        <v>0</v>
      </c>
      <c r="AR197" s="335">
        <f t="shared" si="79"/>
        <v>0</v>
      </c>
      <c r="AS197" s="335">
        <f t="shared" si="79"/>
        <v>0</v>
      </c>
      <c r="AT197" s="335">
        <f t="shared" si="79"/>
        <v>0</v>
      </c>
      <c r="AU197" s="335">
        <f t="shared" si="79"/>
        <v>0</v>
      </c>
      <c r="AV197" s="335">
        <f t="shared" si="79"/>
        <v>0</v>
      </c>
      <c r="AW197" s="335">
        <f t="shared" si="79"/>
        <v>0</v>
      </c>
      <c r="AX197" s="335">
        <f t="shared" si="79"/>
        <v>0</v>
      </c>
      <c r="AY197" s="335">
        <f t="shared" si="79"/>
        <v>0</v>
      </c>
      <c r="AZ197" s="335">
        <f t="shared" si="79"/>
        <v>0</v>
      </c>
      <c r="BA197" s="335">
        <f t="shared" si="79"/>
        <v>0</v>
      </c>
      <c r="BB197" s="335">
        <f t="shared" si="79"/>
        <v>0</v>
      </c>
      <c r="BC197" s="335">
        <f t="shared" si="79"/>
        <v>0</v>
      </c>
      <c r="BD197" s="335">
        <f t="shared" si="79"/>
        <v>0</v>
      </c>
      <c r="BE197" s="335">
        <f t="shared" si="79"/>
        <v>0</v>
      </c>
      <c r="BF197" s="335">
        <f t="shared" si="79"/>
        <v>0</v>
      </c>
      <c r="BG197" s="335">
        <f t="shared" si="79"/>
        <v>0</v>
      </c>
      <c r="BH197" s="335">
        <f t="shared" si="79"/>
        <v>0</v>
      </c>
      <c r="BI197" s="335">
        <f t="shared" si="79"/>
        <v>0</v>
      </c>
      <c r="BJ197" s="335">
        <f t="shared" si="79"/>
        <v>0</v>
      </c>
      <c r="BK197" s="335">
        <f t="shared" si="79"/>
        <v>0</v>
      </c>
      <c r="BL197" s="335">
        <f t="shared" si="79"/>
        <v>0</v>
      </c>
      <c r="BM197" s="335">
        <f t="shared" si="79"/>
        <v>0</v>
      </c>
      <c r="BN197" s="335">
        <f t="shared" si="79"/>
        <v>0</v>
      </c>
      <c r="BO197" s="335">
        <f t="shared" si="79"/>
        <v>0</v>
      </c>
      <c r="BP197" s="335">
        <f t="shared" si="79"/>
        <v>0</v>
      </c>
      <c r="BQ197" s="335">
        <f t="shared" si="79"/>
        <v>0</v>
      </c>
      <c r="BR197" s="335">
        <f t="shared" si="79"/>
        <v>0</v>
      </c>
      <c r="BS197" s="335">
        <f t="shared" si="79"/>
        <v>0</v>
      </c>
      <c r="BT197" s="335">
        <f t="shared" si="79"/>
        <v>0</v>
      </c>
      <c r="BU197" s="335">
        <f t="shared" si="79"/>
        <v>0</v>
      </c>
      <c r="BV197" s="335">
        <f>SUM(BV6:BV196)</f>
        <v>425</v>
      </c>
      <c r="BW197" s="335">
        <f>SUM(BW6:BW196)</f>
        <v>0</v>
      </c>
    </row>
    <row r="198" spans="1:75" ht="21.95" customHeight="1" x14ac:dyDescent="0.25">
      <c r="A198" s="332"/>
      <c r="L198" s="335"/>
      <c r="M198" s="336"/>
      <c r="N198" s="335"/>
      <c r="O198" s="336"/>
      <c r="P198" s="335"/>
      <c r="Q198" s="336"/>
      <c r="R198" s="335"/>
      <c r="S198" s="336"/>
      <c r="T198" s="335"/>
      <c r="U198" s="336"/>
      <c r="V198" s="335"/>
      <c r="W198" s="336"/>
      <c r="X198" s="335"/>
      <c r="Y198" s="336"/>
      <c r="Z198" s="335"/>
      <c r="AA198" s="336"/>
      <c r="AB198" s="335"/>
      <c r="AC198" s="336"/>
      <c r="AD198" s="335"/>
      <c r="AE198" s="336"/>
      <c r="AF198" s="335"/>
      <c r="AG198" s="336"/>
      <c r="AH198" s="335"/>
      <c r="AI198" s="336"/>
      <c r="AJ198" s="335"/>
      <c r="AK198" s="336"/>
      <c r="AL198" s="335"/>
      <c r="AM198" s="336"/>
      <c r="AN198" s="335"/>
      <c r="AO198" s="336"/>
      <c r="AP198" s="335"/>
      <c r="AQ198" s="336"/>
      <c r="AR198" s="335"/>
      <c r="AS198" s="336"/>
      <c r="AT198" s="335"/>
      <c r="AU198" s="336"/>
      <c r="AV198" s="335"/>
      <c r="AW198" s="336"/>
      <c r="AX198" s="335"/>
      <c r="AY198" s="336"/>
      <c r="AZ198" s="335"/>
      <c r="BA198" s="336"/>
      <c r="BB198" s="335"/>
      <c r="BC198" s="336"/>
      <c r="BD198" s="335"/>
      <c r="BE198" s="336"/>
      <c r="BF198" s="335"/>
      <c r="BG198" s="336"/>
      <c r="BH198" s="335"/>
      <c r="BI198" s="336"/>
      <c r="BJ198" s="335"/>
      <c r="BK198" s="336"/>
      <c r="BL198" s="335"/>
      <c r="BM198" s="336"/>
      <c r="BN198" s="335"/>
      <c r="BO198" s="336"/>
      <c r="BP198" s="335"/>
      <c r="BQ198" s="336"/>
      <c r="BR198" s="335"/>
      <c r="BS198" s="336"/>
      <c r="BT198" s="335"/>
      <c r="BU198" s="336"/>
      <c r="BV198" s="337"/>
      <c r="BW198" s="337"/>
    </row>
    <row r="199" spans="1:75" ht="21.95" customHeight="1" x14ac:dyDescent="0.2">
      <c r="A199" s="79"/>
      <c r="B199" s="79"/>
      <c r="C199" s="331"/>
      <c r="D199" s="333"/>
      <c r="E199" s="333"/>
      <c r="F199" s="333"/>
      <c r="G199" s="331"/>
      <c r="H199" s="79"/>
      <c r="J199" s="334"/>
      <c r="K199" s="79"/>
      <c r="L199" s="335"/>
      <c r="M199" s="335"/>
      <c r="N199" s="335"/>
      <c r="O199" s="335"/>
      <c r="P199" s="335"/>
      <c r="Q199" s="335"/>
      <c r="R199" s="335"/>
      <c r="S199" s="335"/>
      <c r="T199" s="335"/>
      <c r="U199" s="335"/>
      <c r="V199" s="335"/>
      <c r="W199" s="335"/>
      <c r="X199" s="335"/>
      <c r="Y199" s="335"/>
      <c r="Z199" s="335"/>
      <c r="AA199" s="335"/>
      <c r="AB199" s="335"/>
      <c r="AC199" s="335"/>
      <c r="AD199" s="335"/>
      <c r="AE199" s="335"/>
      <c r="AF199" s="335"/>
      <c r="AG199" s="335"/>
      <c r="AH199" s="335"/>
      <c r="AI199" s="335"/>
      <c r="AJ199" s="335"/>
      <c r="AK199" s="335"/>
      <c r="AL199" s="335"/>
      <c r="AM199" s="335"/>
      <c r="AN199" s="335"/>
      <c r="AO199" s="335"/>
      <c r="AP199" s="335"/>
      <c r="AQ199" s="335"/>
      <c r="AR199" s="335"/>
      <c r="AS199" s="335"/>
      <c r="AT199" s="335"/>
      <c r="AU199" s="335"/>
      <c r="AV199" s="335"/>
      <c r="AW199" s="335"/>
      <c r="AX199" s="335"/>
      <c r="AY199" s="335"/>
      <c r="AZ199" s="335"/>
      <c r="BA199" s="335"/>
      <c r="BB199" s="335"/>
      <c r="BC199" s="335"/>
      <c r="BD199" s="335"/>
      <c r="BE199" s="335"/>
      <c r="BF199" s="335"/>
      <c r="BG199" s="335"/>
      <c r="BH199" s="335"/>
      <c r="BI199" s="335"/>
      <c r="BJ199" s="335"/>
      <c r="BK199" s="335"/>
      <c r="BL199" s="335"/>
      <c r="BM199" s="335"/>
      <c r="BN199" s="335"/>
      <c r="BO199" s="335"/>
      <c r="BP199" s="335"/>
      <c r="BQ199" s="335"/>
      <c r="BR199" s="335"/>
      <c r="BS199" s="335"/>
      <c r="BT199" s="335"/>
      <c r="BU199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196:I197">
    <cfRule type="expression" dxfId="463" priority="167913">
      <formula>C197="CSE"</formula>
    </cfRule>
    <cfRule type="expression" dxfId="462" priority="167914">
      <formula>C197="CSC"</formula>
    </cfRule>
    <cfRule type="expression" dxfId="461" priority="169709">
      <formula>C197="CSE"</formula>
    </cfRule>
    <cfRule type="expression" dxfId="460" priority="169710">
      <formula>C197="CSC"</formula>
    </cfRule>
  </conditionalFormatting>
  <conditionalFormatting sqref="I196:I197">
    <cfRule type="expression" dxfId="459" priority="167911">
      <formula>C196="CSE"</formula>
    </cfRule>
    <cfRule type="expression" dxfId="458" priority="167912">
      <formula>C196="CSC"</formula>
    </cfRule>
    <cfRule type="expression" dxfId="457" priority="169707">
      <formula>C196="CSE"</formula>
    </cfRule>
    <cfRule type="expression" dxfId="456" priority="169708">
      <formula>C196="CSC"</formula>
    </cfRule>
  </conditionalFormatting>
  <conditionalFormatting sqref="J196:J197">
    <cfRule type="cellIs" dxfId="455" priority="167873" operator="equal">
      <formula>"CRECHE"</formula>
    </cfRule>
    <cfRule type="cellIs" dxfId="454" priority="167874" operator="equal">
      <formula>"ADAPTADO"</formula>
    </cfRule>
    <cfRule type="cellIs" dxfId="453" priority="167901" operator="equal">
      <formula>"CRECHE"</formula>
    </cfRule>
    <cfRule type="cellIs" dxfId="452" priority="167902" operator="equal">
      <formula>"ADAPTADO"</formula>
    </cfRule>
  </conditionalFormatting>
  <conditionalFormatting sqref="J196:K197">
    <cfRule type="expression" dxfId="451" priority="167899" stopIfTrue="1">
      <formula>NOT(ISERROR(SEARCH("NORMAL",J196)))</formula>
    </cfRule>
    <cfRule type="expression" dxfId="450" priority="167900" stopIfTrue="1">
      <formula>NOT(ISERROR(SEARCH("ADAPTADO",J196)))</formula>
    </cfRule>
    <cfRule type="expression" dxfId="449" priority="169748" stopIfTrue="1">
      <formula>NOT(ISERROR(SEARCH("NORMAL",J196)))</formula>
    </cfRule>
    <cfRule type="expression" dxfId="448" priority="169749" stopIfTrue="1">
      <formula>NOT(ISERROR(SEARCH("ADAPTADO",J196)))</formula>
    </cfRule>
  </conditionalFormatting>
  <conditionalFormatting sqref="L196:BU196">
    <cfRule type="cellIs" dxfId="447" priority="167897" operator="lessThan">
      <formula>0</formula>
    </cfRule>
    <cfRule type="cellIs" dxfId="446" priority="167898" operator="greaterThan">
      <formula>0</formula>
    </cfRule>
  </conditionalFormatting>
  <conditionalFormatting sqref="I196:I197">
    <cfRule type="expression" dxfId="445" priority="167869">
      <formula>C197="CSE"</formula>
    </cfRule>
    <cfRule type="expression" dxfId="444" priority="167870">
      <formula>C197="CSC"</formula>
    </cfRule>
    <cfRule type="expression" dxfId="443" priority="167871">
      <formula>C197="CSE"</formula>
    </cfRule>
    <cfRule type="expression" dxfId="442" priority="167872">
      <formula>C197="CSC"</formula>
    </cfRule>
  </conditionalFormatting>
  <conditionalFormatting sqref="I196:I197">
    <cfRule type="expression" dxfId="441" priority="167865">
      <formula>C196="CSE"</formula>
    </cfRule>
    <cfRule type="expression" dxfId="440" priority="167866">
      <formula>C196="CSC"</formula>
    </cfRule>
    <cfRule type="expression" dxfId="439" priority="167867">
      <formula>C196="CSE"</formula>
    </cfRule>
    <cfRule type="expression" dxfId="438" priority="167868">
      <formula>C196="CSC"</formula>
    </cfRule>
  </conditionalFormatting>
  <conditionalFormatting sqref="J196:J197">
    <cfRule type="cellIs" dxfId="437" priority="167863" operator="equal">
      <formula>"CRECHE"</formula>
    </cfRule>
    <cfRule type="cellIs" dxfId="436" priority="167864" operator="equal">
      <formula>"ADAPTADO"</formula>
    </cfRule>
  </conditionalFormatting>
  <conditionalFormatting sqref="J196:J197">
    <cfRule type="cellIs" dxfId="435" priority="167859" operator="equal">
      <formula>"CRECHE"</formula>
    </cfRule>
    <cfRule type="cellIs" dxfId="434" priority="167860" operator="equal">
      <formula>"ADAPTADO"</formula>
    </cfRule>
    <cfRule type="cellIs" dxfId="433" priority="167861" operator="equal">
      <formula>"CRECHE"</formula>
    </cfRule>
    <cfRule type="cellIs" dxfId="432" priority="167862" operator="equal">
      <formula>"ADAPTADO"</formula>
    </cfRule>
  </conditionalFormatting>
  <conditionalFormatting sqref="J196:K197">
    <cfRule type="expression" dxfId="431" priority="167855">
      <formula>NOT(ISERROR(SEARCH("NORMAL",J196)))</formula>
    </cfRule>
    <cfRule type="expression" dxfId="430" priority="167856">
      <formula>NOT(ISERROR(SEARCH("ADAPTADO",J196)))</formula>
    </cfRule>
    <cfRule type="expression" dxfId="429" priority="167857">
      <formula>NOT(ISERROR(SEARCH("NORMAL",J196)))</formula>
    </cfRule>
    <cfRule type="expression" dxfId="428" priority="167858">
      <formula>NOT(ISERROR(SEARCH("ADAPTADO",J196)))</formula>
    </cfRule>
  </conditionalFormatting>
  <conditionalFormatting sqref="I196:I197">
    <cfRule type="expression" dxfId="427" priority="124010">
      <formula>C197="CSC"</formula>
    </cfRule>
  </conditionalFormatting>
  <conditionalFormatting sqref="I196:I197">
    <cfRule type="expression" dxfId="426" priority="124009">
      <formula>C197="CSE"</formula>
    </cfRule>
  </conditionalFormatting>
  <conditionalFormatting sqref="I196:I197">
    <cfRule type="expression" dxfId="425" priority="124008">
      <formula>C196="CSC"</formula>
    </cfRule>
  </conditionalFormatting>
  <conditionalFormatting sqref="I196:I197">
    <cfRule type="expression" dxfId="424" priority="123987">
      <formula>C196="CSE"</formula>
    </cfRule>
  </conditionalFormatting>
  <conditionalFormatting sqref="J196:J197">
    <cfRule type="cellIs" dxfId="423" priority="123985" operator="equal">
      <formula>"CRECHE"</formula>
    </cfRule>
    <cfRule type="cellIs" dxfId="422" priority="123986" operator="equal">
      <formula>"ADAPTADO"</formula>
    </cfRule>
  </conditionalFormatting>
  <conditionalFormatting sqref="J196:K197">
    <cfRule type="expression" dxfId="421" priority="123979" stopIfTrue="1">
      <formula>NOT(ISERROR(SEARCH("NORMAL",J196)))</formula>
    </cfRule>
    <cfRule type="expression" dxfId="420" priority="123980" stopIfTrue="1">
      <formula>NOT(ISERROR(SEARCH("ADAPTADO",J196)))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5">
    <cfRule type="cellIs" dxfId="419" priority="62571" operator="lessThan">
      <formula>0</formula>
    </cfRule>
    <cfRule type="cellIs" dxfId="418" priority="62572" operator="greaterThan">
      <formula>0</formula>
    </cfRule>
  </conditionalFormatting>
  <conditionalFormatting sqref="I6:I195">
    <cfRule type="expression" dxfId="417" priority="391">
      <formula>C7="CSE"</formula>
    </cfRule>
    <cfRule type="expression" dxfId="416" priority="392">
      <formula>C7="CSC"</formula>
    </cfRule>
    <cfRule type="expression" dxfId="415" priority="393">
      <formula>C7="CSE"</formula>
    </cfRule>
    <cfRule type="expression" dxfId="414" priority="394">
      <formula>C7="CSC"</formula>
    </cfRule>
  </conditionalFormatting>
  <conditionalFormatting sqref="I10">
    <cfRule type="expression" dxfId="413" priority="383">
      <formula>C10="CSE"</formula>
    </cfRule>
    <cfRule type="expression" dxfId="412" priority="384">
      <formula>C10="CSC"</formula>
    </cfRule>
    <cfRule type="expression" dxfId="411" priority="385">
      <formula>C10="CSE"</formula>
    </cfRule>
    <cfRule type="expression" dxfId="410" priority="386">
      <formula>C10="CSC"</formula>
    </cfRule>
    <cfRule type="expression" dxfId="409" priority="387">
      <formula>C10="CSE"</formula>
    </cfRule>
    <cfRule type="expression" dxfId="408" priority="388">
      <formula>C10="CSC"</formula>
    </cfRule>
    <cfRule type="expression" dxfId="407" priority="389">
      <formula>C10="CSE"</formula>
    </cfRule>
    <cfRule type="expression" dxfId="406" priority="390">
      <formula>C10="CSC"</formula>
    </cfRule>
  </conditionalFormatting>
  <conditionalFormatting sqref="I15">
    <cfRule type="expression" dxfId="405" priority="375">
      <formula>C15="CSE"</formula>
    </cfRule>
    <cfRule type="expression" dxfId="404" priority="376">
      <formula>C15="CSC"</formula>
    </cfRule>
    <cfRule type="expression" dxfId="403" priority="377">
      <formula>C15="CSE"</formula>
    </cfRule>
    <cfRule type="expression" dxfId="402" priority="378">
      <formula>C15="CSC"</formula>
    </cfRule>
    <cfRule type="expression" dxfId="401" priority="379">
      <formula>C15="CSE"</formula>
    </cfRule>
    <cfRule type="expression" dxfId="400" priority="380">
      <formula>C15="CSC"</formula>
    </cfRule>
    <cfRule type="expression" dxfId="399" priority="381">
      <formula>C15="CSE"</formula>
    </cfRule>
    <cfRule type="expression" dxfId="398" priority="382">
      <formula>C15="CSC"</formula>
    </cfRule>
  </conditionalFormatting>
  <conditionalFormatting sqref="I20">
    <cfRule type="expression" dxfId="397" priority="367">
      <formula>C20="CSE"</formula>
    </cfRule>
    <cfRule type="expression" dxfId="396" priority="368">
      <formula>C20="CSC"</formula>
    </cfRule>
    <cfRule type="expression" dxfId="395" priority="369">
      <formula>C20="CSE"</formula>
    </cfRule>
    <cfRule type="expression" dxfId="394" priority="370">
      <formula>C20="CSC"</formula>
    </cfRule>
    <cfRule type="expression" dxfId="393" priority="371">
      <formula>C20="CSE"</formula>
    </cfRule>
    <cfRule type="expression" dxfId="392" priority="372">
      <formula>C20="CSC"</formula>
    </cfRule>
    <cfRule type="expression" dxfId="391" priority="373">
      <formula>C20="CSE"</formula>
    </cfRule>
    <cfRule type="expression" dxfId="390" priority="374">
      <formula>C20="CSC"</formula>
    </cfRule>
  </conditionalFormatting>
  <conditionalFormatting sqref="I25">
    <cfRule type="expression" dxfId="389" priority="359">
      <formula>C25="CSE"</formula>
    </cfRule>
    <cfRule type="expression" dxfId="388" priority="360">
      <formula>C25="CSC"</formula>
    </cfRule>
    <cfRule type="expression" dxfId="387" priority="361">
      <formula>C25="CSE"</formula>
    </cfRule>
    <cfRule type="expression" dxfId="386" priority="362">
      <formula>C25="CSC"</formula>
    </cfRule>
    <cfRule type="expression" dxfId="385" priority="363">
      <formula>C25="CSE"</formula>
    </cfRule>
    <cfRule type="expression" dxfId="384" priority="364">
      <formula>C25="CSC"</formula>
    </cfRule>
    <cfRule type="expression" dxfId="383" priority="365">
      <formula>C25="CSE"</formula>
    </cfRule>
    <cfRule type="expression" dxfId="382" priority="366">
      <formula>C25="CSC"</formula>
    </cfRule>
  </conditionalFormatting>
  <conditionalFormatting sqref="I30">
    <cfRule type="expression" dxfId="381" priority="351">
      <formula>C30="CSE"</formula>
    </cfRule>
    <cfRule type="expression" dxfId="380" priority="352">
      <formula>C30="CSC"</formula>
    </cfRule>
    <cfRule type="expression" dxfId="379" priority="353">
      <formula>C30="CSE"</formula>
    </cfRule>
    <cfRule type="expression" dxfId="378" priority="354">
      <formula>C30="CSC"</formula>
    </cfRule>
    <cfRule type="expression" dxfId="377" priority="355">
      <formula>C30="CSE"</formula>
    </cfRule>
    <cfRule type="expression" dxfId="376" priority="356">
      <formula>C30="CSC"</formula>
    </cfRule>
    <cfRule type="expression" dxfId="375" priority="357">
      <formula>C30="CSE"</formula>
    </cfRule>
    <cfRule type="expression" dxfId="374" priority="358">
      <formula>C30="CSC"</formula>
    </cfRule>
  </conditionalFormatting>
  <conditionalFormatting sqref="I35">
    <cfRule type="expression" dxfId="373" priority="343">
      <formula>C35="CSE"</formula>
    </cfRule>
    <cfRule type="expression" dxfId="372" priority="344">
      <formula>C35="CSC"</formula>
    </cfRule>
    <cfRule type="expression" dxfId="371" priority="345">
      <formula>C35="CSE"</formula>
    </cfRule>
    <cfRule type="expression" dxfId="370" priority="346">
      <formula>C35="CSC"</formula>
    </cfRule>
    <cfRule type="expression" dxfId="369" priority="347">
      <formula>C35="CSE"</formula>
    </cfRule>
    <cfRule type="expression" dxfId="368" priority="348">
      <formula>C35="CSC"</formula>
    </cfRule>
    <cfRule type="expression" dxfId="367" priority="349">
      <formula>C35="CSE"</formula>
    </cfRule>
    <cfRule type="expression" dxfId="366" priority="350">
      <formula>C35="CSC"</formula>
    </cfRule>
  </conditionalFormatting>
  <conditionalFormatting sqref="I40">
    <cfRule type="expression" dxfId="365" priority="335">
      <formula>C40="CSE"</formula>
    </cfRule>
    <cfRule type="expression" dxfId="364" priority="336">
      <formula>C40="CSC"</formula>
    </cfRule>
    <cfRule type="expression" dxfId="363" priority="337">
      <formula>C40="CSE"</formula>
    </cfRule>
    <cfRule type="expression" dxfId="362" priority="338">
      <formula>C40="CSC"</formula>
    </cfRule>
    <cfRule type="expression" dxfId="361" priority="339">
      <formula>C40="CSE"</formula>
    </cfRule>
    <cfRule type="expression" dxfId="360" priority="340">
      <formula>C40="CSC"</formula>
    </cfRule>
    <cfRule type="expression" dxfId="359" priority="341">
      <formula>C40="CSE"</formula>
    </cfRule>
    <cfRule type="expression" dxfId="358" priority="342">
      <formula>C40="CSC"</formula>
    </cfRule>
  </conditionalFormatting>
  <conditionalFormatting sqref="I45">
    <cfRule type="expression" dxfId="357" priority="327">
      <formula>C45="CSE"</formula>
    </cfRule>
    <cfRule type="expression" dxfId="356" priority="328">
      <formula>C45="CSC"</formula>
    </cfRule>
    <cfRule type="expression" dxfId="355" priority="329">
      <formula>C45="CSE"</formula>
    </cfRule>
    <cfRule type="expression" dxfId="354" priority="330">
      <formula>C45="CSC"</formula>
    </cfRule>
    <cfRule type="expression" dxfId="353" priority="331">
      <formula>C45="CSE"</formula>
    </cfRule>
    <cfRule type="expression" dxfId="352" priority="332">
      <formula>C45="CSC"</formula>
    </cfRule>
    <cfRule type="expression" dxfId="351" priority="333">
      <formula>C45="CSE"</formula>
    </cfRule>
    <cfRule type="expression" dxfId="350" priority="334">
      <formula>C45="CSC"</formula>
    </cfRule>
  </conditionalFormatting>
  <conditionalFormatting sqref="I50">
    <cfRule type="expression" dxfId="349" priority="319">
      <formula>C50="CSE"</formula>
    </cfRule>
    <cfRule type="expression" dxfId="348" priority="320">
      <formula>C50="CSC"</formula>
    </cfRule>
    <cfRule type="expression" dxfId="347" priority="321">
      <formula>C50="CSE"</formula>
    </cfRule>
    <cfRule type="expression" dxfId="346" priority="322">
      <formula>C50="CSC"</formula>
    </cfRule>
    <cfRule type="expression" dxfId="345" priority="323">
      <formula>C50="CSE"</formula>
    </cfRule>
    <cfRule type="expression" dxfId="344" priority="324">
      <formula>C50="CSC"</formula>
    </cfRule>
    <cfRule type="expression" dxfId="343" priority="325">
      <formula>C50="CSE"</formula>
    </cfRule>
    <cfRule type="expression" dxfId="342" priority="326">
      <formula>C50="CSC"</formula>
    </cfRule>
  </conditionalFormatting>
  <conditionalFormatting sqref="I55">
    <cfRule type="expression" dxfId="341" priority="311">
      <formula>C55="CSE"</formula>
    </cfRule>
    <cfRule type="expression" dxfId="340" priority="312">
      <formula>C55="CSC"</formula>
    </cfRule>
    <cfRule type="expression" dxfId="339" priority="313">
      <formula>C55="CSE"</formula>
    </cfRule>
    <cfRule type="expression" dxfId="338" priority="314">
      <formula>C55="CSC"</formula>
    </cfRule>
    <cfRule type="expression" dxfId="337" priority="315">
      <formula>C55="CSE"</formula>
    </cfRule>
    <cfRule type="expression" dxfId="336" priority="316">
      <formula>C55="CSC"</formula>
    </cfRule>
    <cfRule type="expression" dxfId="335" priority="317">
      <formula>C55="CSE"</formula>
    </cfRule>
    <cfRule type="expression" dxfId="334" priority="318">
      <formula>C55="CSC"</formula>
    </cfRule>
  </conditionalFormatting>
  <conditionalFormatting sqref="I60">
    <cfRule type="expression" dxfId="333" priority="303">
      <formula>C60="CSE"</formula>
    </cfRule>
    <cfRule type="expression" dxfId="332" priority="304">
      <formula>C60="CSC"</formula>
    </cfRule>
    <cfRule type="expression" dxfId="331" priority="305">
      <formula>C60="CSE"</formula>
    </cfRule>
    <cfRule type="expression" dxfId="330" priority="306">
      <formula>C60="CSC"</formula>
    </cfRule>
    <cfRule type="expression" dxfId="329" priority="307">
      <formula>C60="CSE"</formula>
    </cfRule>
    <cfRule type="expression" dxfId="328" priority="308">
      <formula>C60="CSC"</formula>
    </cfRule>
    <cfRule type="expression" dxfId="327" priority="309">
      <formula>C60="CSE"</formula>
    </cfRule>
    <cfRule type="expression" dxfId="326" priority="310">
      <formula>C60="CSC"</formula>
    </cfRule>
  </conditionalFormatting>
  <conditionalFormatting sqref="I65">
    <cfRule type="expression" dxfId="325" priority="295">
      <formula>C65="CSE"</formula>
    </cfRule>
    <cfRule type="expression" dxfId="324" priority="296">
      <formula>C65="CSC"</formula>
    </cfRule>
    <cfRule type="expression" dxfId="323" priority="297">
      <formula>C65="CSE"</formula>
    </cfRule>
    <cfRule type="expression" dxfId="322" priority="298">
      <formula>C65="CSC"</formula>
    </cfRule>
    <cfRule type="expression" dxfId="321" priority="299">
      <formula>C65="CSE"</formula>
    </cfRule>
    <cfRule type="expression" dxfId="320" priority="300">
      <formula>C65="CSC"</formula>
    </cfRule>
    <cfRule type="expression" dxfId="319" priority="301">
      <formula>C65="CSE"</formula>
    </cfRule>
    <cfRule type="expression" dxfId="318" priority="302">
      <formula>C65="CSC"</formula>
    </cfRule>
  </conditionalFormatting>
  <conditionalFormatting sqref="I70">
    <cfRule type="expression" dxfId="317" priority="287">
      <formula>C70="CSE"</formula>
    </cfRule>
    <cfRule type="expression" dxfId="316" priority="288">
      <formula>C70="CSC"</formula>
    </cfRule>
    <cfRule type="expression" dxfId="315" priority="289">
      <formula>C70="CSE"</formula>
    </cfRule>
    <cfRule type="expression" dxfId="314" priority="290">
      <formula>C70="CSC"</formula>
    </cfRule>
    <cfRule type="expression" dxfId="313" priority="291">
      <formula>C70="CSE"</formula>
    </cfRule>
    <cfRule type="expression" dxfId="312" priority="292">
      <formula>C70="CSC"</formula>
    </cfRule>
    <cfRule type="expression" dxfId="311" priority="293">
      <formula>C70="CSE"</formula>
    </cfRule>
    <cfRule type="expression" dxfId="310" priority="294">
      <formula>C70="CSC"</formula>
    </cfRule>
  </conditionalFormatting>
  <conditionalFormatting sqref="I75">
    <cfRule type="expression" dxfId="309" priority="279">
      <formula>C75="CSE"</formula>
    </cfRule>
    <cfRule type="expression" dxfId="308" priority="280">
      <formula>C75="CSC"</formula>
    </cfRule>
    <cfRule type="expression" dxfId="307" priority="281">
      <formula>C75="CSE"</formula>
    </cfRule>
    <cfRule type="expression" dxfId="306" priority="282">
      <formula>C75="CSC"</formula>
    </cfRule>
    <cfRule type="expression" dxfId="305" priority="283">
      <formula>C75="CSE"</formula>
    </cfRule>
    <cfRule type="expression" dxfId="304" priority="284">
      <formula>C75="CSC"</formula>
    </cfRule>
    <cfRule type="expression" dxfId="303" priority="285">
      <formula>C75="CSE"</formula>
    </cfRule>
    <cfRule type="expression" dxfId="302" priority="286">
      <formula>C75="CSC"</formula>
    </cfRule>
  </conditionalFormatting>
  <conditionalFormatting sqref="I80">
    <cfRule type="expression" dxfId="301" priority="271">
      <formula>C80="CSE"</formula>
    </cfRule>
    <cfRule type="expression" dxfId="300" priority="272">
      <formula>C80="CSC"</formula>
    </cfRule>
    <cfRule type="expression" dxfId="299" priority="273">
      <formula>C80="CSE"</formula>
    </cfRule>
    <cfRule type="expression" dxfId="298" priority="274">
      <formula>C80="CSC"</formula>
    </cfRule>
    <cfRule type="expression" dxfId="297" priority="275">
      <formula>C80="CSE"</formula>
    </cfRule>
    <cfRule type="expression" dxfId="296" priority="276">
      <formula>C80="CSC"</formula>
    </cfRule>
    <cfRule type="expression" dxfId="295" priority="277">
      <formula>C80="CSE"</formula>
    </cfRule>
    <cfRule type="expression" dxfId="294" priority="278">
      <formula>C80="CSC"</formula>
    </cfRule>
  </conditionalFormatting>
  <conditionalFormatting sqref="I85">
    <cfRule type="expression" dxfId="293" priority="263">
      <formula>C85="CSE"</formula>
    </cfRule>
    <cfRule type="expression" dxfId="292" priority="264">
      <formula>C85="CSC"</formula>
    </cfRule>
    <cfRule type="expression" dxfId="291" priority="265">
      <formula>C85="CSE"</formula>
    </cfRule>
    <cfRule type="expression" dxfId="290" priority="266">
      <formula>C85="CSC"</formula>
    </cfRule>
    <cfRule type="expression" dxfId="289" priority="267">
      <formula>C85="CSE"</formula>
    </cfRule>
    <cfRule type="expression" dxfId="288" priority="268">
      <formula>C85="CSC"</formula>
    </cfRule>
    <cfRule type="expression" dxfId="287" priority="269">
      <formula>C85="CSE"</formula>
    </cfRule>
    <cfRule type="expression" dxfId="286" priority="270">
      <formula>C85="CSC"</formula>
    </cfRule>
  </conditionalFormatting>
  <conditionalFormatting sqref="I90">
    <cfRule type="expression" dxfId="285" priority="255">
      <formula>C90="CSE"</formula>
    </cfRule>
    <cfRule type="expression" dxfId="284" priority="256">
      <formula>C90="CSC"</formula>
    </cfRule>
    <cfRule type="expression" dxfId="283" priority="257">
      <formula>C90="CSE"</formula>
    </cfRule>
    <cfRule type="expression" dxfId="282" priority="258">
      <formula>C90="CSC"</formula>
    </cfRule>
    <cfRule type="expression" dxfId="281" priority="259">
      <formula>C90="CSE"</formula>
    </cfRule>
    <cfRule type="expression" dxfId="280" priority="260">
      <formula>C90="CSC"</formula>
    </cfRule>
    <cfRule type="expression" dxfId="279" priority="261">
      <formula>C90="CSE"</formula>
    </cfRule>
    <cfRule type="expression" dxfId="278" priority="262">
      <formula>C90="CSC"</formula>
    </cfRule>
  </conditionalFormatting>
  <conditionalFormatting sqref="I95">
    <cfRule type="expression" dxfId="277" priority="247">
      <formula>C95="CSE"</formula>
    </cfRule>
    <cfRule type="expression" dxfId="276" priority="248">
      <formula>C95="CSC"</formula>
    </cfRule>
    <cfRule type="expression" dxfId="275" priority="249">
      <formula>C95="CSE"</formula>
    </cfRule>
    <cfRule type="expression" dxfId="274" priority="250">
      <formula>C95="CSC"</formula>
    </cfRule>
    <cfRule type="expression" dxfId="273" priority="251">
      <formula>C95="CSE"</formula>
    </cfRule>
    <cfRule type="expression" dxfId="272" priority="252">
      <formula>C95="CSC"</formula>
    </cfRule>
    <cfRule type="expression" dxfId="271" priority="253">
      <formula>C95="CSE"</formula>
    </cfRule>
    <cfRule type="expression" dxfId="270" priority="254">
      <formula>C95="CSC"</formula>
    </cfRule>
  </conditionalFormatting>
  <conditionalFormatting sqref="I100">
    <cfRule type="expression" dxfId="269" priority="239">
      <formula>C100="CSE"</formula>
    </cfRule>
    <cfRule type="expression" dxfId="268" priority="240">
      <formula>C100="CSC"</formula>
    </cfRule>
    <cfRule type="expression" dxfId="267" priority="241">
      <formula>C100="CSE"</formula>
    </cfRule>
    <cfRule type="expression" dxfId="266" priority="242">
      <formula>C100="CSC"</formula>
    </cfRule>
    <cfRule type="expression" dxfId="265" priority="243">
      <formula>C100="CSE"</formula>
    </cfRule>
    <cfRule type="expression" dxfId="264" priority="244">
      <formula>C100="CSC"</formula>
    </cfRule>
    <cfRule type="expression" dxfId="263" priority="245">
      <formula>C100="CSE"</formula>
    </cfRule>
    <cfRule type="expression" dxfId="262" priority="246">
      <formula>C100="CSC"</formula>
    </cfRule>
  </conditionalFormatting>
  <conditionalFormatting sqref="I105">
    <cfRule type="expression" dxfId="261" priority="231">
      <formula>C105="CSE"</formula>
    </cfRule>
    <cfRule type="expression" dxfId="260" priority="232">
      <formula>C105="CSC"</formula>
    </cfRule>
    <cfRule type="expression" dxfId="259" priority="233">
      <formula>C105="CSE"</formula>
    </cfRule>
    <cfRule type="expression" dxfId="258" priority="234">
      <formula>C105="CSC"</formula>
    </cfRule>
    <cfRule type="expression" dxfId="257" priority="235">
      <formula>C105="CSE"</formula>
    </cfRule>
    <cfRule type="expression" dxfId="256" priority="236">
      <formula>C105="CSC"</formula>
    </cfRule>
    <cfRule type="expression" dxfId="255" priority="237">
      <formula>C105="CSE"</formula>
    </cfRule>
    <cfRule type="expression" dxfId="254" priority="238">
      <formula>C105="CSC"</formula>
    </cfRule>
  </conditionalFormatting>
  <conditionalFormatting sqref="I110">
    <cfRule type="expression" dxfId="253" priority="223">
      <formula>C110="CSE"</formula>
    </cfRule>
    <cfRule type="expression" dxfId="252" priority="224">
      <formula>C110="CSC"</formula>
    </cfRule>
    <cfRule type="expression" dxfId="251" priority="225">
      <formula>C110="CSE"</formula>
    </cfRule>
    <cfRule type="expression" dxfId="250" priority="226">
      <formula>C110="CSC"</formula>
    </cfRule>
    <cfRule type="expression" dxfId="249" priority="227">
      <formula>C110="CSE"</formula>
    </cfRule>
    <cfRule type="expression" dxfId="248" priority="228">
      <formula>C110="CSC"</formula>
    </cfRule>
    <cfRule type="expression" dxfId="247" priority="229">
      <formula>C110="CSE"</formula>
    </cfRule>
    <cfRule type="expression" dxfId="246" priority="230">
      <formula>C110="CSC"</formula>
    </cfRule>
  </conditionalFormatting>
  <conditionalFormatting sqref="I115">
    <cfRule type="expression" dxfId="245" priority="215">
      <formula>C115="CSE"</formula>
    </cfRule>
    <cfRule type="expression" dxfId="244" priority="216">
      <formula>C115="CSC"</formula>
    </cfRule>
    <cfRule type="expression" dxfId="243" priority="217">
      <formula>C115="CSE"</formula>
    </cfRule>
    <cfRule type="expression" dxfId="242" priority="218">
      <formula>C115="CSC"</formula>
    </cfRule>
    <cfRule type="expression" dxfId="241" priority="219">
      <formula>C115="CSE"</formula>
    </cfRule>
    <cfRule type="expression" dxfId="240" priority="220">
      <formula>C115="CSC"</formula>
    </cfRule>
    <cfRule type="expression" dxfId="239" priority="221">
      <formula>C115="CSE"</formula>
    </cfRule>
    <cfRule type="expression" dxfId="238" priority="222">
      <formula>C115="CSC"</formula>
    </cfRule>
  </conditionalFormatting>
  <conditionalFormatting sqref="I120">
    <cfRule type="expression" dxfId="237" priority="207">
      <formula>C120="CSE"</formula>
    </cfRule>
    <cfRule type="expression" dxfId="236" priority="208">
      <formula>C120="CSC"</formula>
    </cfRule>
    <cfRule type="expression" dxfId="235" priority="209">
      <formula>C120="CSE"</formula>
    </cfRule>
    <cfRule type="expression" dxfId="234" priority="210">
      <formula>C120="CSC"</formula>
    </cfRule>
    <cfRule type="expression" dxfId="233" priority="211">
      <formula>C120="CSE"</formula>
    </cfRule>
    <cfRule type="expression" dxfId="232" priority="212">
      <formula>C120="CSC"</formula>
    </cfRule>
    <cfRule type="expression" dxfId="231" priority="213">
      <formula>C120="CSE"</formula>
    </cfRule>
    <cfRule type="expression" dxfId="230" priority="214">
      <formula>C120="CSC"</formula>
    </cfRule>
  </conditionalFormatting>
  <conditionalFormatting sqref="I125">
    <cfRule type="expression" dxfId="229" priority="199">
      <formula>C125="CSE"</formula>
    </cfRule>
    <cfRule type="expression" dxfId="228" priority="200">
      <formula>C125="CSC"</formula>
    </cfRule>
    <cfRule type="expression" dxfId="227" priority="201">
      <formula>C125="CSE"</formula>
    </cfRule>
    <cfRule type="expression" dxfId="226" priority="202">
      <formula>C125="CSC"</formula>
    </cfRule>
    <cfRule type="expression" dxfId="225" priority="203">
      <formula>C125="CSE"</formula>
    </cfRule>
    <cfRule type="expression" dxfId="224" priority="204">
      <formula>C125="CSC"</formula>
    </cfRule>
    <cfRule type="expression" dxfId="223" priority="205">
      <formula>C125="CSE"</formula>
    </cfRule>
    <cfRule type="expression" dxfId="222" priority="206">
      <formula>C125="CSC"</formula>
    </cfRule>
  </conditionalFormatting>
  <conditionalFormatting sqref="I130">
    <cfRule type="expression" dxfId="221" priority="191">
      <formula>C130="CSE"</formula>
    </cfRule>
    <cfRule type="expression" dxfId="220" priority="192">
      <formula>C130="CSC"</formula>
    </cfRule>
    <cfRule type="expression" dxfId="219" priority="193">
      <formula>C130="CSE"</formula>
    </cfRule>
    <cfRule type="expression" dxfId="218" priority="194">
      <formula>C130="CSC"</formula>
    </cfRule>
    <cfRule type="expression" dxfId="217" priority="195">
      <formula>C130="CSE"</formula>
    </cfRule>
    <cfRule type="expression" dxfId="216" priority="196">
      <formula>C130="CSC"</formula>
    </cfRule>
    <cfRule type="expression" dxfId="215" priority="197">
      <formula>C130="CSE"</formula>
    </cfRule>
    <cfRule type="expression" dxfId="214" priority="198">
      <formula>C130="CSC"</formula>
    </cfRule>
  </conditionalFormatting>
  <conditionalFormatting sqref="I135">
    <cfRule type="expression" dxfId="213" priority="183">
      <formula>C135="CSE"</formula>
    </cfRule>
    <cfRule type="expression" dxfId="212" priority="184">
      <formula>C135="CSC"</formula>
    </cfRule>
    <cfRule type="expression" dxfId="211" priority="185">
      <formula>C135="CSE"</formula>
    </cfRule>
    <cfRule type="expression" dxfId="210" priority="186">
      <formula>C135="CSC"</formula>
    </cfRule>
    <cfRule type="expression" dxfId="209" priority="187">
      <formula>C135="CSE"</formula>
    </cfRule>
    <cfRule type="expression" dxfId="208" priority="188">
      <formula>C135="CSC"</formula>
    </cfRule>
    <cfRule type="expression" dxfId="207" priority="189">
      <formula>C135="CSE"</formula>
    </cfRule>
    <cfRule type="expression" dxfId="206" priority="190">
      <formula>C135="CSC"</formula>
    </cfRule>
  </conditionalFormatting>
  <conditionalFormatting sqref="I140">
    <cfRule type="expression" dxfId="205" priority="175">
      <formula>C140="CSE"</formula>
    </cfRule>
    <cfRule type="expression" dxfId="204" priority="176">
      <formula>C140="CSC"</formula>
    </cfRule>
    <cfRule type="expression" dxfId="203" priority="177">
      <formula>C140="CSE"</formula>
    </cfRule>
    <cfRule type="expression" dxfId="202" priority="178">
      <formula>C140="CSC"</formula>
    </cfRule>
    <cfRule type="expression" dxfId="201" priority="179">
      <formula>C140="CSE"</formula>
    </cfRule>
    <cfRule type="expression" dxfId="200" priority="180">
      <formula>C140="CSC"</formula>
    </cfRule>
    <cfRule type="expression" dxfId="199" priority="181">
      <formula>C140="CSE"</formula>
    </cfRule>
    <cfRule type="expression" dxfId="198" priority="182">
      <formula>C140="CSC"</formula>
    </cfRule>
  </conditionalFormatting>
  <conditionalFormatting sqref="I145">
    <cfRule type="expression" dxfId="197" priority="167">
      <formula>C145="CSE"</formula>
    </cfRule>
    <cfRule type="expression" dxfId="196" priority="168">
      <formula>C145="CSC"</formula>
    </cfRule>
    <cfRule type="expression" dxfId="195" priority="169">
      <formula>C145="CSE"</formula>
    </cfRule>
    <cfRule type="expression" dxfId="194" priority="170">
      <formula>C145="CSC"</formula>
    </cfRule>
    <cfRule type="expression" dxfId="193" priority="171">
      <formula>C145="CSE"</formula>
    </cfRule>
    <cfRule type="expression" dxfId="192" priority="172">
      <formula>C145="CSC"</formula>
    </cfRule>
    <cfRule type="expression" dxfId="191" priority="173">
      <formula>C145="CSE"</formula>
    </cfRule>
    <cfRule type="expression" dxfId="190" priority="174">
      <formula>C145="CSC"</formula>
    </cfRule>
  </conditionalFormatting>
  <conditionalFormatting sqref="I150">
    <cfRule type="expression" dxfId="189" priority="159">
      <formula>C150="CSE"</formula>
    </cfRule>
    <cfRule type="expression" dxfId="188" priority="160">
      <formula>C150="CSC"</formula>
    </cfRule>
    <cfRule type="expression" dxfId="187" priority="161">
      <formula>C150="CSE"</formula>
    </cfRule>
    <cfRule type="expression" dxfId="186" priority="162">
      <formula>C150="CSC"</formula>
    </cfRule>
    <cfRule type="expression" dxfId="185" priority="163">
      <formula>C150="CSE"</formula>
    </cfRule>
    <cfRule type="expression" dxfId="184" priority="164">
      <formula>C150="CSC"</formula>
    </cfRule>
    <cfRule type="expression" dxfId="183" priority="165">
      <formula>C150="CSE"</formula>
    </cfRule>
    <cfRule type="expression" dxfId="182" priority="166">
      <formula>C150="CSC"</formula>
    </cfRule>
  </conditionalFormatting>
  <conditionalFormatting sqref="I155">
    <cfRule type="expression" dxfId="181" priority="151">
      <formula>C155="CSE"</formula>
    </cfRule>
    <cfRule type="expression" dxfId="180" priority="152">
      <formula>C155="CSC"</formula>
    </cfRule>
    <cfRule type="expression" dxfId="179" priority="153">
      <formula>C155="CSE"</formula>
    </cfRule>
    <cfRule type="expression" dxfId="178" priority="154">
      <formula>C155="CSC"</formula>
    </cfRule>
    <cfRule type="expression" dxfId="177" priority="155">
      <formula>C155="CSE"</formula>
    </cfRule>
    <cfRule type="expression" dxfId="176" priority="156">
      <formula>C155="CSC"</formula>
    </cfRule>
    <cfRule type="expression" dxfId="175" priority="157">
      <formula>C155="CSE"</formula>
    </cfRule>
    <cfRule type="expression" dxfId="174" priority="158">
      <formula>C155="CSC"</formula>
    </cfRule>
  </conditionalFormatting>
  <conditionalFormatting sqref="I160">
    <cfRule type="expression" dxfId="173" priority="143">
      <formula>C160="CSE"</formula>
    </cfRule>
    <cfRule type="expression" dxfId="172" priority="144">
      <formula>C160="CSC"</formula>
    </cfRule>
    <cfRule type="expression" dxfId="171" priority="145">
      <formula>C160="CSE"</formula>
    </cfRule>
    <cfRule type="expression" dxfId="170" priority="146">
      <formula>C160="CSC"</formula>
    </cfRule>
    <cfRule type="expression" dxfId="169" priority="147">
      <formula>C160="CSE"</formula>
    </cfRule>
    <cfRule type="expression" dxfId="168" priority="148">
      <formula>C160="CSC"</formula>
    </cfRule>
    <cfRule type="expression" dxfId="167" priority="149">
      <formula>C160="CSE"</formula>
    </cfRule>
    <cfRule type="expression" dxfId="166" priority="150">
      <formula>C160="CSC"</formula>
    </cfRule>
  </conditionalFormatting>
  <conditionalFormatting sqref="I165">
    <cfRule type="expression" dxfId="165" priority="135">
      <formula>C165="CSE"</formula>
    </cfRule>
    <cfRule type="expression" dxfId="164" priority="136">
      <formula>C165="CSC"</formula>
    </cfRule>
    <cfRule type="expression" dxfId="163" priority="137">
      <formula>C165="CSE"</formula>
    </cfRule>
    <cfRule type="expression" dxfId="162" priority="138">
      <formula>C165="CSC"</formula>
    </cfRule>
    <cfRule type="expression" dxfId="161" priority="139">
      <formula>C165="CSE"</formula>
    </cfRule>
    <cfRule type="expression" dxfId="160" priority="140">
      <formula>C165="CSC"</formula>
    </cfRule>
    <cfRule type="expression" dxfId="159" priority="141">
      <formula>C165="CSE"</formula>
    </cfRule>
    <cfRule type="expression" dxfId="158" priority="142">
      <formula>C165="CSC"</formula>
    </cfRule>
  </conditionalFormatting>
  <conditionalFormatting sqref="I170">
    <cfRule type="expression" dxfId="157" priority="127">
      <formula>C170="CSE"</formula>
    </cfRule>
    <cfRule type="expression" dxfId="156" priority="128">
      <formula>C170="CSC"</formula>
    </cfRule>
    <cfRule type="expression" dxfId="155" priority="129">
      <formula>C170="CSE"</formula>
    </cfRule>
    <cfRule type="expression" dxfId="154" priority="130">
      <formula>C170="CSC"</formula>
    </cfRule>
    <cfRule type="expression" dxfId="153" priority="131">
      <formula>C170="CSE"</formula>
    </cfRule>
    <cfRule type="expression" dxfId="152" priority="132">
      <formula>C170="CSC"</formula>
    </cfRule>
    <cfRule type="expression" dxfId="151" priority="133">
      <formula>C170="CSE"</formula>
    </cfRule>
    <cfRule type="expression" dxfId="150" priority="134">
      <formula>C170="CSC"</formula>
    </cfRule>
  </conditionalFormatting>
  <conditionalFormatting sqref="I175">
    <cfRule type="expression" dxfId="149" priority="119">
      <formula>C175="CSE"</formula>
    </cfRule>
    <cfRule type="expression" dxfId="148" priority="120">
      <formula>C175="CSC"</formula>
    </cfRule>
    <cfRule type="expression" dxfId="147" priority="121">
      <formula>C175="CSE"</formula>
    </cfRule>
    <cfRule type="expression" dxfId="146" priority="122">
      <formula>C175="CSC"</formula>
    </cfRule>
    <cfRule type="expression" dxfId="145" priority="123">
      <formula>C175="CSE"</formula>
    </cfRule>
    <cfRule type="expression" dxfId="144" priority="124">
      <formula>C175="CSC"</formula>
    </cfRule>
    <cfRule type="expression" dxfId="143" priority="125">
      <formula>C175="CSE"</formula>
    </cfRule>
    <cfRule type="expression" dxfId="142" priority="126">
      <formula>C175="CSC"</formula>
    </cfRule>
  </conditionalFormatting>
  <conditionalFormatting sqref="I180">
    <cfRule type="expression" dxfId="141" priority="111">
      <formula>C180="CSE"</formula>
    </cfRule>
    <cfRule type="expression" dxfId="140" priority="112">
      <formula>C180="CSC"</formula>
    </cfRule>
    <cfRule type="expression" dxfId="139" priority="113">
      <formula>C180="CSE"</formula>
    </cfRule>
    <cfRule type="expression" dxfId="138" priority="114">
      <formula>C180="CSC"</formula>
    </cfRule>
    <cfRule type="expression" dxfId="137" priority="115">
      <formula>C180="CSE"</formula>
    </cfRule>
    <cfRule type="expression" dxfId="136" priority="116">
      <formula>C180="CSC"</formula>
    </cfRule>
    <cfRule type="expression" dxfId="135" priority="117">
      <formula>C180="CSE"</formula>
    </cfRule>
    <cfRule type="expression" dxfId="134" priority="118">
      <formula>C180="CSC"</formula>
    </cfRule>
  </conditionalFormatting>
  <conditionalFormatting sqref="I185">
    <cfRule type="expression" dxfId="133" priority="103">
      <formula>C185="CSE"</formula>
    </cfRule>
    <cfRule type="expression" dxfId="132" priority="104">
      <formula>C185="CSC"</formula>
    </cfRule>
    <cfRule type="expression" dxfId="131" priority="105">
      <formula>C185="CSE"</formula>
    </cfRule>
    <cfRule type="expression" dxfId="130" priority="106">
      <formula>C185="CSC"</formula>
    </cfRule>
    <cfRule type="expression" dxfId="129" priority="107">
      <formula>C185="CSE"</formula>
    </cfRule>
    <cfRule type="expression" dxfId="128" priority="108">
      <formula>C185="CSC"</formula>
    </cfRule>
    <cfRule type="expression" dxfId="127" priority="109">
      <formula>C185="CSE"</formula>
    </cfRule>
    <cfRule type="expression" dxfId="126" priority="110">
      <formula>C185="CSC"</formula>
    </cfRule>
  </conditionalFormatting>
  <conditionalFormatting sqref="I190">
    <cfRule type="expression" dxfId="125" priority="95">
      <formula>C190="CSE"</formula>
    </cfRule>
    <cfRule type="expression" dxfId="124" priority="96">
      <formula>C190="CSC"</formula>
    </cfRule>
    <cfRule type="expression" dxfId="123" priority="97">
      <formula>C190="CSE"</formula>
    </cfRule>
    <cfRule type="expression" dxfId="122" priority="98">
      <formula>C190="CSC"</formula>
    </cfRule>
    <cfRule type="expression" dxfId="121" priority="99">
      <formula>C190="CSE"</formula>
    </cfRule>
    <cfRule type="expression" dxfId="120" priority="100">
      <formula>C190="CSC"</formula>
    </cfRule>
    <cfRule type="expression" dxfId="119" priority="101">
      <formula>C190="CSE"</formula>
    </cfRule>
    <cfRule type="expression" dxfId="118" priority="102">
      <formula>C190="CSC"</formula>
    </cfRule>
  </conditionalFormatting>
  <conditionalFormatting sqref="I195">
    <cfRule type="expression" dxfId="117" priority="87">
      <formula>C195="CSE"</formula>
    </cfRule>
    <cfRule type="expression" dxfId="116" priority="88">
      <formula>C195="CSC"</formula>
    </cfRule>
    <cfRule type="expression" dxfId="115" priority="89">
      <formula>C195="CSE"</formula>
    </cfRule>
    <cfRule type="expression" dxfId="114" priority="90">
      <formula>C195="CSC"</formula>
    </cfRule>
    <cfRule type="expression" dxfId="113" priority="91">
      <formula>C195="CSE"</formula>
    </cfRule>
    <cfRule type="expression" dxfId="112" priority="92">
      <formula>C195="CSC"</formula>
    </cfRule>
    <cfRule type="expression" dxfId="111" priority="93">
      <formula>C195="CSE"</formula>
    </cfRule>
    <cfRule type="expression" dxfId="110" priority="94">
      <formula>C195="CSC"</formula>
    </cfRule>
  </conditionalFormatting>
  <conditionalFormatting sqref="J6:J195">
    <cfRule type="cellIs" dxfId="109" priority="81" operator="equal">
      <formula>"CRECHE"</formula>
    </cfRule>
    <cfRule type="cellIs" dxfId="108" priority="82" operator="equal">
      <formula>"ADAPTADO"</formula>
    </cfRule>
    <cfRule type="cellIs" dxfId="107" priority="83" operator="equal">
      <formula>"CRECHE"</formula>
    </cfRule>
    <cfRule type="cellIs" dxfId="106" priority="84" operator="equal">
      <formula>"ADAPTADO"</formula>
    </cfRule>
    <cfRule type="cellIs" dxfId="105" priority="85" operator="equal">
      <formula>"CRECHE"</formula>
    </cfRule>
    <cfRule type="cellIs" dxfId="104" priority="86" operator="equal">
      <formula>"ADAPTADO"</formula>
    </cfRule>
  </conditionalFormatting>
  <conditionalFormatting sqref="J6:K10">
    <cfRule type="expression" dxfId="103" priority="77">
      <formula>NOT(ISERROR(SEARCH("NORMAL",J6)))</formula>
    </cfRule>
    <cfRule type="expression" dxfId="102" priority="78">
      <formula>NOT(ISERROR(SEARCH("ADAPTADO",J6)))</formula>
    </cfRule>
    <cfRule type="expression" dxfId="101" priority="79">
      <formula>NOT(ISERROR(SEARCH("NORMAL",J6)))</formula>
    </cfRule>
    <cfRule type="expression" dxfId="100" priority="80">
      <formula>NOT(ISERROR(SEARCH("ADAPTADO",J6)))</formula>
    </cfRule>
  </conditionalFormatting>
  <conditionalFormatting sqref="J11:K15">
    <cfRule type="expression" dxfId="99" priority="75">
      <formula>NOT(ISERROR(SEARCH("NORMAL",J11)))</formula>
    </cfRule>
    <cfRule type="expression" dxfId="98" priority="76">
      <formula>NOT(ISERROR(SEARCH("ADAPTADO",J11)))</formula>
    </cfRule>
  </conditionalFormatting>
  <conditionalFormatting sqref="J11:K20">
    <cfRule type="expression" dxfId="97" priority="73">
      <formula>NOT(ISERROR(SEARCH("NORMAL",J11)))</formula>
    </cfRule>
    <cfRule type="expression" dxfId="96" priority="74">
      <formula>NOT(ISERROR(SEARCH("ADAPTADO",J11)))</formula>
    </cfRule>
  </conditionalFormatting>
  <conditionalFormatting sqref="J16:K25">
    <cfRule type="expression" dxfId="95" priority="71">
      <formula>NOT(ISERROR(SEARCH("NORMAL",J16)))</formula>
    </cfRule>
    <cfRule type="expression" dxfId="94" priority="72">
      <formula>NOT(ISERROR(SEARCH("ADAPTADO",J16)))</formula>
    </cfRule>
  </conditionalFormatting>
  <conditionalFormatting sqref="J21:K30">
    <cfRule type="expression" dxfId="93" priority="69">
      <formula>NOT(ISERROR(SEARCH("NORMAL",J21)))</formula>
    </cfRule>
    <cfRule type="expression" dxfId="92" priority="70">
      <formula>NOT(ISERROR(SEARCH("ADAPTADO",J21)))</formula>
    </cfRule>
  </conditionalFormatting>
  <conditionalFormatting sqref="J26:K35">
    <cfRule type="expression" dxfId="91" priority="67">
      <formula>NOT(ISERROR(SEARCH("NORMAL",J26)))</formula>
    </cfRule>
    <cfRule type="expression" dxfId="90" priority="68">
      <formula>NOT(ISERROR(SEARCH("ADAPTADO",J26)))</formula>
    </cfRule>
  </conditionalFormatting>
  <conditionalFormatting sqref="J31:K40">
    <cfRule type="expression" dxfId="89" priority="65">
      <formula>NOT(ISERROR(SEARCH("NORMAL",J31)))</formula>
    </cfRule>
    <cfRule type="expression" dxfId="88" priority="66">
      <formula>NOT(ISERROR(SEARCH("ADAPTADO",J31)))</formula>
    </cfRule>
  </conditionalFormatting>
  <conditionalFormatting sqref="J36:K45">
    <cfRule type="expression" dxfId="87" priority="63">
      <formula>NOT(ISERROR(SEARCH("NORMAL",J36)))</formula>
    </cfRule>
    <cfRule type="expression" dxfId="86" priority="64">
      <formula>NOT(ISERROR(SEARCH("ADAPTADO",J36)))</formula>
    </cfRule>
  </conditionalFormatting>
  <conditionalFormatting sqref="J41:K50">
    <cfRule type="expression" dxfId="85" priority="61">
      <formula>NOT(ISERROR(SEARCH("NORMAL",J41)))</formula>
    </cfRule>
    <cfRule type="expression" dxfId="84" priority="62">
      <formula>NOT(ISERROR(SEARCH("ADAPTADO",J41)))</formula>
    </cfRule>
  </conditionalFormatting>
  <conditionalFormatting sqref="J46:K55">
    <cfRule type="expression" dxfId="83" priority="59">
      <formula>NOT(ISERROR(SEARCH("NORMAL",J46)))</formula>
    </cfRule>
    <cfRule type="expression" dxfId="82" priority="60">
      <formula>NOT(ISERROR(SEARCH("ADAPTADO",J46)))</formula>
    </cfRule>
  </conditionalFormatting>
  <conditionalFormatting sqref="J51:K60">
    <cfRule type="expression" dxfId="81" priority="57">
      <formula>NOT(ISERROR(SEARCH("NORMAL",J51)))</formula>
    </cfRule>
    <cfRule type="expression" dxfId="80" priority="58">
      <formula>NOT(ISERROR(SEARCH("ADAPTADO",J51)))</formula>
    </cfRule>
  </conditionalFormatting>
  <conditionalFormatting sqref="J56:K65">
    <cfRule type="expression" dxfId="79" priority="55">
      <formula>NOT(ISERROR(SEARCH("NORMAL",J56)))</formula>
    </cfRule>
    <cfRule type="expression" dxfId="78" priority="56">
      <formula>NOT(ISERROR(SEARCH("ADAPTADO",J56)))</formula>
    </cfRule>
  </conditionalFormatting>
  <conditionalFormatting sqref="J61:K70">
    <cfRule type="expression" dxfId="77" priority="53">
      <formula>NOT(ISERROR(SEARCH("NORMAL",J61)))</formula>
    </cfRule>
    <cfRule type="expression" dxfId="76" priority="54">
      <formula>NOT(ISERROR(SEARCH("ADAPTADO",J61)))</formula>
    </cfRule>
  </conditionalFormatting>
  <conditionalFormatting sqref="J66:K75">
    <cfRule type="expression" dxfId="75" priority="51">
      <formula>NOT(ISERROR(SEARCH("NORMAL",J66)))</formula>
    </cfRule>
    <cfRule type="expression" dxfId="74" priority="52">
      <formula>NOT(ISERROR(SEARCH("ADAPTADO",J66)))</formula>
    </cfRule>
  </conditionalFormatting>
  <conditionalFormatting sqref="J71:K80">
    <cfRule type="expression" dxfId="73" priority="49">
      <formula>NOT(ISERROR(SEARCH("NORMAL",J71)))</formula>
    </cfRule>
    <cfRule type="expression" dxfId="72" priority="50">
      <formula>NOT(ISERROR(SEARCH("ADAPTADO",J71)))</formula>
    </cfRule>
  </conditionalFormatting>
  <conditionalFormatting sqref="J76:K85">
    <cfRule type="expression" dxfId="71" priority="47">
      <formula>NOT(ISERROR(SEARCH("NORMAL",J76)))</formula>
    </cfRule>
    <cfRule type="expression" dxfId="70" priority="48">
      <formula>NOT(ISERROR(SEARCH("ADAPTADO",J76)))</formula>
    </cfRule>
  </conditionalFormatting>
  <conditionalFormatting sqref="J81:K90">
    <cfRule type="expression" dxfId="69" priority="45">
      <formula>NOT(ISERROR(SEARCH("NORMAL",J81)))</formula>
    </cfRule>
    <cfRule type="expression" dxfId="68" priority="46">
      <formula>NOT(ISERROR(SEARCH("ADAPTADO",J81)))</formula>
    </cfRule>
  </conditionalFormatting>
  <conditionalFormatting sqref="J86:K95">
    <cfRule type="expression" dxfId="67" priority="43">
      <formula>NOT(ISERROR(SEARCH("NORMAL",J86)))</formula>
    </cfRule>
    <cfRule type="expression" dxfId="66" priority="44">
      <formula>NOT(ISERROR(SEARCH("ADAPTADO",J86)))</formula>
    </cfRule>
  </conditionalFormatting>
  <conditionalFormatting sqref="J91:K100">
    <cfRule type="expression" dxfId="65" priority="41">
      <formula>NOT(ISERROR(SEARCH("NORMAL",J91)))</formula>
    </cfRule>
    <cfRule type="expression" dxfId="64" priority="42">
      <formula>NOT(ISERROR(SEARCH("ADAPTADO",J91)))</formula>
    </cfRule>
  </conditionalFormatting>
  <conditionalFormatting sqref="J96:K105">
    <cfRule type="expression" dxfId="63" priority="39">
      <formula>NOT(ISERROR(SEARCH("NORMAL",J96)))</formula>
    </cfRule>
    <cfRule type="expression" dxfId="62" priority="40">
      <formula>NOT(ISERROR(SEARCH("ADAPTADO",J96)))</formula>
    </cfRule>
  </conditionalFormatting>
  <conditionalFormatting sqref="J101:K110">
    <cfRule type="expression" dxfId="61" priority="37">
      <formula>NOT(ISERROR(SEARCH("NORMAL",J101)))</formula>
    </cfRule>
    <cfRule type="expression" dxfId="60" priority="38">
      <formula>NOT(ISERROR(SEARCH("ADAPTADO",J101)))</formula>
    </cfRule>
  </conditionalFormatting>
  <conditionalFormatting sqref="J106:K115">
    <cfRule type="expression" dxfId="59" priority="35">
      <formula>NOT(ISERROR(SEARCH("NORMAL",J106)))</formula>
    </cfRule>
    <cfRule type="expression" dxfId="58" priority="36">
      <formula>NOT(ISERROR(SEARCH("ADAPTADO",J106)))</formula>
    </cfRule>
  </conditionalFormatting>
  <conditionalFormatting sqref="J111:K120">
    <cfRule type="expression" dxfId="57" priority="33">
      <formula>NOT(ISERROR(SEARCH("NORMAL",J111)))</formula>
    </cfRule>
    <cfRule type="expression" dxfId="56" priority="34">
      <formula>NOT(ISERROR(SEARCH("ADAPTADO",J111)))</formula>
    </cfRule>
  </conditionalFormatting>
  <conditionalFormatting sqref="J116:K125">
    <cfRule type="expression" dxfId="55" priority="31">
      <formula>NOT(ISERROR(SEARCH("NORMAL",J116)))</formula>
    </cfRule>
    <cfRule type="expression" dxfId="54" priority="32">
      <formula>NOT(ISERROR(SEARCH("ADAPTADO",J116)))</formula>
    </cfRule>
  </conditionalFormatting>
  <conditionalFormatting sqref="J121:K130">
    <cfRule type="expression" dxfId="53" priority="29">
      <formula>NOT(ISERROR(SEARCH("NORMAL",J121)))</formula>
    </cfRule>
    <cfRule type="expression" dxfId="52" priority="30">
      <formula>NOT(ISERROR(SEARCH("ADAPTADO",J121)))</formula>
    </cfRule>
  </conditionalFormatting>
  <conditionalFormatting sqref="J126:K135">
    <cfRule type="expression" dxfId="51" priority="27">
      <formula>NOT(ISERROR(SEARCH("NORMAL",J126)))</formula>
    </cfRule>
    <cfRule type="expression" dxfId="50" priority="28">
      <formula>NOT(ISERROR(SEARCH("ADAPTADO",J126)))</formula>
    </cfRule>
  </conditionalFormatting>
  <conditionalFormatting sqref="J131:K140">
    <cfRule type="expression" dxfId="49" priority="25">
      <formula>NOT(ISERROR(SEARCH("NORMAL",J131)))</formula>
    </cfRule>
    <cfRule type="expression" dxfId="48" priority="26">
      <formula>NOT(ISERROR(SEARCH("ADAPTADO",J131)))</formula>
    </cfRule>
  </conditionalFormatting>
  <conditionalFormatting sqref="J136:K145">
    <cfRule type="expression" dxfId="47" priority="23">
      <formula>NOT(ISERROR(SEARCH("NORMAL",J136)))</formula>
    </cfRule>
    <cfRule type="expression" dxfId="46" priority="24">
      <formula>NOT(ISERROR(SEARCH("ADAPTADO",J136)))</formula>
    </cfRule>
  </conditionalFormatting>
  <conditionalFormatting sqref="J141:K150">
    <cfRule type="expression" dxfId="45" priority="21">
      <formula>NOT(ISERROR(SEARCH("NORMAL",J141)))</formula>
    </cfRule>
    <cfRule type="expression" dxfId="44" priority="22">
      <formula>NOT(ISERROR(SEARCH("ADAPTADO",J141)))</formula>
    </cfRule>
  </conditionalFormatting>
  <conditionalFormatting sqref="J146:K155">
    <cfRule type="expression" dxfId="43" priority="19">
      <formula>NOT(ISERROR(SEARCH("NORMAL",J146)))</formula>
    </cfRule>
    <cfRule type="expression" dxfId="42" priority="20">
      <formula>NOT(ISERROR(SEARCH("ADAPTADO",J146)))</formula>
    </cfRule>
  </conditionalFormatting>
  <conditionalFormatting sqref="J151:K160">
    <cfRule type="expression" dxfId="41" priority="17">
      <formula>NOT(ISERROR(SEARCH("NORMAL",J151)))</formula>
    </cfRule>
    <cfRule type="expression" dxfId="40" priority="18">
      <formula>NOT(ISERROR(SEARCH("ADAPTADO",J151)))</formula>
    </cfRule>
  </conditionalFormatting>
  <conditionalFormatting sqref="J156:K165">
    <cfRule type="expression" dxfId="39" priority="15">
      <formula>NOT(ISERROR(SEARCH("NORMAL",J156)))</formula>
    </cfRule>
    <cfRule type="expression" dxfId="38" priority="16">
      <formula>NOT(ISERROR(SEARCH("ADAPTADO",J156)))</formula>
    </cfRule>
  </conditionalFormatting>
  <conditionalFormatting sqref="J161:K170">
    <cfRule type="expression" dxfId="37" priority="13">
      <formula>NOT(ISERROR(SEARCH("NORMAL",J161)))</formula>
    </cfRule>
    <cfRule type="expression" dxfId="36" priority="14">
      <formula>NOT(ISERROR(SEARCH("ADAPTADO",J161)))</formula>
    </cfRule>
  </conditionalFormatting>
  <conditionalFormatting sqref="J166:K175">
    <cfRule type="expression" dxfId="35" priority="11">
      <formula>NOT(ISERROR(SEARCH("NORMAL",J166)))</formula>
    </cfRule>
    <cfRule type="expression" dxfId="34" priority="12">
      <formula>NOT(ISERROR(SEARCH("ADAPTADO",J166)))</formula>
    </cfRule>
  </conditionalFormatting>
  <conditionalFormatting sqref="J171:K180">
    <cfRule type="expression" dxfId="33" priority="9">
      <formula>NOT(ISERROR(SEARCH("NORMAL",J171)))</formula>
    </cfRule>
    <cfRule type="expression" dxfId="32" priority="10">
      <formula>NOT(ISERROR(SEARCH("ADAPTADO",J171)))</formula>
    </cfRule>
  </conditionalFormatting>
  <conditionalFormatting sqref="J176:K185">
    <cfRule type="expression" dxfId="31" priority="7">
      <formula>NOT(ISERROR(SEARCH("NORMAL",J176)))</formula>
    </cfRule>
    <cfRule type="expression" dxfId="30" priority="8">
      <formula>NOT(ISERROR(SEARCH("ADAPTADO",J176)))</formula>
    </cfRule>
  </conditionalFormatting>
  <conditionalFormatting sqref="J181:K190">
    <cfRule type="expression" dxfId="29" priority="5">
      <formula>NOT(ISERROR(SEARCH("NORMAL",J181)))</formula>
    </cfRule>
    <cfRule type="expression" dxfId="28" priority="6">
      <formula>NOT(ISERROR(SEARCH("ADAPTADO",J181)))</formula>
    </cfRule>
  </conditionalFormatting>
  <conditionalFormatting sqref="J186:K195">
    <cfRule type="expression" dxfId="27" priority="3">
      <formula>NOT(ISERROR(SEARCH("NORMAL",J186)))</formula>
    </cfRule>
    <cfRule type="expression" dxfId="26" priority="4">
      <formula>NOT(ISERROR(SEARCH("ADAPTADO",J186)))</formula>
    </cfRule>
  </conditionalFormatting>
  <conditionalFormatting sqref="J191:K195">
    <cfRule type="expression" dxfId="25" priority="1">
      <formula>NOT(ISERROR(SEARCH("NORMAL",J191)))</formula>
    </cfRule>
    <cfRule type="expression" dxfId="24" priority="2">
      <formula>NOT(ISERROR(SEARCH("ADAPTADO",J191)))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RONALDO PAULO DA SILVA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SM</v>
      </c>
      <c r="D2" s="682" t="str">
        <f>UPPER('APONTAMENTO CREDENCIAMENTO'!A1)</f>
        <v>SÃO MATEUS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3314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RONALDO PAULO DA SILVA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3312</v>
      </c>
      <c r="D10" s="299" t="str">
        <f>VLOOKUP($C10,'APONTAMENTO CREDENCIAMENTO'!$A:$J,8,0)</f>
        <v>RONALDO PAULO DA SILVA</v>
      </c>
      <c r="E10" s="299" t="str">
        <f>VLOOKUP($C10,'APONTAMENTO CREDENCIAMENTO'!$A:$J,9,0)</f>
        <v>RONALDO PAULO DA SILVA</v>
      </c>
      <c r="F10" s="300" t="str">
        <f>VLOOKUP($C10,'APONTAMENTO CREDENCIAMENTO'!$A:$P,15,0)</f>
        <v>6020.2023/0028913-2</v>
      </c>
      <c r="G10" s="301" t="str">
        <f>VLOOKUP($C10,'APONTAMENTO CREDENCIAMENTO'!$A:$P,4,0)</f>
        <v>2023/0028913</v>
      </c>
      <c r="H10" s="301" t="str">
        <f>VLOOKUP($C10,'APONTAMENTO CREDENCIAMENTO'!$A:$P,5,0)</f>
        <v>QOG1J70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RON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2023/0028913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68</v>
      </c>
      <c r="H11" s="185" t="str">
        <f>'BASE C'!E4</f>
        <v>ABRIL</v>
      </c>
      <c r="I11" s="186" t="str">
        <f>'BASE C'!D2</f>
        <v>SÃO MATEUS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RONALDO PAULO DA SILVA</v>
      </c>
      <c r="B13" s="748"/>
      <c r="C13" s="748"/>
      <c r="D13" s="748"/>
      <c r="E13" s="749"/>
      <c r="F13" s="756" t="str">
        <f>VLOOKUP(A11,ProcRel1!E2:G5000,3,FALSE)</f>
        <v>260.706.048-65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CREDENCIAMENTO'!D1:EL4077,12,FALSE)</f>
        <v>6020.2023/0028913-2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27909.710000000003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318.12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51.364000000000004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-667.73200000000008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192.61500000000001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27804.077000000005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27804.077000000005</v>
      </c>
      <c r="I34" s="729"/>
    </row>
    <row r="35" spans="1:12" s="12" customFormat="1" x14ac:dyDescent="0.2">
      <c r="A35" s="716" t="s">
        <v>106</v>
      </c>
      <c r="B35" s="717">
        <f>VLOOKUP(A11,'APONTAMENTO CREDENCIAMENTO'!D1:EL4077,138,FALSE)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CREDENCIAMENTO'!D1:EL4077,139,FALSE)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41"/>
  <sheetViews>
    <sheetView showGridLines="0" zoomScale="80" zoomScaleNormal="80" workbookViewId="0">
      <selection activeCell="C4" sqref="C4:C41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263</v>
      </c>
      <c r="D1" s="759" t="s">
        <v>129</v>
      </c>
      <c r="E1" s="759" t="s">
        <v>262</v>
      </c>
      <c r="F1" s="759" t="s">
        <v>261</v>
      </c>
      <c r="G1" s="759" t="s">
        <v>3093</v>
      </c>
      <c r="H1" s="763" t="s">
        <v>260</v>
      </c>
      <c r="I1" s="761" t="s">
        <v>259</v>
      </c>
      <c r="J1" s="761" t="s">
        <v>258</v>
      </c>
      <c r="K1" s="761" t="s">
        <v>257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3195</v>
      </c>
      <c r="B4" s="413" t="s">
        <v>3344</v>
      </c>
      <c r="C4" s="432" t="s">
        <v>3382</v>
      </c>
      <c r="D4" s="430">
        <f>SUMIF('APONTAMENTO CREDENCIAMENTO'!$D$5:$D$4079,$A4,'APONTAMENTO CREDENCIAMENTO'!$FE$5:$FE$4079)</f>
        <v>14940.485000000001</v>
      </c>
      <c r="E4" s="431">
        <f>IF(D4=0,0,IF(D4*0.2*0.11&gt;607.2,607.2,IF(D4&lt;42377.92,D4*0.2*0.11,IF(D4*0.2*0.11&gt;932.31,932.31))))</f>
        <v>328.69067000000001</v>
      </c>
      <c r="F4" s="431">
        <f>$D4*'VALORES TABELA'!$B$45*'VALORES TABELA'!$B$46</f>
        <v>74.702425000000005</v>
      </c>
      <c r="G4" s="431">
        <f t="shared" ref="G4" si="0">D4*60%</f>
        <v>8964.2909999999993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1556.45</v>
      </c>
      <c r="I4" s="431">
        <f>IF($C4=$C3,($D4+$D3)*'VALORES TABELA'!$B$50-$E3,$D4*'VALORES TABELA'!$B$50)</f>
        <v>8964.2909999999993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1466.0600907500002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1466.0600907500002</v>
      </c>
    </row>
    <row r="5" spans="1:16" ht="20.25" customHeight="1" x14ac:dyDescent="0.2">
      <c r="A5" t="s">
        <v>3199</v>
      </c>
      <c r="B5" t="s">
        <v>3345</v>
      </c>
      <c r="C5" t="s">
        <v>3383</v>
      </c>
      <c r="D5" s="430">
        <f>SUMIF('APONTAMENTO CREDENCIAMENTO'!$D$5:$D$4079,$A5,'APONTAMENTO CREDENCIAMENTO'!$FE$5:$FE$4079)</f>
        <v>16939.504000000001</v>
      </c>
      <c r="E5" s="431">
        <f t="shared" ref="E5:E41" si="1">IF(D5=0,0,IF(D5*0.2*0.11&gt;607.2,607.2,IF(D5&lt;42377.92,D5*0.2*0.11,IF(D5*0.2*0.11&gt;932.31,932.31))))</f>
        <v>372.66908800000004</v>
      </c>
      <c r="F5" s="431">
        <f>$D5*'VALORES TABELA'!$B$45*'VALORES TABELA'!$B$46</f>
        <v>84.697520000000011</v>
      </c>
      <c r="G5" s="431">
        <f t="shared" ref="G5:G41" si="2">D5*60%</f>
        <v>10163.7024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1886.28</v>
      </c>
      <c r="I5" s="431">
        <f>IF($C5=$C4,($D5+$D4)*'VALORES TABELA'!$B$50-$E4,$D5*'VALORES TABELA'!$B$50)</f>
        <v>10163.7024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1783.8041607999999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317.74407004999966</v>
      </c>
    </row>
    <row r="6" spans="1:16" ht="20.25" customHeight="1" x14ac:dyDescent="0.2">
      <c r="A6" t="s">
        <v>3203</v>
      </c>
      <c r="B6" t="s">
        <v>3346</v>
      </c>
      <c r="C6" t="s">
        <v>3384</v>
      </c>
      <c r="D6" s="430">
        <f>SUMIF('APONTAMENTO CREDENCIAMENTO'!$D$5:$D$4079,$A6,'APONTAMENTO CREDENCIAMENTO'!$FE$5:$FE$4079)</f>
        <v>13656.2</v>
      </c>
      <c r="E6" s="431">
        <f t="shared" si="1"/>
        <v>300.43640000000005</v>
      </c>
      <c r="F6" s="431">
        <f>$D6*'VALORES TABELA'!$B$45*'VALORES TABELA'!$B$46</f>
        <v>68.281000000000006</v>
      </c>
      <c r="G6" s="431">
        <f t="shared" si="2"/>
        <v>8193.7199999999993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1344.54</v>
      </c>
      <c r="I6" s="431">
        <f>IF($C6=$C5,($D6+$D5)*'VALORES TABELA'!$B$50-$E5,$D6*'VALORES TABELA'!$B$50)</f>
        <v>8193.7199999999993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1261.92299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-521.88117079999984</v>
      </c>
    </row>
    <row r="7" spans="1:16" ht="20.25" customHeight="1" x14ac:dyDescent="0.2">
      <c r="A7" t="s">
        <v>3207</v>
      </c>
      <c r="B7" t="s">
        <v>3347</v>
      </c>
      <c r="C7" t="s">
        <v>3385</v>
      </c>
      <c r="D7" s="430">
        <f>SUMIF('APONTAMENTO CREDENCIAMENTO'!$D$5:$D$4079,$A7,'APONTAMENTO CREDENCIAMENTO'!$FE$5:$FE$4079)</f>
        <v>9521.3979999999992</v>
      </c>
      <c r="E7" s="431">
        <f t="shared" si="1"/>
        <v>209.47075599999999</v>
      </c>
      <c r="F7" s="431">
        <f>$D7*'VALORES TABELA'!$B$45*'VALORES TABELA'!$B$46</f>
        <v>47.606989999999996</v>
      </c>
      <c r="G7" s="431">
        <f t="shared" si="2"/>
        <v>5712.8387999999995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472.2</v>
      </c>
      <c r="I7" s="431">
        <f>IF($C7=$C6,($D7+$D6)*'VALORES TABELA'!$B$50-$E6,$D7*'VALORES TABELA'!$B$50)</f>
        <v>5712.8387999999995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604.69621210000014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-657.22677789999989</v>
      </c>
    </row>
    <row r="8" spans="1:16" ht="20.25" customHeight="1" x14ac:dyDescent="0.2">
      <c r="A8" t="s">
        <v>3211</v>
      </c>
      <c r="B8" t="s">
        <v>3348</v>
      </c>
      <c r="C8" t="s">
        <v>3386</v>
      </c>
      <c r="D8" s="430">
        <f>SUMIF('APONTAMENTO CREDENCIAMENTO'!$D$5:$D$4079,$A8,'APONTAMENTO CREDENCIAMENTO'!$FE$5:$FE$4079)</f>
        <v>22285.351999999999</v>
      </c>
      <c r="E8" s="431">
        <f t="shared" si="1"/>
        <v>490.27774399999998</v>
      </c>
      <c r="F8" s="431">
        <f>$D8*'VALORES TABELA'!$B$45*'VALORES TABELA'!$B$46</f>
        <v>111.42676</v>
      </c>
      <c r="G8" s="431">
        <f t="shared" si="2"/>
        <v>13371.2112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2768.35</v>
      </c>
      <c r="I8" s="431">
        <f>IF($C8=$C7,($D8+$D7)*'VALORES TABELA'!$B$50-$E7,$D8*'VALORES TABELA'!$B$50)</f>
        <v>13371.2112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2633.5267003999998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2028.8304882999996</v>
      </c>
    </row>
    <row r="9" spans="1:16" ht="20.25" customHeight="1" x14ac:dyDescent="0.2">
      <c r="A9" t="s">
        <v>3215</v>
      </c>
      <c r="B9" t="s">
        <v>3349</v>
      </c>
      <c r="C9" t="s">
        <v>3387</v>
      </c>
      <c r="D9" s="430">
        <f>SUMIF('APONTAMENTO CREDENCIAMENTO'!$D$5:$D$4079,$A9,'APONTAMENTO CREDENCIAMENTO'!$FE$5:$FE$4079)</f>
        <v>22632.059000000001</v>
      </c>
      <c r="E9" s="431">
        <f t="shared" si="1"/>
        <v>497.90529800000007</v>
      </c>
      <c r="F9" s="431">
        <f>$D9*'VALORES TABELA'!$B$45*'VALORES TABELA'!$B$46</f>
        <v>113.16029500000002</v>
      </c>
      <c r="G9" s="431">
        <f t="shared" si="2"/>
        <v>13579.2354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2825.55</v>
      </c>
      <c r="I9" s="431">
        <f>IF($C9=$C8,($D9+$D8)*'VALORES TABELA'!$B$50-$E8,$D9*'VALORES TABELA'!$B$50)</f>
        <v>13579.2354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2688.6357780500002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55.109077650000472</v>
      </c>
    </row>
    <row r="10" spans="1:16" ht="20.25" customHeight="1" x14ac:dyDescent="0.2">
      <c r="A10" t="s">
        <v>3219</v>
      </c>
      <c r="B10" t="s">
        <v>3350</v>
      </c>
      <c r="C10" t="s">
        <v>3388</v>
      </c>
      <c r="D10" s="430">
        <f>SUMIF('APONTAMENTO CREDENCIAMENTO'!$D$5:$D$4079,$A10,'APONTAMENTO CREDENCIAMENTO'!$FE$5:$FE$4079)</f>
        <v>14547.47</v>
      </c>
      <c r="E10" s="431">
        <f t="shared" si="1"/>
        <v>320.04434000000003</v>
      </c>
      <c r="F10" s="431">
        <f>$D10*'VALORES TABELA'!$B$45*'VALORES TABELA'!$B$46</f>
        <v>72.737350000000006</v>
      </c>
      <c r="G10" s="431">
        <f t="shared" si="2"/>
        <v>8728.482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1491.6</v>
      </c>
      <c r="I10" s="431">
        <f>IF($C10=$C9,($D10+$D9)*'VALORES TABELA'!$B$50-$E9,$D10*'VALORES TABELA'!$B$50)</f>
        <v>8728.482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1403.5903564999999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-1285.0454215500004</v>
      </c>
    </row>
    <row r="11" spans="1:16" ht="20.25" customHeight="1" x14ac:dyDescent="0.2">
      <c r="A11" t="s">
        <v>3223</v>
      </c>
      <c r="B11" t="s">
        <v>3351</v>
      </c>
      <c r="C11" t="s">
        <v>3389</v>
      </c>
      <c r="D11" s="430">
        <f>SUMIF('APONTAMENTO CREDENCIAMENTO'!$D$5:$D$4079,$A11,'APONTAMENTO CREDENCIAMENTO'!$FE$5:$FE$4079)</f>
        <v>19935.449000000001</v>
      </c>
      <c r="E11" s="431">
        <f t="shared" si="1"/>
        <v>438.57987800000001</v>
      </c>
      <c r="F11" s="431">
        <f>$D11*'VALORES TABELA'!$B$45*'VALORES TABELA'!$B$46</f>
        <v>99.677245000000013</v>
      </c>
      <c r="G11" s="431">
        <f t="shared" si="2"/>
        <v>11961.269399999999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2380.61</v>
      </c>
      <c r="I11" s="431">
        <f>IF($C11=$C10,($D11+$D10)*'VALORES TABELA'!$B$50-$E10,$D11*'VALORES TABELA'!$B$50)</f>
        <v>11961.269399999999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2260.0096185499997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856.41926204999982</v>
      </c>
    </row>
    <row r="12" spans="1:16" ht="20.25" customHeight="1" x14ac:dyDescent="0.2">
      <c r="A12" t="s">
        <v>3227</v>
      </c>
      <c r="B12" t="s">
        <v>3352</v>
      </c>
      <c r="C12" t="s">
        <v>3390</v>
      </c>
      <c r="D12" s="430">
        <f>SUMIF('APONTAMENTO CREDENCIAMENTO'!$D$5:$D$4079,$A12,'APONTAMENTO CREDENCIAMENTO'!$FE$5:$FE$4079)</f>
        <v>24006.083000000002</v>
      </c>
      <c r="E12" s="431">
        <f t="shared" si="1"/>
        <v>528.13382600000011</v>
      </c>
      <c r="F12" s="431">
        <f>$D12*'VALORES TABELA'!$B$45*'VALORES TABELA'!$B$46</f>
        <v>120.03041500000002</v>
      </c>
      <c r="G12" s="431">
        <f t="shared" si="2"/>
        <v>14403.649800000001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3052.27</v>
      </c>
      <c r="I12" s="431">
        <f>IF($C12=$C11,($D12+$D11)*'VALORES TABELA'!$B$50-$E11,$D12*'VALORES TABELA'!$B$50)</f>
        <v>14403.649800000001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2907.0368928500006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647.02727430000095</v>
      </c>
    </row>
    <row r="13" spans="1:16" ht="20.25" customHeight="1" x14ac:dyDescent="0.2">
      <c r="A13" t="s">
        <v>3231</v>
      </c>
      <c r="B13" t="s">
        <v>3353</v>
      </c>
      <c r="C13" t="s">
        <v>3391</v>
      </c>
      <c r="D13" s="430">
        <f>SUMIF('APONTAMENTO CREDENCIAMENTO'!$D$5:$D$4079,$A13,'APONTAMENTO CREDENCIAMENTO'!$FE$5:$FE$4079)</f>
        <v>21954.982999999997</v>
      </c>
      <c r="E13" s="431">
        <f t="shared" si="1"/>
        <v>483.00962599999997</v>
      </c>
      <c r="F13" s="431">
        <f>$D13*'VALORES TABELA'!$B$45*'VALORES TABELA'!$B$46</f>
        <v>109.77491499999999</v>
      </c>
      <c r="G13" s="431">
        <f t="shared" si="2"/>
        <v>13172.989799999998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2713.84</v>
      </c>
      <c r="I13" s="431">
        <f>IF($C13=$C12,($D13+$D12)*'VALORES TABELA'!$B$50-$E12,$D13*'VALORES TABELA'!$B$50)</f>
        <v>13172.989799999998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2581.0145478499999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-326.02234500000077</v>
      </c>
    </row>
    <row r="14" spans="1:16" ht="20.25" customHeight="1" x14ac:dyDescent="0.2">
      <c r="A14" t="s">
        <v>3235</v>
      </c>
      <c r="B14" t="s">
        <v>3354</v>
      </c>
      <c r="C14" t="s">
        <v>3392</v>
      </c>
      <c r="D14" s="430">
        <f>SUMIF('APONTAMENTO CREDENCIAMENTO'!$D$5:$D$4079,$A14,'APONTAMENTO CREDENCIAMENTO'!$FE$5:$FE$4079)</f>
        <v>23178.116000000002</v>
      </c>
      <c r="E14" s="431">
        <f t="shared" si="1"/>
        <v>509.91855200000009</v>
      </c>
      <c r="F14" s="431">
        <f>$D14*'VALORES TABELA'!$B$45*'VALORES TABELA'!$B$46</f>
        <v>115.89058000000003</v>
      </c>
      <c r="G14" s="431">
        <f t="shared" si="2"/>
        <v>13906.8696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2915.65</v>
      </c>
      <c r="I14" s="431">
        <f>IF($C14=$C13,($D14+$D13)*'VALORES TABELA'!$B$50-$E13,$D14*'VALORES TABELA'!$B$50)</f>
        <v>13906.8696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2775.4315382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194.41699035000011</v>
      </c>
    </row>
    <row r="15" spans="1:16" ht="20.25" customHeight="1" x14ac:dyDescent="0.2">
      <c r="A15" t="s">
        <v>3239</v>
      </c>
      <c r="B15" t="s">
        <v>3355</v>
      </c>
      <c r="C15" t="s">
        <v>3393</v>
      </c>
      <c r="D15" s="430">
        <f>SUMIF('APONTAMENTO CREDENCIAMENTO'!$D$5:$D$4079,$A15,'APONTAMENTO CREDENCIAMENTO'!$FE$5:$FE$4079)</f>
        <v>13900.179000000002</v>
      </c>
      <c r="E15" s="431">
        <f t="shared" si="1"/>
        <v>305.80393800000007</v>
      </c>
      <c r="F15" s="431">
        <f>$D15*'VALORES TABELA'!$B$45*'VALORES TABELA'!$B$46</f>
        <v>69.500895000000014</v>
      </c>
      <c r="G15" s="431">
        <f t="shared" si="2"/>
        <v>8340.1074000000008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1384.79</v>
      </c>
      <c r="I15" s="431">
        <f>IF($C15=$C14,($D15+$D14)*'VALORES TABELA'!$B$50-$E14,$D15*'VALORES TABELA'!$B$50)</f>
        <v>8340.1074000000008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1300.7034520500006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-1474.7280861499994</v>
      </c>
    </row>
    <row r="16" spans="1:16" ht="20.25" customHeight="1" x14ac:dyDescent="0.2">
      <c r="A16" t="s">
        <v>3243</v>
      </c>
      <c r="B16" t="s">
        <v>3356</v>
      </c>
      <c r="C16" t="s">
        <v>3394</v>
      </c>
      <c r="D16" s="430">
        <f>SUMIF('APONTAMENTO CREDENCIAMENTO'!$D$5:$D$4079,$A16,'APONTAMENTO CREDENCIAMENTO'!$FE$5:$FE$4079)</f>
        <v>13033.541000000001</v>
      </c>
      <c r="E16" s="431">
        <f t="shared" si="1"/>
        <v>286.73790200000008</v>
      </c>
      <c r="F16" s="431">
        <f>$D16*'VALORES TABELA'!$B$45*'VALORES TABELA'!$B$46</f>
        <v>65.167705000000012</v>
      </c>
      <c r="G16" s="431">
        <f t="shared" si="2"/>
        <v>7820.1246000000001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1241.8</v>
      </c>
      <c r="I16" s="431">
        <f>IF($C16=$C15,($D16+$D15)*'VALORES TABELA'!$B$50-$E15,$D16*'VALORES TABELA'!$B$50)</f>
        <v>7820.1246000000001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1162.9513419500004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-137.75211010000021</v>
      </c>
    </row>
    <row r="17" spans="1:11" ht="20.25" customHeight="1" x14ac:dyDescent="0.2">
      <c r="A17" t="s">
        <v>3247</v>
      </c>
      <c r="B17" t="s">
        <v>3357</v>
      </c>
      <c r="C17" t="s">
        <v>3395</v>
      </c>
      <c r="D17" s="430">
        <f>SUMIF('APONTAMENTO CREDENCIAMENTO'!$D$5:$D$4079,$A17,'APONTAMENTO CREDENCIAMENTO'!$FE$5:$FE$4079)</f>
        <v>13029.311640000002</v>
      </c>
      <c r="E17" s="431">
        <f t="shared" si="1"/>
        <v>286.64485608000007</v>
      </c>
      <c r="F17" s="431">
        <f>$D17*'VALORES TABELA'!$B$45*'VALORES TABELA'!$B$46</f>
        <v>65.146558200000015</v>
      </c>
      <c r="G17" s="431">
        <f t="shared" si="2"/>
        <v>7817.5869840000005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1241.0999999999999</v>
      </c>
      <c r="I17" s="431">
        <f>IF($C17=$C16,($D17+$D16)*'VALORES TABELA'!$B$50-$E16,$D17*'VALORES TABELA'!$B$50)</f>
        <v>7817.5869840000005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1162.2790851780005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-0.67225677199985512</v>
      </c>
    </row>
    <row r="18" spans="1:11" ht="20.25" customHeight="1" x14ac:dyDescent="0.2">
      <c r="A18" t="s">
        <v>3251</v>
      </c>
      <c r="B18" t="s">
        <v>3358</v>
      </c>
      <c r="C18" t="s">
        <v>3396</v>
      </c>
      <c r="D18" s="430">
        <f>SUMIF('APONTAMENTO CREDENCIAMENTO'!$D$5:$D$4079,$A18,'APONTAMENTO CREDENCIAMENTO'!$FE$5:$FE$4079)</f>
        <v>12500.51</v>
      </c>
      <c r="E18" s="431">
        <f t="shared" si="1"/>
        <v>275.01122000000004</v>
      </c>
      <c r="F18" s="431">
        <f>$D18*'VALORES TABELA'!$B$45*'VALORES TABELA'!$B$46</f>
        <v>62.502550000000014</v>
      </c>
      <c r="G18" s="431">
        <f t="shared" si="2"/>
        <v>7500.3059999999996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1153.8499999999999</v>
      </c>
      <c r="I18" s="431">
        <f>IF($C18=$C17,($D18+$D17)*'VALORES TABELA'!$B$50-$E17,$D18*'VALORES TABELA'!$B$50)</f>
        <v>7500.3059999999996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1078.2260644999999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-84.053020678000621</v>
      </c>
    </row>
    <row r="19" spans="1:11" ht="20.25" customHeight="1" x14ac:dyDescent="0.2">
      <c r="A19" t="s">
        <v>3255</v>
      </c>
      <c r="B19" t="s">
        <v>3359</v>
      </c>
      <c r="C19" t="s">
        <v>3397</v>
      </c>
      <c r="D19" s="430">
        <f>SUMIF('APONTAMENTO CREDENCIAMENTO'!$D$5:$D$4079,$A19,'APONTAMENTO CREDENCIAMENTO'!$FE$5:$FE$4079)</f>
        <v>22028.532000000003</v>
      </c>
      <c r="E19" s="431">
        <f t="shared" si="1"/>
        <v>484.62770400000011</v>
      </c>
      <c r="F19" s="431">
        <f>$D19*'VALORES TABELA'!$B$45*'VALORES TABELA'!$B$46</f>
        <v>110.14266000000003</v>
      </c>
      <c r="G19" s="431">
        <f t="shared" si="2"/>
        <v>13217.119200000001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2725.97</v>
      </c>
      <c r="I19" s="431">
        <f>IF($C19=$C18,($D19+$D18)*'VALORES TABELA'!$B$50-$E18,$D19*'VALORES TABELA'!$B$50)</f>
        <v>13217.119200000001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2592.7051614000006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1514.4790969000007</v>
      </c>
    </row>
    <row r="20" spans="1:11" ht="20.25" customHeight="1" x14ac:dyDescent="0.2">
      <c r="A20" s="413" t="s">
        <v>3259</v>
      </c>
      <c r="B20" s="413" t="s">
        <v>3360</v>
      </c>
      <c r="C20" s="413" t="s">
        <v>3398</v>
      </c>
      <c r="D20" s="430">
        <f>SUMIF('APONTAMENTO CREDENCIAMENTO'!$D$5:$D$4079,$A20,'APONTAMENTO CREDENCIAMENTO'!$FE$5:$FE$4079)</f>
        <v>16118.545000000002</v>
      </c>
      <c r="E20" s="431">
        <f t="shared" si="1"/>
        <v>354.60799000000009</v>
      </c>
      <c r="F20" s="431">
        <f>$D20*'VALORES TABELA'!$B$45*'VALORES TABELA'!$B$46</f>
        <v>80.59272500000003</v>
      </c>
      <c r="G20" s="431">
        <f t="shared" si="2"/>
        <v>9671.1270000000004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1750.82</v>
      </c>
      <c r="I20" s="431">
        <f>IF($C20=$C19,($D20+$D19)*'VALORES TABELA'!$B$50-$E19,$D20*'VALORES TABELA'!$B$50)</f>
        <v>9671.1270000000004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1653.3127277500002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-939.39243365000038</v>
      </c>
    </row>
    <row r="21" spans="1:11" ht="20.25" customHeight="1" x14ac:dyDescent="0.2">
      <c r="A21" s="413" t="s">
        <v>3263</v>
      </c>
      <c r="B21" s="413" t="s">
        <v>3361</v>
      </c>
      <c r="C21" s="413" t="s">
        <v>3399</v>
      </c>
      <c r="D21" s="430">
        <f>SUMIF('APONTAMENTO CREDENCIAMENTO'!$D$5:$D$4079,$A21,'APONTAMENTO CREDENCIAMENTO'!$FE$5:$FE$4079)</f>
        <v>16750.881000000005</v>
      </c>
      <c r="E21" s="431">
        <f t="shared" si="1"/>
        <v>368.51938200000012</v>
      </c>
      <c r="F21" s="431">
        <f>$D21*'VALORES TABELA'!$B$45*'VALORES TABELA'!$B$46</f>
        <v>83.754405000000034</v>
      </c>
      <c r="G21" s="431">
        <f t="shared" si="2"/>
        <v>10050.528600000003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1855.16</v>
      </c>
      <c r="I21" s="431">
        <f>IF($C21=$C20,($D21+$D20)*'VALORES TABELA'!$B$50-$E20,$D21*'VALORES TABELA'!$B$50)</f>
        <v>10050.528600000003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1753.8225349500008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100.50980720000052</v>
      </c>
    </row>
    <row r="22" spans="1:11" ht="20.25" customHeight="1" x14ac:dyDescent="0.2">
      <c r="A22" s="413" t="s">
        <v>3266</v>
      </c>
      <c r="B22" s="413" t="s">
        <v>3362</v>
      </c>
      <c r="C22" s="413" t="s">
        <v>3400</v>
      </c>
      <c r="D22" s="430">
        <f>SUMIF('APONTAMENTO CREDENCIAMENTO'!$D$5:$D$4079,$A22,'APONTAMENTO CREDENCIAMENTO'!$FE$5:$FE$4079)</f>
        <v>13802.3884</v>
      </c>
      <c r="E22" s="431">
        <f t="shared" si="1"/>
        <v>303.65254479999999</v>
      </c>
      <c r="F22" s="431">
        <f>$D22*'VALORES TABELA'!$B$45*'VALORES TABELA'!$B$46</f>
        <v>69.011942000000005</v>
      </c>
      <c r="G22" s="431">
        <f t="shared" si="2"/>
        <v>8281.4330399999999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1368.66</v>
      </c>
      <c r="I22" s="431">
        <f>IF($C22=$C21,($D22+$D21)*'VALORES TABELA'!$B$50-$E21,$D22*'VALORES TABELA'!$B$50)</f>
        <v>8281.4330399999999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1285.1596361800002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-468.66289877000054</v>
      </c>
    </row>
    <row r="23" spans="1:11" ht="20.25" customHeight="1" x14ac:dyDescent="0.2">
      <c r="A23" s="413" t="s">
        <v>3270</v>
      </c>
      <c r="B23" s="413" t="s">
        <v>3363</v>
      </c>
      <c r="C23" s="413" t="s">
        <v>3401</v>
      </c>
      <c r="D23" s="430">
        <f>SUMIF('APONTAMENTO CREDENCIAMENTO'!$D$5:$D$4079,$A23,'APONTAMENTO CREDENCIAMENTO'!$FE$5:$FE$4079)</f>
        <v>21360.800000000003</v>
      </c>
      <c r="E23" s="431">
        <f t="shared" si="1"/>
        <v>469.93760000000009</v>
      </c>
      <c r="F23" s="431">
        <f>$D23*'VALORES TABELA'!$B$45*'VALORES TABELA'!$B$46</f>
        <v>106.80400000000003</v>
      </c>
      <c r="G23" s="431">
        <f t="shared" si="2"/>
        <v>12816.480000000001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2615.8000000000002</v>
      </c>
      <c r="I23" s="431">
        <f>IF($C23=$C22,($D23+$D22)*'VALORES TABELA'!$B$50-$E22,$D23*'VALORES TABELA'!$B$50)</f>
        <v>12816.480000000001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2486.5691600000009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1201.4095238200007</v>
      </c>
    </row>
    <row r="24" spans="1:11" ht="20.25" customHeight="1" x14ac:dyDescent="0.2">
      <c r="A24" s="413" t="s">
        <v>3274</v>
      </c>
      <c r="B24" s="413" t="s">
        <v>3364</v>
      </c>
      <c r="C24" s="413" t="s">
        <v>3402</v>
      </c>
      <c r="D24" s="430">
        <f>SUMIF('APONTAMENTO CREDENCIAMENTO'!$D$5:$D$4079,$A24,'APONTAMENTO CREDENCIAMENTO'!$FE$5:$FE$4079)</f>
        <v>19152.148000000001</v>
      </c>
      <c r="E24" s="431">
        <f t="shared" si="1"/>
        <v>421.34725600000007</v>
      </c>
      <c r="F24" s="431">
        <f>$D24*'VALORES TABELA'!$B$45*'VALORES TABELA'!$B$46</f>
        <v>95.760740000000013</v>
      </c>
      <c r="G24" s="431">
        <f t="shared" si="2"/>
        <v>11491.2888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2251.37</v>
      </c>
      <c r="I24" s="431">
        <f>IF($C24=$C23,($D24+$D23)*'VALORES TABELA'!$B$50-$E23,$D24*'VALORES TABELA'!$B$50)</f>
        <v>11491.2888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2135.5039246000001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-351.0652354000008</v>
      </c>
    </row>
    <row r="25" spans="1:11" ht="20.25" customHeight="1" x14ac:dyDescent="0.2">
      <c r="A25" s="413" t="s">
        <v>3278</v>
      </c>
      <c r="B25" s="413" t="s">
        <v>3365</v>
      </c>
      <c r="C25" s="413" t="s">
        <v>3403</v>
      </c>
      <c r="D25" s="430">
        <f>SUMIF('APONTAMENTO CREDENCIAMENTO'!$D$5:$D$4079,$A25,'APONTAMENTO CREDENCIAMENTO'!$FE$5:$FE$4079)</f>
        <v>22182.624</v>
      </c>
      <c r="E25" s="431">
        <f t="shared" si="1"/>
        <v>488.01772800000003</v>
      </c>
      <c r="F25" s="431">
        <f>$D25*'VALORES TABELA'!$B$45*'VALORES TABELA'!$B$46</f>
        <v>110.91312000000001</v>
      </c>
      <c r="G25" s="431">
        <f t="shared" si="2"/>
        <v>13309.5744</v>
      </c>
      <c r="H25" s="431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2751.4</v>
      </c>
      <c r="I25" s="431">
        <f>IF($C25=$C24,($D25+$D24)*'VALORES TABELA'!$B$50-$E24,$D25*'VALORES TABELA'!$B$50)</f>
        <v>13309.5744</v>
      </c>
      <c r="J25" s="431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2617.1980847999998</v>
      </c>
      <c r="K25" s="431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481.69416019999971</v>
      </c>
    </row>
    <row r="26" spans="1:11" ht="20.25" customHeight="1" x14ac:dyDescent="0.2">
      <c r="A26" s="413" t="s">
        <v>3282</v>
      </c>
      <c r="B26" s="413" t="s">
        <v>3366</v>
      </c>
      <c r="C26" s="413" t="s">
        <v>3404</v>
      </c>
      <c r="D26" s="430">
        <f>SUMIF('APONTAMENTO CREDENCIAMENTO'!$D$5:$D$4079,$A26,'APONTAMENTO CREDENCIAMENTO'!$FE$5:$FE$4079)</f>
        <v>14455.58</v>
      </c>
      <c r="E26" s="431">
        <f t="shared" si="1"/>
        <v>318.02276000000001</v>
      </c>
      <c r="F26" s="431">
        <f>$D26*'VALORES TABELA'!$B$45*'VALORES TABELA'!$B$46</f>
        <v>72.277900000000002</v>
      </c>
      <c r="G26" s="431">
        <f t="shared" si="2"/>
        <v>8673.348</v>
      </c>
      <c r="H26" s="431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1476.44</v>
      </c>
      <c r="I26" s="431">
        <f>IF($C26=$C25,($D26+$D25)*'VALORES TABELA'!$B$50-$E25,$D26*'VALORES TABELA'!$B$50)</f>
        <v>8673.348</v>
      </c>
      <c r="J26" s="431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1388.9844410000001</v>
      </c>
      <c r="K26" s="431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-1228.2136437999998</v>
      </c>
    </row>
    <row r="27" spans="1:11" ht="20.25" customHeight="1" x14ac:dyDescent="0.2">
      <c r="A27" s="413" t="s">
        <v>3286</v>
      </c>
      <c r="B27" s="413" t="s">
        <v>3367</v>
      </c>
      <c r="C27" s="413" t="s">
        <v>3405</v>
      </c>
      <c r="D27" s="430">
        <f>SUMIF('APONTAMENTO CREDENCIAMENTO'!$D$5:$D$4079,$A27,'APONTAMENTO CREDENCIAMENTO'!$FE$5:$FE$4079)</f>
        <v>18458.734000000004</v>
      </c>
      <c r="E27" s="431">
        <f t="shared" si="1"/>
        <v>406.09214800000007</v>
      </c>
      <c r="F27" s="431">
        <f>$D27*'VALORES TABELA'!$B$45*'VALORES TABELA'!$B$46</f>
        <v>92.29367000000002</v>
      </c>
      <c r="G27" s="431">
        <f t="shared" si="2"/>
        <v>11075.240400000002</v>
      </c>
      <c r="H27" s="431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2136.96</v>
      </c>
      <c r="I27" s="431">
        <f>IF($C27=$C26,($D27+$D26)*'VALORES TABELA'!$B$50-$E26,$D27*'VALORES TABELA'!$B$50)</f>
        <v>11075.240400000002</v>
      </c>
      <c r="J27" s="431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2025.285769300001</v>
      </c>
      <c r="K27" s="431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636.30132830000093</v>
      </c>
    </row>
    <row r="28" spans="1:11" ht="20.25" customHeight="1" x14ac:dyDescent="0.2">
      <c r="A28" s="413" t="s">
        <v>3290</v>
      </c>
      <c r="B28" s="413" t="s">
        <v>3368</v>
      </c>
      <c r="C28" s="413" t="s">
        <v>3406</v>
      </c>
      <c r="D28" s="430">
        <f>SUMIF('APONTAMENTO CREDENCIAMENTO'!$D$5:$D$4079,$A28,'APONTAMENTO CREDENCIAMENTO'!$FE$5:$FE$4079)</f>
        <v>13450.744000000001</v>
      </c>
      <c r="E28" s="431">
        <f t="shared" si="1"/>
        <v>295.91636800000003</v>
      </c>
      <c r="F28" s="431">
        <f>$D28*'VALORES TABELA'!$B$45*'VALORES TABELA'!$B$46</f>
        <v>67.253720000000015</v>
      </c>
      <c r="G28" s="431">
        <f t="shared" si="2"/>
        <v>8070.4463999999998</v>
      </c>
      <c r="H28" s="431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1310.6400000000001</v>
      </c>
      <c r="I28" s="431">
        <f>IF($C28=$C27,($D28+$D27)*'VALORES TABELA'!$B$50-$E27,$D28*'VALORES TABELA'!$B$50)</f>
        <v>8070.4463999999998</v>
      </c>
      <c r="J28" s="431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1229.2657588000002</v>
      </c>
      <c r="K28" s="431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-796.02001050000081</v>
      </c>
    </row>
    <row r="29" spans="1:11" ht="20.25" customHeight="1" x14ac:dyDescent="0.2">
      <c r="A29" s="413" t="s">
        <v>3294</v>
      </c>
      <c r="B29" s="413" t="s">
        <v>3369</v>
      </c>
      <c r="C29" s="413" t="s">
        <v>3407</v>
      </c>
      <c r="D29" s="430">
        <f>SUMIF('APONTAMENTO CREDENCIAMENTO'!$D$5:$D$4079,$A29,'APONTAMENTO CREDENCIAMENTO'!$FE$5:$FE$4079)</f>
        <v>21964.327000000005</v>
      </c>
      <c r="E29" s="431">
        <f t="shared" si="1"/>
        <v>483.21519400000017</v>
      </c>
      <c r="F29" s="431">
        <f>$D29*'VALORES TABELA'!$B$45*'VALORES TABELA'!$B$46</f>
        <v>109.82163500000004</v>
      </c>
      <c r="G29" s="431">
        <f t="shared" si="2"/>
        <v>13178.596200000002</v>
      </c>
      <c r="H29" s="431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2715.38</v>
      </c>
      <c r="I29" s="431">
        <f>IF($C29=$C28,($D29+$D28)*'VALORES TABELA'!$B$50-$E28,$D29*'VALORES TABELA'!$B$50)</f>
        <v>13178.596200000002</v>
      </c>
      <c r="J29" s="431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2582.4997766500005</v>
      </c>
      <c r="K29" s="431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1353.2340178500003</v>
      </c>
    </row>
    <row r="30" spans="1:11" ht="20.25" customHeight="1" x14ac:dyDescent="0.2">
      <c r="A30" s="413" t="s">
        <v>3298</v>
      </c>
      <c r="B30" s="413" t="s">
        <v>3370</v>
      </c>
      <c r="C30" s="413" t="s">
        <v>3408</v>
      </c>
      <c r="D30" s="430">
        <f>SUMIF('APONTAMENTO CREDENCIAMENTO'!$D$5:$D$4079,$A30,'APONTAMENTO CREDENCIAMENTO'!$FE$5:$FE$4079)</f>
        <v>10314.450000000001</v>
      </c>
      <c r="E30" s="431">
        <f t="shared" si="1"/>
        <v>226.91790000000003</v>
      </c>
      <c r="F30" s="431">
        <f>$D30*'VALORES TABELA'!$B$45*'VALORES TABELA'!$B$46</f>
        <v>51.572250000000011</v>
      </c>
      <c r="G30" s="431">
        <f t="shared" si="2"/>
        <v>6188.67</v>
      </c>
      <c r="H30" s="431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668.73</v>
      </c>
      <c r="I30" s="431">
        <f>IF($C30=$C29,($D30+$D29)*'VALORES TABELA'!$B$50-$E29,$D30*'VALORES TABELA'!$B$50)</f>
        <v>6188.67</v>
      </c>
      <c r="J30" s="431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730.75182749999999</v>
      </c>
      <c r="K30" s="431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-1851.7479491500005</v>
      </c>
    </row>
    <row r="31" spans="1:11" ht="20.25" customHeight="1" x14ac:dyDescent="0.2">
      <c r="A31" s="413" t="s">
        <v>3302</v>
      </c>
      <c r="B31" s="413" t="s">
        <v>3371</v>
      </c>
      <c r="C31" s="413" t="s">
        <v>3409</v>
      </c>
      <c r="D31" s="430">
        <f>SUMIF('APONTAMENTO CREDENCIAMENTO'!$D$5:$D$4079,$A31,'APONTAMENTO CREDENCIAMENTO'!$FE$5:$FE$4079)</f>
        <v>20217.951000000001</v>
      </c>
      <c r="E31" s="431">
        <f t="shared" si="1"/>
        <v>444.79492200000004</v>
      </c>
      <c r="F31" s="431">
        <f>$D31*'VALORES TABELA'!$B$45*'VALORES TABELA'!$B$46</f>
        <v>101.08975500000003</v>
      </c>
      <c r="G31" s="431">
        <f t="shared" si="2"/>
        <v>12130.7706</v>
      </c>
      <c r="H31" s="431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2427.23</v>
      </c>
      <c r="I31" s="431">
        <f>IF($C31=$C30,($D31+$D30)*'VALORES TABELA'!$B$50-$E30,$D31*'VALORES TABELA'!$B$50)</f>
        <v>12130.7706</v>
      </c>
      <c r="J31" s="431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2304.91331145</v>
      </c>
      <c r="K31" s="431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1574.16148395</v>
      </c>
    </row>
    <row r="32" spans="1:11" ht="20.25" customHeight="1" x14ac:dyDescent="0.2">
      <c r="A32" s="413" t="s">
        <v>3306</v>
      </c>
      <c r="B32" s="413" t="s">
        <v>3372</v>
      </c>
      <c r="C32" s="413" t="s">
        <v>3410</v>
      </c>
      <c r="D32" s="430">
        <f>SUMIF('APONTAMENTO CREDENCIAMENTO'!$D$5:$D$4079,$A32,'APONTAMENTO CREDENCIAMENTO'!$FE$5:$FE$4079)</f>
        <v>15630.550000000001</v>
      </c>
      <c r="E32" s="431">
        <f t="shared" si="1"/>
        <v>343.87210000000005</v>
      </c>
      <c r="F32" s="431">
        <f>$D32*'VALORES TABELA'!$B$45*'VALORES TABELA'!$B$46</f>
        <v>78.152750000000026</v>
      </c>
      <c r="G32" s="431">
        <f t="shared" si="2"/>
        <v>9378.33</v>
      </c>
      <c r="H32" s="431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1670.31</v>
      </c>
      <c r="I32" s="431">
        <f>IF($C32=$C31,($D32+$D31)*'VALORES TABELA'!$B$50-$E31,$D32*'VALORES TABELA'!$B$50)</f>
        <v>9378.33</v>
      </c>
      <c r="J32" s="431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1575.7459225000002</v>
      </c>
      <c r="K32" s="431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-729.1673889499998</v>
      </c>
    </row>
    <row r="33" spans="1:11" ht="20.25" customHeight="1" x14ac:dyDescent="0.2">
      <c r="A33" s="413" t="s">
        <v>3310</v>
      </c>
      <c r="B33" s="413" t="s">
        <v>3373</v>
      </c>
      <c r="C33" s="413" t="s">
        <v>3411</v>
      </c>
      <c r="D33" s="430">
        <f>SUMIF('APONTAMENTO CREDENCIAMENTO'!$D$5:$D$4079,$A33,'APONTAMENTO CREDENCIAMENTO'!$FE$5:$FE$4079)</f>
        <v>14932.699999999999</v>
      </c>
      <c r="E33" s="431">
        <f t="shared" si="1"/>
        <v>328.51940000000002</v>
      </c>
      <c r="F33" s="431">
        <f>$D33*'VALORES TABELA'!$B$45*'VALORES TABELA'!$B$46</f>
        <v>74.663499999999999</v>
      </c>
      <c r="G33" s="431">
        <f t="shared" si="2"/>
        <v>8959.619999999999</v>
      </c>
      <c r="H33" s="431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1555.16</v>
      </c>
      <c r="I33" s="431">
        <f>IF($C33=$C32,($D33+$D32)*'VALORES TABELA'!$B$50-$E32,$D33*'VALORES TABELA'!$B$50)</f>
        <v>8959.619999999999</v>
      </c>
      <c r="J33" s="431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1464.8226650000001</v>
      </c>
      <c r="K33" s="431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-110.92325750000009</v>
      </c>
    </row>
    <row r="34" spans="1:11" ht="20.25" customHeight="1" x14ac:dyDescent="0.2">
      <c r="A34" s="413" t="s">
        <v>3314</v>
      </c>
      <c r="B34" s="413" t="s">
        <v>3374</v>
      </c>
      <c r="C34" s="413" t="s">
        <v>3412</v>
      </c>
      <c r="D34" s="430">
        <f>SUMIF('APONTAMENTO CREDENCIAMENTO'!$D$5:$D$4079,$A34,'APONTAMENTO CREDENCIAMENTO'!$FE$5:$FE$4079)</f>
        <v>27804.077000000005</v>
      </c>
      <c r="E34" s="431">
        <f t="shared" si="1"/>
        <v>607.20000000000005</v>
      </c>
      <c r="F34" s="431">
        <f>$D34*'VALORES TABELA'!$B$45*'VALORES TABELA'!$B$46</f>
        <v>139.02038500000003</v>
      </c>
      <c r="G34" s="431">
        <f t="shared" si="2"/>
        <v>16682.446200000002</v>
      </c>
      <c r="H34" s="431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3678.94</v>
      </c>
      <c r="I34" s="431">
        <f>IF($C34=$C33,($D34+$D33)*'VALORES TABELA'!$B$50-$E33,$D34*'VALORES TABELA'!$B$50)</f>
        <v>16682.446200000002</v>
      </c>
      <c r="J34" s="431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3511.9627050000004</v>
      </c>
      <c r="K34" s="431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2047.1400400000002</v>
      </c>
    </row>
    <row r="35" spans="1:11" ht="20.25" customHeight="1" x14ac:dyDescent="0.2">
      <c r="A35" s="413" t="s">
        <v>3318</v>
      </c>
      <c r="B35" s="413" t="s">
        <v>3375</v>
      </c>
      <c r="C35" s="413" t="s">
        <v>3413</v>
      </c>
      <c r="D35" s="430">
        <f>SUMIF('APONTAMENTO CREDENCIAMENTO'!$D$5:$D$4079,$A35,'APONTAMENTO CREDENCIAMENTO'!$FE$5:$FE$4079)</f>
        <v>18921.010000000002</v>
      </c>
      <c r="E35" s="431">
        <f t="shared" si="1"/>
        <v>416.26222000000007</v>
      </c>
      <c r="F35" s="431">
        <f>$D35*'VALORES TABELA'!$B$45*'VALORES TABELA'!$B$46</f>
        <v>94.60505000000002</v>
      </c>
      <c r="G35" s="431">
        <f t="shared" si="2"/>
        <v>11352.606000000002</v>
      </c>
      <c r="H35" s="431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2213.23</v>
      </c>
      <c r="I35" s="431">
        <f>IF($C35=$C34,($D35+$D34)*'VALORES TABELA'!$B$50-$E34,$D35*'VALORES TABELA'!$B$50)</f>
        <v>11352.606000000002</v>
      </c>
      <c r="J35" s="431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2098.7645395000004</v>
      </c>
      <c r="K35" s="431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-1413.1981655</v>
      </c>
    </row>
    <row r="36" spans="1:11" ht="20.25" customHeight="1" x14ac:dyDescent="0.2">
      <c r="A36" s="413" t="s">
        <v>3322</v>
      </c>
      <c r="B36" s="413" t="s">
        <v>3376</v>
      </c>
      <c r="C36" s="413" t="s">
        <v>3414</v>
      </c>
      <c r="D36" s="430">
        <f>SUMIF('APONTAMENTO CREDENCIAMENTO'!$D$5:$D$4079,$A36,'APONTAMENTO CREDENCIAMENTO'!$FE$5:$FE$4079)</f>
        <v>16028.732000000002</v>
      </c>
      <c r="E36" s="431">
        <f t="shared" si="1"/>
        <v>352.63210400000003</v>
      </c>
      <c r="F36" s="431">
        <f>$D36*'VALORES TABELA'!$B$45*'VALORES TABELA'!$B$46</f>
        <v>80.143660000000011</v>
      </c>
      <c r="G36" s="431">
        <f t="shared" si="2"/>
        <v>9617.2392</v>
      </c>
      <c r="H36" s="431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1736.01</v>
      </c>
      <c r="I36" s="431">
        <f>IF($C36=$C35,($D36+$D35)*'VALORES TABELA'!$B$50-$E35,$D36*'VALORES TABELA'!$B$50)</f>
        <v>9617.2392</v>
      </c>
      <c r="J36" s="431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1639.0369513999999</v>
      </c>
      <c r="K36" s="431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-459.7275881000005</v>
      </c>
    </row>
    <row r="37" spans="1:11" ht="20.25" customHeight="1" x14ac:dyDescent="0.2">
      <c r="A37" s="413" t="s">
        <v>3326</v>
      </c>
      <c r="B37" s="413" t="s">
        <v>3377</v>
      </c>
      <c r="C37" s="413" t="s">
        <v>3415</v>
      </c>
      <c r="D37" s="430">
        <f>SUMIF('APONTAMENTO CREDENCIAMENTO'!$D$5:$D$4079,$A37,'APONTAMENTO CREDENCIAMENTO'!$FE$5:$FE$4079)</f>
        <v>17021.313999999998</v>
      </c>
      <c r="E37" s="431">
        <f t="shared" si="1"/>
        <v>374.468908</v>
      </c>
      <c r="F37" s="431">
        <f>$D37*'VALORES TABELA'!$B$45*'VALORES TABELA'!$B$46</f>
        <v>85.106570000000005</v>
      </c>
      <c r="G37" s="431">
        <f t="shared" si="2"/>
        <v>10212.788399999999</v>
      </c>
      <c r="H37" s="431">
        <f>_xlfn.LET(_xlpm.base,G37,_xlpm.bruto,E37+G37,_xlpm.ir_normal,IF(_xlpm.base&lt;='VALORES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1899.78</v>
      </c>
      <c r="I37" s="431">
        <f>IF($C37=$C36,($D37+$D36)*'VALORES TABELA'!$B$50-$E36,$D37*'VALORES TABELA'!$B$50)</f>
        <v>10212.788399999999</v>
      </c>
      <c r="J37" s="431">
        <f>IF(($G37-E37)&lt;='VALORES TABELA'!$A$56,0,IF(($G37-$E37)&lt;='VALORES TABELA'!$A$57,($G37-$E37)*'VALORES TABELA'!$B$57-'VALORES TABELA'!$C$57,IF(($G37-$E37)&lt;='VALORES TABELA'!$A$58,($G37-$E37)*'VALORES TABELA'!$B$58-'VALORES TABELA'!$C$58,IF(($G37-$E37)&lt;='VALORES TABELA'!$A$59,($G37-$E37)*'VALORES TABELA'!$B$59-'VALORES TABELA'!$C$59,($G37-$E37)*'VALORES TABELA'!$B$60-'VALORES TABELA'!$C$60))))</f>
        <v>1796.8078602999999</v>
      </c>
      <c r="K37" s="431">
        <f>IF(($I37-$E37)&lt;='VALORES TABELA'!$A$56,0,IF(($I37-$E37)&lt;='VALORES TABELA'!$A$57,($I37-$E37)*'VALORES TABELA'!$B$57-'VALORES TABELA'!$C$57,IF(($I37-$E37)&lt;='VALORES TABELA'!$A$58,($I37-$E37)*'VALORES TABELA'!$B$58-'VALORES TABELA'!$C$58,IF(($I37-$E37)&lt;='VALORES TABELA'!$A$59,($I37-$E37)*'VALORES TABELA'!$B$59-'VALORES TABELA'!$C$59,($I37-$E37)*'VALORES TABELA'!$B$60-'VALORES TABELA'!$C$60))))-J36</f>
        <v>157.77090889999999</v>
      </c>
    </row>
    <row r="38" spans="1:11" ht="20.25" customHeight="1" x14ac:dyDescent="0.2">
      <c r="A38" s="413" t="s">
        <v>3330</v>
      </c>
      <c r="B38" s="413" t="s">
        <v>3378</v>
      </c>
      <c r="C38" s="413" t="s">
        <v>3416</v>
      </c>
      <c r="D38" s="430">
        <f>SUMIF('APONTAMENTO CREDENCIAMENTO'!$D$5:$D$4079,$A38,'APONTAMENTO CREDENCIAMENTO'!$FE$5:$FE$4079)</f>
        <v>15142.813999999998</v>
      </c>
      <c r="E38" s="431">
        <f t="shared" si="1"/>
        <v>333.14190799999994</v>
      </c>
      <c r="F38" s="431">
        <f>$D38*'VALORES TABELA'!$B$45*'VALORES TABELA'!$B$46</f>
        <v>75.714069999999992</v>
      </c>
      <c r="G38" s="431">
        <f t="shared" si="2"/>
        <v>9085.6883999999991</v>
      </c>
      <c r="H38" s="431">
        <f>_xlfn.LET(_xlpm.base,G38,_xlpm.bruto,E38+G38,_xlpm.ir_normal,IF(_xlpm.base&lt;='VALORES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1589.83</v>
      </c>
      <c r="I38" s="431">
        <f>IF($C38=$C37,($D38+$D37)*'VALORES TABELA'!$B$50-$E37,$D38*'VALORES TABELA'!$B$50)</f>
        <v>9085.6883999999991</v>
      </c>
      <c r="J38" s="431">
        <f>IF(($G38-E38)&lt;='VALORES TABELA'!$A$56,0,IF(($G38-$E38)&lt;='VALORES TABELA'!$A$57,($G38-$E38)*'VALORES TABELA'!$B$57-'VALORES TABELA'!$C$57,IF(($G38-$E38)&lt;='VALORES TABELA'!$A$58,($G38-$E38)*'VALORES TABELA'!$B$58-'VALORES TABELA'!$C$58,IF(($G38-$E38)&lt;='VALORES TABELA'!$A$59,($G38-$E38)*'VALORES TABELA'!$B$59-'VALORES TABELA'!$C$59,($G38-$E38)*'VALORES TABELA'!$B$60-'VALORES TABELA'!$C$60))))</f>
        <v>1498.2202852999999</v>
      </c>
      <c r="K38" s="431">
        <f>IF(($I38-$E38)&lt;='VALORES TABELA'!$A$56,0,IF(($I38-$E38)&lt;='VALORES TABELA'!$A$57,($I38-$E38)*'VALORES TABELA'!$B$57-'VALORES TABELA'!$C$57,IF(($I38-$E38)&lt;='VALORES TABELA'!$A$58,($I38-$E38)*'VALORES TABELA'!$B$58-'VALORES TABELA'!$C$58,IF(($I38-$E38)&lt;='VALORES TABELA'!$A$59,($I38-$E38)*'VALORES TABELA'!$B$59-'VALORES TABELA'!$C$59,($I38-$E38)*'VALORES TABELA'!$B$60-'VALORES TABELA'!$C$60))))-J37</f>
        <v>-298.58757500000002</v>
      </c>
    </row>
    <row r="39" spans="1:11" ht="20.25" customHeight="1" x14ac:dyDescent="0.2">
      <c r="A39" s="413" t="s">
        <v>3334</v>
      </c>
      <c r="B39" s="413" t="s">
        <v>3379</v>
      </c>
      <c r="C39" s="413" t="s">
        <v>3417</v>
      </c>
      <c r="D39" s="430">
        <f>SUMIF('APONTAMENTO CREDENCIAMENTO'!$D$5:$D$4079,$A39,'APONTAMENTO CREDENCIAMENTO'!$FE$5:$FE$4079)</f>
        <v>36523.078999999998</v>
      </c>
      <c r="E39" s="431">
        <f t="shared" si="1"/>
        <v>607.20000000000005</v>
      </c>
      <c r="F39" s="431">
        <f>$D39*'VALORES TABELA'!$B$45*'VALORES TABELA'!$B$46</f>
        <v>182.61539500000001</v>
      </c>
      <c r="G39" s="431">
        <f t="shared" si="2"/>
        <v>21913.847399999999</v>
      </c>
      <c r="H39" s="431">
        <f>_xlfn.LET(_xlpm.base,G39,_xlpm.bruto,E39+G39,_xlpm.ir_normal,IF(_xlpm.base&lt;='VALORES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5117.57</v>
      </c>
      <c r="I39" s="431">
        <f>IF($C39=$C38,($D39+$D38)*'VALORES TABELA'!$B$50-$E38,$D39*'VALORES TABELA'!$B$50)</f>
        <v>21913.847399999999</v>
      </c>
      <c r="J39" s="431">
        <f>IF(($G39-E39)&lt;='VALORES TABELA'!$A$56,0,IF(($G39-$E39)&lt;='VALORES TABELA'!$A$57,($G39-$E39)*'VALORES TABELA'!$B$57-'VALORES TABELA'!$C$57,IF(($G39-$E39)&lt;='VALORES TABELA'!$A$58,($G39-$E39)*'VALORES TABELA'!$B$58-'VALORES TABELA'!$C$58,IF(($G39-$E39)&lt;='VALORES TABELA'!$A$59,($G39-$E39)*'VALORES TABELA'!$B$59-'VALORES TABELA'!$C$59,($G39-$E39)*'VALORES TABELA'!$B$60-'VALORES TABELA'!$C$60))))</f>
        <v>4950.5980349999991</v>
      </c>
      <c r="K39" s="431">
        <f>IF(($I39-$E39)&lt;='VALORES TABELA'!$A$56,0,IF(($I39-$E39)&lt;='VALORES TABELA'!$A$57,($I39-$E39)*'VALORES TABELA'!$B$57-'VALORES TABELA'!$C$57,IF(($I39-$E39)&lt;='VALORES TABELA'!$A$58,($I39-$E39)*'VALORES TABELA'!$B$58-'VALORES TABELA'!$C$58,IF(($I39-$E39)&lt;='VALORES TABELA'!$A$59,($I39-$E39)*'VALORES TABELA'!$B$59-'VALORES TABELA'!$C$59,($I39-$E39)*'VALORES TABELA'!$B$60-'VALORES TABELA'!$C$60))))-J38</f>
        <v>3452.3777496999992</v>
      </c>
    </row>
    <row r="40" spans="1:11" ht="20.25" customHeight="1" x14ac:dyDescent="0.2">
      <c r="A40" s="413" t="s">
        <v>3338</v>
      </c>
      <c r="B40" s="413" t="s">
        <v>3380</v>
      </c>
      <c r="C40" s="413" t="s">
        <v>3418</v>
      </c>
      <c r="D40" s="430">
        <f>SUMIF('APONTAMENTO CREDENCIAMENTO'!$D$5:$D$4079,$A40,'APONTAMENTO CREDENCIAMENTO'!$FE$5:$FE$4079)</f>
        <v>23566.436000000002</v>
      </c>
      <c r="E40" s="431">
        <f t="shared" si="1"/>
        <v>518.46159200000011</v>
      </c>
      <c r="F40" s="431">
        <f>$D40*'VALORES TABELA'!$B$45*'VALORES TABELA'!$B$46</f>
        <v>117.83218000000002</v>
      </c>
      <c r="G40" s="431">
        <f t="shared" si="2"/>
        <v>14139.8616</v>
      </c>
      <c r="H40" s="431">
        <f>_xlfn.LET(_xlpm.base,G40,_xlpm.bruto,E40+G40,_xlpm.ir_normal,IF(_xlpm.base&lt;='VALORES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2979.73</v>
      </c>
      <c r="I40" s="431">
        <f>IF($C40=$C39,($D40+$D39)*'VALORES TABELA'!$B$50-$E39,$D40*'VALORES TABELA'!$B$50)</f>
        <v>14139.8616</v>
      </c>
      <c r="J40" s="431">
        <f>IF(($G40-E40)&lt;='VALORES TABELA'!$A$56,0,IF(($G40-$E40)&lt;='VALORES TABELA'!$A$57,($G40-$E40)*'VALORES TABELA'!$B$57-'VALORES TABELA'!$C$57,IF(($G40-$E40)&lt;='VALORES TABELA'!$A$58,($G40-$E40)*'VALORES TABELA'!$B$58-'VALORES TABELA'!$C$58,IF(($G40-$E40)&lt;='VALORES TABELA'!$A$59,($G40-$E40)*'VALORES TABELA'!$B$59-'VALORES TABELA'!$C$59,($G40-$E40)*'VALORES TABELA'!$B$60-'VALORES TABELA'!$C$60))))</f>
        <v>2837.1550022000006</v>
      </c>
      <c r="K40" s="431">
        <f>IF(($I40-$E40)&lt;='VALORES TABELA'!$A$56,0,IF(($I40-$E40)&lt;='VALORES TABELA'!$A$57,($I40-$E40)*'VALORES TABELA'!$B$57-'VALORES TABELA'!$C$57,IF(($I40-$E40)&lt;='VALORES TABELA'!$A$58,($I40-$E40)*'VALORES TABELA'!$B$58-'VALORES TABELA'!$C$58,IF(($I40-$E40)&lt;='VALORES TABELA'!$A$59,($I40-$E40)*'VALORES TABELA'!$B$59-'VALORES TABELA'!$C$59,($I40-$E40)*'VALORES TABELA'!$B$60-'VALORES TABELA'!$C$60))))-J39</f>
        <v>-2113.4430327999985</v>
      </c>
    </row>
    <row r="41" spans="1:11" ht="20.25" customHeight="1" x14ac:dyDescent="0.2">
      <c r="A41" s="413" t="s">
        <v>3342</v>
      </c>
      <c r="B41" s="413" t="s">
        <v>3381</v>
      </c>
      <c r="C41" s="413" t="s">
        <v>3419</v>
      </c>
      <c r="D41" s="430">
        <f>SUMIF('APONTAMENTO CREDENCIAMENTO'!$D$5:$D$4079,$A41,'APONTAMENTO CREDENCIAMENTO'!$FE$5:$FE$4079)</f>
        <v>16465.807000000001</v>
      </c>
      <c r="E41" s="431">
        <f t="shared" si="1"/>
        <v>362.24775400000004</v>
      </c>
      <c r="F41" s="431">
        <f>$D41*'VALORES TABELA'!$B$45*'VALORES TABELA'!$B$46</f>
        <v>82.329035000000019</v>
      </c>
      <c r="G41" s="431">
        <f t="shared" si="2"/>
        <v>9879.4842000000008</v>
      </c>
      <c r="H41" s="431">
        <f>_xlfn.LET(_xlpm.base,G41,_xlpm.bruto,E41+G41,_xlpm.ir_normal,IF(_xlpm.base&lt;='VALORES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1808.12</v>
      </c>
      <c r="I41" s="431">
        <f>IF($C41=$C40,($D41+$D40)*'VALORES TABELA'!$B$50-$E40,$D41*'VALORES TABELA'!$B$50)</f>
        <v>9879.4842000000008</v>
      </c>
      <c r="J41" s="431">
        <f>IF(($G41-E41)&lt;='VALORES TABELA'!$A$56,0,IF(($G41-$E41)&lt;='VALORES TABELA'!$A$57,($G41-$E41)*'VALORES TABELA'!$B$57-'VALORES TABELA'!$C$57,IF(($G41-$E41)&lt;='VALORES TABELA'!$A$58,($G41-$E41)*'VALORES TABELA'!$B$58-'VALORES TABELA'!$C$58,IF(($G41-$E41)&lt;='VALORES TABELA'!$A$59,($G41-$E41)*'VALORES TABELA'!$B$59-'VALORES TABELA'!$C$59,($G41-$E41)*'VALORES TABELA'!$B$60-'VALORES TABELA'!$C$60))))</f>
        <v>1708.5100226500003</v>
      </c>
      <c r="K41" s="431">
        <f>IF(($I41-$E41)&lt;='VALORES TABELA'!$A$56,0,IF(($I41-$E41)&lt;='VALORES TABELA'!$A$57,($I41-$E41)*'VALORES TABELA'!$B$57-'VALORES TABELA'!$C$57,IF(($I41-$E41)&lt;='VALORES TABELA'!$A$58,($I41-$E41)*'VALORES TABELA'!$B$58-'VALORES TABELA'!$C$58,IF(($I41-$E41)&lt;='VALORES TABELA'!$A$59,($I41-$E41)*'VALORES TABELA'!$B$59-'VALORES TABELA'!$C$59,($I41-$E41)*'VALORES TABELA'!$B$60-'VALORES TABELA'!$C$60))))-J40</f>
        <v>-1128.6449795500002</v>
      </c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20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291</v>
      </c>
      <c r="E10" s="767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2023/0028913</v>
      </c>
      <c r="B11" s="459"/>
      <c r="C11" s="460" t="str">
        <f>VLOOKUP(A11,ProcRel!A1:C5000,3,0)</f>
        <v>032.621-00</v>
      </c>
      <c r="D11" s="768" t="str">
        <f>VLOOKUP(A11,'APONTAMENTO CREDENCIAMENTO'!$D$6:$D$4079,1,FALSE)</f>
        <v>2023/0028913</v>
      </c>
      <c r="E11" s="768"/>
      <c r="F11" s="461">
        <f>SUMIF('APONTAMENTO CREDENCIAMENTO'!D$5:D$5182,A11,'APONTAMENTO CREDENCIAMENTO'!N$5:N$5182)</f>
        <v>0</v>
      </c>
      <c r="G11" s="462">
        <f>'EMPRESA C'!H16+'EMPRESA C'!I16+'EMPRESA C'!J16+'EMPRESA C'!K16+'EMPRESA C'!L16+'EMPRESA C'!M16</f>
        <v>68</v>
      </c>
      <c r="H11" s="463" t="str">
        <f>'BASE C'!E4</f>
        <v>ABRIL</v>
      </c>
      <c r="I11" s="464" t="str">
        <f>'BASE C'!D2</f>
        <v>SÃO MATEUS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263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CREDENCIAMENTO'!D1:J5182,6,FALSE)</f>
        <v>RONALDO PAULO DA SILVA</v>
      </c>
      <c r="B13" s="774"/>
      <c r="C13" s="774"/>
      <c r="D13" s="774"/>
      <c r="E13" s="775"/>
      <c r="F13" s="781" t="str">
        <f>VLOOKUP(A11,ProcRel1!E2:G5000,3,FALSE)</f>
        <v>260.706.048-65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CREDENCIAMENTO'!D1:O4077,12,FALSE)</f>
        <v>6020.2023/0028913-2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CREDENCIAMENTO'!$D$6:$EW$4079,150,FALSE)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CREDENCIAMENTO'!D$5:D$5182,A11,'APONTAMENTO CREDENCIAMENTO'!EX$5:EX$5182)</f>
        <v>27909.710000000003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CREDENCIAMENTO'!D5:D5182,A11,'APONTAMENTO CREDENCIAMENTO'!FB5:FB5182)</f>
        <v>192.61500000000001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CREDENCIAMENTO'!D5:D5182,A11,'APONTAMENTO CREDENCIAMENTO'!EZ5:EZ5182)</f>
        <v>51.364000000000004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CREDENCIAMENTO'!D5:D5182,A11,'APONTAMENTO CREDENCIAMENTO'!FA5:FA5182)</f>
        <v>-667.73200000000008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CREDENCIAMENTO'!D5:D5182,A11,'APONTAMENTO CREDENCIAMENTO'!FC5:FC5182)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CREDENCIAMENTO'!D5:IA5182,230,0)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CREDENCIAMENTO'!D5:IA5182,231,0)*-1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CREDENCIAMENTO'!D5:IA5182,232,0)*-1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CREDENCIAMENTO'!D5:D5182,A11,'APONTAMENTO CREDENCIAMENTO'!L5:L5182)</f>
        <v>33</v>
      </c>
      <c r="F29" s="506" t="s">
        <v>318</v>
      </c>
      <c r="G29" s="507">
        <f>SUMIF('APONTAMENTO CREDENCIAMENTO'!D5:D5182,A11,'APONTAMENTO CREDENCIAMENTO'!M5:M5182)</f>
        <v>0</v>
      </c>
      <c r="H29" s="504" t="s">
        <v>150</v>
      </c>
      <c r="I29" s="495">
        <f>SUMIF('APONTAMENTO CREDENCIAMENTO'!D5:D5182,A11,'APONTAMENTO CREDENCIAMENTO'!EY5:EY5182)</f>
        <v>318.12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CREDENCIAMENTO'!D5:D5182,A11,'APONTAMENTO CREDENCIAMENTO'!FD5:FD5182)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27804.077000000005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VLOOKUP(A11,'ATESTE-LIQ-FIS'!A4:K3777,5,0)*-1</f>
        <v>-607.20000000000005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VLOOKUP(A11,'ATESTE-LIQ-FIS'!A4:K3777,6,0)*-1</f>
        <v>-139.02038500000003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-3511.9599999999996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23545.896615000005</v>
      </c>
    </row>
    <row r="37" spans="1:12" s="12" customFormat="1" x14ac:dyDescent="0.2">
      <c r="A37" s="793" t="s">
        <v>106</v>
      </c>
      <c r="B37" s="794">
        <f>VLOOKUP(A11,'APONTAMENTO CREDENCIAMENTO'!D1:EL4077,138,FALSE)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CREDENCIAMENTO'!D1:EL4077,139,FALSE)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CREDENCIAMENTO'!D5:D5182,A11,'APONTAMENTO CREDENCIAMENTO'!EP5:EP5182)</f>
        <v>55</v>
      </c>
      <c r="B45" s="483"/>
      <c r="C45" s="484">
        <f>SUMIF('APONTAMENTO CREDENCIAMENTO'!D5:D5182,A11,'APONTAMENTO CREDENCIAMENTO'!ER5:ER5182)</f>
        <v>14</v>
      </c>
      <c r="D45" s="484"/>
      <c r="E45" s="484">
        <f>SUMIF('APONTAMENTO CREDENCIAMENTO'!D5:D5182,A11,'APONTAMENTO CREDENCIAMENTO'!ES5:ES5182)</f>
        <v>0</v>
      </c>
      <c r="F45" s="484"/>
      <c r="G45" s="484">
        <f>SUMIF('APONTAMENTO CREDENCIAMENTO'!D5:D5182,A11,'APONTAMENTO CREDENCIAMENTO'!EU5:EU5182)</f>
        <v>0</v>
      </c>
      <c r="H45" s="484"/>
      <c r="I45" s="485">
        <f>SUM(A45:H45)</f>
        <v>69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312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RONALDO PAULO DA SILVA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2023/0028913</v>
      </c>
      <c r="G9" s="30" t="s">
        <v>122</v>
      </c>
      <c r="H9" s="30" t="str">
        <f>'APONTAMENTO CREDENCIAMENTO'!A1</f>
        <v>São Mateus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RONALDO PAULO DA SILVA</v>
      </c>
      <c r="B14" s="207" t="str">
        <f>VLOOKUP(D14,'APONTAMENTO CREDENCIAMENTO'!$A$6:$F$4080,6,0)</f>
        <v>01/04/2026</v>
      </c>
      <c r="C14" s="207" t="str">
        <f>VLOOKUP(D14,'APONTAMENTO CREDENCIAMENTO'!$A$6:$G$4080,7,0)</f>
        <v>30/04/2026</v>
      </c>
      <c r="D14" s="208" t="str">
        <f>'BASE C'!C10</f>
        <v>032.621-00</v>
      </c>
      <c r="E14" s="809" t="str">
        <f>'BASE C'!H10</f>
        <v>QOG1J70</v>
      </c>
      <c r="F14" s="810"/>
      <c r="G14" s="208">
        <f>SUMIF('APONTAMENTO CREDENCIAMENTO'!$A$6:$A$4080,'EMPRESA C'!D14,'APONTAMENTO CREDENCIAMENTO'!$N$6:$N$4080)</f>
        <v>0</v>
      </c>
      <c r="H14" s="208">
        <f>SUMIF('APONTAMENTO CREDENCIAMENTO'!$A$6:$A$4080,'EMPRESA C'!D14,'APONTAMENTO CREDENCIAMENTO'!$EP$6:$EP$4080)</f>
        <v>55</v>
      </c>
      <c r="I14" s="208">
        <f>SUMIF('APONTAMENTO CREDENCIAMENTO'!$A$6:$A$4080,'EMPRESA C'!D14,'APONTAMENTO CREDENCIAMENTO'!$EQ$6:$EQ$4080)</f>
        <v>-1</v>
      </c>
      <c r="J14" s="208">
        <f>SUMIF('APONTAMENTO CREDENCIAMENTO'!$A$6:$A$4080,'EMPRESA C'!D14,'APONTAMENTO CREDENCIAMENTO'!$ER$6:$ER$4080)</f>
        <v>14</v>
      </c>
      <c r="K14" s="208">
        <f>SUMIF('APONTAMENTO CREDENCIAMENTO'!$A$6:$A$4080,'EMPRESA C'!D14,'APONTAMENTO CREDENCIAMENTO'!$ES$6:$ES$4080)</f>
        <v>0</v>
      </c>
      <c r="L14" s="208">
        <f>SUMIF('APONTAMENTO CREDENCIAMENTO'!$A$6:$A$4080,'EMPRESA C'!D14,'APONTAMENTO CREDENCIAMENTO'!$ET$6:$ET$4080)</f>
        <v>0</v>
      </c>
      <c r="M14" s="208">
        <f>SUMIF('APONTAMENTO CREDENCIAMENTO'!$A$6:$A$4080,'EMPRESA C'!D14,'APONTAMENTO CREDENCIAMENTO'!$EU$6:$EU$4080)</f>
        <v>0</v>
      </c>
      <c r="N14" s="209">
        <f>SUMIF('APONTAMENTO CREDENCIAMENTO'!$A$6:$A$4080,'EMPRESA C'!D14,'APONTAMENTO CREDENCIAMENTO'!$EW$6:$EW$4080)</f>
        <v>0</v>
      </c>
      <c r="O14" s="209">
        <f>SUMIF('APONTAMENTO CREDENCIAMENTO'!$A$6:$A$4080,'EMPRESA C'!D14,'APONTAMENTO CREDENCIAMENTO'!$EX$6:$EX$4080)</f>
        <v>27909.710000000003</v>
      </c>
      <c r="P14" s="209">
        <f>SUMIF('APONTAMENTO CREDENCIAMENTO'!$A$5:$A$4080,'EMPRESA C'!D14,'APONTAMENTO CREDENCIAMENTO'!$EY$5:$EY$4080)</f>
        <v>318.12</v>
      </c>
      <c r="Q14" s="209">
        <f>SUMIF('APONTAMENTO CREDENCIAMENTO'!$A$5:$A$4080,'EMPRESA C'!D14,'APONTAMENTO CREDENCIAMENTO'!$EZ$5:$EZ$4080)</f>
        <v>51.364000000000004</v>
      </c>
      <c r="R14" s="209">
        <f>SUMIF('APONTAMENTO CREDENCIAMENTO'!$A$5:$A$4080,'EMPRESA C'!D14,'APONTAMENTO CREDENCIAMENTO'!$FA$5:$FA$4080)</f>
        <v>-667.73200000000008</v>
      </c>
      <c r="S14" s="209">
        <f>SUMIF('APONTAMENTO CREDENCIAMENTO'!$A$5:$A$4080,'EMPRESA C'!D14,'APONTAMENTO CREDENCIAMENTO'!$FB$5:$FB$4080)</f>
        <v>192.61500000000001</v>
      </c>
      <c r="T14" s="209">
        <f>SUMIF('APONTAMENTO CREDENCIAMENTO'!$A$5:$A$4080,'EMPRESA C'!D14,'APONTAMENTO CREDENCIAMENTO'!$FC$5:$FC$4080)</f>
        <v>0</v>
      </c>
      <c r="U14" s="209">
        <f>SUMIF('APONTAMENTO CREDENCIAMENTO'!$A$5:$A$4080,'EMPRESA C'!D14,'APONTAMENTO CREDENCIAMENTO'!$HY$5:$HY$4080)</f>
        <v>0</v>
      </c>
      <c r="V14" s="209">
        <f>SUMIF('APONTAMENTO CREDENCIAMENTO'!$A$5:$A$4080,'EMPRESA C'!D14,'APONTAMENTO CREDENCIAMENTO'!$HZ$5:$HZ$4080)*-1</f>
        <v>0</v>
      </c>
      <c r="W14" s="209">
        <f>SUMIF('APONTAMENTO CREDENCIAMENTO'!$A$5:$A$4080,'EMPRESA C'!D14,'APONTAMENTO CREDENCIAMENTO'!$IA$5:$IA$4080)*-1</f>
        <v>0</v>
      </c>
      <c r="X14" s="209">
        <f>SUMIF('APONTAMENTO CREDENCIAMENTO'!$A$5:$A$4080,'EMPRESA C'!D14,'APONTAMENTO CREDENCIAMENTO'!$FD$5:$FD$4080)</f>
        <v>0</v>
      </c>
      <c r="Y14" s="209">
        <f>SUMIF('APONTAMENTO CREDENCIAMENTO'!$A$5:$A$4080,'EMPRESA C'!D14,'APONTAMENTO CREDENCIAMENTO'!$GK$5:$GK$4080)*-1</f>
        <v>0</v>
      </c>
      <c r="Z14" s="209">
        <f>(N14+O14+P14+Q14+R14+S14+T14+U14+V14+W14+X14+Y14)</f>
        <v>27804.077000000005</v>
      </c>
      <c r="AA14" s="209">
        <f t="shared" ref="AA14" si="0">Z14</f>
        <v>27804.077000000005</v>
      </c>
      <c r="AB14" s="209">
        <f>AA14*'BASE C'!B$7</f>
        <v>0</v>
      </c>
      <c r="AC14" s="209">
        <f t="shared" ref="AC14" si="1">AA14-AB14</f>
        <v>27804.077000000005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55</v>
      </c>
      <c r="I16" s="100">
        <f>SUM(I14:I15)</f>
        <v>-1</v>
      </c>
      <c r="J16" s="100">
        <f>SUM(J14:J15)</f>
        <v>14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27909.710000000003</v>
      </c>
      <c r="P16" s="326">
        <f>SUM(P14:P15)</f>
        <v>318.12</v>
      </c>
      <c r="Q16" s="326">
        <f>SUM(Q14:Q15)</f>
        <v>51.364000000000004</v>
      </c>
      <c r="R16" s="326">
        <f>SUM(R14:R15)</f>
        <v>-667.73200000000008</v>
      </c>
      <c r="S16" s="326">
        <f>SUM(S14:S15)</f>
        <v>192.61500000000001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27804.077000000005</v>
      </c>
      <c r="AA16" s="326">
        <f>SUM(AA14:AA15)</f>
        <v>27804.077000000005</v>
      </c>
      <c r="AB16" s="326">
        <f>SUM(AB14:AB15)</f>
        <v>0</v>
      </c>
      <c r="AC16" s="326">
        <f>SUM(AC14:AC15)</f>
        <v>27804.077000000005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2023/0028913</v>
      </c>
      <c r="B14" s="217" t="str">
        <f>'BASE C'!D4</f>
        <v>RONALDO PAULO DA SILVA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SM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RONALDO PAULO DA SILVA</v>
      </c>
      <c r="B18" s="231" t="str">
        <f>'BASE C'!C10</f>
        <v>032.621-00</v>
      </c>
      <c r="C18" s="231" t="str">
        <f>'BASE C'!H10</f>
        <v>QOG1J70</v>
      </c>
      <c r="D18" s="208">
        <f>SUMIF('APONTAMENTO CREDENCIAMENTO'!$A$6:$A$4080,'ATESTADO C'!B18,'APONTAMENTO CREDENCIAMENTO'!$N$6:$N$4080)</f>
        <v>0</v>
      </c>
      <c r="E18" s="208">
        <f>SUMIF('APONTAMENTO CREDENCIAMENTO'!$A$6:$A$4080,'ATESTADO C'!B18,'APONTAMENTO CREDENCIAMENTO'!$EP$6:$EP$4080)</f>
        <v>55</v>
      </c>
      <c r="F18" s="208">
        <f>SUMIF('APONTAMENTO CREDENCIAMENTO'!$A$6:$A$4080,'ATESTADO C'!B18,'APONTAMENTO CREDENCIAMENTO'!$EQ$6:$EQ$4080)</f>
        <v>-1</v>
      </c>
      <c r="G18" s="208">
        <f>SUMIF('APONTAMENTO CREDENCIAMENTO'!$A$6:$A$4080,'ATESTADO C'!B18,'APONTAMENTO CREDENCIAMENTO'!$ER$6:$ER$4080)</f>
        <v>14</v>
      </c>
      <c r="H18" s="208">
        <f>SUMIF('APONTAMENTO CREDENCIAMENTO'!$A$6:$A$4080,'ATESTADO C'!B18,'APONTAMENTO CREDENCIAMENTO'!$ES$6:$ES$4080)</f>
        <v>0</v>
      </c>
      <c r="I18" s="208">
        <f>SUMIF('APONTAMENTO CREDENCIAMENTO'!$A$6:$A$4080,'ATESTADO C'!B18,'APONTAMENTO CREDENCIAMENTO'!$ET$6:$ET$4080)</f>
        <v>0</v>
      </c>
      <c r="J18" s="208">
        <f>SUMIF('APONTAMENTO CREDENCIAMENTO'!$A$6:$A$4080,'ATESTADO C'!B18,'APONTAMENTO CREDENCIAMENTO'!$EU$6:$EU$4080)</f>
        <v>0</v>
      </c>
      <c r="K18" s="232">
        <f t="shared" ref="K18" si="0">E18+F18+H18+I18+G18+J18</f>
        <v>68</v>
      </c>
      <c r="L18" s="827" t="str">
        <f>CONCATENATE(VLOOKUP(B18,'APONTAMENTO CREDENCIAMENTO'!$A$6:$EK$4080,141,0)," - ",VLOOKUP(B18,'APONTAMENTO CREDENCIAMENTO'!$A$6:$EL$4080,142,0))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38"/>
  <sheetViews>
    <sheetView topLeftCell="A243" workbookViewId="0">
      <selection activeCell="A2" sqref="A2:C19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3195</v>
      </c>
      <c r="B1" t="s">
        <v>2976</v>
      </c>
      <c r="C1" t="s">
        <v>3193</v>
      </c>
    </row>
    <row r="2" spans="1:3" x14ac:dyDescent="0.2">
      <c r="A2" t="s">
        <v>3219</v>
      </c>
      <c r="B2" t="s">
        <v>2992</v>
      </c>
      <c r="C2" t="s">
        <v>3217</v>
      </c>
    </row>
    <row r="3" spans="1:3" x14ac:dyDescent="0.2">
      <c r="A3" t="s">
        <v>3266</v>
      </c>
      <c r="B3" t="s">
        <v>3009</v>
      </c>
      <c r="C3" t="s">
        <v>3264</v>
      </c>
    </row>
    <row r="4" spans="1:3" x14ac:dyDescent="0.2">
      <c r="A4" t="s">
        <v>3215</v>
      </c>
      <c r="B4" t="s">
        <v>2990</v>
      </c>
      <c r="C4" t="s">
        <v>3213</v>
      </c>
    </row>
    <row r="5" spans="1:3" x14ac:dyDescent="0.2">
      <c r="A5" t="s">
        <v>3342</v>
      </c>
      <c r="B5" t="s">
        <v>3037</v>
      </c>
      <c r="C5" t="s">
        <v>3340</v>
      </c>
    </row>
    <row r="6" spans="1:3" x14ac:dyDescent="0.2">
      <c r="A6" t="s">
        <v>3274</v>
      </c>
      <c r="B6" t="s">
        <v>3011</v>
      </c>
      <c r="C6" t="s">
        <v>3272</v>
      </c>
    </row>
    <row r="7" spans="1:3" x14ac:dyDescent="0.2">
      <c r="A7" t="s">
        <v>3203</v>
      </c>
      <c r="B7" t="s">
        <v>2984</v>
      </c>
      <c r="C7" t="s">
        <v>3201</v>
      </c>
    </row>
    <row r="8" spans="1:3" x14ac:dyDescent="0.2">
      <c r="A8" t="s">
        <v>3298</v>
      </c>
      <c r="B8" t="s">
        <v>3020</v>
      </c>
      <c r="C8" t="s">
        <v>3296</v>
      </c>
    </row>
    <row r="9" spans="1:3" x14ac:dyDescent="0.2">
      <c r="A9" t="s">
        <v>3231</v>
      </c>
      <c r="B9" t="s">
        <v>2997</v>
      </c>
      <c r="C9" t="s">
        <v>3229</v>
      </c>
    </row>
    <row r="10" spans="1:3" x14ac:dyDescent="0.2">
      <c r="A10" t="s">
        <v>3306</v>
      </c>
      <c r="B10" t="s">
        <v>3022</v>
      </c>
      <c r="C10" t="s">
        <v>3304</v>
      </c>
    </row>
    <row r="11" spans="1:3" x14ac:dyDescent="0.2">
      <c r="A11" t="s">
        <v>3239</v>
      </c>
      <c r="B11" t="s">
        <v>2999</v>
      </c>
      <c r="C11" t="s">
        <v>3237</v>
      </c>
    </row>
    <row r="12" spans="1:3" x14ac:dyDescent="0.2">
      <c r="A12" t="s">
        <v>3223</v>
      </c>
      <c r="B12" t="s">
        <v>2993</v>
      </c>
      <c r="C12" t="s">
        <v>3221</v>
      </c>
    </row>
    <row r="13" spans="1:3" x14ac:dyDescent="0.2">
      <c r="A13" t="s">
        <v>3199</v>
      </c>
      <c r="B13" t="s">
        <v>2977</v>
      </c>
      <c r="C13" t="s">
        <v>3197</v>
      </c>
    </row>
    <row r="14" spans="1:3" x14ac:dyDescent="0.2">
      <c r="A14" t="s">
        <v>3259</v>
      </c>
      <c r="B14" t="s">
        <v>3007</v>
      </c>
      <c r="C14" t="s">
        <v>3257</v>
      </c>
    </row>
    <row r="15" spans="1:3" x14ac:dyDescent="0.2">
      <c r="A15" t="s">
        <v>3282</v>
      </c>
      <c r="B15" t="s">
        <v>3013</v>
      </c>
      <c r="C15" t="s">
        <v>3280</v>
      </c>
    </row>
    <row r="16" spans="1:3" x14ac:dyDescent="0.2">
      <c r="A16" t="s">
        <v>3330</v>
      </c>
      <c r="B16" t="s">
        <v>3033</v>
      </c>
      <c r="C16" t="s">
        <v>3328</v>
      </c>
    </row>
    <row r="17" spans="1:3" x14ac:dyDescent="0.2">
      <c r="A17" t="s">
        <v>3278</v>
      </c>
      <c r="B17" t="s">
        <v>3012</v>
      </c>
      <c r="C17" t="s">
        <v>3276</v>
      </c>
    </row>
    <row r="18" spans="1:3" x14ac:dyDescent="0.2">
      <c r="A18" t="s">
        <v>3302</v>
      </c>
      <c r="B18" t="s">
        <v>3021</v>
      </c>
      <c r="C18" t="s">
        <v>3300</v>
      </c>
    </row>
    <row r="19" spans="1:3" x14ac:dyDescent="0.2">
      <c r="A19" t="s">
        <v>3263</v>
      </c>
      <c r="B19" t="s">
        <v>3008</v>
      </c>
      <c r="C19" t="s">
        <v>3261</v>
      </c>
    </row>
    <row r="20" spans="1:3" x14ac:dyDescent="0.2">
      <c r="A20" t="s">
        <v>3270</v>
      </c>
      <c r="B20" t="s">
        <v>3010</v>
      </c>
      <c r="C20" t="s">
        <v>3268</v>
      </c>
    </row>
    <row r="21" spans="1:3" x14ac:dyDescent="0.2">
      <c r="A21" t="s">
        <v>3322</v>
      </c>
      <c r="B21" t="s">
        <v>3028</v>
      </c>
      <c r="C21" t="s">
        <v>3320</v>
      </c>
    </row>
    <row r="22" spans="1:3" x14ac:dyDescent="0.2">
      <c r="A22" t="s">
        <v>3310</v>
      </c>
      <c r="B22" t="s">
        <v>3025</v>
      </c>
      <c r="C22" t="s">
        <v>3308</v>
      </c>
    </row>
    <row r="23" spans="1:3" x14ac:dyDescent="0.2">
      <c r="A23" t="s">
        <v>3243</v>
      </c>
      <c r="B23" t="s">
        <v>3003</v>
      </c>
      <c r="C23" t="s">
        <v>3241</v>
      </c>
    </row>
    <row r="24" spans="1:3" x14ac:dyDescent="0.2">
      <c r="A24" t="s">
        <v>3207</v>
      </c>
      <c r="B24" t="s">
        <v>2987</v>
      </c>
      <c r="C24" t="s">
        <v>3205</v>
      </c>
    </row>
    <row r="25" spans="1:3" x14ac:dyDescent="0.2">
      <c r="A25" t="s">
        <v>3247</v>
      </c>
      <c r="B25" t="s">
        <v>3004</v>
      </c>
      <c r="C25" t="s">
        <v>3245</v>
      </c>
    </row>
    <row r="26" spans="1:3" x14ac:dyDescent="0.2">
      <c r="A26" t="s">
        <v>3290</v>
      </c>
      <c r="B26" t="s">
        <v>3017</v>
      </c>
      <c r="C26" t="s">
        <v>3288</v>
      </c>
    </row>
    <row r="27" spans="1:3" x14ac:dyDescent="0.2">
      <c r="A27" t="s">
        <v>3251</v>
      </c>
      <c r="B27" t="s">
        <v>3005</v>
      </c>
      <c r="C27" t="s">
        <v>3249</v>
      </c>
    </row>
    <row r="28" spans="1:3" x14ac:dyDescent="0.2">
      <c r="A28" t="s">
        <v>3286</v>
      </c>
      <c r="B28" t="s">
        <v>3016</v>
      </c>
      <c r="C28" t="s">
        <v>3284</v>
      </c>
    </row>
    <row r="29" spans="1:3" x14ac:dyDescent="0.2">
      <c r="A29" t="s">
        <v>3318</v>
      </c>
      <c r="B29" t="s">
        <v>3027</v>
      </c>
      <c r="C29" t="s">
        <v>3316</v>
      </c>
    </row>
    <row r="30" spans="1:3" x14ac:dyDescent="0.2">
      <c r="A30" t="s">
        <v>3227</v>
      </c>
      <c r="B30" t="s">
        <v>2995</v>
      </c>
      <c r="C30" t="s">
        <v>3225</v>
      </c>
    </row>
    <row r="31" spans="1:3" x14ac:dyDescent="0.2">
      <c r="A31" t="s">
        <v>3255</v>
      </c>
      <c r="B31" t="s">
        <v>3006</v>
      </c>
      <c r="C31" t="s">
        <v>3253</v>
      </c>
    </row>
    <row r="32" spans="1:3" x14ac:dyDescent="0.2">
      <c r="A32" t="s">
        <v>3211</v>
      </c>
      <c r="B32" t="s">
        <v>2989</v>
      </c>
      <c r="C32" t="s">
        <v>3209</v>
      </c>
    </row>
    <row r="33" spans="1:3" x14ac:dyDescent="0.2">
      <c r="A33" t="s">
        <v>3338</v>
      </c>
      <c r="B33" t="s">
        <v>3035</v>
      </c>
      <c r="C33" t="s">
        <v>3336</v>
      </c>
    </row>
    <row r="34" spans="1:3" x14ac:dyDescent="0.2">
      <c r="A34" t="s">
        <v>3334</v>
      </c>
      <c r="B34" t="s">
        <v>3034</v>
      </c>
      <c r="C34" t="s">
        <v>3332</v>
      </c>
    </row>
    <row r="35" spans="1:3" x14ac:dyDescent="0.2">
      <c r="A35" t="s">
        <v>3235</v>
      </c>
      <c r="B35" t="s">
        <v>2998</v>
      </c>
      <c r="C35" t="s">
        <v>3233</v>
      </c>
    </row>
    <row r="36" spans="1:3" x14ac:dyDescent="0.2">
      <c r="A36" t="s">
        <v>3294</v>
      </c>
      <c r="B36" t="s">
        <v>3019</v>
      </c>
      <c r="C36" t="s">
        <v>3292</v>
      </c>
    </row>
    <row r="37" spans="1:3" x14ac:dyDescent="0.2">
      <c r="A37" t="s">
        <v>3326</v>
      </c>
      <c r="B37" t="s">
        <v>3029</v>
      </c>
      <c r="C37" t="s">
        <v>3324</v>
      </c>
    </row>
    <row r="38" spans="1:3" x14ac:dyDescent="0.2">
      <c r="A38" t="s">
        <v>3314</v>
      </c>
      <c r="B38" t="s">
        <v>3026</v>
      </c>
      <c r="C38" t="s">
        <v>3312</v>
      </c>
    </row>
  </sheetData>
  <sortState xmlns:xlrd2="http://schemas.microsoft.com/office/spreadsheetml/2017/richdata2" ref="A2:C190">
    <sortCondition ref="A1:A190"/>
    <sortCondition ref="B1:B190"/>
    <sortCondition ref="C1:C19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39"/>
  <sheetViews>
    <sheetView workbookViewId="0">
      <selection activeCell="G1" sqref="G1:G39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3195</v>
      </c>
      <c r="F2" t="s">
        <v>3344</v>
      </c>
      <c r="G2" t="s">
        <v>3382</v>
      </c>
    </row>
    <row r="3" spans="5:7" x14ac:dyDescent="0.2">
      <c r="E3" t="s">
        <v>3199</v>
      </c>
      <c r="F3" t="s">
        <v>3345</v>
      </c>
      <c r="G3" t="s">
        <v>3383</v>
      </c>
    </row>
    <row r="4" spans="5:7" x14ac:dyDescent="0.2">
      <c r="E4" t="s">
        <v>3203</v>
      </c>
      <c r="F4" t="s">
        <v>3346</v>
      </c>
      <c r="G4" t="s">
        <v>3384</v>
      </c>
    </row>
    <row r="5" spans="5:7" x14ac:dyDescent="0.2">
      <c r="E5" t="s">
        <v>3207</v>
      </c>
      <c r="F5" t="s">
        <v>3347</v>
      </c>
      <c r="G5" t="s">
        <v>3385</v>
      </c>
    </row>
    <row r="6" spans="5:7" x14ac:dyDescent="0.2">
      <c r="E6" t="s">
        <v>3211</v>
      </c>
      <c r="F6" t="s">
        <v>3348</v>
      </c>
      <c r="G6" t="s">
        <v>3386</v>
      </c>
    </row>
    <row r="7" spans="5:7" x14ac:dyDescent="0.2">
      <c r="E7" t="s">
        <v>3215</v>
      </c>
      <c r="F7" t="s">
        <v>3349</v>
      </c>
      <c r="G7" t="s">
        <v>3387</v>
      </c>
    </row>
    <row r="8" spans="5:7" x14ac:dyDescent="0.2">
      <c r="E8" t="s">
        <v>3219</v>
      </c>
      <c r="F8" t="s">
        <v>3350</v>
      </c>
      <c r="G8" t="s">
        <v>3388</v>
      </c>
    </row>
    <row r="9" spans="5:7" x14ac:dyDescent="0.2">
      <c r="E9" t="s">
        <v>3223</v>
      </c>
      <c r="F9" t="s">
        <v>3351</v>
      </c>
      <c r="G9" t="s">
        <v>3389</v>
      </c>
    </row>
    <row r="10" spans="5:7" x14ac:dyDescent="0.2">
      <c r="E10" t="s">
        <v>3227</v>
      </c>
      <c r="F10" t="s">
        <v>3352</v>
      </c>
      <c r="G10" t="s">
        <v>3390</v>
      </c>
    </row>
    <row r="11" spans="5:7" x14ac:dyDescent="0.2">
      <c r="E11" t="s">
        <v>3231</v>
      </c>
      <c r="F11" t="s">
        <v>3353</v>
      </c>
      <c r="G11" t="s">
        <v>3391</v>
      </c>
    </row>
    <row r="12" spans="5:7" x14ac:dyDescent="0.2">
      <c r="E12" t="s">
        <v>3235</v>
      </c>
      <c r="F12" t="s">
        <v>3354</v>
      </c>
      <c r="G12" t="s">
        <v>3392</v>
      </c>
    </row>
    <row r="13" spans="5:7" x14ac:dyDescent="0.2">
      <c r="E13" t="s">
        <v>3239</v>
      </c>
      <c r="F13" t="s">
        <v>3355</v>
      </c>
      <c r="G13" t="s">
        <v>3393</v>
      </c>
    </row>
    <row r="14" spans="5:7" x14ac:dyDescent="0.2">
      <c r="E14" t="s">
        <v>3243</v>
      </c>
      <c r="F14" t="s">
        <v>3356</v>
      </c>
      <c r="G14" t="s">
        <v>3394</v>
      </c>
    </row>
    <row r="15" spans="5:7" x14ac:dyDescent="0.2">
      <c r="E15" t="s">
        <v>3247</v>
      </c>
      <c r="F15" t="s">
        <v>3357</v>
      </c>
      <c r="G15" t="s">
        <v>3395</v>
      </c>
    </row>
    <row r="16" spans="5:7" x14ac:dyDescent="0.2">
      <c r="E16" t="s">
        <v>3251</v>
      </c>
      <c r="F16" t="s">
        <v>3358</v>
      </c>
      <c r="G16" t="s">
        <v>3396</v>
      </c>
    </row>
    <row r="17" spans="5:7" x14ac:dyDescent="0.2">
      <c r="E17" t="s">
        <v>3255</v>
      </c>
      <c r="F17" t="s">
        <v>3359</v>
      </c>
      <c r="G17" t="s">
        <v>3397</v>
      </c>
    </row>
    <row r="18" spans="5:7" x14ac:dyDescent="0.2">
      <c r="E18" t="s">
        <v>3259</v>
      </c>
      <c r="F18" t="s">
        <v>3360</v>
      </c>
      <c r="G18" t="s">
        <v>3398</v>
      </c>
    </row>
    <row r="19" spans="5:7" x14ac:dyDescent="0.2">
      <c r="E19" t="s">
        <v>3263</v>
      </c>
      <c r="F19" t="s">
        <v>3361</v>
      </c>
      <c r="G19" t="s">
        <v>3399</v>
      </c>
    </row>
    <row r="20" spans="5:7" x14ac:dyDescent="0.2">
      <c r="E20" t="s">
        <v>3266</v>
      </c>
      <c r="F20" t="s">
        <v>3362</v>
      </c>
      <c r="G20" t="s">
        <v>3400</v>
      </c>
    </row>
    <row r="21" spans="5:7" x14ac:dyDescent="0.2">
      <c r="E21" t="s">
        <v>3270</v>
      </c>
      <c r="F21" t="s">
        <v>3363</v>
      </c>
      <c r="G21" t="s">
        <v>3401</v>
      </c>
    </row>
    <row r="22" spans="5:7" x14ac:dyDescent="0.2">
      <c r="E22" t="s">
        <v>3274</v>
      </c>
      <c r="F22" t="s">
        <v>3364</v>
      </c>
      <c r="G22" t="s">
        <v>3402</v>
      </c>
    </row>
    <row r="23" spans="5:7" x14ac:dyDescent="0.2">
      <c r="E23" t="s">
        <v>3278</v>
      </c>
      <c r="F23" t="s">
        <v>3365</v>
      </c>
      <c r="G23" t="s">
        <v>3403</v>
      </c>
    </row>
    <row r="24" spans="5:7" x14ac:dyDescent="0.2">
      <c r="E24" t="s">
        <v>3282</v>
      </c>
      <c r="F24" t="s">
        <v>3366</v>
      </c>
      <c r="G24" t="s">
        <v>3404</v>
      </c>
    </row>
    <row r="25" spans="5:7" x14ac:dyDescent="0.2">
      <c r="E25" t="s">
        <v>3286</v>
      </c>
      <c r="F25" t="s">
        <v>3367</v>
      </c>
      <c r="G25" t="s">
        <v>3405</v>
      </c>
    </row>
    <row r="26" spans="5:7" x14ac:dyDescent="0.2">
      <c r="E26" t="s">
        <v>3290</v>
      </c>
      <c r="F26" t="s">
        <v>3368</v>
      </c>
      <c r="G26" t="s">
        <v>3406</v>
      </c>
    </row>
    <row r="27" spans="5:7" x14ac:dyDescent="0.2">
      <c r="E27" t="s">
        <v>3294</v>
      </c>
      <c r="F27" t="s">
        <v>3369</v>
      </c>
      <c r="G27" t="s">
        <v>3407</v>
      </c>
    </row>
    <row r="28" spans="5:7" x14ac:dyDescent="0.2">
      <c r="E28" t="s">
        <v>3298</v>
      </c>
      <c r="F28" t="s">
        <v>3370</v>
      </c>
      <c r="G28" t="s">
        <v>3408</v>
      </c>
    </row>
    <row r="29" spans="5:7" x14ac:dyDescent="0.2">
      <c r="E29" t="s">
        <v>3302</v>
      </c>
      <c r="F29" t="s">
        <v>3371</v>
      </c>
      <c r="G29" t="s">
        <v>3409</v>
      </c>
    </row>
    <row r="30" spans="5:7" x14ac:dyDescent="0.2">
      <c r="E30" t="s">
        <v>3306</v>
      </c>
      <c r="F30" t="s">
        <v>3372</v>
      </c>
      <c r="G30" t="s">
        <v>3410</v>
      </c>
    </row>
    <row r="31" spans="5:7" x14ac:dyDescent="0.2">
      <c r="E31" t="s">
        <v>3310</v>
      </c>
      <c r="F31" t="s">
        <v>3373</v>
      </c>
      <c r="G31" t="s">
        <v>3411</v>
      </c>
    </row>
    <row r="32" spans="5:7" x14ac:dyDescent="0.2">
      <c r="E32" t="s">
        <v>3314</v>
      </c>
      <c r="F32" t="s">
        <v>3374</v>
      </c>
      <c r="G32" t="s">
        <v>3412</v>
      </c>
    </row>
    <row r="33" spans="5:7" x14ac:dyDescent="0.2">
      <c r="E33" t="s">
        <v>3318</v>
      </c>
      <c r="F33" t="s">
        <v>3375</v>
      </c>
      <c r="G33" t="s">
        <v>3413</v>
      </c>
    </row>
    <row r="34" spans="5:7" x14ac:dyDescent="0.2">
      <c r="E34" t="s">
        <v>3322</v>
      </c>
      <c r="F34" t="s">
        <v>3376</v>
      </c>
      <c r="G34" t="s">
        <v>3414</v>
      </c>
    </row>
    <row r="35" spans="5:7" x14ac:dyDescent="0.2">
      <c r="E35" t="s">
        <v>3326</v>
      </c>
      <c r="F35" t="s">
        <v>3377</v>
      </c>
      <c r="G35" t="s">
        <v>3415</v>
      </c>
    </row>
    <row r="36" spans="5:7" x14ac:dyDescent="0.2">
      <c r="E36" t="s">
        <v>3330</v>
      </c>
      <c r="F36" t="s">
        <v>3378</v>
      </c>
      <c r="G36" t="s">
        <v>3416</v>
      </c>
    </row>
    <row r="37" spans="5:7" x14ac:dyDescent="0.2">
      <c r="E37" t="s">
        <v>3334</v>
      </c>
      <c r="F37" t="s">
        <v>3379</v>
      </c>
      <c r="G37" t="s">
        <v>3417</v>
      </c>
    </row>
    <row r="38" spans="5:7" x14ac:dyDescent="0.2">
      <c r="E38" t="s">
        <v>3338</v>
      </c>
      <c r="F38" t="s">
        <v>3380</v>
      </c>
      <c r="G38" t="s">
        <v>3418</v>
      </c>
    </row>
    <row r="39" spans="5:7" x14ac:dyDescent="0.2">
      <c r="E39" t="s">
        <v>3342</v>
      </c>
      <c r="F39" t="s">
        <v>3381</v>
      </c>
      <c r="G39" t="s">
        <v>3419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60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39" sqref="B39:AD39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3195</v>
      </c>
      <c r="B2" s="130"/>
      <c r="C2" s="131">
        <f t="shared" ref="C2" si="0">W2</f>
        <v>0</v>
      </c>
      <c r="D2" s="132" t="str">
        <f>VLOOKUP(A2,'APONTAMENTO CREDENCIAMENTO'!$D$6:$P$3053,12,0)</f>
        <v>6020.2022/0039605-0</v>
      </c>
      <c r="E2" s="133"/>
      <c r="F2" s="134">
        <f>SUMIF('APONTAMENTO CREDENCIAMENTO'!$D$6:$D$3053,'ATESTE-LIQ'!A2,'APONTAMENTO CREDENCIAMENTO'!$FE$6:$FE$3053)</f>
        <v>14940.485000000001</v>
      </c>
      <c r="G2" s="328" t="str">
        <f>VLOOKUP(A2,'APONTAMENTO CREDENCIAMENTO'!$D$6:$G$3053,3,0)</f>
        <v>01/04/2026</v>
      </c>
      <c r="H2" s="328" t="str">
        <f>VLOOKUP(A2,'APONTAMENTO CREDENCIAMENTO'!$D$6:$G$3053,4,0)</f>
        <v>30/04/2026</v>
      </c>
      <c r="I2" s="135" t="str">
        <f t="shared" ref="I2" si="1">CONCATENATE("PE - Pagto. Doc(s): ",E2," - Contrato nº ",A2)</f>
        <v>PE - Pagto. Doc(s):  - Contrato nº 2022/0039605</v>
      </c>
      <c r="J2" s="136">
        <f t="shared" ref="J2" si="2">F2</f>
        <v>14940.485000000001</v>
      </c>
      <c r="K2" s="136">
        <v>0</v>
      </c>
      <c r="L2" s="137" t="str">
        <f>VLOOKUP(A2,'APONTAMENTO CREDENCIAMENTO'!$D$6:$P$3053,5,0)</f>
        <v>ADEMIR CAROLINO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6020.2022/0039605-0</v>
      </c>
      <c r="U2" s="144">
        <f t="shared" ref="U2" si="4">F2</f>
        <v>14940.485000000001</v>
      </c>
      <c r="V2" s="145">
        <f t="shared" ref="V2" si="5">U2</f>
        <v>14940.485000000001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2022/0039605 - DRE - SM</v>
      </c>
      <c r="AB2" s="238" t="str">
        <f t="shared" ref="AB2" si="6">L2</f>
        <v>ADEMIR CAROLINO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3219</v>
      </c>
      <c r="B3" s="130"/>
      <c r="C3" s="131">
        <f t="shared" ref="C3:C39" si="7">W3</f>
        <v>0</v>
      </c>
      <c r="D3" s="132" t="str">
        <f>VLOOKUP(A3,'APONTAMENTO CREDENCIAMENTO'!$D$6:$P$3053,12,0)</f>
        <v>6020.2022/0026070-1</v>
      </c>
      <c r="E3" s="133"/>
      <c r="F3" s="134">
        <f>SUMIF('APONTAMENTO CREDENCIAMENTO'!$D$6:$D$3053,'ATESTE-LIQ'!A3,'APONTAMENTO CREDENCIAMENTO'!$FE$6:$FE$3053)</f>
        <v>14547.47</v>
      </c>
      <c r="G3" s="328" t="str">
        <f>VLOOKUP(A3,'APONTAMENTO CREDENCIAMENTO'!$D$6:$G$3053,3,0)</f>
        <v>01/04/2026</v>
      </c>
      <c r="H3" s="328" t="str">
        <f>VLOOKUP(A3,'APONTAMENTO CREDENCIAMENTO'!$D$6:$G$3053,4,0)</f>
        <v>30/04/2026</v>
      </c>
      <c r="I3" s="135" t="str">
        <f t="shared" ref="I3:I39" si="8">CONCATENATE("PE - Pagto. Doc(s): ",E3," - Contrato nº ",A3)</f>
        <v>PE - Pagto. Doc(s):  - Contrato nº 2022/0026070</v>
      </c>
      <c r="J3" s="136">
        <f t="shared" ref="J3:J39" si="9">F3</f>
        <v>14547.47</v>
      </c>
      <c r="K3" s="136">
        <v>0</v>
      </c>
      <c r="L3" s="137" t="str">
        <f>VLOOKUP(A3,'APONTAMENTO CREDENCIAMENTO'!$D$6:$P$3053,5,0)</f>
        <v>CRISTIANO CONCEICAO DA CRUZ</v>
      </c>
      <c r="M3" s="138"/>
      <c r="N3" s="139"/>
      <c r="O3" s="140"/>
      <c r="P3" s="141"/>
      <c r="Q3" s="141"/>
      <c r="R3" s="141"/>
      <c r="S3" s="142"/>
      <c r="T3" s="143" t="str">
        <f t="shared" ref="T3:T39" si="10">D3</f>
        <v>6020.2022/0026070-1</v>
      </c>
      <c r="U3" s="144">
        <f t="shared" ref="U3:U39" si="11">F3</f>
        <v>14547.47</v>
      </c>
      <c r="V3" s="145">
        <f t="shared" ref="V3:V39" si="12">U3</f>
        <v>14547.47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2022/0026070 - DRE - SM</v>
      </c>
      <c r="AB3" s="238" t="str">
        <f t="shared" ref="AB3:AB39" si="13">L3</f>
        <v>CRISTIANO CONCEICAO DA CRUZ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3266</v>
      </c>
      <c r="B4" s="130"/>
      <c r="C4" s="131">
        <f t="shared" si="7"/>
        <v>0</v>
      </c>
      <c r="D4" s="132" t="str">
        <f>VLOOKUP(A4,'APONTAMENTO CREDENCIAMENTO'!$D$6:$P$3053,12,0)</f>
        <v>6020.2022/0026367-0</v>
      </c>
      <c r="E4" s="133"/>
      <c r="F4" s="134">
        <f>SUMIF('APONTAMENTO CREDENCIAMENTO'!$D$6:$D$3053,'ATESTE-LIQ'!A4,'APONTAMENTO CREDENCIAMENTO'!$FE$6:$FE$3053)</f>
        <v>13802.3884</v>
      </c>
      <c r="G4" s="328" t="str">
        <f>VLOOKUP(A4,'APONTAMENTO CREDENCIAMENTO'!$D$6:$G$3053,3,0)</f>
        <v>01/04/2026</v>
      </c>
      <c r="H4" s="328" t="str">
        <f>VLOOKUP(A4,'APONTAMENTO CREDENCIAMENTO'!$D$6:$G$3053,4,0)</f>
        <v>30/04/2026</v>
      </c>
      <c r="I4" s="135" t="str">
        <f t="shared" si="8"/>
        <v>PE - Pagto. Doc(s):  - Contrato nº 2022/0026367</v>
      </c>
      <c r="J4" s="136">
        <f t="shared" si="9"/>
        <v>13802.3884</v>
      </c>
      <c r="K4" s="136">
        <v>0</v>
      </c>
      <c r="L4" s="137" t="str">
        <f>VLOOKUP(A4,'APONTAMENTO CREDENCIAMENTO'!$D$6:$P$3053,5,0)</f>
        <v>JOEFRAN PEREIRA DE OLIVEIRA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6020.2022/0026367-0</v>
      </c>
      <c r="U4" s="144">
        <f t="shared" si="11"/>
        <v>13802.3884</v>
      </c>
      <c r="V4" s="145">
        <f t="shared" si="12"/>
        <v>13802.3884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2022/0026367 - DRE - SM</v>
      </c>
      <c r="AB4" s="238" t="str">
        <f t="shared" si="13"/>
        <v>JOEFRAN PEREIRA DE OLIVEIRA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3215</v>
      </c>
      <c r="B5" s="130"/>
      <c r="C5" s="131">
        <f t="shared" si="7"/>
        <v>0</v>
      </c>
      <c r="D5" s="132" t="str">
        <f>VLOOKUP(A5,'APONTAMENTO CREDENCIAMENTO'!$D$6:$P$3053,12,0)</f>
        <v>6020.2022/0026683-1</v>
      </c>
      <c r="E5" s="133"/>
      <c r="F5" s="134">
        <f>SUMIF('APONTAMENTO CREDENCIAMENTO'!$D$6:$D$3053,'ATESTE-LIQ'!A5,'APONTAMENTO CREDENCIAMENTO'!$FE$6:$FE$3053)</f>
        <v>22632.059000000001</v>
      </c>
      <c r="G5" s="328" t="str">
        <f>VLOOKUP(A5,'APONTAMENTO CREDENCIAMENTO'!$D$6:$G$3053,3,0)</f>
        <v>01/04/2026</v>
      </c>
      <c r="H5" s="328" t="str">
        <f>VLOOKUP(A5,'APONTAMENTO CREDENCIAMENTO'!$D$6:$G$3053,4,0)</f>
        <v>30/04/2026</v>
      </c>
      <c r="I5" s="135" t="str">
        <f t="shared" si="8"/>
        <v>PE - Pagto. Doc(s):  - Contrato nº 2022/0026683</v>
      </c>
      <c r="J5" s="136">
        <f t="shared" si="9"/>
        <v>22632.059000000001</v>
      </c>
      <c r="K5" s="136">
        <v>0</v>
      </c>
      <c r="L5" s="137" t="str">
        <f>VLOOKUP(A5,'APONTAMENTO CREDENCIAMENTO'!$D$6:$P$3053,5,0)</f>
        <v>CLAYTON MAXIMO DA SILVA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6020.2022/0026683-1</v>
      </c>
      <c r="U5" s="144">
        <f t="shared" si="11"/>
        <v>22632.059000000001</v>
      </c>
      <c r="V5" s="145">
        <f t="shared" si="12"/>
        <v>22632.059000000001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2022/0026683 - DRE - SM</v>
      </c>
      <c r="AB5" s="238" t="str">
        <f t="shared" si="13"/>
        <v>CLAYTON MAXIMO DA SILVA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3342</v>
      </c>
      <c r="B6" s="130"/>
      <c r="C6" s="131">
        <f t="shared" si="7"/>
        <v>0</v>
      </c>
      <c r="D6" s="132" t="str">
        <f>VLOOKUP(A6,'APONTAMENTO CREDENCIAMENTO'!$D$6:$P$3053,12,0)</f>
        <v>6020.2022/0026772-2</v>
      </c>
      <c r="E6" s="133"/>
      <c r="F6" s="134">
        <f>SUMIF('APONTAMENTO CREDENCIAMENTO'!$D$6:$D$3053,'ATESTE-LIQ'!A6,'APONTAMENTO CREDENCIAMENTO'!$FE$6:$FE$3053)</f>
        <v>16465.807000000001</v>
      </c>
      <c r="G6" s="328" t="str">
        <f>VLOOKUP(A6,'APONTAMENTO CREDENCIAMENTO'!$D$6:$G$3053,3,0)</f>
        <v>01/04/2026</v>
      </c>
      <c r="H6" s="328" t="str">
        <f>VLOOKUP(A6,'APONTAMENTO CREDENCIAMENTO'!$D$6:$G$3053,4,0)</f>
        <v>30/04/2026</v>
      </c>
      <c r="I6" s="135" t="str">
        <f t="shared" si="8"/>
        <v>PE - Pagto. Doc(s):  - Contrato nº 2022/0026772</v>
      </c>
      <c r="J6" s="136">
        <f t="shared" si="9"/>
        <v>16465.807000000001</v>
      </c>
      <c r="K6" s="136">
        <v>0</v>
      </c>
      <c r="L6" s="137" t="str">
        <f>VLOOKUP(A6,'APONTAMENTO CREDENCIAMENTO'!$D$6:$P$3053,5,0)</f>
        <v>WILTON LEANDRO FERREIRA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6020.2022/0026772-2</v>
      </c>
      <c r="U6" s="144">
        <f t="shared" si="11"/>
        <v>16465.807000000001</v>
      </c>
      <c r="V6" s="145">
        <f t="shared" si="12"/>
        <v>16465.807000000001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2022/0026772 - DRE - SM</v>
      </c>
      <c r="AB6" s="238" t="str">
        <f t="shared" si="13"/>
        <v>WILTON LEANDRO FERREIRA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3274</v>
      </c>
      <c r="B7" s="130"/>
      <c r="C7" s="131">
        <f t="shared" si="7"/>
        <v>0</v>
      </c>
      <c r="D7" s="132" t="str">
        <f>VLOOKUP(A7,'APONTAMENTO CREDENCIAMENTO'!$D$6:$P$3053,12,0)</f>
        <v>6020.2022/0027005-7</v>
      </c>
      <c r="E7" s="133"/>
      <c r="F7" s="134">
        <f>SUMIF('APONTAMENTO CREDENCIAMENTO'!$D$6:$D$3053,'ATESTE-LIQ'!A7,'APONTAMENTO CREDENCIAMENTO'!$FE$6:$FE$3053)</f>
        <v>19152.148000000001</v>
      </c>
      <c r="G7" s="328" t="str">
        <f>VLOOKUP(A7,'APONTAMENTO CREDENCIAMENTO'!$D$6:$G$3053,3,0)</f>
        <v>01/04/2026</v>
      </c>
      <c r="H7" s="328" t="str">
        <f>VLOOKUP(A7,'APONTAMENTO CREDENCIAMENTO'!$D$6:$G$3053,4,0)</f>
        <v>30/04/2026</v>
      </c>
      <c r="I7" s="135" t="str">
        <f t="shared" si="8"/>
        <v>PE - Pagto. Doc(s):  - Contrato nº 2022/0027005</v>
      </c>
      <c r="J7" s="136">
        <f t="shared" si="9"/>
        <v>19152.148000000001</v>
      </c>
      <c r="K7" s="136">
        <v>0</v>
      </c>
      <c r="L7" s="137" t="str">
        <f>VLOOKUP(A7,'APONTAMENTO CREDENCIAMENTO'!$D$6:$P$3053,5,0)</f>
        <v>JOSE JUAREZ DE SOUZA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6020.2022/0027005-7</v>
      </c>
      <c r="U7" s="144">
        <f t="shared" si="11"/>
        <v>19152.148000000001</v>
      </c>
      <c r="V7" s="145">
        <f t="shared" si="12"/>
        <v>19152.148000000001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2022/0027005 - DRE - SM</v>
      </c>
      <c r="AB7" s="238" t="str">
        <f t="shared" si="13"/>
        <v>JOSE JUAREZ DE SOUZA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3203</v>
      </c>
      <c r="B8" s="130"/>
      <c r="C8" s="131">
        <f t="shared" si="7"/>
        <v>0</v>
      </c>
      <c r="D8" s="132" t="str">
        <f>VLOOKUP(A8,'APONTAMENTO CREDENCIAMENTO'!$D$6:$P$3053,12,0)</f>
        <v>6020.2022/0027868-6</v>
      </c>
      <c r="E8" s="133"/>
      <c r="F8" s="134">
        <f>SUMIF('APONTAMENTO CREDENCIAMENTO'!$D$6:$D$3053,'ATESTE-LIQ'!A8,'APONTAMENTO CREDENCIAMENTO'!$FE$6:$FE$3053)</f>
        <v>13656.2</v>
      </c>
      <c r="G8" s="328" t="str">
        <f>VLOOKUP(A8,'APONTAMENTO CREDENCIAMENTO'!$D$6:$G$3053,3,0)</f>
        <v>01/04/2026</v>
      </c>
      <c r="H8" s="328" t="str">
        <f>VLOOKUP(A8,'APONTAMENTO CREDENCIAMENTO'!$D$6:$G$3053,4,0)</f>
        <v>30/04/2026</v>
      </c>
      <c r="I8" s="135" t="str">
        <f t="shared" si="8"/>
        <v>PE - Pagto. Doc(s):  - Contrato nº 2022/0027868</v>
      </c>
      <c r="J8" s="136">
        <f t="shared" si="9"/>
        <v>13656.2</v>
      </c>
      <c r="K8" s="136">
        <v>0</v>
      </c>
      <c r="L8" s="137" t="str">
        <f>VLOOKUP(A8,'APONTAMENTO CREDENCIAMENTO'!$D$6:$P$3053,5,0)</f>
        <v>CARLOS EDUARDO DA SILVA SANTANA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6020.2022/0027868-6</v>
      </c>
      <c r="U8" s="144">
        <f t="shared" si="11"/>
        <v>13656.2</v>
      </c>
      <c r="V8" s="145">
        <f t="shared" si="12"/>
        <v>13656.2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2022/0027868 - DRE - SM</v>
      </c>
      <c r="AB8" s="238" t="str">
        <f t="shared" si="13"/>
        <v>CARLOS EDUARDO DA SILVA SANTANA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3298</v>
      </c>
      <c r="B9" s="130"/>
      <c r="C9" s="131">
        <f t="shared" si="7"/>
        <v>0</v>
      </c>
      <c r="D9" s="132" t="str">
        <f>VLOOKUP(A9,'APONTAMENTO CREDENCIAMENTO'!$D$6:$P$3053,12,0)</f>
        <v>6020.2022/0027873-2</v>
      </c>
      <c r="E9" s="133"/>
      <c r="F9" s="134">
        <f>SUMIF('APONTAMENTO CREDENCIAMENTO'!$D$6:$D$3053,'ATESTE-LIQ'!A9,'APONTAMENTO CREDENCIAMENTO'!$FE$6:$FE$3053)</f>
        <v>10314.450000000001</v>
      </c>
      <c r="G9" s="328" t="str">
        <f>VLOOKUP(A9,'APONTAMENTO CREDENCIAMENTO'!$D$6:$G$3053,3,0)</f>
        <v>01/04/2026</v>
      </c>
      <c r="H9" s="328" t="str">
        <f>VLOOKUP(A9,'APONTAMENTO CREDENCIAMENTO'!$D$6:$G$3053,4,0)</f>
        <v>30/04/2026</v>
      </c>
      <c r="I9" s="135" t="str">
        <f t="shared" si="8"/>
        <v>PE - Pagto. Doc(s):  - Contrato nº 2022/0027873</v>
      </c>
      <c r="J9" s="136">
        <f t="shared" si="9"/>
        <v>10314.450000000001</v>
      </c>
      <c r="K9" s="136">
        <v>0</v>
      </c>
      <c r="L9" s="137" t="str">
        <f>VLOOKUP(A9,'APONTAMENTO CREDENCIAMENTO'!$D$6:$P$3053,5,0)</f>
        <v>MARIA IVONE APARECIDA ROCHA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6020.2022/0027873-2</v>
      </c>
      <c r="U9" s="144">
        <f t="shared" si="11"/>
        <v>10314.450000000001</v>
      </c>
      <c r="V9" s="145">
        <f t="shared" si="12"/>
        <v>10314.450000000001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2022/0027873 - DRE - SM</v>
      </c>
      <c r="AB9" s="238" t="str">
        <f t="shared" si="13"/>
        <v>MARIA IVONE APARECIDA ROCHA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3231</v>
      </c>
      <c r="B10" s="130"/>
      <c r="C10" s="131">
        <f t="shared" si="7"/>
        <v>0</v>
      </c>
      <c r="D10" s="132" t="str">
        <f>VLOOKUP(A10,'APONTAMENTO CREDENCIAMENTO'!$D$6:$P$3053,12,0)</f>
        <v>6020.2022/0027874-0</v>
      </c>
      <c r="E10" s="133"/>
      <c r="F10" s="134">
        <f>SUMIF('APONTAMENTO CREDENCIAMENTO'!$D$6:$D$3053,'ATESTE-LIQ'!A10,'APONTAMENTO CREDENCIAMENTO'!$FE$6:$FE$3053)</f>
        <v>21954.982999999997</v>
      </c>
      <c r="G10" s="328" t="str">
        <f>VLOOKUP(A10,'APONTAMENTO CREDENCIAMENTO'!$D$6:$G$3053,3,0)</f>
        <v>01/04/2026</v>
      </c>
      <c r="H10" s="328" t="str">
        <f>VLOOKUP(A10,'APONTAMENTO CREDENCIAMENTO'!$D$6:$G$3053,4,0)</f>
        <v>30/04/2026</v>
      </c>
      <c r="I10" s="135" t="str">
        <f t="shared" si="8"/>
        <v>PE - Pagto. Doc(s):  - Contrato nº 2022/0027874</v>
      </c>
      <c r="J10" s="136">
        <f t="shared" si="9"/>
        <v>21954.982999999997</v>
      </c>
      <c r="K10" s="136">
        <v>0</v>
      </c>
      <c r="L10" s="137" t="str">
        <f>VLOOKUP(A10,'APONTAMENTO CREDENCIAMENTO'!$D$6:$P$3053,5,0)</f>
        <v>EDUARDO COSTA DE MENDONCA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6020.2022/0027874-0</v>
      </c>
      <c r="U10" s="144">
        <f t="shared" si="11"/>
        <v>21954.982999999997</v>
      </c>
      <c r="V10" s="145">
        <f t="shared" si="12"/>
        <v>21954.982999999997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2022/0027874 - DRE - SM</v>
      </c>
      <c r="AB10" s="238" t="str">
        <f t="shared" si="13"/>
        <v>EDUARDO COSTA DE MENDONCA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3306</v>
      </c>
      <c r="B11" s="130"/>
      <c r="C11" s="131">
        <f t="shared" si="7"/>
        <v>0</v>
      </c>
      <c r="D11" s="132" t="str">
        <f>VLOOKUP(A11,'APONTAMENTO CREDENCIAMENTO'!$D$6:$P$3053,12,0)</f>
        <v>6020.2022/0027878-3</v>
      </c>
      <c r="E11" s="133"/>
      <c r="F11" s="134">
        <f>SUMIF('APONTAMENTO CREDENCIAMENTO'!$D$6:$D$3053,'ATESTE-LIQ'!A11,'APONTAMENTO CREDENCIAMENTO'!$FE$6:$FE$3053)</f>
        <v>15630.550000000001</v>
      </c>
      <c r="G11" s="328" t="str">
        <f>VLOOKUP(A11,'APONTAMENTO CREDENCIAMENTO'!$D$6:$G$3053,3,0)</f>
        <v>01/04/2026</v>
      </c>
      <c r="H11" s="328" t="str">
        <f>VLOOKUP(A11,'APONTAMENTO CREDENCIAMENTO'!$D$6:$G$3053,4,0)</f>
        <v>30/04/2026</v>
      </c>
      <c r="I11" s="135" t="str">
        <f t="shared" si="8"/>
        <v>PE - Pagto. Doc(s):  - Contrato nº 2022/0027878</v>
      </c>
      <c r="J11" s="136">
        <f t="shared" si="9"/>
        <v>15630.550000000001</v>
      </c>
      <c r="K11" s="136">
        <v>0</v>
      </c>
      <c r="L11" s="137" t="str">
        <f>VLOOKUP(A11,'APONTAMENTO CREDENCIAMENTO'!$D$6:$P$3053,5,0)</f>
        <v>RAFAEL PRUDENTE DE OLIVEIRA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6020.2022/0027878-3</v>
      </c>
      <c r="U11" s="144">
        <f t="shared" si="11"/>
        <v>15630.550000000001</v>
      </c>
      <c r="V11" s="145">
        <f t="shared" si="12"/>
        <v>15630.550000000001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2022/0027878 - DRE - SM</v>
      </c>
      <c r="AB11" s="238" t="str">
        <f t="shared" si="13"/>
        <v>RAFAEL PRUDENTE DE OLIVEIRA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3239</v>
      </c>
      <c r="B12" s="130"/>
      <c r="C12" s="131">
        <f t="shared" si="7"/>
        <v>0</v>
      </c>
      <c r="D12" s="132" t="str">
        <f>VLOOKUP(A12,'APONTAMENTO CREDENCIAMENTO'!$D$6:$P$3053,12,0)</f>
        <v>6020.2022/0029299-9</v>
      </c>
      <c r="E12" s="133"/>
      <c r="F12" s="134">
        <f>SUMIF('APONTAMENTO CREDENCIAMENTO'!$D$6:$D$3053,'ATESTE-LIQ'!A12,'APONTAMENTO CREDENCIAMENTO'!$FE$6:$FE$3053)</f>
        <v>13900.179000000002</v>
      </c>
      <c r="G12" s="328" t="str">
        <f>VLOOKUP(A12,'APONTAMENTO CREDENCIAMENTO'!$D$6:$G$3053,3,0)</f>
        <v>01/04/2026</v>
      </c>
      <c r="H12" s="328" t="str">
        <f>VLOOKUP(A12,'APONTAMENTO CREDENCIAMENTO'!$D$6:$G$3053,4,0)</f>
        <v>30/04/2026</v>
      </c>
      <c r="I12" s="135" t="str">
        <f t="shared" si="8"/>
        <v>PE - Pagto. Doc(s):  - Contrato nº 2022/0029299</v>
      </c>
      <c r="J12" s="136">
        <f t="shared" si="9"/>
        <v>13900.179000000002</v>
      </c>
      <c r="K12" s="136">
        <v>0</v>
      </c>
      <c r="L12" s="137" t="str">
        <f>VLOOKUP(A12,'APONTAMENTO CREDENCIAMENTO'!$D$6:$P$3053,5,0)</f>
        <v>ELIZANDRA AQUINO DE OLIVEIRA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6020.2022/0029299-9</v>
      </c>
      <c r="U12" s="144">
        <f t="shared" si="11"/>
        <v>13900.179000000002</v>
      </c>
      <c r="V12" s="145">
        <f t="shared" si="12"/>
        <v>13900.179000000002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2022/0029299 - DRE - SM</v>
      </c>
      <c r="AB12" s="238" t="str">
        <f t="shared" si="13"/>
        <v>ELIZANDRA AQUINO DE OLIVEIRA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3223</v>
      </c>
      <c r="B13" s="130"/>
      <c r="C13" s="131">
        <f t="shared" si="7"/>
        <v>0</v>
      </c>
      <c r="D13" s="132" t="str">
        <f>VLOOKUP(A13,'APONTAMENTO CREDENCIAMENTO'!$D$6:$P$3053,12,0)</f>
        <v>6020.2022/0029520-3</v>
      </c>
      <c r="E13" s="133"/>
      <c r="F13" s="134">
        <f>SUMIF('APONTAMENTO CREDENCIAMENTO'!$D$6:$D$3053,'ATESTE-LIQ'!A13,'APONTAMENTO CREDENCIAMENTO'!$FE$6:$FE$3053)</f>
        <v>19935.449000000001</v>
      </c>
      <c r="G13" s="328" t="str">
        <f>VLOOKUP(A13,'APONTAMENTO CREDENCIAMENTO'!$D$6:$G$3053,3,0)</f>
        <v>01/04/2026</v>
      </c>
      <c r="H13" s="328" t="str">
        <f>VLOOKUP(A13,'APONTAMENTO CREDENCIAMENTO'!$D$6:$G$3053,4,0)</f>
        <v>30/04/2026</v>
      </c>
      <c r="I13" s="135" t="str">
        <f t="shared" si="8"/>
        <v>PE - Pagto. Doc(s):  - Contrato nº 2022/0029520</v>
      </c>
      <c r="J13" s="136">
        <f t="shared" si="9"/>
        <v>19935.449000000001</v>
      </c>
      <c r="K13" s="136">
        <v>0</v>
      </c>
      <c r="L13" s="137" t="str">
        <f>VLOOKUP(A13,'APONTAMENTO CREDENCIAMENTO'!$D$6:$P$3053,5,0)</f>
        <v>DAIANE CRISTINA MANOEL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6020.2022/0029520-3</v>
      </c>
      <c r="U13" s="144">
        <f t="shared" si="11"/>
        <v>19935.449000000001</v>
      </c>
      <c r="V13" s="145">
        <f t="shared" si="12"/>
        <v>19935.449000000001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2022/0029520 - DRE - SM</v>
      </c>
      <c r="AB13" s="238" t="str">
        <f t="shared" si="13"/>
        <v>DAIANE CRISTINA MANOEL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3199</v>
      </c>
      <c r="B14" s="130"/>
      <c r="C14" s="131">
        <f t="shared" si="7"/>
        <v>0</v>
      </c>
      <c r="D14" s="132" t="str">
        <f>VLOOKUP(A14,'APONTAMENTO CREDENCIAMENTO'!$D$6:$P$3053,12,0)</f>
        <v>6020.2022/0029534-3</v>
      </c>
      <c r="E14" s="133"/>
      <c r="F14" s="134">
        <f>SUMIF('APONTAMENTO CREDENCIAMENTO'!$D$6:$D$3053,'ATESTE-LIQ'!A14,'APONTAMENTO CREDENCIAMENTO'!$FE$6:$FE$3053)</f>
        <v>16939.504000000001</v>
      </c>
      <c r="G14" s="328" t="str">
        <f>VLOOKUP(A14,'APONTAMENTO CREDENCIAMENTO'!$D$6:$G$3053,3,0)</f>
        <v>01/04/2026</v>
      </c>
      <c r="H14" s="328" t="str">
        <f>VLOOKUP(A14,'APONTAMENTO CREDENCIAMENTO'!$D$6:$G$3053,4,0)</f>
        <v>30/04/2026</v>
      </c>
      <c r="I14" s="135" t="str">
        <f t="shared" si="8"/>
        <v>PE - Pagto. Doc(s):  - Contrato nº 2022/0029534</v>
      </c>
      <c r="J14" s="136">
        <f t="shared" si="9"/>
        <v>16939.504000000001</v>
      </c>
      <c r="K14" s="136">
        <v>0</v>
      </c>
      <c r="L14" s="137" t="str">
        <f>VLOOKUP(A14,'APONTAMENTO CREDENCIAMENTO'!$D$6:$P$3053,5,0)</f>
        <v>ALEXANDRO MONTEIRO DE ANDRADE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6020.2022/0029534-3</v>
      </c>
      <c r="U14" s="144">
        <f t="shared" si="11"/>
        <v>16939.504000000001</v>
      </c>
      <c r="V14" s="145">
        <f t="shared" si="12"/>
        <v>16939.504000000001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2022/0029534 - DRE - SM</v>
      </c>
      <c r="AB14" s="238" t="str">
        <f t="shared" si="13"/>
        <v>ALEXANDRO MONTEIRO DE ANDRADE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3259</v>
      </c>
      <c r="B15" s="130"/>
      <c r="C15" s="131">
        <f t="shared" si="7"/>
        <v>0</v>
      </c>
      <c r="D15" s="132" t="str">
        <f>VLOOKUP(A15,'APONTAMENTO CREDENCIAMENTO'!$D$6:$P$3053,12,0)</f>
        <v>6020.2022/0029946-2</v>
      </c>
      <c r="E15" s="133"/>
      <c r="F15" s="134">
        <f>SUMIF('APONTAMENTO CREDENCIAMENTO'!$D$6:$D$3053,'ATESTE-LIQ'!A15,'APONTAMENTO CREDENCIAMENTO'!$FE$6:$FE$3053)</f>
        <v>16118.545000000002</v>
      </c>
      <c r="G15" s="328" t="str">
        <f>VLOOKUP(A15,'APONTAMENTO CREDENCIAMENTO'!$D$6:$G$3053,3,0)</f>
        <v>01/04/2026</v>
      </c>
      <c r="H15" s="328" t="str">
        <f>VLOOKUP(A15,'APONTAMENTO CREDENCIAMENTO'!$D$6:$G$3053,4,0)</f>
        <v>30/04/2026</v>
      </c>
      <c r="I15" s="135" t="str">
        <f t="shared" si="8"/>
        <v>PE - Pagto. Doc(s):  - Contrato nº 2022/0029946</v>
      </c>
      <c r="J15" s="136">
        <f t="shared" si="9"/>
        <v>16118.545000000002</v>
      </c>
      <c r="K15" s="136">
        <v>0</v>
      </c>
      <c r="L15" s="137" t="str">
        <f>VLOOKUP(A15,'APONTAMENTO CREDENCIAMENTO'!$D$6:$P$3053,5,0)</f>
        <v>IGOR BARBOSA DA SILVA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6020.2022/0029946-2</v>
      </c>
      <c r="U15" s="144">
        <f t="shared" si="11"/>
        <v>16118.545000000002</v>
      </c>
      <c r="V15" s="145">
        <f t="shared" si="12"/>
        <v>16118.545000000002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2022/0029946 - DRE - SM</v>
      </c>
      <c r="AB15" s="238" t="str">
        <f t="shared" si="13"/>
        <v>IGOR BARBOSA DA SILVA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3282</v>
      </c>
      <c r="B16" s="130"/>
      <c r="C16" s="131">
        <f t="shared" si="7"/>
        <v>0</v>
      </c>
      <c r="D16" s="132" t="str">
        <f>VLOOKUP(A16,'APONTAMENTO CREDENCIAMENTO'!$D$6:$P$3053,12,0)</f>
        <v>6020.2022/0029959-4</v>
      </c>
      <c r="E16" s="133"/>
      <c r="F16" s="134">
        <f>SUMIF('APONTAMENTO CREDENCIAMENTO'!$D$6:$D$3053,'ATESTE-LIQ'!A16,'APONTAMENTO CREDENCIAMENTO'!$FE$6:$FE$3053)</f>
        <v>14455.58</v>
      </c>
      <c r="G16" s="328" t="str">
        <f>VLOOKUP(A16,'APONTAMENTO CREDENCIAMENTO'!$D$6:$G$3053,3,0)</f>
        <v>01/04/2026</v>
      </c>
      <c r="H16" s="328" t="str">
        <f>VLOOKUP(A16,'APONTAMENTO CREDENCIAMENTO'!$D$6:$G$3053,4,0)</f>
        <v>30/04/2026</v>
      </c>
      <c r="I16" s="135" t="str">
        <f t="shared" si="8"/>
        <v>PE - Pagto. Doc(s):  - Contrato nº 2022/0029959</v>
      </c>
      <c r="J16" s="136">
        <f t="shared" si="9"/>
        <v>14455.58</v>
      </c>
      <c r="K16" s="136">
        <v>0</v>
      </c>
      <c r="L16" s="137" t="str">
        <f>VLOOKUP(A16,'APONTAMENTO CREDENCIAMENTO'!$D$6:$P$3053,5,0)</f>
        <v>JOSE NOBRE DE ALMEIDA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6020.2022/0029959-4</v>
      </c>
      <c r="U16" s="144">
        <f t="shared" si="11"/>
        <v>14455.58</v>
      </c>
      <c r="V16" s="145">
        <f t="shared" si="12"/>
        <v>14455.58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2022/0029959 - DRE - SM</v>
      </c>
      <c r="AB16" s="238" t="str">
        <f t="shared" si="13"/>
        <v>JOSE NOBRE DE ALMEIDA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3330</v>
      </c>
      <c r="B17" s="130"/>
      <c r="C17" s="131">
        <f t="shared" si="7"/>
        <v>0</v>
      </c>
      <c r="D17" s="132" t="str">
        <f>VLOOKUP(A17,'APONTAMENTO CREDENCIAMENTO'!$D$6:$P$3053,12,0)</f>
        <v>6020.2022/0030148-3</v>
      </c>
      <c r="E17" s="133"/>
      <c r="F17" s="134">
        <f>SUMIF('APONTAMENTO CREDENCIAMENTO'!$D$6:$D$3053,'ATESTE-LIQ'!A17,'APONTAMENTO CREDENCIAMENTO'!$FE$6:$FE$3053)</f>
        <v>15142.813999999998</v>
      </c>
      <c r="G17" s="328" t="str">
        <f>VLOOKUP(A17,'APONTAMENTO CREDENCIAMENTO'!$D$6:$G$3053,3,0)</f>
        <v>01/04/2026</v>
      </c>
      <c r="H17" s="328" t="str">
        <f>VLOOKUP(A17,'APONTAMENTO CREDENCIAMENTO'!$D$6:$G$3053,4,0)</f>
        <v>30/04/2026</v>
      </c>
      <c r="I17" s="135" t="str">
        <f t="shared" si="8"/>
        <v>PE - Pagto. Doc(s):  - Contrato nº 2022/0030148</v>
      </c>
      <c r="J17" s="136">
        <f t="shared" si="9"/>
        <v>15142.813999999998</v>
      </c>
      <c r="K17" s="136">
        <v>0</v>
      </c>
      <c r="L17" s="137" t="str">
        <f>VLOOKUP(A17,'APONTAMENTO CREDENCIAMENTO'!$D$6:$P$3053,5,0)</f>
        <v>VOLNEI NUNES DE BARROS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6020.2022/0030148-3</v>
      </c>
      <c r="U17" s="144">
        <f t="shared" si="11"/>
        <v>15142.813999999998</v>
      </c>
      <c r="V17" s="145">
        <f t="shared" si="12"/>
        <v>15142.813999999998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2022/0030148 - DRE - SM</v>
      </c>
      <c r="AB17" s="238" t="str">
        <f t="shared" si="13"/>
        <v>VOLNEI NUNES DE BARROS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3278</v>
      </c>
      <c r="B18" s="130"/>
      <c r="C18" s="131">
        <f t="shared" si="7"/>
        <v>0</v>
      </c>
      <c r="D18" s="132" t="str">
        <f>VLOOKUP(A18,'APONTAMENTO CREDENCIAMENTO'!$D$6:$P$3053,12,0)</f>
        <v>6020.2022/0030472-5</v>
      </c>
      <c r="E18" s="133"/>
      <c r="F18" s="134">
        <f>SUMIF('APONTAMENTO CREDENCIAMENTO'!$D$6:$D$3053,'ATESTE-LIQ'!A18,'APONTAMENTO CREDENCIAMENTO'!$FE$6:$FE$3053)</f>
        <v>22182.624</v>
      </c>
      <c r="G18" s="328" t="str">
        <f>VLOOKUP(A18,'APONTAMENTO CREDENCIAMENTO'!$D$6:$G$3053,3,0)</f>
        <v>01/04/2026</v>
      </c>
      <c r="H18" s="328" t="str">
        <f>VLOOKUP(A18,'APONTAMENTO CREDENCIAMENTO'!$D$6:$G$3053,4,0)</f>
        <v>30/04/2026</v>
      </c>
      <c r="I18" s="135" t="str">
        <f t="shared" si="8"/>
        <v>PE - Pagto. Doc(s):  - Contrato nº 2022/0030472</v>
      </c>
      <c r="J18" s="136">
        <f t="shared" si="9"/>
        <v>22182.624</v>
      </c>
      <c r="K18" s="136">
        <v>0</v>
      </c>
      <c r="L18" s="137" t="str">
        <f>VLOOKUP(A18,'APONTAMENTO CREDENCIAMENTO'!$D$6:$P$3053,5,0)</f>
        <v>JOSE LENILDO MACIEL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6020.2022/0030472-5</v>
      </c>
      <c r="U18" s="144">
        <f t="shared" si="11"/>
        <v>22182.624</v>
      </c>
      <c r="V18" s="145">
        <f t="shared" si="12"/>
        <v>22182.624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2022/0030472 - DRE - SM</v>
      </c>
      <c r="AB18" s="238" t="str">
        <f t="shared" si="13"/>
        <v>JOSE LENILDO MACIEL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3302</v>
      </c>
      <c r="B19" s="130"/>
      <c r="C19" s="131">
        <f t="shared" si="7"/>
        <v>0</v>
      </c>
      <c r="D19" s="132" t="str">
        <f>VLOOKUP(A19,'APONTAMENTO CREDENCIAMENTO'!$D$6:$P$3053,12,0)</f>
        <v>6020.2022/0030862-3</v>
      </c>
      <c r="E19" s="133"/>
      <c r="F19" s="134">
        <f>SUMIF('APONTAMENTO CREDENCIAMENTO'!$D$6:$D$3053,'ATESTE-LIQ'!A19,'APONTAMENTO CREDENCIAMENTO'!$FE$6:$FE$3053)</f>
        <v>20217.951000000001</v>
      </c>
      <c r="G19" s="328" t="str">
        <f>VLOOKUP(A19,'APONTAMENTO CREDENCIAMENTO'!$D$6:$G$3053,3,0)</f>
        <v>01/04/2026</v>
      </c>
      <c r="H19" s="328" t="str">
        <f>VLOOKUP(A19,'APONTAMENTO CREDENCIAMENTO'!$D$6:$G$3053,4,0)</f>
        <v>30/04/2026</v>
      </c>
      <c r="I19" s="135" t="str">
        <f t="shared" si="8"/>
        <v>PE - Pagto. Doc(s):  - Contrato nº 2022/0030862</v>
      </c>
      <c r="J19" s="136">
        <f t="shared" si="9"/>
        <v>20217.951000000001</v>
      </c>
      <c r="K19" s="136">
        <v>0</v>
      </c>
      <c r="L19" s="137" t="str">
        <f>VLOOKUP(A19,'APONTAMENTO CREDENCIAMENTO'!$D$6:$P$3053,5,0)</f>
        <v>OSVALDO MASSATOSHI YAMADA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6020.2022/0030862-3</v>
      </c>
      <c r="U19" s="144">
        <f t="shared" si="11"/>
        <v>20217.951000000001</v>
      </c>
      <c r="V19" s="145">
        <f t="shared" si="12"/>
        <v>20217.951000000001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2022/0030862 - DRE - SM</v>
      </c>
      <c r="AB19" s="238" t="str">
        <f t="shared" si="13"/>
        <v>OSVALDO MASSATOSHI YAMADA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3263</v>
      </c>
      <c r="B20" s="130"/>
      <c r="C20" s="131">
        <f t="shared" si="7"/>
        <v>0</v>
      </c>
      <c r="D20" s="132" t="str">
        <f>VLOOKUP(A20,'APONTAMENTO CREDENCIAMENTO'!$D$6:$P$3053,12,0)</f>
        <v>6020.2022/0031061-0</v>
      </c>
      <c r="E20" s="133"/>
      <c r="F20" s="134">
        <f>SUMIF('APONTAMENTO CREDENCIAMENTO'!$D$6:$D$3053,'ATESTE-LIQ'!A20,'APONTAMENTO CREDENCIAMENTO'!$FE$6:$FE$3053)</f>
        <v>16750.881000000005</v>
      </c>
      <c r="G20" s="328" t="str">
        <f>VLOOKUP(A20,'APONTAMENTO CREDENCIAMENTO'!$D$6:$G$3053,3,0)</f>
        <v>01/04/2026</v>
      </c>
      <c r="H20" s="328">
        <f>VLOOKUP(A20,'APONTAMENTO CREDENCIAMENTO'!$D$6:$G$3053,4,0)</f>
        <v>46140</v>
      </c>
      <c r="I20" s="135" t="str">
        <f t="shared" si="8"/>
        <v>PE - Pagto. Doc(s):  - Contrato nº 2022/0031061</v>
      </c>
      <c r="J20" s="136">
        <f t="shared" si="9"/>
        <v>16750.881000000005</v>
      </c>
      <c r="K20" s="136">
        <v>0</v>
      </c>
      <c r="L20" s="137" t="str">
        <f>VLOOKUP(A20,'APONTAMENTO CREDENCIAMENTO'!$D$6:$P$3053,5,0)</f>
        <v>ISAIAS DA SILVA PIMENTEL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6020.2022/0031061-0</v>
      </c>
      <c r="U20" s="144">
        <f t="shared" si="11"/>
        <v>16750.881000000005</v>
      </c>
      <c r="V20" s="145">
        <f t="shared" si="12"/>
        <v>16750.881000000005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2022/0031061 - DRE - SM</v>
      </c>
      <c r="AB20" s="238" t="str">
        <f t="shared" si="13"/>
        <v>ISAIAS DA SILVA PIMENTEL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3270</v>
      </c>
      <c r="B21" s="130"/>
      <c r="C21" s="131">
        <f t="shared" si="7"/>
        <v>0</v>
      </c>
      <c r="D21" s="132" t="str">
        <f>VLOOKUP(A21,'APONTAMENTO CREDENCIAMENTO'!$D$6:$P$3053,12,0)</f>
        <v>6020.2022/0031478-0</v>
      </c>
      <c r="E21" s="133"/>
      <c r="F21" s="134">
        <f>SUMIF('APONTAMENTO CREDENCIAMENTO'!$D$6:$D$3053,'ATESTE-LIQ'!A21,'APONTAMENTO CREDENCIAMENTO'!$FE$6:$FE$3053)</f>
        <v>21360.800000000003</v>
      </c>
      <c r="G21" s="328" t="str">
        <f>VLOOKUP(A21,'APONTAMENTO CREDENCIAMENTO'!$D$6:$G$3053,3,0)</f>
        <v>01/04/2026</v>
      </c>
      <c r="H21" s="328" t="str">
        <f>VLOOKUP(A21,'APONTAMENTO CREDENCIAMENTO'!$D$6:$G$3053,4,0)</f>
        <v>30/04/2026</v>
      </c>
      <c r="I21" s="135" t="str">
        <f t="shared" si="8"/>
        <v>PE - Pagto. Doc(s):  - Contrato nº 2022/0031478</v>
      </c>
      <c r="J21" s="136">
        <f t="shared" si="9"/>
        <v>21360.800000000003</v>
      </c>
      <c r="K21" s="136">
        <v>0</v>
      </c>
      <c r="L21" s="137" t="str">
        <f>VLOOKUP(A21,'APONTAMENTO CREDENCIAMENTO'!$D$6:$P$3053,5,0)</f>
        <v>JOSE FRANCISCO ROSSIN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6020.2022/0031478-0</v>
      </c>
      <c r="U21" s="144">
        <f t="shared" si="11"/>
        <v>21360.800000000003</v>
      </c>
      <c r="V21" s="145">
        <f t="shared" si="12"/>
        <v>21360.800000000003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2022/0031478 - DRE - SM</v>
      </c>
      <c r="AB21" s="238" t="str">
        <f t="shared" si="13"/>
        <v>JOSE FRANCISCO ROSSIN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3322</v>
      </c>
      <c r="B22" s="130"/>
      <c r="C22" s="131">
        <f t="shared" si="7"/>
        <v>0</v>
      </c>
      <c r="D22" s="132" t="str">
        <f>VLOOKUP(A22,'APONTAMENTO CREDENCIAMENTO'!$D$6:$P$3053,12,0)</f>
        <v>6020.2022/0031777-0</v>
      </c>
      <c r="E22" s="133"/>
      <c r="F22" s="134">
        <f>SUMIF('APONTAMENTO CREDENCIAMENTO'!$D$6:$D$3053,'ATESTE-LIQ'!A22,'APONTAMENTO CREDENCIAMENTO'!$FE$6:$FE$3053)</f>
        <v>16028.732000000002</v>
      </c>
      <c r="G22" s="328" t="str">
        <f>VLOOKUP(A22,'APONTAMENTO CREDENCIAMENTO'!$D$6:$G$3053,3,0)</f>
        <v>01/04/2026</v>
      </c>
      <c r="H22" s="328" t="str">
        <f>VLOOKUP(A22,'APONTAMENTO CREDENCIAMENTO'!$D$6:$G$3053,4,0)</f>
        <v>30/04/2026</v>
      </c>
      <c r="I22" s="135" t="str">
        <f t="shared" si="8"/>
        <v>PE - Pagto. Doc(s):  - Contrato nº 2022/0031777</v>
      </c>
      <c r="J22" s="136">
        <f t="shared" si="9"/>
        <v>16028.732000000002</v>
      </c>
      <c r="K22" s="136">
        <v>0</v>
      </c>
      <c r="L22" s="137" t="str">
        <f>VLOOKUP(A22,'APONTAMENTO CREDENCIAMENTO'!$D$6:$P$3053,5,0)</f>
        <v>ROSIETE OLIVEIRA DA SILVA BATISTA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6020.2022/0031777-0</v>
      </c>
      <c r="U22" s="144">
        <f t="shared" si="11"/>
        <v>16028.732000000002</v>
      </c>
      <c r="V22" s="145">
        <f t="shared" si="12"/>
        <v>16028.732000000002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2022/0031777 - DRE - SM</v>
      </c>
      <c r="AB22" s="238" t="str">
        <f t="shared" si="13"/>
        <v>ROSIETE OLIVEIRA DA SILVA BATISTA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3310</v>
      </c>
      <c r="B23" s="130"/>
      <c r="C23" s="131">
        <f t="shared" si="7"/>
        <v>0</v>
      </c>
      <c r="D23" s="132" t="str">
        <f>VLOOKUP(A23,'APONTAMENTO CREDENCIAMENTO'!$D$6:$P$3053,12,0)</f>
        <v>6020.2022/0032289-8</v>
      </c>
      <c r="E23" s="133"/>
      <c r="F23" s="134">
        <f>SUMIF('APONTAMENTO CREDENCIAMENTO'!$D$6:$D$3053,'ATESTE-LIQ'!A23,'APONTAMENTO CREDENCIAMENTO'!$FE$6:$FE$3053)</f>
        <v>14932.699999999999</v>
      </c>
      <c r="G23" s="328" t="str">
        <f>VLOOKUP(A23,'APONTAMENTO CREDENCIAMENTO'!$D$6:$G$3053,3,0)</f>
        <v>01/04/2026</v>
      </c>
      <c r="H23" s="328" t="str">
        <f>VLOOKUP(A23,'APONTAMENTO CREDENCIAMENTO'!$D$6:$G$3053,4,0)</f>
        <v>30/04/2026</v>
      </c>
      <c r="I23" s="135" t="str">
        <f t="shared" si="8"/>
        <v>PE - Pagto. Doc(s):  - Contrato nº 2022/0032289</v>
      </c>
      <c r="J23" s="136">
        <f t="shared" si="9"/>
        <v>14932.699999999999</v>
      </c>
      <c r="K23" s="136">
        <v>0</v>
      </c>
      <c r="L23" s="137" t="str">
        <f>VLOOKUP(A23,'APONTAMENTO CREDENCIAMENTO'!$D$6:$P$3053,5,0)</f>
        <v>ROGERIO MANZATTO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6020.2022/0032289-8</v>
      </c>
      <c r="U23" s="144">
        <f t="shared" si="11"/>
        <v>14932.699999999999</v>
      </c>
      <c r="V23" s="145">
        <f t="shared" si="12"/>
        <v>14932.699999999999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2022/0032289 - DRE - SM</v>
      </c>
      <c r="AB23" s="238" t="str">
        <f t="shared" si="13"/>
        <v>ROGERIO MANZATTO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3243</v>
      </c>
      <c r="B24" s="130"/>
      <c r="C24" s="131">
        <f t="shared" si="7"/>
        <v>0</v>
      </c>
      <c r="D24" s="132" t="str">
        <f>VLOOKUP(A24,'APONTAMENTO CREDENCIAMENTO'!$D$6:$P$3053,12,0)</f>
        <v>6020.2022/0032550-1</v>
      </c>
      <c r="E24" s="133"/>
      <c r="F24" s="134">
        <f>SUMIF('APONTAMENTO CREDENCIAMENTO'!$D$6:$D$3053,'ATESTE-LIQ'!A24,'APONTAMENTO CREDENCIAMENTO'!$FE$6:$FE$3053)</f>
        <v>13033.541000000001</v>
      </c>
      <c r="G24" s="328" t="str">
        <f>VLOOKUP(A24,'APONTAMENTO CREDENCIAMENTO'!$D$6:$G$3053,3,0)</f>
        <v>01/04/2026</v>
      </c>
      <c r="H24" s="328" t="str">
        <f>VLOOKUP(A24,'APONTAMENTO CREDENCIAMENTO'!$D$6:$G$3053,4,0)</f>
        <v>30/04/2026</v>
      </c>
      <c r="I24" s="135" t="str">
        <f t="shared" si="8"/>
        <v>PE - Pagto. Doc(s):  - Contrato nº 2022/0032550</v>
      </c>
      <c r="J24" s="136">
        <f t="shared" si="9"/>
        <v>13033.541000000001</v>
      </c>
      <c r="K24" s="136">
        <v>0</v>
      </c>
      <c r="L24" s="137" t="str">
        <f>VLOOKUP(A24,'APONTAMENTO CREDENCIAMENTO'!$D$6:$P$3053,5,0)</f>
        <v>FLORISVAL SOUZA CRUZ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6020.2022/0032550-1</v>
      </c>
      <c r="U24" s="144">
        <f t="shared" si="11"/>
        <v>13033.541000000001</v>
      </c>
      <c r="V24" s="145">
        <f t="shared" si="12"/>
        <v>13033.541000000001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2022/0032550 - DRE - SM</v>
      </c>
      <c r="AB24" s="238" t="str">
        <f t="shared" si="13"/>
        <v>FLORISVAL SOUZA CRUZ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3207</v>
      </c>
      <c r="B25" s="130"/>
      <c r="C25" s="131">
        <f t="shared" si="7"/>
        <v>0</v>
      </c>
      <c r="D25" s="132" t="str">
        <f>VLOOKUP(A25,'APONTAMENTO CREDENCIAMENTO'!$D$6:$P$3053,12,0)</f>
        <v>6020.2022/0032715-6</v>
      </c>
      <c r="E25" s="133"/>
      <c r="F25" s="134">
        <f>SUMIF('APONTAMENTO CREDENCIAMENTO'!$D$6:$D$3053,'ATESTE-LIQ'!A25,'APONTAMENTO CREDENCIAMENTO'!$FE$6:$FE$3053)</f>
        <v>9521.3979999999992</v>
      </c>
      <c r="G25" s="328" t="str">
        <f>VLOOKUP(A25,'APONTAMENTO CREDENCIAMENTO'!$D$6:$G$3053,3,0)</f>
        <v>01/04/2026</v>
      </c>
      <c r="H25" s="328" t="str">
        <f>VLOOKUP(A25,'APONTAMENTO CREDENCIAMENTO'!$D$6:$G$3053,4,0)</f>
        <v>30/04/2026</v>
      </c>
      <c r="I25" s="135" t="str">
        <f t="shared" si="8"/>
        <v>PE - Pagto. Doc(s):  - Contrato nº 2022/0032715</v>
      </c>
      <c r="J25" s="136">
        <f t="shared" si="9"/>
        <v>9521.3979999999992</v>
      </c>
      <c r="K25" s="136">
        <v>0</v>
      </c>
      <c r="L25" s="137" t="str">
        <f>VLOOKUP(A25,'APONTAMENTO CREDENCIAMENTO'!$D$6:$P$3053,5,0)</f>
        <v>CLAUDIA APARECIDA DE CARVALHO OLIVEIRA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6020.2022/0032715-6</v>
      </c>
      <c r="U25" s="144">
        <f t="shared" si="11"/>
        <v>9521.3979999999992</v>
      </c>
      <c r="V25" s="145">
        <f t="shared" si="12"/>
        <v>9521.3979999999992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2022/0032715 - DRE - SM</v>
      </c>
      <c r="AB25" s="238" t="str">
        <f t="shared" si="13"/>
        <v>CLAUDIA APARECIDA DE CARVALHO OLIVEIRA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3247</v>
      </c>
      <c r="B26" s="130"/>
      <c r="C26" s="131">
        <f t="shared" si="7"/>
        <v>0</v>
      </c>
      <c r="D26" s="132" t="str">
        <f>VLOOKUP(A26,'APONTAMENTO CREDENCIAMENTO'!$D$6:$P$3053,12,0)</f>
        <v>6020.2022/0032747-4</v>
      </c>
      <c r="E26" s="133"/>
      <c r="F26" s="134">
        <f>SUMIF('APONTAMENTO CREDENCIAMENTO'!$D$6:$D$3053,'ATESTE-LIQ'!A26,'APONTAMENTO CREDENCIAMENTO'!$FE$6:$FE$3053)</f>
        <v>13029.311640000002</v>
      </c>
      <c r="G26" s="328" t="str">
        <f>VLOOKUP(A26,'APONTAMENTO CREDENCIAMENTO'!$D$6:$G$3053,3,0)</f>
        <v>01/04/2026</v>
      </c>
      <c r="H26" s="328" t="str">
        <f>VLOOKUP(A26,'APONTAMENTO CREDENCIAMENTO'!$D$6:$G$3053,4,0)</f>
        <v>30/04/2026</v>
      </c>
      <c r="I26" s="135" t="str">
        <f t="shared" si="8"/>
        <v>PE - Pagto. Doc(s):  - Contrato nº 2022/0032747</v>
      </c>
      <c r="J26" s="136">
        <f t="shared" si="9"/>
        <v>13029.311640000002</v>
      </c>
      <c r="K26" s="136">
        <v>0</v>
      </c>
      <c r="L26" s="137" t="str">
        <f>VLOOKUP(A26,'APONTAMENTO CREDENCIAMENTO'!$D$6:$P$3053,5,0)</f>
        <v>GILFREDO COELHO ROCHA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6020.2022/0032747-4</v>
      </c>
      <c r="U26" s="144">
        <f t="shared" si="11"/>
        <v>13029.311640000002</v>
      </c>
      <c r="V26" s="145">
        <f t="shared" si="12"/>
        <v>13029.311640000002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2022/0032747 - DRE - SM</v>
      </c>
      <c r="AB26" s="238" t="str">
        <f t="shared" si="13"/>
        <v>GILFREDO COELHO ROCHA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3290</v>
      </c>
      <c r="B27" s="130"/>
      <c r="C27" s="131">
        <f t="shared" si="7"/>
        <v>0</v>
      </c>
      <c r="D27" s="132" t="str">
        <f>VLOOKUP(A27,'APONTAMENTO CREDENCIAMENTO'!$D$6:$P$3053,12,0)</f>
        <v>6020.2022/0033031-9</v>
      </c>
      <c r="E27" s="133"/>
      <c r="F27" s="134">
        <f>SUMIF('APONTAMENTO CREDENCIAMENTO'!$D$6:$D$3053,'ATESTE-LIQ'!A27,'APONTAMENTO CREDENCIAMENTO'!$FE$6:$FE$3053)</f>
        <v>13450.744000000001</v>
      </c>
      <c r="G27" s="328" t="str">
        <f>VLOOKUP(A27,'APONTAMENTO CREDENCIAMENTO'!$D$6:$G$3053,3,0)</f>
        <v>01/04/2026</v>
      </c>
      <c r="H27" s="328" t="str">
        <f>VLOOKUP(A27,'APONTAMENTO CREDENCIAMENTO'!$D$6:$G$3053,4,0)</f>
        <v>30/04/2026</v>
      </c>
      <c r="I27" s="135" t="str">
        <f t="shared" si="8"/>
        <v>PE - Pagto. Doc(s):  - Contrato nº 2022/0033031</v>
      </c>
      <c r="J27" s="136">
        <f t="shared" si="9"/>
        <v>13450.744000000001</v>
      </c>
      <c r="K27" s="136">
        <v>0</v>
      </c>
      <c r="L27" s="137" t="str">
        <f>VLOOKUP(A27,'APONTAMENTO CREDENCIAMENTO'!$D$6:$P$3053,5,0)</f>
        <v>LUZINETE APARECIDA RODRIGUES DA SILVA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6020.2022/0033031-9</v>
      </c>
      <c r="U27" s="144">
        <f t="shared" si="11"/>
        <v>13450.744000000001</v>
      </c>
      <c r="V27" s="145">
        <f t="shared" si="12"/>
        <v>13450.744000000001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2022/0033031 - DRE - SM</v>
      </c>
      <c r="AB27" s="238" t="str">
        <f t="shared" si="13"/>
        <v>LUZINETE APARECIDA RODRIGUES DA SILVA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3251</v>
      </c>
      <c r="B28" s="130"/>
      <c r="C28" s="131">
        <f t="shared" si="7"/>
        <v>0</v>
      </c>
      <c r="D28" s="132" t="str">
        <f>VLOOKUP(A28,'APONTAMENTO CREDENCIAMENTO'!$D$6:$P$3053,12,0)</f>
        <v>6020.2022/0033825-5</v>
      </c>
      <c r="E28" s="133"/>
      <c r="F28" s="134">
        <f>SUMIF('APONTAMENTO CREDENCIAMENTO'!$D$6:$D$3053,'ATESTE-LIQ'!A28,'APONTAMENTO CREDENCIAMENTO'!$FE$6:$FE$3053)</f>
        <v>12500.51</v>
      </c>
      <c r="G28" s="328" t="str">
        <f>VLOOKUP(A28,'APONTAMENTO CREDENCIAMENTO'!$D$6:$G$3053,3,0)</f>
        <v>01/04/2026</v>
      </c>
      <c r="H28" s="328" t="str">
        <f>VLOOKUP(A28,'APONTAMENTO CREDENCIAMENTO'!$D$6:$G$3053,4,0)</f>
        <v>30/04/2026</v>
      </c>
      <c r="I28" s="135" t="str">
        <f t="shared" si="8"/>
        <v>PE - Pagto. Doc(s):  - Contrato nº 2022/0033825</v>
      </c>
      <c r="J28" s="136">
        <f t="shared" si="9"/>
        <v>12500.51</v>
      </c>
      <c r="K28" s="136">
        <v>0</v>
      </c>
      <c r="L28" s="137" t="str">
        <f>VLOOKUP(A28,'APONTAMENTO CREDENCIAMENTO'!$D$6:$P$3053,5,0)</f>
        <v>GILVAN ROMUALDO DE SOUZA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6020.2022/0033825-5</v>
      </c>
      <c r="U28" s="144">
        <f t="shared" si="11"/>
        <v>12500.51</v>
      </c>
      <c r="V28" s="145">
        <f t="shared" si="12"/>
        <v>12500.51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2022/0033825 - DRE - SM</v>
      </c>
      <c r="AB28" s="238" t="str">
        <f t="shared" si="13"/>
        <v>GILVAN ROMUALDO DE SOUZA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3286</v>
      </c>
      <c r="B29" s="130"/>
      <c r="C29" s="131">
        <f t="shared" si="7"/>
        <v>0</v>
      </c>
      <c r="D29" s="132" t="str">
        <f>VLOOKUP(A29,'APONTAMENTO CREDENCIAMENTO'!$D$6:$P$3053,12,0)</f>
        <v>6020.2022/0033883-2</v>
      </c>
      <c r="E29" s="133"/>
      <c r="F29" s="134">
        <f>SUMIF('APONTAMENTO CREDENCIAMENTO'!$D$6:$D$3053,'ATESTE-LIQ'!A29,'APONTAMENTO CREDENCIAMENTO'!$FE$6:$FE$3053)</f>
        <v>18458.734000000004</v>
      </c>
      <c r="G29" s="328" t="str">
        <f>VLOOKUP(A29,'APONTAMENTO CREDENCIAMENTO'!$D$6:$G$3053,3,0)</f>
        <v>01/04/2026</v>
      </c>
      <c r="H29" s="328" t="str">
        <f>VLOOKUP(A29,'APONTAMENTO CREDENCIAMENTO'!$D$6:$G$3053,4,0)</f>
        <v>30/04/2026</v>
      </c>
      <c r="I29" s="135" t="str">
        <f t="shared" si="8"/>
        <v>PE - Pagto. Doc(s):  - Contrato nº 2022/0033883</v>
      </c>
      <c r="J29" s="136">
        <f t="shared" si="9"/>
        <v>18458.734000000004</v>
      </c>
      <c r="K29" s="136">
        <v>0</v>
      </c>
      <c r="L29" s="137" t="str">
        <f>VLOOKUP(A29,'APONTAMENTO CREDENCIAMENTO'!$D$6:$P$3053,5,0)</f>
        <v>LEANDRO GOMES ROQUE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6020.2022/0033883-2</v>
      </c>
      <c r="U29" s="144">
        <f t="shared" si="11"/>
        <v>18458.734000000004</v>
      </c>
      <c r="V29" s="145">
        <f t="shared" si="12"/>
        <v>18458.734000000004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2022/0033883 - DRE - SM</v>
      </c>
      <c r="AB29" s="238" t="str">
        <f t="shared" si="13"/>
        <v>LEANDRO GOMES ROQUE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3318</v>
      </c>
      <c r="B30" s="130"/>
      <c r="C30" s="131">
        <f t="shared" si="7"/>
        <v>0</v>
      </c>
      <c r="D30" s="132" t="str">
        <f>VLOOKUP(A30,'APONTAMENTO CREDENCIAMENTO'!$D$6:$P$3053,12,0)</f>
        <v>6020.2022/0034710-6</v>
      </c>
      <c r="E30" s="133"/>
      <c r="F30" s="134">
        <f>SUMIF('APONTAMENTO CREDENCIAMENTO'!$D$6:$D$3053,'ATESTE-LIQ'!A30,'APONTAMENTO CREDENCIAMENTO'!$FE$6:$FE$3053)</f>
        <v>18921.010000000002</v>
      </c>
      <c r="G30" s="328" t="str">
        <f>VLOOKUP(A30,'APONTAMENTO CREDENCIAMENTO'!$D$6:$G$3053,3,0)</f>
        <v>01/04/2026</v>
      </c>
      <c r="H30" s="328" t="str">
        <f>VLOOKUP(A30,'APONTAMENTO CREDENCIAMENTO'!$D$6:$G$3053,4,0)</f>
        <v>30/04/2026</v>
      </c>
      <c r="I30" s="135" t="str">
        <f t="shared" si="8"/>
        <v>PE - Pagto. Doc(s):  - Contrato nº 2022/0034710</v>
      </c>
      <c r="J30" s="136">
        <f t="shared" si="9"/>
        <v>18921.010000000002</v>
      </c>
      <c r="K30" s="136">
        <v>0</v>
      </c>
      <c r="L30" s="137" t="str">
        <f>VLOOKUP(A30,'APONTAMENTO CREDENCIAMENTO'!$D$6:$P$3053,5,0)</f>
        <v>ROSELI DE CARVALHO COUTO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6020.2022/0034710-6</v>
      </c>
      <c r="U30" s="144">
        <f t="shared" si="11"/>
        <v>18921.010000000002</v>
      </c>
      <c r="V30" s="145">
        <f t="shared" si="12"/>
        <v>18921.010000000002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2022/0034710 - DRE - SM</v>
      </c>
      <c r="AB30" s="238" t="str">
        <f t="shared" si="13"/>
        <v>ROSELI DE CARVALHO COUTO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3227</v>
      </c>
      <c r="B31" s="130"/>
      <c r="C31" s="131">
        <f t="shared" si="7"/>
        <v>0</v>
      </c>
      <c r="D31" s="132" t="str">
        <f>VLOOKUP(A31,'APONTAMENTO CREDENCIAMENTO'!$D$6:$P$3053,12,0)</f>
        <v>6020.2022/0036945-2</v>
      </c>
      <c r="E31" s="133"/>
      <c r="F31" s="134">
        <f>SUMIF('APONTAMENTO CREDENCIAMENTO'!$D$6:$D$3053,'ATESTE-LIQ'!A31,'APONTAMENTO CREDENCIAMENTO'!$FE$6:$FE$3053)</f>
        <v>24006.083000000002</v>
      </c>
      <c r="G31" s="328" t="str">
        <f>VLOOKUP(A31,'APONTAMENTO CREDENCIAMENTO'!$D$6:$G$3053,3,0)</f>
        <v>01/04/2026</v>
      </c>
      <c r="H31" s="328" t="str">
        <f>VLOOKUP(A31,'APONTAMENTO CREDENCIAMENTO'!$D$6:$G$3053,4,0)</f>
        <v>30/04/2026</v>
      </c>
      <c r="I31" s="135" t="str">
        <f t="shared" si="8"/>
        <v>PE - Pagto. Doc(s):  - Contrato nº 2022/0036945</v>
      </c>
      <c r="J31" s="136">
        <f t="shared" si="9"/>
        <v>24006.083000000002</v>
      </c>
      <c r="K31" s="136">
        <v>0</v>
      </c>
      <c r="L31" s="137" t="str">
        <f>VLOOKUP(A31,'APONTAMENTO CREDENCIAMENTO'!$D$6:$P$3053,5,0)</f>
        <v>DEJAILTON JESUS DA SILVA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6020.2022/0036945-2</v>
      </c>
      <c r="U31" s="144">
        <f t="shared" si="11"/>
        <v>24006.083000000002</v>
      </c>
      <c r="V31" s="145">
        <f t="shared" si="12"/>
        <v>24006.083000000002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2022/0036945 - DRE - SM</v>
      </c>
      <c r="AB31" s="238" t="str">
        <f t="shared" si="13"/>
        <v>DEJAILTON JESUS DA SILVA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3255</v>
      </c>
      <c r="B32" s="130"/>
      <c r="C32" s="131">
        <f t="shared" si="7"/>
        <v>0</v>
      </c>
      <c r="D32" s="132" t="str">
        <f>VLOOKUP(A32,'APONTAMENTO CREDENCIAMENTO'!$D$6:$P$3053,12,0)</f>
        <v>6020.2023/0009503-6</v>
      </c>
      <c r="E32" s="133"/>
      <c r="F32" s="134">
        <f>SUMIF('APONTAMENTO CREDENCIAMENTO'!$D$6:$D$3053,'ATESTE-LIQ'!A32,'APONTAMENTO CREDENCIAMENTO'!$FE$6:$FE$3053)</f>
        <v>22028.532000000003</v>
      </c>
      <c r="G32" s="328" t="str">
        <f>VLOOKUP(A32,'APONTAMENTO CREDENCIAMENTO'!$D$6:$G$3053,3,0)</f>
        <v>01/04/2026</v>
      </c>
      <c r="H32" s="328" t="str">
        <f>VLOOKUP(A32,'APONTAMENTO CREDENCIAMENTO'!$D$6:$G$3053,4,0)</f>
        <v>30/04/2026</v>
      </c>
      <c r="I32" s="135" t="str">
        <f t="shared" si="8"/>
        <v>PE - Pagto. Doc(s):  - Contrato nº 2023/0009503</v>
      </c>
      <c r="J32" s="136">
        <f t="shared" si="9"/>
        <v>22028.532000000003</v>
      </c>
      <c r="K32" s="136">
        <v>0</v>
      </c>
      <c r="L32" s="137" t="str">
        <f>VLOOKUP(A32,'APONTAMENTO CREDENCIAMENTO'!$D$6:$P$3053,5,0)</f>
        <v>HAMILTON MARTINS LEITE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6020.2023/0009503-6</v>
      </c>
      <c r="U32" s="144">
        <f t="shared" si="11"/>
        <v>22028.532000000003</v>
      </c>
      <c r="V32" s="145">
        <f t="shared" si="12"/>
        <v>22028.532000000003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2023/0009503 - DRE - SM</v>
      </c>
      <c r="AB32" s="238" t="str">
        <f t="shared" si="13"/>
        <v>HAMILTON MARTINS LEITE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3211</v>
      </c>
      <c r="B33" s="130"/>
      <c r="C33" s="131">
        <f t="shared" si="7"/>
        <v>0</v>
      </c>
      <c r="D33" s="132" t="str">
        <f>VLOOKUP(A33,'APONTAMENTO CREDENCIAMENTO'!$D$6:$P$3053,12,0)</f>
        <v>6020.2023/0016286-8</v>
      </c>
      <c r="E33" s="133"/>
      <c r="F33" s="134">
        <f>SUMIF('APONTAMENTO CREDENCIAMENTO'!$D$6:$D$3053,'ATESTE-LIQ'!A33,'APONTAMENTO CREDENCIAMENTO'!$FE$6:$FE$3053)</f>
        <v>22285.351999999999</v>
      </c>
      <c r="G33" s="328" t="str">
        <f>VLOOKUP(A33,'APONTAMENTO CREDENCIAMENTO'!$D$6:$G$3053,3,0)</f>
        <v>01/04/2026</v>
      </c>
      <c r="H33" s="328" t="str">
        <f>VLOOKUP(A33,'APONTAMENTO CREDENCIAMENTO'!$D$6:$G$3053,4,0)</f>
        <v>30/04/2026</v>
      </c>
      <c r="I33" s="135" t="str">
        <f t="shared" si="8"/>
        <v>PE - Pagto. Doc(s):  - Contrato nº 2023/0016286</v>
      </c>
      <c r="J33" s="136">
        <f t="shared" si="9"/>
        <v>22285.351999999999</v>
      </c>
      <c r="K33" s="136">
        <v>0</v>
      </c>
      <c r="L33" s="137" t="str">
        <f>VLOOKUP(A33,'APONTAMENTO CREDENCIAMENTO'!$D$6:$P$3053,5,0)</f>
        <v>CLAUDIO SIMOES RIBEIRO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6020.2023/0016286-8</v>
      </c>
      <c r="U33" s="144">
        <f t="shared" si="11"/>
        <v>22285.351999999999</v>
      </c>
      <c r="V33" s="145">
        <f t="shared" si="12"/>
        <v>22285.351999999999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2023/0016286 - DRE - SM</v>
      </c>
      <c r="AB33" s="238" t="str">
        <f t="shared" si="13"/>
        <v>CLAUDIO SIMOES RIBEIRO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3338</v>
      </c>
      <c r="B34" s="130"/>
      <c r="C34" s="131">
        <f t="shared" si="7"/>
        <v>0</v>
      </c>
      <c r="D34" s="132" t="str">
        <f>VLOOKUP(A34,'APONTAMENTO CREDENCIAMENTO'!$D$6:$P$3053,12,0)</f>
        <v>6020.2023/0020839-6</v>
      </c>
      <c r="E34" s="133"/>
      <c r="F34" s="134">
        <f>SUMIF('APONTAMENTO CREDENCIAMENTO'!$D$6:$D$3053,'ATESTE-LIQ'!A34,'APONTAMENTO CREDENCIAMENTO'!$FE$6:$FE$3053)</f>
        <v>23566.436000000002</v>
      </c>
      <c r="G34" s="328" t="str">
        <f>VLOOKUP(A34,'APONTAMENTO CREDENCIAMENTO'!$D$6:$G$3053,3,0)</f>
        <v>01/04/2026</v>
      </c>
      <c r="H34" s="328" t="str">
        <f>VLOOKUP(A34,'APONTAMENTO CREDENCIAMENTO'!$D$6:$G$3053,4,0)</f>
        <v>30/04/2026</v>
      </c>
      <c r="I34" s="135" t="str">
        <f t="shared" si="8"/>
        <v>PE - Pagto. Doc(s):  - Contrato nº 2023/0020839</v>
      </c>
      <c r="J34" s="136">
        <f t="shared" si="9"/>
        <v>23566.436000000002</v>
      </c>
      <c r="K34" s="136">
        <v>0</v>
      </c>
      <c r="L34" s="137" t="str">
        <f>VLOOKUP(A34,'APONTAMENTO CREDENCIAMENTO'!$D$6:$P$3053,5,0)</f>
        <v>WILSON VALENTIM TAVEIROS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6020.2023/0020839-6</v>
      </c>
      <c r="U34" s="144">
        <f t="shared" si="11"/>
        <v>23566.436000000002</v>
      </c>
      <c r="V34" s="145">
        <f t="shared" si="12"/>
        <v>23566.436000000002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2023/0020839 - DRE - SM</v>
      </c>
      <c r="AB34" s="238" t="str">
        <f t="shared" si="13"/>
        <v>WILSON VALENTIM TAVEIROS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3334</v>
      </c>
      <c r="B35" s="130"/>
      <c r="C35" s="131">
        <f t="shared" si="7"/>
        <v>0</v>
      </c>
      <c r="D35" s="132" t="str">
        <f>VLOOKUP(A35,'APONTAMENTO CREDENCIAMENTO'!$D$6:$P$3053,12,0)</f>
        <v>6020.2023/0022782-0</v>
      </c>
      <c r="E35" s="133"/>
      <c r="F35" s="134">
        <f>SUMIF('APONTAMENTO CREDENCIAMENTO'!$D$6:$D$3053,'ATESTE-LIQ'!A35,'APONTAMENTO CREDENCIAMENTO'!$FE$6:$FE$3053)</f>
        <v>36523.078999999998</v>
      </c>
      <c r="G35" s="328" t="str">
        <f>VLOOKUP(A35,'APONTAMENTO CREDENCIAMENTO'!$D$6:$G$3053,3,0)</f>
        <v>01/04/2026</v>
      </c>
      <c r="H35" s="328" t="str">
        <f>VLOOKUP(A35,'APONTAMENTO CREDENCIAMENTO'!$D$6:$G$3053,4,0)</f>
        <v>30/04/2026</v>
      </c>
      <c r="I35" s="135" t="str">
        <f t="shared" si="8"/>
        <v>PE - Pagto. Doc(s):  - Contrato nº 2023/0022782</v>
      </c>
      <c r="J35" s="136">
        <f t="shared" si="9"/>
        <v>36523.078999999998</v>
      </c>
      <c r="K35" s="136">
        <v>0</v>
      </c>
      <c r="L35" s="137" t="str">
        <f>VLOOKUP(A35,'APONTAMENTO CREDENCIAMENTO'!$D$6:$P$3053,5,0)</f>
        <v>WELTON RIBEIRO BARBOSA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6020.2023/0022782-0</v>
      </c>
      <c r="U35" s="144">
        <f t="shared" si="11"/>
        <v>36523.078999999998</v>
      </c>
      <c r="V35" s="145">
        <f t="shared" si="12"/>
        <v>36523.078999999998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2023/0022782 - DRE - SM</v>
      </c>
      <c r="AB35" s="238" t="str">
        <f t="shared" si="13"/>
        <v>WELTON RIBEIRO BARBOSA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3235</v>
      </c>
      <c r="B36" s="130"/>
      <c r="C36" s="131">
        <f t="shared" si="7"/>
        <v>0</v>
      </c>
      <c r="D36" s="132" t="str">
        <f>VLOOKUP(A36,'APONTAMENTO CREDENCIAMENTO'!$D$6:$P$3053,12,0)</f>
        <v>6020.2023/0024600-0</v>
      </c>
      <c r="E36" s="133"/>
      <c r="F36" s="134">
        <f>SUMIF('APONTAMENTO CREDENCIAMENTO'!$D$6:$D$3053,'ATESTE-LIQ'!A36,'APONTAMENTO CREDENCIAMENTO'!$FE$6:$FE$3053)</f>
        <v>23178.116000000002</v>
      </c>
      <c r="G36" s="328" t="str">
        <f>VLOOKUP(A36,'APONTAMENTO CREDENCIAMENTO'!$D$6:$G$3053,3,0)</f>
        <v>01/04/2026</v>
      </c>
      <c r="H36" s="328" t="str">
        <f>VLOOKUP(A36,'APONTAMENTO CREDENCIAMENTO'!$D$6:$G$3053,4,0)</f>
        <v>30/04/2026</v>
      </c>
      <c r="I36" s="135" t="str">
        <f t="shared" si="8"/>
        <v>PE - Pagto. Doc(s):  - Contrato nº 2023/0024600</v>
      </c>
      <c r="J36" s="136">
        <f t="shared" si="9"/>
        <v>23178.116000000002</v>
      </c>
      <c r="K36" s="136">
        <v>0</v>
      </c>
      <c r="L36" s="137" t="str">
        <f>VLOOKUP(A36,'APONTAMENTO CREDENCIAMENTO'!$D$6:$P$3053,5,0)</f>
        <v>EDUARDO VALENTIM TAVEIROS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6020.2023/0024600-0</v>
      </c>
      <c r="U36" s="144">
        <f t="shared" si="11"/>
        <v>23178.116000000002</v>
      </c>
      <c r="V36" s="145">
        <f t="shared" si="12"/>
        <v>23178.116000000002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2023/0024600 - DRE - SM</v>
      </c>
      <c r="AB36" s="238" t="str">
        <f t="shared" si="13"/>
        <v>EDUARDO VALENTIM TAVEIROS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3294</v>
      </c>
      <c r="B37" s="130"/>
      <c r="C37" s="131">
        <f t="shared" si="7"/>
        <v>0</v>
      </c>
      <c r="D37" s="132" t="str">
        <f>VLOOKUP(A37,'APONTAMENTO CREDENCIAMENTO'!$D$6:$P$3053,12,0)</f>
        <v>6020.2023/0026609-4</v>
      </c>
      <c r="E37" s="133"/>
      <c r="F37" s="134">
        <f>SUMIF('APONTAMENTO CREDENCIAMENTO'!$D$6:$D$3053,'ATESTE-LIQ'!A37,'APONTAMENTO CREDENCIAMENTO'!$FE$6:$FE$3053)</f>
        <v>21964.327000000005</v>
      </c>
      <c r="G37" s="328" t="str">
        <f>VLOOKUP(A37,'APONTAMENTO CREDENCIAMENTO'!$D$6:$G$3053,3,0)</f>
        <v>01/04/2026</v>
      </c>
      <c r="H37" s="328" t="str">
        <f>VLOOKUP(A37,'APONTAMENTO CREDENCIAMENTO'!$D$6:$G$3053,4,0)</f>
        <v>30/04/2026</v>
      </c>
      <c r="I37" s="135" t="str">
        <f t="shared" si="8"/>
        <v>PE - Pagto. Doc(s):  - Contrato nº 2023/0026609</v>
      </c>
      <c r="J37" s="136">
        <f t="shared" si="9"/>
        <v>21964.327000000005</v>
      </c>
      <c r="K37" s="136">
        <v>0</v>
      </c>
      <c r="L37" s="137" t="str">
        <f>VLOOKUP(A37,'APONTAMENTO CREDENCIAMENTO'!$D$6:$P$3053,5,0)</f>
        <v>MARCELO TEIXEIRA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6020.2023/0026609-4</v>
      </c>
      <c r="U37" s="144">
        <f t="shared" si="11"/>
        <v>21964.327000000005</v>
      </c>
      <c r="V37" s="145">
        <f t="shared" si="12"/>
        <v>21964.327000000005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2023/0026609 - DRE - SM</v>
      </c>
      <c r="AB37" s="238" t="str">
        <f t="shared" si="13"/>
        <v>MARCELO TEIXEIRA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3326</v>
      </c>
      <c r="B38" s="130"/>
      <c r="C38" s="131">
        <f t="shared" si="7"/>
        <v>0</v>
      </c>
      <c r="D38" s="132" t="str">
        <f>VLOOKUP(A38,'APONTAMENTO CREDENCIAMENTO'!$D$6:$P$3053,12,0)</f>
        <v>6020.2023/0028907-8</v>
      </c>
      <c r="E38" s="133"/>
      <c r="F38" s="134">
        <f>SUMIF('APONTAMENTO CREDENCIAMENTO'!$D$6:$D$3053,'ATESTE-LIQ'!A38,'APONTAMENTO CREDENCIAMENTO'!$FE$6:$FE$3053)</f>
        <v>17021.313999999998</v>
      </c>
      <c r="G38" s="328" t="str">
        <f>VLOOKUP(A38,'APONTAMENTO CREDENCIAMENTO'!$D$6:$G$3053,3,0)</f>
        <v>01/04/2026</v>
      </c>
      <c r="H38" s="328" t="str">
        <f>VLOOKUP(A38,'APONTAMENTO CREDENCIAMENTO'!$D$6:$G$3053,4,0)</f>
        <v>30/04/2026</v>
      </c>
      <c r="I38" s="135" t="str">
        <f t="shared" si="8"/>
        <v>PE - Pagto. Doc(s):  - Contrato nº 2023/0028907</v>
      </c>
      <c r="J38" s="136">
        <f t="shared" si="9"/>
        <v>17021.313999999998</v>
      </c>
      <c r="K38" s="136">
        <v>0</v>
      </c>
      <c r="L38" s="137" t="str">
        <f>VLOOKUP(A38,'APONTAMENTO CREDENCIAMENTO'!$D$6:$P$3053,5,0)</f>
        <v>SOLANGE IZABEL DE LIMA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6020.2023/0028907-8</v>
      </c>
      <c r="U38" s="144">
        <f t="shared" si="11"/>
        <v>17021.313999999998</v>
      </c>
      <c r="V38" s="145">
        <f t="shared" si="12"/>
        <v>17021.313999999998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2023/0028907 - DRE - SM</v>
      </c>
      <c r="AB38" s="238" t="str">
        <f t="shared" si="13"/>
        <v>SOLANGE IZABEL DE LIMA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3314</v>
      </c>
      <c r="B39" s="130"/>
      <c r="C39" s="131">
        <f t="shared" si="7"/>
        <v>0</v>
      </c>
      <c r="D39" s="132" t="str">
        <f>VLOOKUP(A39,'APONTAMENTO CREDENCIAMENTO'!$D$6:$P$3053,12,0)</f>
        <v>6020.2023/0028913-2</v>
      </c>
      <c r="E39" s="133"/>
      <c r="F39" s="134">
        <f>SUMIF('APONTAMENTO CREDENCIAMENTO'!$D$6:$D$3053,'ATESTE-LIQ'!A39,'APONTAMENTO CREDENCIAMENTO'!$FE$6:$FE$3053)</f>
        <v>27804.077000000005</v>
      </c>
      <c r="G39" s="328" t="str">
        <f>VLOOKUP(A39,'APONTAMENTO CREDENCIAMENTO'!$D$6:$G$3053,3,0)</f>
        <v>01/04/2026</v>
      </c>
      <c r="H39" s="328" t="str">
        <f>VLOOKUP(A39,'APONTAMENTO CREDENCIAMENTO'!$D$6:$G$3053,4,0)</f>
        <v>30/04/2026</v>
      </c>
      <c r="I39" s="135" t="str">
        <f t="shared" si="8"/>
        <v>PE - Pagto. Doc(s):  - Contrato nº 2023/0028913</v>
      </c>
      <c r="J39" s="136">
        <f t="shared" si="9"/>
        <v>27804.077000000005</v>
      </c>
      <c r="K39" s="136">
        <v>0</v>
      </c>
      <c r="L39" s="137" t="str">
        <f>VLOOKUP(A39,'APONTAMENTO CREDENCIAMENTO'!$D$6:$P$3053,5,0)</f>
        <v>RONALDO PAULO DA SILVA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6020.2023/0028913-2</v>
      </c>
      <c r="U39" s="144">
        <f t="shared" si="11"/>
        <v>27804.077000000005</v>
      </c>
      <c r="V39" s="145">
        <f t="shared" si="12"/>
        <v>27804.077000000005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2023/0028913 - DRE - SM</v>
      </c>
      <c r="AB39" s="238" t="str">
        <f t="shared" si="13"/>
        <v>RONALDO PAULO DA SILVA</v>
      </c>
      <c r="AC39" s="239"/>
      <c r="AD39" s="240"/>
      <c r="AE39" s="242"/>
      <c r="AF39" s="102"/>
    </row>
    <row r="41" spans="1:32" ht="20.25" customHeight="1" x14ac:dyDescent="0.2">
      <c r="A41" s="237"/>
      <c r="F41" s="60">
        <f>SUM(F2:F40)</f>
        <v>688354.86404000025</v>
      </c>
      <c r="J41" s="60">
        <f>SUM(J2:J40)</f>
        <v>688354.86404000025</v>
      </c>
    </row>
    <row r="42" spans="1:32" ht="20.25" customHeight="1" x14ac:dyDescent="0.2">
      <c r="A42" s="237"/>
    </row>
    <row r="43" spans="1:32" ht="20.25" customHeight="1" x14ac:dyDescent="0.2">
      <c r="A43" s="237"/>
    </row>
    <row r="44" spans="1:32" ht="20.25" customHeight="1" x14ac:dyDescent="0.2">
      <c r="A44" s="237"/>
    </row>
    <row r="45" spans="1:32" ht="20.25" customHeight="1" x14ac:dyDescent="0.2">
      <c r="A45" s="237"/>
    </row>
    <row r="46" spans="1:32" ht="20.25" customHeight="1" x14ac:dyDescent="0.2">
      <c r="A46" s="237"/>
    </row>
    <row r="47" spans="1:32" ht="20.25" customHeight="1" x14ac:dyDescent="0.2">
      <c r="A47" s="237"/>
    </row>
    <row r="48" spans="1:32" ht="20.25" customHeight="1" x14ac:dyDescent="0.2">
      <c r="A48" s="237"/>
    </row>
    <row r="49" spans="1:1" ht="20.25" customHeight="1" x14ac:dyDescent="0.2">
      <c r="A49" s="237"/>
    </row>
    <row r="50" spans="1:1" ht="20.25" customHeight="1" x14ac:dyDescent="0.2">
      <c r="A50" s="237"/>
    </row>
    <row r="51" spans="1:1" ht="20.25" customHeight="1" x14ac:dyDescent="0.2">
      <c r="A51" s="237"/>
    </row>
    <row r="52" spans="1:1" ht="20.25" customHeight="1" x14ac:dyDescent="0.2">
      <c r="A52" s="237"/>
    </row>
    <row r="53" spans="1:1" ht="20.25" customHeight="1" x14ac:dyDescent="0.2">
      <c r="A53" s="237"/>
    </row>
    <row r="54" spans="1:1" ht="20.25" customHeight="1" x14ac:dyDescent="0.2">
      <c r="A54" s="237"/>
    </row>
    <row r="55" spans="1:1" ht="20.25" customHeight="1" x14ac:dyDescent="0.2">
      <c r="A55" s="237"/>
    </row>
    <row r="56" spans="1:1" ht="20.25" customHeight="1" x14ac:dyDescent="0.2">
      <c r="A56" s="237"/>
    </row>
    <row r="57" spans="1:1" ht="20.25" customHeight="1" x14ac:dyDescent="0.2">
      <c r="A57" s="237"/>
    </row>
    <row r="58" spans="1:1" ht="20.25" customHeight="1" x14ac:dyDescent="0.2">
      <c r="A58" s="237"/>
    </row>
    <row r="59" spans="1:1" ht="20.25" customHeight="1" x14ac:dyDescent="0.2">
      <c r="A59" s="237"/>
    </row>
    <row r="60" spans="1:1" ht="20.25" customHeight="1" x14ac:dyDescent="0.2">
      <c r="A60" s="237"/>
    </row>
  </sheetData>
  <sheetProtection formatCells="0" formatColumns="0" formatRows="0" selectLockedCells="1"/>
  <sortState xmlns:xlrd2="http://schemas.microsoft.com/office/spreadsheetml/2017/richdata2" ref="B40:B72">
    <sortCondition ref="B40:B72"/>
  </sortState>
  <conditionalFormatting sqref="C1 E1:AE1">
    <cfRule type="duplicateValues" dxfId="16" priority="48"/>
  </conditionalFormatting>
  <conditionalFormatting sqref="D2:D39">
    <cfRule type="expression" dxfId="15" priority="143" stopIfTrue="1">
      <formula>AND(COUNTIF($D:$D,D2)&gt;1,NOT(ISBLANK(D2)))</formula>
    </cfRule>
  </conditionalFormatting>
  <conditionalFormatting sqref="S2:S39">
    <cfRule type="expression" dxfId="14" priority="2499" stopIfTrue="1">
      <formula>AND(COUNTIF($S$2:$S$2,S2)&gt;1,NOT(ISBLANK(S2)))</formula>
    </cfRule>
  </conditionalFormatting>
  <conditionalFormatting sqref="S41:S1048576 S2:S39">
    <cfRule type="duplicateValues" dxfId="13" priority="2503"/>
  </conditionalFormatting>
  <conditionalFormatting sqref="A1:A39">
    <cfRule type="duplicateValues" dxfId="12" priority="169752"/>
  </conditionalFormatting>
  <conditionalFormatting sqref="B2:B39">
    <cfRule type="duplicateValues" dxfId="11" priority="169753"/>
    <cfRule type="duplicateValues" dxfId="10" priority="169754"/>
    <cfRule type="duplicateValues" dxfId="9" priority="169755"/>
    <cfRule type="duplicateValues" dxfId="8" priority="169756"/>
    <cfRule type="duplicateValues" dxfId="7" priority="169757"/>
  </conditionalFormatting>
  <conditionalFormatting sqref="C2:C39">
    <cfRule type="duplicateValues" dxfId="6" priority="169758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3099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3100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3101</v>
      </c>
      <c r="D5" s="860"/>
      <c r="E5" s="860"/>
      <c r="F5" s="860"/>
      <c r="G5" s="542"/>
    </row>
    <row r="6" spans="2:8" x14ac:dyDescent="0.25">
      <c r="B6" s="541"/>
      <c r="C6" s="861" t="s">
        <v>3102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3103</v>
      </c>
      <c r="D8" s="862"/>
      <c r="E8" s="544"/>
      <c r="G8" s="542"/>
      <c r="H8" s="536" t="str">
        <f>'BASE C'!B3</f>
        <v>2023/0028913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3104</v>
      </c>
      <c r="D10" s="864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16682.446200000002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16682.446200000002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3108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3109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3111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607.20000000000005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3118</v>
      </c>
      <c r="D31" s="869"/>
      <c r="E31" s="870" t="s">
        <v>3119</v>
      </c>
      <c r="F31" s="870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3511.96</v>
      </c>
      <c r="E32" s="572" t="s">
        <v>3120</v>
      </c>
      <c r="F32" s="573">
        <f>'IR Desc. Simplificado-Maio.2025'!F30</f>
        <v>3511.9599999999996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3511.96</v>
      </c>
      <c r="E33" s="572" t="s">
        <v>3121</v>
      </c>
      <c r="F33" s="573">
        <f>F32-D18</f>
        <v>3511.9599999999996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3122</v>
      </c>
      <c r="D35" s="872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3511.96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3511.96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3124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3125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3126</v>
      </c>
      <c r="D44" s="856"/>
      <c r="E44" s="857" t="s">
        <v>3127</v>
      </c>
      <c r="F44" s="857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57" t="s">
        <v>3130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3131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3132</v>
      </c>
      <c r="F47" s="858"/>
      <c r="G47" s="597"/>
      <c r="H47" s="544"/>
    </row>
    <row r="48" spans="2:8" x14ac:dyDescent="0.25">
      <c r="B48" s="541"/>
      <c r="C48" s="849" t="s">
        <v>3133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3134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3144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3145</v>
      </c>
      <c r="C2" s="887"/>
      <c r="D2" s="887"/>
      <c r="E2" s="887"/>
      <c r="F2" s="887"/>
    </row>
    <row r="3" spans="2:9" x14ac:dyDescent="0.25">
      <c r="B3" s="888">
        <f>'Cálculo IRRF -Jan.2026'!D13</f>
        <v>16682.446200000002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3146</v>
      </c>
      <c r="C10" s="881"/>
      <c r="D10" s="881"/>
      <c r="E10" s="881"/>
      <c r="F10" s="618">
        <f>'Cálculo IRRF -Jan.2026'!D23</f>
        <v>607.20000000000005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3147</v>
      </c>
      <c r="C13" s="887"/>
      <c r="D13" s="887"/>
      <c r="E13" s="887"/>
      <c r="F13" s="887"/>
      <c r="I13" s="620"/>
    </row>
    <row r="14" spans="2:9" x14ac:dyDescent="0.25">
      <c r="B14" s="875" t="s">
        <v>3148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3149</v>
      </c>
      <c r="C15" s="875"/>
      <c r="D15" s="875"/>
      <c r="E15" s="878">
        <v>189.59</v>
      </c>
      <c r="F15" s="878"/>
      <c r="H15" s="621" t="s">
        <v>3150</v>
      </c>
      <c r="I15" s="616">
        <f>F10+I17+I18+(E14*E15)</f>
        <v>607.20000000000005</v>
      </c>
    </row>
    <row r="16" spans="2:9" x14ac:dyDescent="0.25">
      <c r="B16" s="875" t="s">
        <v>3151</v>
      </c>
      <c r="C16" s="875"/>
      <c r="D16" s="875"/>
      <c r="E16" s="879">
        <f>B3-I17-I18-F10-(E14*E15)</f>
        <v>16075.246200000001</v>
      </c>
      <c r="F16" s="880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3511.96</v>
      </c>
      <c r="I23" s="578"/>
    </row>
    <row r="24" spans="2:9" ht="16.5" thickTop="1" thickBot="1" x14ac:dyDescent="0.3">
      <c r="B24" s="881" t="s">
        <v>3159</v>
      </c>
      <c r="C24" s="881"/>
      <c r="D24" s="881"/>
      <c r="E24" s="882"/>
      <c r="F24" s="628">
        <f>SUM(F19:F23)</f>
        <v>3511.96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3160</v>
      </c>
      <c r="C26" s="883"/>
      <c r="D26" s="883"/>
      <c r="E26" s="883"/>
      <c r="F26" s="629">
        <f>IF(B3&lt;=C50,0,F24)</f>
        <v>3511.96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3161</v>
      </c>
      <c r="C28" s="885"/>
      <c r="D28" s="885"/>
      <c r="E28" s="885"/>
      <c r="F28" s="631">
        <f>IF(AND($B$3&gt;C50,$B$3&lt;=C51),F24-E39,IF($B$3&lt;=C50,F26,F24))</f>
        <v>3511.96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3162</v>
      </c>
      <c r="C30" s="886"/>
      <c r="D30" s="886"/>
      <c r="E30" s="886"/>
      <c r="F30" s="632">
        <f>MIN(F24,F26,F28)</f>
        <v>3511.96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3163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7350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3170</v>
      </c>
      <c r="C42" s="642">
        <f>F24</f>
        <v>3511.96</v>
      </c>
    </row>
    <row r="43" spans="2:6" x14ac:dyDescent="0.25">
      <c r="B43" s="641" t="s">
        <v>3171</v>
      </c>
      <c r="C43" s="643">
        <f>E39</f>
        <v>0</v>
      </c>
    </row>
    <row r="44" spans="2:6" ht="51.6" customHeight="1" x14ac:dyDescent="0.25">
      <c r="B44" s="644" t="s">
        <v>3172</v>
      </c>
      <c r="C44" s="645">
        <f>C42-C43</f>
        <v>3511.96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3145</v>
      </c>
      <c r="C2" s="887"/>
      <c r="D2" s="887"/>
      <c r="E2" s="887"/>
      <c r="F2" s="887"/>
    </row>
    <row r="3" spans="2:10" x14ac:dyDescent="0.25">
      <c r="B3" s="888">
        <f>'Cálculo IRRF -Jan.2026'!D13</f>
        <v>16682.446200000002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3146</v>
      </c>
      <c r="C10" s="881"/>
      <c r="D10" s="881"/>
      <c r="E10" s="881"/>
      <c r="F10" s="618">
        <f>'Cálculo IRRF -Jan.2026'!D23</f>
        <v>607.20000000000005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3174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3175</v>
      </c>
      <c r="C14" s="875"/>
      <c r="D14" s="875"/>
      <c r="E14" s="890">
        <f>B3</f>
        <v>16682.446200000002</v>
      </c>
      <c r="F14" s="891"/>
      <c r="I14" s="620"/>
    </row>
    <row r="15" spans="2:10" x14ac:dyDescent="0.25">
      <c r="B15" s="875" t="s">
        <v>3176</v>
      </c>
      <c r="C15" s="875"/>
      <c r="D15" s="875"/>
      <c r="E15" s="892">
        <v>607.20000000000005</v>
      </c>
      <c r="F15" s="892"/>
    </row>
    <row r="16" spans="2:10" x14ac:dyDescent="0.25">
      <c r="B16" s="875" t="s">
        <v>3151</v>
      </c>
      <c r="C16" s="875"/>
      <c r="D16" s="875"/>
      <c r="E16" s="893">
        <f>'Cálculo IRRF -Jan.2026'!D13-'Cálculo IRRF -Jan.2026'!D29</f>
        <v>16075.246200000001</v>
      </c>
      <c r="F16" s="894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3511.9599999999996</v>
      </c>
    </row>
    <row r="24" spans="2:6" x14ac:dyDescent="0.25">
      <c r="B24" s="881" t="s">
        <v>3159</v>
      </c>
      <c r="C24" s="881"/>
      <c r="D24" s="881"/>
      <c r="E24" s="881"/>
      <c r="F24" s="652">
        <f>SUM(F19:F23)</f>
        <v>3511.9599999999996</v>
      </c>
    </row>
    <row r="25" spans="2:6" ht="15.75" thickBot="1" x14ac:dyDescent="0.3"/>
    <row r="26" spans="2:6" ht="16.5" thickTop="1" thickBot="1" x14ac:dyDescent="0.3">
      <c r="B26" s="883" t="s">
        <v>3160</v>
      </c>
      <c r="C26" s="883"/>
      <c r="D26" s="883"/>
      <c r="E26" s="883"/>
      <c r="F26" s="629">
        <f>IF($B$3&lt;=$C$50,0,$F$24)</f>
        <v>3511.9599999999996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3161</v>
      </c>
      <c r="C28" s="885"/>
      <c r="D28" s="885"/>
      <c r="E28" s="885"/>
      <c r="F28" s="653">
        <f>IF(AND($B$3&gt;C50,$B$3&lt;=C51),F24-E39,IF($B$3&lt;=C50,F26,F24))</f>
        <v>3511.9599999999996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3162</v>
      </c>
      <c r="C30" s="886"/>
      <c r="D30" s="886"/>
      <c r="E30" s="886"/>
      <c r="F30" s="632">
        <f>MIN(F24,F26,F28)</f>
        <v>3511.9599999999996</v>
      </c>
    </row>
    <row r="32" spans="2:6" ht="29.1" customHeight="1" x14ac:dyDescent="0.25">
      <c r="B32" s="874" t="s">
        <v>3163</v>
      </c>
      <c r="C32" s="874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7350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16682.446200000002</v>
      </c>
      <c r="D39" s="622">
        <v>0.13314500000000001</v>
      </c>
      <c r="E39" s="655">
        <f>TRUNC($B$39-($C$39*$D$39),2)</f>
        <v>-1242.56</v>
      </c>
    </row>
    <row r="42" spans="2:6" ht="30" x14ac:dyDescent="0.25">
      <c r="B42" s="641" t="s">
        <v>3170</v>
      </c>
      <c r="C42" s="642">
        <f>$F$24</f>
        <v>3511.9599999999996</v>
      </c>
    </row>
    <row r="43" spans="2:6" ht="30" x14ac:dyDescent="0.25">
      <c r="B43" s="641" t="s">
        <v>3171</v>
      </c>
      <c r="C43" s="643">
        <f>$E$39</f>
        <v>-1242.56</v>
      </c>
    </row>
    <row r="44" spans="2:6" ht="60" x14ac:dyDescent="0.25">
      <c r="B44" s="644" t="s">
        <v>3172</v>
      </c>
      <c r="C44" s="645">
        <f>$C$42-$C$43</f>
        <v>4754.5199999999995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2026-05-13T12:57:25Z</cp:lastPrinted>
  <dcterms:created xsi:type="dcterms:W3CDTF">2019-02-08T16:49:11Z</dcterms:created>
  <dcterms:modified xsi:type="dcterms:W3CDTF">2026-05-13T12:57:36Z</dcterms:modified>
</cp:coreProperties>
</file>