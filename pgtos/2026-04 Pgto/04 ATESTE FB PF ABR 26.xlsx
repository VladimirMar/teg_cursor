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40C675B5-C94A-4C06-AAFD-3CB911909FE5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CREDENCIAMENTO'!$A$5:$IC$172</definedName>
    <definedName name="_xlnm._FilterDatabase" localSheetId="8" hidden="1">'ATESTADO C'!$A$17:$Z$17</definedName>
    <definedName name="_xlnm._FilterDatabase" localSheetId="12" hidden="1">'ATESTE-LIQ'!$A$1:$AT$36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'ATESTE-LIQ-FIS'!$A$4:$K$3878</definedName>
    <definedName name="ApagaBaseC">'BASE C'!$A$11:$N$4950</definedName>
    <definedName name="ApagaDadosA">'APONTAMENTO CREDENCIAMENTO'!$Q$6:$EL$3029</definedName>
    <definedName name="ApagaDadosC">CONTINUA!$L$6:$BU$3047</definedName>
    <definedName name="ApagarDadosDigitados">#REF!</definedName>
    <definedName name="ApagaRegistroA">'APONTAMENTO CREDENCIAMENTO'!$A$6:$K$3029</definedName>
    <definedName name="ApagaRegistroC">CONTINUA!$A$6:$K$3047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CREDENCIAMENTO'!$M$171</definedName>
    <definedName name="CopiaSomaC" localSheetId="5">[1]CONTINUA!#REF!</definedName>
    <definedName name="CopiaSomaC">CONTINUA!$BV$172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CREDENCIAMENTO'!$DY$4:$EJ$3284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4" i="13" l="1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J28" i="13" s="1"/>
  <c r="D28" i="13"/>
  <c r="T28" i="13" s="1"/>
  <c r="C28" i="13"/>
  <c r="AA27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J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U21" i="13" s="1"/>
  <c r="V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U5" i="13" s="1"/>
  <c r="V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36" i="87"/>
  <c r="G36" i="87" s="1"/>
  <c r="D35" i="87"/>
  <c r="G35" i="87" s="1"/>
  <c r="D34" i="87"/>
  <c r="G34" i="87" s="1"/>
  <c r="D33" i="87"/>
  <c r="G33" i="87" s="1"/>
  <c r="D32" i="87"/>
  <c r="G32" i="87" s="1"/>
  <c r="D31" i="87"/>
  <c r="G31" i="87" s="1"/>
  <c r="D30" i="87"/>
  <c r="G30" i="87" s="1"/>
  <c r="D29" i="87"/>
  <c r="G29" i="87" s="1"/>
  <c r="D28" i="87"/>
  <c r="G28" i="87" s="1"/>
  <c r="D27" i="87"/>
  <c r="G27" i="87" s="1"/>
  <c r="D26" i="87"/>
  <c r="G26" i="87" s="1"/>
  <c r="D25" i="87"/>
  <c r="G25" i="87" s="1"/>
  <c r="D24" i="87"/>
  <c r="G24" i="87" s="1"/>
  <c r="D23" i="87"/>
  <c r="G23" i="87" s="1"/>
  <c r="D22" i="87"/>
  <c r="G22" i="87" s="1"/>
  <c r="D21" i="87"/>
  <c r="G21" i="87" s="1"/>
  <c r="D20" i="87"/>
  <c r="G20" i="87" s="1"/>
  <c r="D19" i="87"/>
  <c r="G19" i="87" s="1"/>
  <c r="D18" i="87"/>
  <c r="G18" i="87" s="1"/>
  <c r="D17" i="87"/>
  <c r="G17" i="87" s="1"/>
  <c r="D16" i="87"/>
  <c r="G16" i="87" s="1"/>
  <c r="D15" i="87"/>
  <c r="G15" i="87" s="1"/>
  <c r="D14" i="87"/>
  <c r="G14" i="87" s="1"/>
  <c r="D13" i="87"/>
  <c r="G13" i="87" s="1"/>
  <c r="D12" i="87"/>
  <c r="G12" i="87" s="1"/>
  <c r="D11" i="87"/>
  <c r="G11" i="87" s="1"/>
  <c r="D10" i="87"/>
  <c r="G10" i="87" s="1"/>
  <c r="D9" i="87"/>
  <c r="G9" i="87" s="1"/>
  <c r="D8" i="87"/>
  <c r="G8" i="87" s="1"/>
  <c r="D7" i="87"/>
  <c r="G7" i="87" s="1"/>
  <c r="D6" i="87"/>
  <c r="G6" i="87" s="1"/>
  <c r="D5" i="87"/>
  <c r="G5" i="87" s="1"/>
  <c r="U34" i="13" l="1"/>
  <c r="V34" i="13" s="1"/>
  <c r="U33" i="13"/>
  <c r="V33" i="13" s="1"/>
  <c r="U32" i="13"/>
  <c r="V32" i="13" s="1"/>
  <c r="U31" i="13"/>
  <c r="V31" i="13" s="1"/>
  <c r="U30" i="13"/>
  <c r="V30" i="13" s="1"/>
  <c r="U29" i="13"/>
  <c r="V29" i="13" s="1"/>
  <c r="U28" i="13"/>
  <c r="V28" i="13" s="1"/>
  <c r="J27" i="13"/>
  <c r="U26" i="13"/>
  <c r="V26" i="13" s="1"/>
  <c r="U25" i="13"/>
  <c r="V25" i="13" s="1"/>
  <c r="U24" i="13"/>
  <c r="V24" i="13" s="1"/>
  <c r="U23" i="13"/>
  <c r="V23" i="13" s="1"/>
  <c r="U22" i="13"/>
  <c r="V22" i="13" s="1"/>
  <c r="J21" i="13"/>
  <c r="U20" i="13"/>
  <c r="V20" i="13" s="1"/>
  <c r="U19" i="13"/>
  <c r="V19" i="13" s="1"/>
  <c r="U18" i="13"/>
  <c r="V18" i="13" s="1"/>
  <c r="U17" i="13"/>
  <c r="V17" i="13" s="1"/>
  <c r="J16" i="13"/>
  <c r="U15" i="13"/>
  <c r="V15" i="13" s="1"/>
  <c r="U14" i="13"/>
  <c r="V14" i="13" s="1"/>
  <c r="U13" i="13"/>
  <c r="V13" i="13" s="1"/>
  <c r="J12" i="13"/>
  <c r="J11" i="13"/>
  <c r="U10" i="13"/>
  <c r="V10" i="13" s="1"/>
  <c r="U9" i="13"/>
  <c r="V9" i="13" s="1"/>
  <c r="U8" i="13"/>
  <c r="V8" i="13" s="1"/>
  <c r="J7" i="13"/>
  <c r="U6" i="13"/>
  <c r="V6" i="13" s="1"/>
  <c r="J5" i="13"/>
  <c r="U4" i="13"/>
  <c r="V4" i="13" s="1"/>
  <c r="U3" i="13"/>
  <c r="V3" i="13" s="1"/>
  <c r="J17" i="87"/>
  <c r="J10" i="87"/>
  <c r="J26" i="87"/>
  <c r="J7" i="87"/>
  <c r="J23" i="87"/>
  <c r="J29" i="87"/>
  <c r="J20" i="87"/>
  <c r="J36" i="87"/>
  <c r="E5" i="87"/>
  <c r="H5" i="87" s="1"/>
  <c r="I5" i="87"/>
  <c r="K5" i="87" s="1"/>
  <c r="E6" i="87"/>
  <c r="H6" i="87" s="1"/>
  <c r="I6" i="87"/>
  <c r="E7" i="87"/>
  <c r="H7" i="87" s="1"/>
  <c r="I7" i="87"/>
  <c r="E8" i="87"/>
  <c r="H8" i="87" s="1"/>
  <c r="I8" i="87"/>
  <c r="K8" i="87" s="1"/>
  <c r="E9" i="87"/>
  <c r="H9" i="87" s="1"/>
  <c r="I9" i="87"/>
  <c r="E10" i="87"/>
  <c r="H10" i="87" s="1"/>
  <c r="I10" i="87"/>
  <c r="E11" i="87"/>
  <c r="H11" i="87" s="1"/>
  <c r="I11" i="87"/>
  <c r="E12" i="87"/>
  <c r="H12" i="87" s="1"/>
  <c r="I12" i="87"/>
  <c r="E13" i="87"/>
  <c r="H13" i="87" s="1"/>
  <c r="I13" i="87"/>
  <c r="E14" i="87"/>
  <c r="H14" i="87" s="1"/>
  <c r="I14" i="87"/>
  <c r="E15" i="87"/>
  <c r="H15" i="87" s="1"/>
  <c r="I15" i="87"/>
  <c r="E16" i="87"/>
  <c r="H16" i="87" s="1"/>
  <c r="I16" i="87"/>
  <c r="E17" i="87"/>
  <c r="H17" i="87" s="1"/>
  <c r="I17" i="87"/>
  <c r="E18" i="87"/>
  <c r="H18" i="87" s="1"/>
  <c r="I18" i="87"/>
  <c r="K18" i="87" s="1"/>
  <c r="E19" i="87"/>
  <c r="H19" i="87" s="1"/>
  <c r="I19" i="87"/>
  <c r="E20" i="87"/>
  <c r="H20" i="87" s="1"/>
  <c r="I20" i="87"/>
  <c r="E21" i="87"/>
  <c r="H21" i="87" s="1"/>
  <c r="I21" i="87"/>
  <c r="E22" i="87"/>
  <c r="H22" i="87" s="1"/>
  <c r="I22" i="87"/>
  <c r="E23" i="87"/>
  <c r="H23" i="87" s="1"/>
  <c r="I23" i="87"/>
  <c r="E24" i="87"/>
  <c r="H24" i="87" s="1"/>
  <c r="I24" i="87"/>
  <c r="K24" i="87" s="1"/>
  <c r="E25" i="87"/>
  <c r="H25" i="87" s="1"/>
  <c r="I25" i="87"/>
  <c r="E26" i="87"/>
  <c r="H26" i="87" s="1"/>
  <c r="I26" i="87"/>
  <c r="E27" i="87"/>
  <c r="H27" i="87" s="1"/>
  <c r="I27" i="87"/>
  <c r="E28" i="87"/>
  <c r="H28" i="87" s="1"/>
  <c r="I28" i="87"/>
  <c r="E29" i="87"/>
  <c r="H29" i="87" s="1"/>
  <c r="I29" i="87"/>
  <c r="E30" i="87"/>
  <c r="H30" i="87" s="1"/>
  <c r="I30" i="87"/>
  <c r="K30" i="87" s="1"/>
  <c r="E31" i="87"/>
  <c r="H31" i="87" s="1"/>
  <c r="I31" i="87"/>
  <c r="E32" i="87"/>
  <c r="H32" i="87" s="1"/>
  <c r="I32" i="87"/>
  <c r="E33" i="87"/>
  <c r="H33" i="87" s="1"/>
  <c r="I33" i="87"/>
  <c r="E34" i="87"/>
  <c r="H34" i="87" s="1"/>
  <c r="I34" i="87"/>
  <c r="E35" i="87"/>
  <c r="H35" i="87" s="1"/>
  <c r="I35" i="87"/>
  <c r="E36" i="87"/>
  <c r="H36" i="87" s="1"/>
  <c r="I36" i="87"/>
  <c r="F5" i="87"/>
  <c r="F6" i="87"/>
  <c r="F7" i="87"/>
  <c r="F8" i="87"/>
  <c r="F9" i="87"/>
  <c r="F10" i="87"/>
  <c r="F11" i="87"/>
  <c r="F12" i="87"/>
  <c r="F13" i="87"/>
  <c r="F14" i="87"/>
  <c r="F15" i="87"/>
  <c r="F16" i="87"/>
  <c r="F17" i="87"/>
  <c r="F18" i="87"/>
  <c r="F19" i="87"/>
  <c r="F20" i="87"/>
  <c r="F21" i="87"/>
  <c r="F22" i="87"/>
  <c r="F23" i="87"/>
  <c r="F24" i="87"/>
  <c r="F25" i="87"/>
  <c r="F26" i="87"/>
  <c r="F27" i="87"/>
  <c r="F28" i="87"/>
  <c r="F29" i="87"/>
  <c r="F30" i="87"/>
  <c r="F31" i="87"/>
  <c r="F32" i="87"/>
  <c r="F33" i="87"/>
  <c r="F34" i="87"/>
  <c r="F35" i="87"/>
  <c r="F36" i="87"/>
  <c r="K10" i="87" l="1"/>
  <c r="J32" i="87"/>
  <c r="J16" i="87"/>
  <c r="J35" i="87"/>
  <c r="K36" i="87" s="1"/>
  <c r="J19" i="87"/>
  <c r="K20" i="87" s="1"/>
  <c r="J25" i="87"/>
  <c r="K26" i="87" s="1"/>
  <c r="J22" i="87"/>
  <c r="J6" i="87"/>
  <c r="J13" i="87"/>
  <c r="K14" i="87"/>
  <c r="K33" i="87"/>
  <c r="K27" i="87"/>
  <c r="K23" i="87"/>
  <c r="K21" i="87"/>
  <c r="K17" i="87"/>
  <c r="K11" i="87"/>
  <c r="K9" i="87"/>
  <c r="K7" i="87"/>
  <c r="J28" i="87"/>
  <c r="K29" i="87" s="1"/>
  <c r="J12" i="87"/>
  <c r="K13" i="87" s="1"/>
  <c r="J31" i="87"/>
  <c r="K32" i="87" s="1"/>
  <c r="J15" i="87"/>
  <c r="K16" i="87" s="1"/>
  <c r="J34" i="87"/>
  <c r="K35" i="87" s="1"/>
  <c r="J18" i="87"/>
  <c r="K19" i="87" s="1"/>
  <c r="J33" i="87"/>
  <c r="K34" i="87" s="1"/>
  <c r="J9" i="87"/>
  <c r="J24" i="87"/>
  <c r="K25" i="87" s="1"/>
  <c r="J8" i="87"/>
  <c r="J27" i="87"/>
  <c r="K28" i="87" s="1"/>
  <c r="J11" i="87"/>
  <c r="K12" i="87" s="1"/>
  <c r="J30" i="87"/>
  <c r="K31" i="87" s="1"/>
  <c r="J14" i="87"/>
  <c r="K15" i="87" s="1"/>
  <c r="J21" i="87"/>
  <c r="K22" i="87" s="1"/>
  <c r="J5" i="87"/>
  <c r="K6" i="87" s="1"/>
  <c r="BU172" i="59" l="1"/>
  <c r="BT172" i="59"/>
  <c r="BS172" i="59"/>
  <c r="BR172" i="59"/>
  <c r="BQ172" i="59"/>
  <c r="BP172" i="59"/>
  <c r="BO172" i="59"/>
  <c r="BN172" i="59"/>
  <c r="BM172" i="59"/>
  <c r="BL172" i="59"/>
  <c r="BK172" i="59"/>
  <c r="BJ172" i="59"/>
  <c r="BI172" i="59"/>
  <c r="BH172" i="59"/>
  <c r="BG172" i="59"/>
  <c r="BF172" i="59"/>
  <c r="BE172" i="59"/>
  <c r="BD172" i="59"/>
  <c r="BC172" i="59"/>
  <c r="BB172" i="59"/>
  <c r="BA172" i="59"/>
  <c r="AZ172" i="59"/>
  <c r="AY172" i="59"/>
  <c r="AX172" i="59"/>
  <c r="AW172" i="59"/>
  <c r="AV172" i="59"/>
  <c r="AU172" i="59"/>
  <c r="AT172" i="59"/>
  <c r="AS172" i="59"/>
  <c r="AR172" i="59"/>
  <c r="AQ172" i="59"/>
  <c r="AP172" i="59"/>
  <c r="AO172" i="59"/>
  <c r="AN172" i="59"/>
  <c r="AM172" i="59"/>
  <c r="AL172" i="59"/>
  <c r="AK172" i="59"/>
  <c r="AJ172" i="59"/>
  <c r="AI172" i="59"/>
  <c r="AH172" i="59"/>
  <c r="AG172" i="59"/>
  <c r="AF172" i="59"/>
  <c r="AE172" i="59"/>
  <c r="AD172" i="59"/>
  <c r="AC172" i="59"/>
  <c r="AB172" i="59"/>
  <c r="AA172" i="59"/>
  <c r="Z172" i="59"/>
  <c r="Y172" i="59"/>
  <c r="X172" i="59"/>
  <c r="W172" i="59"/>
  <c r="V172" i="59"/>
  <c r="U172" i="59"/>
  <c r="T172" i="59"/>
  <c r="S172" i="59"/>
  <c r="R172" i="59"/>
  <c r="Q172" i="59"/>
  <c r="P172" i="59"/>
  <c r="O172" i="59"/>
  <c r="N172" i="59"/>
  <c r="M172" i="59"/>
  <c r="L172" i="59"/>
  <c r="BW170" i="59"/>
  <c r="BV170" i="59"/>
  <c r="BW169" i="59"/>
  <c r="BV169" i="59"/>
  <c r="L169" i="64" s="1"/>
  <c r="BW168" i="59"/>
  <c r="BV168" i="59"/>
  <c r="BW167" i="59"/>
  <c r="BV167" i="59"/>
  <c r="L167" i="64" s="1"/>
  <c r="EY167" i="64" s="1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M159" i="64" s="1"/>
  <c r="BV159" i="59"/>
  <c r="L159" i="64" s="1"/>
  <c r="BW158" i="59"/>
  <c r="BV158" i="59"/>
  <c r="BW157" i="59"/>
  <c r="M157" i="64" s="1"/>
  <c r="BV157" i="59"/>
  <c r="L157" i="64" s="1"/>
  <c r="BW156" i="59"/>
  <c r="BV156" i="59"/>
  <c r="BW155" i="59"/>
  <c r="BV155" i="59"/>
  <c r="BW154" i="59"/>
  <c r="BV154" i="59"/>
  <c r="L154" i="64" s="1"/>
  <c r="EY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BW148" i="59"/>
  <c r="BV148" i="59"/>
  <c r="BW147" i="59"/>
  <c r="BV147" i="59"/>
  <c r="BW146" i="59"/>
  <c r="BV146" i="59"/>
  <c r="BW145" i="59"/>
  <c r="BV145" i="59"/>
  <c r="BW144" i="59"/>
  <c r="BV144" i="59"/>
  <c r="L144" i="64" s="1"/>
  <c r="EY144" i="64" s="1"/>
  <c r="BW143" i="59"/>
  <c r="BV143" i="59"/>
  <c r="BW142" i="59"/>
  <c r="BV142" i="59"/>
  <c r="L142" i="64" s="1"/>
  <c r="EY142" i="64" s="1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EY137" i="64" s="1"/>
  <c r="BW136" i="59"/>
  <c r="BV136" i="59"/>
  <c r="BW135" i="59"/>
  <c r="BV135" i="59"/>
  <c r="L135" i="64" s="1"/>
  <c r="BW134" i="59"/>
  <c r="M134" i="64" s="1"/>
  <c r="BV134" i="59"/>
  <c r="L134" i="64" s="1"/>
  <c r="BW133" i="59"/>
  <c r="BV133" i="59"/>
  <c r="BW132" i="59"/>
  <c r="M132" i="64" s="1"/>
  <c r="BV132" i="59"/>
  <c r="L132" i="64" s="1"/>
  <c r="BW131" i="59"/>
  <c r="BV131" i="59"/>
  <c r="BW130" i="59"/>
  <c r="BV130" i="59"/>
  <c r="BW129" i="59"/>
  <c r="BV129" i="59"/>
  <c r="L129" i="64" s="1"/>
  <c r="BW128" i="59"/>
  <c r="BV128" i="59"/>
  <c r="BW127" i="59"/>
  <c r="BV127" i="59"/>
  <c r="L127" i="64" s="1"/>
  <c r="EY127" i="64" s="1"/>
  <c r="BW126" i="59"/>
  <c r="BV126" i="59"/>
  <c r="BW125" i="59"/>
  <c r="BV125" i="59"/>
  <c r="BW124" i="59"/>
  <c r="M124" i="64" s="1"/>
  <c r="BV124" i="59"/>
  <c r="L124" i="64" s="1"/>
  <c r="BW123" i="59"/>
  <c r="BV123" i="59"/>
  <c r="BW122" i="59"/>
  <c r="M122" i="64" s="1"/>
  <c r="BV122" i="59"/>
  <c r="L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L114" i="64" s="1"/>
  <c r="EY114" i="64" s="1"/>
  <c r="BW113" i="59"/>
  <c r="BV113" i="59"/>
  <c r="BW112" i="59"/>
  <c r="BV112" i="59"/>
  <c r="L112" i="64" s="1"/>
  <c r="EY112" i="64" s="1"/>
  <c r="BW111" i="59"/>
  <c r="BV111" i="59"/>
  <c r="BW110" i="59"/>
  <c r="BV110" i="59"/>
  <c r="BW109" i="59"/>
  <c r="BV109" i="59"/>
  <c r="L109" i="64" s="1"/>
  <c r="EY109" i="64" s="1"/>
  <c r="BW108" i="59"/>
  <c r="BV108" i="59"/>
  <c r="BW107" i="59"/>
  <c r="BV107" i="59"/>
  <c r="L107" i="64" s="1"/>
  <c r="BW106" i="59"/>
  <c r="BV106" i="59"/>
  <c r="BW105" i="59"/>
  <c r="BV105" i="59"/>
  <c r="BW104" i="59"/>
  <c r="BV104" i="59"/>
  <c r="BW103" i="59"/>
  <c r="BV103" i="59"/>
  <c r="BW102" i="59"/>
  <c r="BV102" i="59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EY92" i="64" s="1"/>
  <c r="BW91" i="59"/>
  <c r="BV91" i="59"/>
  <c r="BW90" i="59"/>
  <c r="BV90" i="59"/>
  <c r="BW89" i="59"/>
  <c r="BV89" i="59"/>
  <c r="L89" i="64" s="1"/>
  <c r="EY89" i="64" s="1"/>
  <c r="BW88" i="59"/>
  <c r="BV88" i="59"/>
  <c r="BW87" i="59"/>
  <c r="BV87" i="59"/>
  <c r="L87" i="64" s="1"/>
  <c r="EY87" i="64" s="1"/>
  <c r="BW86" i="59"/>
  <c r="BV86" i="59"/>
  <c r="BW85" i="59"/>
  <c r="BV85" i="59"/>
  <c r="BW84" i="59"/>
  <c r="BV84" i="59"/>
  <c r="L84" i="64" s="1"/>
  <c r="EY84" i="64" s="1"/>
  <c r="BW83" i="59"/>
  <c r="BV83" i="59"/>
  <c r="BW82" i="59"/>
  <c r="BV82" i="59"/>
  <c r="L82" i="64" s="1"/>
  <c r="BW81" i="59"/>
  <c r="BV81" i="59"/>
  <c r="BW80" i="59"/>
  <c r="BV80" i="59"/>
  <c r="BW79" i="59"/>
  <c r="BV79" i="59"/>
  <c r="BW78" i="59"/>
  <c r="BV78" i="59"/>
  <c r="BW77" i="59"/>
  <c r="BV77" i="59"/>
  <c r="BW76" i="59"/>
  <c r="BV76" i="59"/>
  <c r="BW75" i="59"/>
  <c r="BV75" i="59"/>
  <c r="BW74" i="59"/>
  <c r="BV74" i="59"/>
  <c r="L74" i="64" s="1"/>
  <c r="EY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BW68" i="59"/>
  <c r="BV68" i="59"/>
  <c r="BW67" i="59"/>
  <c r="BV67" i="59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BW53" i="59"/>
  <c r="BV53" i="59"/>
  <c r="BW52" i="59"/>
  <c r="BV52" i="59"/>
  <c r="BW51" i="59"/>
  <c r="BV51" i="59"/>
  <c r="BW50" i="59"/>
  <c r="BV50" i="59"/>
  <c r="BW49" i="59"/>
  <c r="BV49" i="59"/>
  <c r="L49" i="64" s="1"/>
  <c r="EY49" i="64" s="1"/>
  <c r="BW48" i="59"/>
  <c r="BV48" i="59"/>
  <c r="BW47" i="59"/>
  <c r="BV47" i="59"/>
  <c r="L47" i="64" s="1"/>
  <c r="EY47" i="64" s="1"/>
  <c r="BW46" i="59"/>
  <c r="BV46" i="59"/>
  <c r="BW45" i="59"/>
  <c r="BV45" i="59"/>
  <c r="BW44" i="59"/>
  <c r="BV44" i="59"/>
  <c r="L44" i="64" s="1"/>
  <c r="EY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EY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L19" i="64" s="1"/>
  <c r="EY19" i="64" s="1"/>
  <c r="BW18" i="59"/>
  <c r="BV18" i="59"/>
  <c r="BW17" i="59"/>
  <c r="BV17" i="59"/>
  <c r="L17" i="64" s="1"/>
  <c r="BW16" i="59"/>
  <c r="BV16" i="59"/>
  <c r="BW15" i="59"/>
  <c r="BV15" i="59"/>
  <c r="BW14" i="59"/>
  <c r="M14" i="64" s="1"/>
  <c r="BV14" i="59"/>
  <c r="L14" i="64" s="1"/>
  <c r="BW13" i="59"/>
  <c r="BV13" i="59"/>
  <c r="BW12" i="59"/>
  <c r="M12" i="64" s="1"/>
  <c r="BV12" i="59"/>
  <c r="L12" i="64" s="1"/>
  <c r="BW11" i="59"/>
  <c r="BV11" i="59"/>
  <c r="Q172" i="64"/>
  <c r="R172" i="64" s="1"/>
  <c r="S172" i="64" s="1"/>
  <c r="T172" i="64" s="1"/>
  <c r="U172" i="64" s="1"/>
  <c r="V172" i="64" s="1"/>
  <c r="W172" i="64" s="1"/>
  <c r="X172" i="64" s="1"/>
  <c r="Y172" i="64" s="1"/>
  <c r="Z172" i="64" s="1"/>
  <c r="AA172" i="64" s="1"/>
  <c r="AB172" i="64" s="1"/>
  <c r="AC172" i="64" s="1"/>
  <c r="AD172" i="64" s="1"/>
  <c r="AE172" i="64" s="1"/>
  <c r="AF172" i="64" s="1"/>
  <c r="AG172" i="64" s="1"/>
  <c r="AH172" i="64" s="1"/>
  <c r="AI172" i="64" s="1"/>
  <c r="AJ172" i="64" s="1"/>
  <c r="AK172" i="64" s="1"/>
  <c r="AL172" i="64" s="1"/>
  <c r="AM172" i="64" s="1"/>
  <c r="AN172" i="64" s="1"/>
  <c r="AO172" i="64" s="1"/>
  <c r="AP172" i="64" s="1"/>
  <c r="AQ172" i="64" s="1"/>
  <c r="AR172" i="64" s="1"/>
  <c r="AS172" i="64" s="1"/>
  <c r="AT172" i="64" s="1"/>
  <c r="AU172" i="64" s="1"/>
  <c r="AV172" i="64" s="1"/>
  <c r="AW172" i="64" s="1"/>
  <c r="AX172" i="64" s="1"/>
  <c r="AY172" i="64" s="1"/>
  <c r="AZ172" i="64" s="1"/>
  <c r="BA172" i="64" s="1"/>
  <c r="BB172" i="64" s="1"/>
  <c r="BC172" i="64" s="1"/>
  <c r="BD172" i="64" s="1"/>
  <c r="BE172" i="64" s="1"/>
  <c r="BF172" i="64" s="1"/>
  <c r="BG172" i="64" s="1"/>
  <c r="BH172" i="64" s="1"/>
  <c r="BI172" i="64" s="1"/>
  <c r="BJ172" i="64" s="1"/>
  <c r="BK172" i="64" s="1"/>
  <c r="BL172" i="64" s="1"/>
  <c r="BM172" i="64" s="1"/>
  <c r="BN172" i="64" s="1"/>
  <c r="BO172" i="64" s="1"/>
  <c r="BP172" i="64" s="1"/>
  <c r="BQ172" i="64" s="1"/>
  <c r="BR172" i="64" s="1"/>
  <c r="BS172" i="64" s="1"/>
  <c r="BT172" i="64" s="1"/>
  <c r="BU172" i="64" s="1"/>
  <c r="BV172" i="64" s="1"/>
  <c r="BW172" i="64" s="1"/>
  <c r="BX172" i="64" s="1"/>
  <c r="BY172" i="64" s="1"/>
  <c r="BZ172" i="64" s="1"/>
  <c r="CA172" i="64" s="1"/>
  <c r="CB172" i="64" s="1"/>
  <c r="CC172" i="64" s="1"/>
  <c r="CD172" i="64" s="1"/>
  <c r="CE172" i="64" s="1"/>
  <c r="CF172" i="64" s="1"/>
  <c r="CG172" i="64" s="1"/>
  <c r="CH172" i="64" s="1"/>
  <c r="CI172" i="64" s="1"/>
  <c r="CJ172" i="64" s="1"/>
  <c r="CK172" i="64" s="1"/>
  <c r="CL172" i="64" s="1"/>
  <c r="CM172" i="64" s="1"/>
  <c r="CN172" i="64" s="1"/>
  <c r="CO172" i="64" s="1"/>
  <c r="CP172" i="64" s="1"/>
  <c r="CQ172" i="64" s="1"/>
  <c r="CR172" i="64" s="1"/>
  <c r="CS172" i="64" s="1"/>
  <c r="CT172" i="64" s="1"/>
  <c r="CU172" i="64" s="1"/>
  <c r="CV172" i="64" s="1"/>
  <c r="CW172" i="64" s="1"/>
  <c r="CX172" i="64" s="1"/>
  <c r="CY172" i="64" s="1"/>
  <c r="CZ172" i="64" s="1"/>
  <c r="DA172" i="64" s="1"/>
  <c r="DB172" i="64" s="1"/>
  <c r="DC172" i="64" s="1"/>
  <c r="DD172" i="64" s="1"/>
  <c r="DE172" i="64" s="1"/>
  <c r="DF172" i="64" s="1"/>
  <c r="DG172" i="64" s="1"/>
  <c r="DH172" i="64" s="1"/>
  <c r="DI172" i="64" s="1"/>
  <c r="DJ172" i="64" s="1"/>
  <c r="DK172" i="64" s="1"/>
  <c r="DL172" i="64" s="1"/>
  <c r="DM172" i="64" s="1"/>
  <c r="DN172" i="64" s="1"/>
  <c r="DO172" i="64" s="1"/>
  <c r="DP172" i="64" s="1"/>
  <c r="DQ172" i="64" s="1"/>
  <c r="DR172" i="64" s="1"/>
  <c r="DS172" i="64" s="1"/>
  <c r="DT172" i="64" s="1"/>
  <c r="DU172" i="64" s="1"/>
  <c r="DV172" i="64" s="1"/>
  <c r="DW172" i="64" s="1"/>
  <c r="DX172" i="64" s="1"/>
  <c r="DY172" i="64" s="1"/>
  <c r="DZ172" i="64" s="1"/>
  <c r="EA172" i="64" s="1"/>
  <c r="EB172" i="64" s="1"/>
  <c r="EC172" i="64" s="1"/>
  <c r="ED172" i="64" s="1"/>
  <c r="EE172" i="64" s="1"/>
  <c r="EF172" i="64" s="1"/>
  <c r="EG172" i="64" s="1"/>
  <c r="EH172" i="64" s="1"/>
  <c r="EI172" i="64" s="1"/>
  <c r="EJ172" i="64" s="1"/>
  <c r="EK172" i="64" s="1"/>
  <c r="EL172" i="64" s="1"/>
  <c r="EM172" i="64" s="1"/>
  <c r="EN172" i="64" s="1"/>
  <c r="EO172" i="64" s="1"/>
  <c r="EP172" i="64" s="1"/>
  <c r="EQ172" i="64" s="1"/>
  <c r="M170" i="64"/>
  <c r="L170" i="64"/>
  <c r="M169" i="64"/>
  <c r="M168" i="64"/>
  <c r="L168" i="64"/>
  <c r="M167" i="64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Y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4" i="64"/>
  <c r="L164" i="64"/>
  <c r="EY164" i="64" s="1"/>
  <c r="M163" i="64"/>
  <c r="L163" i="64"/>
  <c r="M162" i="64"/>
  <c r="L162" i="64"/>
  <c r="EY162" i="64" s="1"/>
  <c r="M161" i="64"/>
  <c r="L161" i="64"/>
  <c r="EY161" i="64" s="1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V165" i="64" s="1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/>
  <c r="FC163" i="64"/>
  <c r="FA163" i="64"/>
  <c r="EZ163" i="64"/>
  <c r="EY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FD161" i="64"/>
  <c r="FC161" i="64"/>
  <c r="EX161" i="64"/>
  <c r="EW161" i="64"/>
  <c r="EU161" i="64"/>
  <c r="ET161" i="64"/>
  <c r="ES161" i="64"/>
  <c r="ER161" i="64"/>
  <c r="EQ161" i="64"/>
  <c r="EP161" i="64"/>
  <c r="M160" i="64"/>
  <c r="L160" i="64"/>
  <c r="M158" i="64"/>
  <c r="L158" i="64"/>
  <c r="M156" i="64"/>
  <c r="L156" i="64"/>
  <c r="EY156" i="64" s="1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V160" i="64" s="1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FD156" i="64"/>
  <c r="FC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EY153" i="64" s="1"/>
  <c r="M152" i="64"/>
  <c r="M151" i="64"/>
  <c r="L151" i="64"/>
  <c r="EY151" i="64" s="1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F151" i="64"/>
  <c r="FD151" i="64"/>
  <c r="FC151" i="64"/>
  <c r="EX151" i="64"/>
  <c r="EW151" i="64"/>
  <c r="EU151" i="64"/>
  <c r="ET151" i="64"/>
  <c r="ES151" i="64"/>
  <c r="ER151" i="64"/>
  <c r="EQ151" i="64"/>
  <c r="EP151" i="64"/>
  <c r="M150" i="64"/>
  <c r="L150" i="64"/>
  <c r="M149" i="64"/>
  <c r="L149" i="64"/>
  <c r="EY149" i="64" s="1"/>
  <c r="M148" i="64"/>
  <c r="L148" i="64"/>
  <c r="M147" i="64"/>
  <c r="L147" i="64"/>
  <c r="EY147" i="64" s="1"/>
  <c r="M146" i="64"/>
  <c r="L146" i="64"/>
  <c r="EY146" i="64" s="1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V150" i="64" s="1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/>
  <c r="FC148" i="64"/>
  <c r="FA148" i="64"/>
  <c r="EZ148" i="64"/>
  <c r="EY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M142" i="64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V145" i="64" s="1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FD141" i="64" s="1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C141" i="64"/>
  <c r="EX141" i="64"/>
  <c r="EW141" i="64"/>
  <c r="EU141" i="64"/>
  <c r="ET141" i="64"/>
  <c r="ES141" i="64"/>
  <c r="ER141" i="64"/>
  <c r="EQ141" i="64"/>
  <c r="EP141" i="64"/>
  <c r="EV141" i="64" s="1"/>
  <c r="M140" i="64"/>
  <c r="L140" i="64"/>
  <c r="M139" i="64"/>
  <c r="M138" i="64"/>
  <c r="L138" i="64"/>
  <c r="EY138" i="64" s="1"/>
  <c r="M137" i="64"/>
  <c r="M136" i="64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V140" i="64" s="1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A136" i="64" s="1"/>
  <c r="FF136" i="64"/>
  <c r="FD136" i="64"/>
  <c r="FC136" i="64"/>
  <c r="EX136" i="64"/>
  <c r="EW136" i="64"/>
  <c r="EU136" i="64"/>
  <c r="ET136" i="64"/>
  <c r="ES136" i="64"/>
  <c r="ER136" i="64"/>
  <c r="EQ136" i="64"/>
  <c r="EP136" i="64"/>
  <c r="EV136" i="64" s="1"/>
  <c r="M135" i="64"/>
  <c r="M133" i="64"/>
  <c r="L133" i="64"/>
  <c r="M131" i="64"/>
  <c r="L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V135" i="64" s="1"/>
  <c r="EP135" i="64"/>
  <c r="IA134" i="64"/>
  <c r="HZ134" i="64"/>
  <c r="HY134" i="64"/>
  <c r="GL134" i="64"/>
  <c r="FD134" i="64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A131" i="64" s="1"/>
  <c r="FF131" i="64"/>
  <c r="FD131" i="64"/>
  <c r="FC131" i="64"/>
  <c r="EX131" i="64"/>
  <c r="EW131" i="64"/>
  <c r="EU131" i="64"/>
  <c r="ET131" i="64"/>
  <c r="ES131" i="64"/>
  <c r="ER131" i="64"/>
  <c r="EQ131" i="64"/>
  <c r="EP131" i="64"/>
  <c r="EV131" i="64" s="1"/>
  <c r="M130" i="64"/>
  <c r="L130" i="64"/>
  <c r="M129" i="64"/>
  <c r="M128" i="64"/>
  <c r="L128" i="64"/>
  <c r="M127" i="64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Y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A126" i="64" s="1"/>
  <c r="FF126" i="64"/>
  <c r="FD126" i="64"/>
  <c r="FC126" i="64"/>
  <c r="EX126" i="64"/>
  <c r="EW126" i="64"/>
  <c r="EU126" i="64"/>
  <c r="ET126" i="64"/>
  <c r="ES126" i="64"/>
  <c r="ER126" i="64"/>
  <c r="EQ126" i="64"/>
  <c r="EP126" i="64"/>
  <c r="EV126" i="64" s="1"/>
  <c r="M125" i="64"/>
  <c r="L125" i="64"/>
  <c r="M123" i="64"/>
  <c r="L123" i="64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A121" i="64" s="1"/>
  <c r="FF121" i="64"/>
  <c r="FD121" i="64"/>
  <c r="FC121" i="64"/>
  <c r="EX121" i="64"/>
  <c r="EW121" i="64"/>
  <c r="EU121" i="64"/>
  <c r="ET121" i="64"/>
  <c r="ES121" i="64"/>
  <c r="ER121" i="64"/>
  <c r="EQ121" i="64"/>
  <c r="EP121" i="64"/>
  <c r="EV121" i="64" s="1"/>
  <c r="M120" i="64"/>
  <c r="L120" i="64"/>
  <c r="M119" i="64"/>
  <c r="M118" i="64"/>
  <c r="L118" i="64"/>
  <c r="M117" i="64"/>
  <c r="M116" i="64"/>
  <c r="EY116" i="64" s="1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Y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FD116" i="64" s="1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C116" i="64"/>
  <c r="EX116" i="64"/>
  <c r="EW116" i="64"/>
  <c r="EU116" i="64"/>
  <c r="ET116" i="64"/>
  <c r="ES116" i="64"/>
  <c r="ER116" i="64"/>
  <c r="EQ116" i="64"/>
  <c r="EP116" i="64"/>
  <c r="EV116" i="64" s="1"/>
  <c r="M115" i="64"/>
  <c r="L115" i="64"/>
  <c r="M114" i="64"/>
  <c r="M113" i="64"/>
  <c r="L113" i="64"/>
  <c r="M112" i="64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V115" i="64" s="1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FD111" i="64"/>
  <c r="FC111" i="64"/>
  <c r="EY111" i="64"/>
  <c r="EX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EY108" i="64" s="1"/>
  <c r="M107" i="64"/>
  <c r="M106" i="64"/>
  <c r="L106" i="64"/>
  <c r="EY106" i="64" s="1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V110" i="64" s="1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FD106" i="64" s="1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L104" i="64"/>
  <c r="EY104" i="64" s="1"/>
  <c r="M103" i="64"/>
  <c r="L103" i="64"/>
  <c r="M102" i="64"/>
  <c r="L102" i="64"/>
  <c r="EY102" i="64" s="1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V105" i="64" s="1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Y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EX101" i="64" s="1"/>
  <c r="FD101" i="64"/>
  <c r="FC101" i="64"/>
  <c r="EY101" i="64"/>
  <c r="EW101" i="64"/>
  <c r="EU101" i="64"/>
  <c r="ET101" i="64"/>
  <c r="ES101" i="64"/>
  <c r="ER101" i="64"/>
  <c r="EQ101" i="64"/>
  <c r="EP101" i="64"/>
  <c r="M100" i="64"/>
  <c r="L100" i="64"/>
  <c r="M99" i="64"/>
  <c r="L99" i="64"/>
  <c r="EY99" i="64" s="1"/>
  <c r="M98" i="64"/>
  <c r="L98" i="64"/>
  <c r="M97" i="64"/>
  <c r="L97" i="64"/>
  <c r="EY97" i="64" s="1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V100" i="64" s="1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Y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A96" i="64" s="1"/>
  <c r="FF96" i="64"/>
  <c r="FD96" i="64"/>
  <c r="FC96" i="64"/>
  <c r="EY96" i="64"/>
  <c r="EX96" i="64"/>
  <c r="EW96" i="64"/>
  <c r="EU96" i="64"/>
  <c r="ET96" i="64"/>
  <c r="ES96" i="64"/>
  <c r="ER96" i="64"/>
  <c r="EQ96" i="64"/>
  <c r="EP96" i="64"/>
  <c r="EV96" i="64" s="1"/>
  <c r="M95" i="64"/>
  <c r="L95" i="64"/>
  <c r="M94" i="64"/>
  <c r="M93" i="64"/>
  <c r="L93" i="64"/>
  <c r="M92" i="64"/>
  <c r="M91" i="64"/>
  <c r="EY91" i="64" s="1"/>
  <c r="L91" i="64"/>
  <c r="IA95" i="64"/>
  <c r="HZ95" i="64"/>
  <c r="HY95" i="64"/>
  <c r="GL95" i="64"/>
  <c r="FD95" i="64" s="1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C95" i="64"/>
  <c r="EU95" i="64"/>
  <c r="ET95" i="64"/>
  <c r="ES95" i="64"/>
  <c r="ER95" i="64"/>
  <c r="EQ95" i="64"/>
  <c r="EV95" i="64" s="1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/>
  <c r="FC93" i="64"/>
  <c r="FA93" i="64"/>
  <c r="EZ93" i="64"/>
  <c r="EY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EY86" i="64" s="1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V90" i="64" s="1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EY83" i="64" s="1"/>
  <c r="M82" i="64"/>
  <c r="M81" i="64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L79" i="64"/>
  <c r="EY79" i="64" s="1"/>
  <c r="M78" i="64"/>
  <c r="L78" i="64"/>
  <c r="M77" i="64"/>
  <c r="L77" i="64"/>
  <c r="EY77" i="64" s="1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Y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Y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EY73" i="64" s="1"/>
  <c r="M72" i="64"/>
  <c r="M71" i="64"/>
  <c r="L71" i="64"/>
  <c r="EY71" i="64" s="1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L69" i="64"/>
  <c r="EY69" i="64" s="1"/>
  <c r="M68" i="64"/>
  <c r="L68" i="64"/>
  <c r="EY68" i="64" s="1"/>
  <c r="M67" i="64"/>
  <c r="L67" i="64"/>
  <c r="EY67" i="64" s="1"/>
  <c r="M66" i="64"/>
  <c r="L66" i="64"/>
  <c r="EY66" i="64" s="1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A66" i="64" s="1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EY63" i="64" s="1"/>
  <c r="M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A61" i="64" s="1"/>
  <c r="FF61" i="64"/>
  <c r="FD61" i="64"/>
  <c r="FC61" i="64"/>
  <c r="EX61" i="64"/>
  <c r="EW61" i="64"/>
  <c r="EU61" i="64"/>
  <c r="ET61" i="64"/>
  <c r="ES61" i="64"/>
  <c r="ER61" i="64"/>
  <c r="EQ61" i="64"/>
  <c r="EP61" i="64"/>
  <c r="EV61" i="64" s="1"/>
  <c r="M60" i="64"/>
  <c r="L60" i="64"/>
  <c r="M59" i="64"/>
  <c r="L59" i="64"/>
  <c r="EY59" i="64" s="1"/>
  <c r="M58" i="64"/>
  <c r="L58" i="64"/>
  <c r="EY58" i="64" s="1"/>
  <c r="M57" i="64"/>
  <c r="L57" i="64"/>
  <c r="EY57" i="64" s="1"/>
  <c r="M56" i="64"/>
  <c r="L56" i="64"/>
  <c r="EY56" i="64" s="1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FD56" i="64" s="1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EX56" i="64" s="1"/>
  <c r="FC56" i="64"/>
  <c r="EW56" i="64"/>
  <c r="EU56" i="64"/>
  <c r="ET56" i="64"/>
  <c r="ES56" i="64"/>
  <c r="ER56" i="64"/>
  <c r="EQ56" i="64"/>
  <c r="EP56" i="64"/>
  <c r="M55" i="64"/>
  <c r="L55" i="64"/>
  <c r="M54" i="64"/>
  <c r="L54" i="64"/>
  <c r="EY54" i="64" s="1"/>
  <c r="M53" i="64"/>
  <c r="L53" i="64"/>
  <c r="M52" i="64"/>
  <c r="L52" i="64"/>
  <c r="EY52" i="64" s="1"/>
  <c r="M51" i="64"/>
  <c r="L51" i="64"/>
  <c r="EY51" i="64" s="1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V55" i="64" s="1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/>
  <c r="FC53" i="64"/>
  <c r="FA53" i="64"/>
  <c r="EZ53" i="64"/>
  <c r="EY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M47" i="64"/>
  <c r="M46" i="64"/>
  <c r="L46" i="64"/>
  <c r="EY46" i="64" s="1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V50" i="64" s="1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EY43" i="64" s="1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L39" i="64"/>
  <c r="EY39" i="64" s="1"/>
  <c r="M38" i="64"/>
  <c r="L38" i="64"/>
  <c r="EY38" i="64" s="1"/>
  <c r="M37" i="64"/>
  <c r="L37" i="64"/>
  <c r="EY37" i="64" s="1"/>
  <c r="M36" i="64"/>
  <c r="L36" i="64"/>
  <c r="EY36" i="64" s="1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EY33" i="64" s="1"/>
  <c r="M32" i="64"/>
  <c r="M31" i="64"/>
  <c r="L31" i="64"/>
  <c r="EY31" i="64" s="1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A31" i="64" s="1"/>
  <c r="FF31" i="64"/>
  <c r="FD31" i="64"/>
  <c r="FC31" i="64"/>
  <c r="EX31" i="64"/>
  <c r="EW31" i="64"/>
  <c r="EU31" i="64"/>
  <c r="ET31" i="64"/>
  <c r="ES31" i="64"/>
  <c r="ER31" i="64"/>
  <c r="EQ31" i="64"/>
  <c r="EP31" i="64"/>
  <c r="EV31" i="64" s="1"/>
  <c r="M30" i="64"/>
  <c r="L30" i="64"/>
  <c r="M29" i="64"/>
  <c r="L29" i="64"/>
  <c r="EY29" i="64" s="1"/>
  <c r="M28" i="64"/>
  <c r="L28" i="64"/>
  <c r="M27" i="64"/>
  <c r="L27" i="64"/>
  <c r="EY27" i="64" s="1"/>
  <c r="M26" i="64"/>
  <c r="EY26" i="64" s="1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FD26" i="64" s="1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M22" i="64"/>
  <c r="L22" i="64"/>
  <c r="EY22" i="64" s="1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FD21" i="64" s="1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C21" i="64"/>
  <c r="EY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EY18" i="64" s="1"/>
  <c r="M17" i="64"/>
  <c r="M16" i="64"/>
  <c r="L16" i="64"/>
  <c r="EY16" i="64" s="1"/>
  <c r="IA20" i="64"/>
  <c r="HZ20" i="64"/>
  <c r="HY20" i="64"/>
  <c r="GL20" i="64"/>
  <c r="FD20" i="64" s="1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V19" i="64" s="1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V18" i="64" s="1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A16" i="64" s="1"/>
  <c r="FF16" i="64"/>
  <c r="FC16" i="64"/>
  <c r="EX16" i="64"/>
  <c r="EW16" i="64"/>
  <c r="EU16" i="64"/>
  <c r="ET16" i="64"/>
  <c r="ES16" i="64"/>
  <c r="ER16" i="64"/>
  <c r="EQ16" i="64"/>
  <c r="EP16" i="64"/>
  <c r="M15" i="64"/>
  <c r="L15" i="64"/>
  <c r="M13" i="64"/>
  <c r="L13" i="64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V13" i="64" s="1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A11" i="64" s="1"/>
  <c r="FG11" i="64"/>
  <c r="FF11" i="64"/>
  <c r="EX11" i="64" s="1"/>
  <c r="FD11" i="64"/>
  <c r="FC11" i="64"/>
  <c r="EW11" i="64"/>
  <c r="EU11" i="64"/>
  <c r="ET11" i="64"/>
  <c r="ES11" i="64"/>
  <c r="ER11" i="64"/>
  <c r="EQ11" i="64"/>
  <c r="EP11" i="64"/>
  <c r="EY166" i="64" l="1"/>
  <c r="EY169" i="64"/>
  <c r="EY159" i="64"/>
  <c r="EY157" i="64"/>
  <c r="EY158" i="64"/>
  <c r="EY152" i="64"/>
  <c r="EY143" i="64"/>
  <c r="EY141" i="64"/>
  <c r="EY139" i="64"/>
  <c r="EY136" i="64"/>
  <c r="EY132" i="64"/>
  <c r="EY134" i="64"/>
  <c r="EY133" i="64"/>
  <c r="EY131" i="64"/>
  <c r="EY129" i="64"/>
  <c r="EY126" i="64"/>
  <c r="EY121" i="64"/>
  <c r="EY122" i="64"/>
  <c r="EY124" i="64"/>
  <c r="EY123" i="64"/>
  <c r="EY119" i="64"/>
  <c r="EY117" i="64"/>
  <c r="EY113" i="64"/>
  <c r="EY107" i="64"/>
  <c r="EY94" i="64"/>
  <c r="EY88" i="64"/>
  <c r="EY82" i="64"/>
  <c r="EY81" i="64"/>
  <c r="EY72" i="64"/>
  <c r="EY62" i="64"/>
  <c r="EY64" i="64"/>
  <c r="EY61" i="64"/>
  <c r="EY48" i="64"/>
  <c r="EY42" i="64"/>
  <c r="EY41" i="64"/>
  <c r="EY32" i="64"/>
  <c r="EY17" i="64"/>
  <c r="EY12" i="64"/>
  <c r="EY14" i="64"/>
  <c r="EY13" i="64"/>
  <c r="EY11" i="64"/>
  <c r="EV167" i="64"/>
  <c r="FB170" i="64"/>
  <c r="EV168" i="64"/>
  <c r="EV166" i="64"/>
  <c r="FA166" i="64"/>
  <c r="EV169" i="64"/>
  <c r="EV170" i="64"/>
  <c r="EZ166" i="64"/>
  <c r="FE166" i="64" s="1"/>
  <c r="IB166" i="64" s="1"/>
  <c r="EV163" i="64"/>
  <c r="EV162" i="64"/>
  <c r="EV161" i="64"/>
  <c r="FA161" i="64"/>
  <c r="EV164" i="64"/>
  <c r="FB165" i="64"/>
  <c r="EZ161" i="64"/>
  <c r="EV158" i="64"/>
  <c r="EV157" i="64"/>
  <c r="EV156" i="64"/>
  <c r="FA156" i="64"/>
  <c r="EV159" i="64"/>
  <c r="FB160" i="64"/>
  <c r="EZ156" i="64"/>
  <c r="EV153" i="64"/>
  <c r="EV152" i="64"/>
  <c r="FB155" i="64"/>
  <c r="EV151" i="64"/>
  <c r="FA151" i="64"/>
  <c r="EV154" i="64"/>
  <c r="EV155" i="64"/>
  <c r="EZ151" i="64"/>
  <c r="FE151" i="64" s="1"/>
  <c r="IB151" i="64" s="1"/>
  <c r="EV148" i="64"/>
  <c r="EV147" i="64"/>
  <c r="EV146" i="64"/>
  <c r="FA146" i="64"/>
  <c r="EV149" i="64"/>
  <c r="FB150" i="64"/>
  <c r="EZ146" i="64"/>
  <c r="EV142" i="64"/>
  <c r="EV143" i="64"/>
  <c r="FA141" i="64"/>
  <c r="EV144" i="64"/>
  <c r="FB145" i="64"/>
  <c r="EZ141" i="64"/>
  <c r="EV138" i="64"/>
  <c r="EV137" i="64"/>
  <c r="EV139" i="64"/>
  <c r="FB140" i="64"/>
  <c r="EZ136" i="64"/>
  <c r="EV133" i="64"/>
  <c r="EV134" i="64"/>
  <c r="EV132" i="64"/>
  <c r="FB135" i="64"/>
  <c r="EZ131" i="64"/>
  <c r="EV128" i="64"/>
  <c r="FB130" i="64"/>
  <c r="EV127" i="64"/>
  <c r="EV129" i="64"/>
  <c r="EV130" i="64"/>
  <c r="EZ126" i="64"/>
  <c r="FE126" i="64" s="1"/>
  <c r="IB126" i="64" s="1"/>
  <c r="EV123" i="64"/>
  <c r="FB125" i="64"/>
  <c r="EV122" i="64"/>
  <c r="EV124" i="64"/>
  <c r="EV125" i="64"/>
  <c r="EZ121" i="64"/>
  <c r="EV118" i="64"/>
  <c r="EV117" i="64"/>
  <c r="FB120" i="64"/>
  <c r="FA116" i="64"/>
  <c r="EV119" i="64"/>
  <c r="EV120" i="64"/>
  <c r="EZ116" i="64"/>
  <c r="EV113" i="64"/>
  <c r="EV112" i="64"/>
  <c r="EV111" i="64"/>
  <c r="FA111" i="64"/>
  <c r="EV114" i="64"/>
  <c r="FB115" i="64"/>
  <c r="EZ111" i="64"/>
  <c r="EV108" i="64"/>
  <c r="EV106" i="64"/>
  <c r="EV107" i="64"/>
  <c r="FA106" i="64"/>
  <c r="EV109" i="64"/>
  <c r="FB110" i="64"/>
  <c r="EZ106" i="64"/>
  <c r="EV102" i="64"/>
  <c r="EV101" i="64"/>
  <c r="EV103" i="64"/>
  <c r="FA101" i="64"/>
  <c r="EV104" i="64"/>
  <c r="FB105" i="64"/>
  <c r="EZ101" i="64"/>
  <c r="EV99" i="64"/>
  <c r="EV98" i="64"/>
  <c r="EV97" i="64"/>
  <c r="FB100" i="64"/>
  <c r="EZ96" i="64"/>
  <c r="EV93" i="64"/>
  <c r="EV92" i="64"/>
  <c r="EV91" i="64"/>
  <c r="FA91" i="64"/>
  <c r="EV94" i="64"/>
  <c r="FB95" i="64"/>
  <c r="EZ91" i="64"/>
  <c r="EV88" i="64"/>
  <c r="EV87" i="64"/>
  <c r="EV86" i="64"/>
  <c r="FA86" i="64"/>
  <c r="EV89" i="64"/>
  <c r="FB90" i="64"/>
  <c r="EZ86" i="64"/>
  <c r="EV83" i="64"/>
  <c r="EV82" i="64"/>
  <c r="FB85" i="64"/>
  <c r="EV81" i="64"/>
  <c r="FA81" i="64"/>
  <c r="EV84" i="64"/>
  <c r="EV85" i="64"/>
  <c r="EZ81" i="64"/>
  <c r="FE81" i="64" s="1"/>
  <c r="IB81" i="64" s="1"/>
  <c r="EV78" i="64"/>
  <c r="EV77" i="64"/>
  <c r="FB80" i="64"/>
  <c r="EV76" i="64"/>
  <c r="FA76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8" i="64"/>
  <c r="EV66" i="64"/>
  <c r="FB70" i="64"/>
  <c r="EV67" i="64"/>
  <c r="EV69" i="64"/>
  <c r="EV70" i="64"/>
  <c r="EZ66" i="64"/>
  <c r="FE66" i="64" s="1"/>
  <c r="IB66" i="64" s="1"/>
  <c r="EV63" i="64"/>
  <c r="FB65" i="64"/>
  <c r="EV62" i="64"/>
  <c r="EV64" i="64"/>
  <c r="EV65" i="64"/>
  <c r="EZ61" i="64"/>
  <c r="FE61" i="64" s="1"/>
  <c r="IB61" i="64" s="1"/>
  <c r="EV58" i="64"/>
  <c r="EV56" i="64"/>
  <c r="EV57" i="64"/>
  <c r="FB60" i="64"/>
  <c r="FA56" i="64"/>
  <c r="EV59" i="64"/>
  <c r="EV60" i="64"/>
  <c r="EZ56" i="64"/>
  <c r="FE56" i="64" s="1"/>
  <c r="IB56" i="64" s="1"/>
  <c r="EV53" i="64"/>
  <c r="EV52" i="64"/>
  <c r="EV51" i="64"/>
  <c r="FA51" i="64"/>
  <c r="EV54" i="64"/>
  <c r="FB55" i="64"/>
  <c r="EZ51" i="64"/>
  <c r="EV48" i="64"/>
  <c r="EV47" i="64"/>
  <c r="EV46" i="64"/>
  <c r="FA46" i="64"/>
  <c r="EV49" i="64"/>
  <c r="FB50" i="64"/>
  <c r="EZ46" i="64"/>
  <c r="EV43" i="64"/>
  <c r="EV42" i="64"/>
  <c r="FB45" i="64"/>
  <c r="EV41" i="64"/>
  <c r="FA41" i="64"/>
  <c r="EV44" i="64"/>
  <c r="EV45" i="64"/>
  <c r="EZ41" i="64"/>
  <c r="FE41" i="64" s="1"/>
  <c r="IB41" i="64" s="1"/>
  <c r="EV38" i="64"/>
  <c r="EV37" i="64"/>
  <c r="FB40" i="64"/>
  <c r="EV36" i="64"/>
  <c r="FA36" i="64"/>
  <c r="EV39" i="64"/>
  <c r="EV40" i="64"/>
  <c r="EZ36" i="64"/>
  <c r="FE36" i="64" s="1"/>
  <c r="IB36" i="64" s="1"/>
  <c r="EV33" i="64"/>
  <c r="FB35" i="64"/>
  <c r="EV32" i="64"/>
  <c r="EV34" i="64"/>
  <c r="EV35" i="64"/>
  <c r="EZ31" i="64"/>
  <c r="FE31" i="64" s="1"/>
  <c r="IB31" i="64" s="1"/>
  <c r="EV26" i="64"/>
  <c r="EV28" i="64"/>
  <c r="EV27" i="64"/>
  <c r="FB30" i="64"/>
  <c r="FA26" i="64"/>
  <c r="EV29" i="64"/>
  <c r="EV30" i="64"/>
  <c r="EZ26" i="64"/>
  <c r="FE26" i="64" s="1"/>
  <c r="IB26" i="64" s="1"/>
  <c r="EV22" i="64"/>
  <c r="EV23" i="64"/>
  <c r="EV24" i="64"/>
  <c r="FB25" i="64"/>
  <c r="EV21" i="64"/>
  <c r="FA21" i="64"/>
  <c r="EV25" i="64"/>
  <c r="EZ21" i="64"/>
  <c r="FE21" i="64" s="1"/>
  <c r="IB21" i="64" s="1"/>
  <c r="EV16" i="64"/>
  <c r="FB20" i="64"/>
  <c r="EV20" i="64"/>
  <c r="EV17" i="64"/>
  <c r="EZ16" i="64"/>
  <c r="FE16" i="64" s="1"/>
  <c r="IB16" i="64" s="1"/>
  <c r="FB15" i="64"/>
  <c r="EZ11" i="64"/>
  <c r="FE11" i="64" s="1"/>
  <c r="IB11" i="64" s="1"/>
  <c r="EV12" i="64"/>
  <c r="EV14" i="64"/>
  <c r="EV11" i="64"/>
  <c r="EV15" i="64"/>
  <c r="FE121" i="64" l="1"/>
  <c r="IB121" i="64" s="1"/>
  <c r="FE161" i="64"/>
  <c r="IB161" i="64" s="1"/>
  <c r="FE156" i="64"/>
  <c r="IB156" i="64" s="1"/>
  <c r="FE146" i="64"/>
  <c r="IB146" i="64" s="1"/>
  <c r="FE141" i="64"/>
  <c r="IB141" i="64" s="1"/>
  <c r="FE136" i="64"/>
  <c r="IB136" i="64" s="1"/>
  <c r="FE131" i="64"/>
  <c r="IB131" i="64" s="1"/>
  <c r="FE116" i="64"/>
  <c r="IB116" i="64" s="1"/>
  <c r="FE111" i="64"/>
  <c r="IB111" i="64" s="1"/>
  <c r="FE106" i="64"/>
  <c r="IB106" i="64" s="1"/>
  <c r="FE101" i="64"/>
  <c r="IB101" i="64" s="1"/>
  <c r="FE96" i="64"/>
  <c r="IB96" i="64" s="1"/>
  <c r="FE91" i="64"/>
  <c r="IB91" i="64" s="1"/>
  <c r="FE86" i="64"/>
  <c r="IB86" i="64" s="1"/>
  <c r="FE51" i="64"/>
  <c r="IB51" i="64" s="1"/>
  <c r="FE46" i="64"/>
  <c r="IB46" i="64" s="1"/>
  <c r="GN6" i="64"/>
  <c r="H8" i="89"/>
  <c r="I18" i="90"/>
  <c r="I17" i="90"/>
  <c r="E14" i="90"/>
  <c r="D25" i="89"/>
  <c r="D11" i="89" l="1"/>
  <c r="D13" i="89" s="1"/>
  <c r="E16" i="91" s="1"/>
  <c r="D23" i="89"/>
  <c r="F10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 s="1"/>
  <c r="D32" i="89" s="1"/>
  <c r="D37" i="89" s="1"/>
  <c r="C42" i="90"/>
  <c r="C44" i="90" s="1"/>
  <c r="D36" i="89" l="1"/>
  <c r="C36" i="89"/>
  <c r="D33" i="89"/>
  <c r="I34" i="86" s="1"/>
  <c r="EN3" i="64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72" i="64"/>
  <c r="M172" i="64" s="1"/>
  <c r="N172" i="64" s="1"/>
  <c r="O172" i="64" s="1"/>
  <c r="P172" i="64" s="1"/>
  <c r="I26" i="86" l="1"/>
  <c r="I28" i="86"/>
  <c r="I27" i="86"/>
  <c r="B37" i="86"/>
  <c r="B39" i="86"/>
  <c r="D11" i="86"/>
  <c r="ER172" i="64"/>
  <c r="ES172" i="64" s="1"/>
  <c r="ET172" i="64" s="1"/>
  <c r="EU172" i="64" s="1"/>
  <c r="EV172" i="64" s="1"/>
  <c r="EW172" i="64" s="1"/>
  <c r="EX172" i="64" s="1"/>
  <c r="EY172" i="64" s="1"/>
  <c r="EZ172" i="64" s="1"/>
  <c r="FA172" i="64" s="1"/>
  <c r="FB172" i="64" s="1"/>
  <c r="FC172" i="64" s="1"/>
  <c r="FD172" i="64" s="1"/>
  <c r="FE172" i="64" s="1"/>
  <c r="FF172" i="64" s="1"/>
  <c r="FG172" i="64" s="1"/>
  <c r="FH172" i="64" s="1"/>
  <c r="FI172" i="64" s="1"/>
  <c r="FJ172" i="64" s="1"/>
  <c r="FK172" i="64" s="1"/>
  <c r="FL172" i="64" s="1"/>
  <c r="FM172" i="64" s="1"/>
  <c r="FN172" i="64" s="1"/>
  <c r="FO172" i="64" s="1"/>
  <c r="FP172" i="64" s="1"/>
  <c r="FQ172" i="64" s="1"/>
  <c r="FR172" i="64" s="1"/>
  <c r="FS172" i="64" s="1"/>
  <c r="FT172" i="64" s="1"/>
  <c r="FU172" i="64" s="1"/>
  <c r="FV172" i="64" s="1"/>
  <c r="FW172" i="64" s="1"/>
  <c r="FX172" i="64" s="1"/>
  <c r="FY172" i="64" s="1"/>
  <c r="F11" i="86"/>
  <c r="I20" i="86"/>
  <c r="C11" i="86"/>
  <c r="A11" i="68"/>
  <c r="F15" i="68" l="1"/>
  <c r="B35" i="68"/>
  <c r="B37" i="68"/>
  <c r="J3" i="87"/>
  <c r="I3" i="87" l="1"/>
  <c r="K3" i="87" s="1"/>
  <c r="L171" i="64" l="1"/>
  <c r="M171" i="64" s="1"/>
  <c r="N171" i="64" s="1"/>
  <c r="O171" i="64" s="1"/>
  <c r="P171" i="64" s="1"/>
  <c r="EM171" i="64" s="1"/>
  <c r="EN171" i="64" s="1"/>
  <c r="EO171" i="64" s="1"/>
  <c r="EP171" i="64" s="1"/>
  <c r="EQ171" i="64" s="1"/>
  <c r="ER171" i="64" l="1"/>
  <c r="ES171" i="64" s="1"/>
  <c r="ET171" i="64" s="1"/>
  <c r="EU171" i="64" s="1"/>
  <c r="EV171" i="64" s="1"/>
  <c r="EW171" i="64" s="1"/>
  <c r="EX171" i="64" s="1"/>
  <c r="EY171" i="64" s="1"/>
  <c r="EZ171" i="64" s="1"/>
  <c r="FA171" i="64" s="1"/>
  <c r="FB171" i="64" s="1"/>
  <c r="FC171" i="64" s="1"/>
  <c r="FD171" i="64" s="1"/>
  <c r="FE171" i="64" s="1"/>
  <c r="FF171" i="64" s="1"/>
  <c r="FG171" i="64" s="1"/>
  <c r="FH171" i="64" s="1"/>
  <c r="FI171" i="64" s="1"/>
  <c r="FJ171" i="64" s="1"/>
  <c r="FK171" i="64" s="1"/>
  <c r="FL171" i="64" s="1"/>
  <c r="FM171" i="64" s="1"/>
  <c r="FN171" i="64" s="1"/>
  <c r="FO171" i="64" s="1"/>
  <c r="FP171" i="64" s="1"/>
  <c r="FQ171" i="64" s="1"/>
  <c r="FR171" i="64" s="1"/>
  <c r="FS171" i="64" s="1"/>
  <c r="FT171" i="64" s="1"/>
  <c r="FU171" i="64" s="1"/>
  <c r="FV171" i="64" s="1"/>
  <c r="FW171" i="64" s="1"/>
  <c r="FX171" i="64" s="1"/>
  <c r="FY171" i="64" s="1"/>
  <c r="FZ171" i="64" s="1"/>
  <c r="GA171" i="64" s="1"/>
  <c r="GB171" i="64" s="1"/>
  <c r="GC171" i="64" s="1"/>
  <c r="GD171" i="64" s="1"/>
  <c r="GE171" i="64" s="1"/>
  <c r="GF171" i="64" s="1"/>
  <c r="GG171" i="64" s="1"/>
  <c r="GH171" i="64" s="1"/>
  <c r="GI171" i="64" s="1"/>
  <c r="GJ171" i="64" s="1"/>
  <c r="GK171" i="64" s="1"/>
  <c r="GL171" i="64" s="1"/>
  <c r="GM171" i="64" s="1"/>
  <c r="GN171" i="64" s="1"/>
  <c r="GO171" i="64" s="1"/>
  <c r="GP171" i="64" s="1"/>
  <c r="GQ171" i="64" s="1"/>
  <c r="GR171" i="64" s="1"/>
  <c r="GS171" i="64" s="1"/>
  <c r="GT171" i="64" s="1"/>
  <c r="GU171" i="64" s="1"/>
  <c r="GV171" i="64" s="1"/>
  <c r="GW171" i="64" s="1"/>
  <c r="GX171" i="64" s="1"/>
  <c r="GY171" i="64" s="1"/>
  <c r="GZ171" i="64" s="1"/>
  <c r="HA171" i="64" s="1"/>
  <c r="HB171" i="64" s="1"/>
  <c r="HC171" i="64" s="1"/>
  <c r="HD171" i="64" s="1"/>
  <c r="HE171" i="64" s="1"/>
  <c r="HF171" i="64" s="1"/>
  <c r="HG171" i="64" s="1"/>
  <c r="HH171" i="64" s="1"/>
  <c r="HI171" i="64" s="1"/>
  <c r="HJ171" i="64" s="1"/>
  <c r="HK171" i="64" s="1"/>
  <c r="HL171" i="64" s="1"/>
  <c r="HM171" i="64" s="1"/>
  <c r="HN171" i="64" s="1"/>
  <c r="HO171" i="64" s="1"/>
  <c r="HP171" i="64" s="1"/>
  <c r="HQ171" i="64" s="1"/>
  <c r="HR171" i="64" s="1"/>
  <c r="HS171" i="64" s="1"/>
  <c r="HT171" i="64" s="1"/>
  <c r="HU171" i="64" s="1"/>
  <c r="HV171" i="64" s="1"/>
  <c r="HW171" i="64" s="1"/>
  <c r="HX171" i="64" s="1"/>
  <c r="HY171" i="64" s="1"/>
  <c r="HZ171" i="64" s="1"/>
  <c r="IA17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72" i="59"/>
  <c r="L6" i="64"/>
  <c r="E29" i="86" s="1"/>
  <c r="BV17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D4" i="87" s="1"/>
  <c r="I24" i="86"/>
  <c r="I23" i="86"/>
  <c r="T16" i="66"/>
  <c r="V16" i="66"/>
  <c r="U16" i="66"/>
  <c r="X16" i="66"/>
  <c r="G4" i="87" l="1"/>
  <c r="E4" i="87"/>
  <c r="I4" i="87"/>
  <c r="I31" i="86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G11" i="86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36" i="13"/>
  <c r="J2" i="13"/>
  <c r="J36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<sst xmlns="http://schemas.openxmlformats.org/spreadsheetml/2006/main" count="12483" uniqueCount="3392">
  <si>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</si>
  <si>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</si>
  <si>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</si>
  <si>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</si>
  <si>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</si>
  <si>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</si>
  <si>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</si>
  <si>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</si>
  <si>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</si>
  <si>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</si>
  <si>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</si>
  <si>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</si>
  <si>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</si>
  <si>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</si>
  <si>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</si>
  <si>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</si>
  <si>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</si>
  <si>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</si>
  <si>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</si>
  <si>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</si>
  <si>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</si>
  <si>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</si>
  <si>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</si>
  <si>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</si>
  <si>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</si>
  <si>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</si>
  <si>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</si>
  <si>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</si>
  <si>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</si>
  <si>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</si>
  <si>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</si>
  <si>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</si>
  <si>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</si>
  <si>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</si>
  <si>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</si>
  <si>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</si>
  <si>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</si>
  <si>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</si>
  <si>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</si>
  <si>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</si>
  <si>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</si>
  <si>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</si>
  <si>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</si>
  <si>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</si>
  <si>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</si>
  <si>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</si>
  <si>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</si>
  <si>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</si>
  <si>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</si>
  <si>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</si>
  <si>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</si>
  <si>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</si>
  <si>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</si>
  <si>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</si>
  <si>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</si>
  <si>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</si>
  <si>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</si>
  <si>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</si>
  <si>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</si>
  <si>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</si>
  <si>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</si>
  <si>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</si>
  <si>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</si>
  <si>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</si>
  <si>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</si>
  <si>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</si>
  <si>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</si>
  <si>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</si>
  <si>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</si>
  <si>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</si>
  <si>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</si>
  <si>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</si>
  <si>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</si>
  <si>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</si>
  <si>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</si>
  <si>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</si>
  <si>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</si>
  <si>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</si>
  <si>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</si>
  <si>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</si>
  <si>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</si>
  <si>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</si>
  <si>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</si>
  <si>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</si>
  <si>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</si>
  <si>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</si>
  <si>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</si>
  <si>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</si>
  <si>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</si>
  <si>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</si>
  <si>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</si>
  <si>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</si>
  <si>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</si>
  <si>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</si>
  <si>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</si>
  <si>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</si>
  <si>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</si>
  <si>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</si>
  <si>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</si>
  <si>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</si>
  <si>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</si>
  <si>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</si>
  <si>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</si>
  <si>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</si>
  <si>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</si>
  <si>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</si>
  <si>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</si>
  <si>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</si>
  <si>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</si>
  <si>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</si>
  <si>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</si>
  <si>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</si>
  <si>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</si>
  <si>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</si>
  <si>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</si>
  <si>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</si>
  <si>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</si>
  <si>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</si>
  <si>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</si>
  <si>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</si>
  <si>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</si>
  <si>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</si>
  <si>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</si>
  <si>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</si>
  <si>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</si>
  <si>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</si>
  <si>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</si>
  <si>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</si>
  <si>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</si>
  <si>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</si>
  <si>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</si>
  <si>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</si>
  <si>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</si>
  <si>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</si>
  <si>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</si>
  <si>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</si>
  <si>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</si>
  <si>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</si>
  <si>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</si>
  <si>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</si>
  <si>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</si>
  <si>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</si>
  <si>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</si>
  <si>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</si>
  <si>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</si>
  <si>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</si>
  <si>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</si>
  <si>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</si>
  <si>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</si>
  <si>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</si>
  <si>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</si>
  <si>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</si>
  <si>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</si>
  <si>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</si>
  <si>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</si>
  <si>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</si>
  <si>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</si>
  <si>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</si>
  <si>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</si>
  <si>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</si>
  <si>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</si>
  <si>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</si>
  <si>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</si>
  <si>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</si>
  <si>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</si>
  <si>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</si>
  <si>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</si>
  <si>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</si>
  <si>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</si>
  <si>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</si>
  <si>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</si>
  <si>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</si>
  <si>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</si>
  <si>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</si>
  <si>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</si>
  <si>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</si>
  <si>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</si>
  <si>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</si>
  <si>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</si>
  <si>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</si>
  <si>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</si>
  <si>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</si>
  <si>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</si>
  <si>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</si>
  <si>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</si>
  <si>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</si>
  <si>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</si>
  <si>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</si>
  <si>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</si>
  <si>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</si>
  <si>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</si>
  <si>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</si>
  <si>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</si>
  <si>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</si>
  <si>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</si>
  <si>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</si>
  <si>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</si>
  <si>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</si>
  <si>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</si>
  <si>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</si>
  <si>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</si>
  <si>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</si>
  <si>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</si>
  <si>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</si>
  <si>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</si>
  <si>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</si>
  <si>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</si>
  <si>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</si>
  <si>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</si>
  <si>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</si>
  <si>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</si>
  <si>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</si>
  <si>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</si>
  <si>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</si>
  <si>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</si>
  <si>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</si>
  <si>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</si>
  <si>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</si>
  <si>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</si>
  <si>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</si>
  <si>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</si>
  <si>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</si>
  <si>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</si>
  <si>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</si>
  <si>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</si>
  <si>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</si>
  <si>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</si>
  <si>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</si>
  <si>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</si>
  <si>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</si>
  <si>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</si>
  <si>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</si>
  <si>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</si>
  <si>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</si>
  <si>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</si>
  <si>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</si>
  <si>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</si>
  <si>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</si>
  <si>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</si>
  <si>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</si>
  <si>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</si>
  <si>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</si>
  <si>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</si>
  <si>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</si>
  <si>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</si>
  <si>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</si>
  <si>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</si>
  <si>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</si>
  <si>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</si>
  <si>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</si>
  <si>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</si>
  <si>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</si>
  <si>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</si>
  <si>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</si>
  <si>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</si>
  <si>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</si>
  <si>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</si>
  <si>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</si>
  <si>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</si>
  <si>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</si>
  <si>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</si>
  <si>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</si>
  <si>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</si>
  <si>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</si>
  <si>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</si>
  <si>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</si>
  <si>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</si>
  <si>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</si>
  <si>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</si>
  <si>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</si>
  <si>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</si>
  <si>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</si>
  <si>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</si>
  <si>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</si>
  <si>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</si>
  <si>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</si>
  <si>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</si>
  <si>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</si>
  <si>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</si>
  <si>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</si>
  <si>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</si>
  <si>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</si>
  <si>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</si>
  <si>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</si>
  <si>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</si>
  <si>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</si>
  <si>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</si>
  <si>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</si>
  <si>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</si>
  <si>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</si>
  <si>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</si>
  <si>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</si>
  <si>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</si>
  <si>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</si>
  <si>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</si>
  <si>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</si>
  <si>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</si>
  <si>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</si>
  <si>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</si>
  <si>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</si>
  <si>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</si>
  <si>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</si>
  <si>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</si>
  <si>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</si>
  <si>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</si>
  <si>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</si>
  <si>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</si>
  <si>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</si>
  <si>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</si>
  <si>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</si>
  <si>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</si>
  <si>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</si>
  <si>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</si>
  <si>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</si>
  <si>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</si>
  <si>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</si>
  <si>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</si>
  <si>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</si>
  <si>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</si>
  <si>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</si>
  <si>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</si>
  <si>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</si>
  <si>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</si>
  <si>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</si>
  <si>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</si>
  <si>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</si>
  <si>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</si>
  <si>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</si>
  <si>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</si>
  <si>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</si>
  <si>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</si>
  <si>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</si>
  <si>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</si>
  <si>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</si>
  <si>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</si>
  <si>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</si>
  <si>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</si>
  <si>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</si>
  <si>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</si>
  <si>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</si>
  <si>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</si>
  <si>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</si>
  <si>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</si>
  <si>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</si>
  <si>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</si>
  <si>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</si>
  <si>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</si>
  <si>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</si>
  <si>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</si>
  <si>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</si>
  <si>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</si>
  <si>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</si>
  <si>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</si>
  <si>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</si>
  <si>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</si>
  <si>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</si>
  <si>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</si>
  <si>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</si>
  <si>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</si>
  <si>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</si>
  <si>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</si>
  <si>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</si>
  <si>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</si>
  <si>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</si>
  <si>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</si>
  <si>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</si>
  <si>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</si>
  <si>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</si>
  <si>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</si>
  <si>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</si>
  <si>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</si>
  <si>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</si>
  <si>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</si>
  <si>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</si>
  <si>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</si>
  <si>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</si>
  <si>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</si>
  <si>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</si>
  <si>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</si>
  <si>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</si>
  <si>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</si>
  <si>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</si>
  <si>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</si>
  <si>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</si>
  <si>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</si>
  <si>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</si>
  <si>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</si>
  <si>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</si>
  <si>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</si>
  <si>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</si>
  <si>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</si>
  <si>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</si>
  <si>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</si>
  <si>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</si>
  <si>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</si>
  <si>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</si>
  <si>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</si>
  <si>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</si>
  <si>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</si>
  <si>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</si>
  <si>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</si>
  <si>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</si>
  <si>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</si>
  <si>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</si>
  <si>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</si>
  <si>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</si>
  <si>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</si>
  <si>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</si>
  <si>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</si>
  <si>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</si>
  <si>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</si>
  <si>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</si>
  <si>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</si>
  <si>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</si>
  <si>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</si>
  <si>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</si>
  <si>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</si>
  <si>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</si>
  <si>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</si>
  <si>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</si>
  <si>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</si>
  <si>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</si>
  <si>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</si>
  <si>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</si>
  <si>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</si>
  <si>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</si>
  <si>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</si>
  <si>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</si>
  <si>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</si>
  <si>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</si>
  <si>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</si>
  <si>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</si>
  <si>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</si>
  <si>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</si>
  <si>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</si>
  <si>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</si>
  <si>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</si>
  <si>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</si>
  <si>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</si>
  <si>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</si>
  <si>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</si>
  <si>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</si>
  <si>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</si>
  <si>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</si>
  <si>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</si>
  <si>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</si>
  <si>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</si>
  <si>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</si>
  <si>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</si>
  <si>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</si>
  <si>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</si>
  <si>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</si>
  <si>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</si>
  <si>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</si>
  <si>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</si>
  <si>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</si>
  <si>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</si>
  <si>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</si>
  <si>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</si>
  <si>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</si>
  <si>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</si>
  <si>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</si>
  <si>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</si>
  <si>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</si>
  <si>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</si>
  <si>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</si>
  <si>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</si>
  <si>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</si>
  <si>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</si>
  <si>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</si>
  <si>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</si>
  <si>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</si>
  <si>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</si>
  <si>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</si>
  <si>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</si>
  <si>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</si>
  <si>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</si>
  <si>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</si>
  <si>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</si>
  <si>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</si>
  <si>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</si>
  <si>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</si>
  <si>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</si>
  <si>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</si>
  <si>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</si>
  <si>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</si>
  <si>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</si>
  <si>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</si>
  <si>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</si>
  <si>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</si>
  <si>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</si>
  <si>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</si>
  <si>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</si>
  <si>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</si>
  <si>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</si>
  <si>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</si>
  <si>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</si>
  <si>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</si>
  <si>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</si>
  <si>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</si>
  <si>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</si>
  <si>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</si>
  <si>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</si>
  <si>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</si>
  <si>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</si>
  <si>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</si>
  <si>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</si>
  <si>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</si>
  <si>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</si>
  <si>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</si>
  <si>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</si>
  <si>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</si>
  <si>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</si>
  <si>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</si>
  <si>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</si>
  <si>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</si>
  <si>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</si>
  <si>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</si>
  <si>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</si>
  <si>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</si>
  <si>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</si>
  <si>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</si>
  <si>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</si>
  <si>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</si>
  <si>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</si>
  <si>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</si>
  <si>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</si>
  <si>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</si>
  <si>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</si>
  <si>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</si>
  <si>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</si>
  <si>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</si>
  <si>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</si>
  <si>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</si>
  <si>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</si>
  <si>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</si>
  <si>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</si>
  <si>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</si>
  <si>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</si>
  <si>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</si>
  <si>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</si>
  <si>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</si>
  <si>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</si>
  <si>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</si>
  <si>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</si>
  <si>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</si>
  <si>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</si>
  <si>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</si>
  <si>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</si>
  <si>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</si>
  <si>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</si>
  <si>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</si>
  <si>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</si>
  <si>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</si>
  <si>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</si>
  <si>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</si>
  <si>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</si>
  <si>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</si>
  <si>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</si>
  <si>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</si>
  <si>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</si>
  <si>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</si>
  <si>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</si>
  <si>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</si>
  <si>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</si>
  <si>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</si>
  <si>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</si>
  <si>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</si>
  <si>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</si>
  <si>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</si>
  <si>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</si>
  <si>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</si>
  <si>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</si>
  <si>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</si>
  <si>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</si>
  <si>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</si>
  <si>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</si>
  <si>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</si>
  <si>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</si>
  <si>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</si>
  <si>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</si>
  <si>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</si>
  <si>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</si>
  <si>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</si>
  <si>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</si>
  <si>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</si>
  <si>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</si>
  <si>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</si>
  <si>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</si>
  <si>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</si>
  <si>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</si>
  <si>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</si>
  <si>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</si>
  <si>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</si>
  <si>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</si>
  <si>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</si>
  <si>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</si>
  <si>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</si>
  <si>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</si>
  <si>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</si>
  <si>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</si>
  <si>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</si>
  <si>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</si>
  <si>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</si>
  <si>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</si>
  <si>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</si>
  <si>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</si>
  <si>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</si>
  <si>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</si>
  <si>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</si>
  <si>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</si>
  <si>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</si>
  <si>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</si>
  <si>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</si>
  <si>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</si>
  <si>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</si>
  <si>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</si>
  <si>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</si>
  <si>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</si>
  <si>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</si>
  <si>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</si>
  <si>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</si>
  <si>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</si>
  <si>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</si>
  <si>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</si>
  <si>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</si>
  <si>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</si>
  <si>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</si>
  <si>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</si>
  <si>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</si>
  <si>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</si>
  <si>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</si>
  <si>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</si>
  <si>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</si>
  <si>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</si>
  <si>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</si>
  <si>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</si>
  <si>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</si>
  <si>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</si>
  <si>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</si>
  <si>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</si>
  <si>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</si>
  <si>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</si>
  <si>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</si>
  <si>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</si>
  <si>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</si>
  <si>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</si>
  <si>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</si>
  <si>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</si>
  <si>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</si>
  <si>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</si>
  <si>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</si>
  <si>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</si>
  <si>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</si>
  <si>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</si>
  <si>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</si>
  <si>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</si>
  <si>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</si>
  <si>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</si>
  <si>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</si>
  <si>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</si>
  <si>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</si>
  <si>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</si>
  <si>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</si>
  <si>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</si>
  <si>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</si>
  <si>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</si>
  <si>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</si>
  <si>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</si>
  <si>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</si>
  <si>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</si>
  <si>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</si>
  <si>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</si>
  <si>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</si>
  <si>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</si>
  <si>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</si>
  <si>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</si>
  <si>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</si>
  <si>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</si>
  <si>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</si>
  <si>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</si>
  <si>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</si>
  <si>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</si>
  <si>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</si>
  <si>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</si>
  <si>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</si>
  <si>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</si>
  <si>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</si>
  <si>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</si>
  <si>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</si>
  <si>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</si>
  <si>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</si>
  <si>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</si>
  <si>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</si>
  <si>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</si>
  <si>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</si>
  <si>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</si>
  <si>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</si>
  <si>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</si>
  <si>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</si>
  <si>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</si>
  <si>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</si>
  <si>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</si>
  <si>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</si>
  <si>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</si>
  <si>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</si>
  <si>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</si>
  <si>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</si>
  <si>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</si>
  <si>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</si>
  <si>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</si>
  <si>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</si>
  <si>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</si>
  <si>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</si>
  <si>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</si>
  <si>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</si>
  <si>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</si>
  <si>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</si>
  <si>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</si>
  <si>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</si>
  <si>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</si>
  <si>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</si>
  <si>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</si>
  <si>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</si>
  <si>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</si>
  <si>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</si>
  <si>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</si>
  <si>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</si>
  <si>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</si>
  <si>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</si>
  <si>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</si>
  <si>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</si>
  <si>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</si>
  <si>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</si>
  <si>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</si>
  <si>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</si>
  <si>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</si>
  <si>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</si>
  <si>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</si>
  <si>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</si>
  <si>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</si>
  <si>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</si>
  <si>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</si>
  <si>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</si>
  <si>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</si>
  <si>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</si>
  <si>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</si>
  <si>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</si>
  <si>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</si>
  <si>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</si>
  <si>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</si>
  <si>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</si>
  <si>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</si>
  <si>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</si>
  <si>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</si>
  <si>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</si>
  <si>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</si>
  <si>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</si>
  <si>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</si>
  <si>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</si>
  <si>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</si>
  <si>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</si>
  <si>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</si>
  <si>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</si>
  <si>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</si>
  <si>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</si>
  <si>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</si>
  <si>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</si>
  <si>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</si>
  <si>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</si>
  <si>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</si>
  <si>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</si>
  <si>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</si>
  <si>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</si>
  <si>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</si>
  <si>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</si>
  <si>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</si>
  <si>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</si>
  <si>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</si>
  <si>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</si>
  <si>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</si>
  <si>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</si>
  <si>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</si>
  <si>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</si>
  <si>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</si>
  <si>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</si>
  <si>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</si>
  <si>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</si>
  <si>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</si>
  <si>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</si>
  <si>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</si>
  <si>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</si>
  <si>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</si>
  <si>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</si>
  <si>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</si>
  <si>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</si>
  <si>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</si>
  <si>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</si>
  <si>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</si>
  <si>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</si>
  <si>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</si>
  <si>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</si>
  <si>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</si>
  <si>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</si>
  <si>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</si>
  <si>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</si>
  <si>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</si>
  <si>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</si>
  <si>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</si>
  <si>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</si>
  <si>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</si>
  <si>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</si>
  <si>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</si>
  <si>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</si>
  <si>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</si>
  <si>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</si>
  <si>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</si>
  <si>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</si>
  <si>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</si>
  <si>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</si>
  <si>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</si>
  <si>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</si>
  <si>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</si>
  <si>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</si>
  <si>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</si>
  <si>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</si>
  <si>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</si>
  <si>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</si>
  <si>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</si>
  <si>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</si>
  <si>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</si>
  <si>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</si>
  <si>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</si>
  <si>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</si>
  <si>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</si>
  <si>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</si>
  <si>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</si>
  <si>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</si>
  <si>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</si>
  <si>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</si>
  <si>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</si>
  <si>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</si>
  <si>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</si>
  <si>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</si>
  <si>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</si>
  <si>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</si>
  <si>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</si>
  <si>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</si>
  <si>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</si>
  <si>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</si>
  <si>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</si>
  <si>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</si>
  <si>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</si>
  <si>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</si>
  <si>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</si>
  <si>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</si>
  <si>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</si>
  <si>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</si>
  <si>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</si>
  <si>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</si>
  <si>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</si>
  <si>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</si>
  <si>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</si>
  <si>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</si>
  <si>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</si>
  <si>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</si>
  <si>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</si>
  <si>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</si>
  <si>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</si>
  <si>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</si>
  <si>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</si>
  <si>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</si>
  <si>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</si>
  <si>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</si>
  <si>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</si>
  <si>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</si>
  <si>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</si>
  <si>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</si>
  <si>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</si>
  <si>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</si>
  <si>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</si>
  <si>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</si>
  <si>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</si>
  <si>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</si>
  <si>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</si>
  <si>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</si>
  <si>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</si>
  <si>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</si>
  <si>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</si>
  <si>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</si>
  <si>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</si>
  <si>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</si>
  <si>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</si>
  <si>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</si>
  <si>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</si>
  <si>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</si>
  <si>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</si>
  <si>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</si>
  <si>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</si>
  <si>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</si>
  <si>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</si>
  <si>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</si>
  <si>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</si>
  <si>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</si>
  <si>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</si>
  <si>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</si>
  <si>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</si>
  <si>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</si>
  <si>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</si>
  <si>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</si>
  <si>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</si>
  <si>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</si>
  <si>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</si>
  <si>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</si>
  <si>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</si>
  <si>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</si>
  <si>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</si>
  <si>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</si>
  <si>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</si>
  <si>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</si>
  <si>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</si>
  <si>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</si>
  <si>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</si>
  <si>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</si>
  <si>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</si>
  <si>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</si>
  <si>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</si>
  <si>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</si>
  <si>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</si>
  <si>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</si>
  <si>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</si>
  <si>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</si>
  <si>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</si>
  <si>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</si>
  <si>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</si>
  <si>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</si>
  <si>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</si>
  <si>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</si>
  <si>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</si>
  <si>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</si>
  <si>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</si>
  <si>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</si>
  <si>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</si>
  <si>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</si>
  <si>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</si>
  <si>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</si>
  <si>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</si>
  <si>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</si>
  <si>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</si>
  <si>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</si>
  <si>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</si>
  <si>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</si>
  <si>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</si>
  <si>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</si>
  <si>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</si>
  <si>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</si>
  <si>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</si>
  <si>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</si>
  <si>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</si>
  <si>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</si>
  <si>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</si>
  <si>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</si>
  <si>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</si>
  <si>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</si>
  <si>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</si>
  <si>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</si>
  <si>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</si>
  <si>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</si>
  <si>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</si>
  <si>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</si>
  <si>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</si>
  <si>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</si>
  <si>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</si>
  <si>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</si>
  <si>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</si>
  <si>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</si>
  <si>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</si>
  <si>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</si>
  <si>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</si>
  <si>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</si>
  <si>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</si>
  <si>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</si>
  <si>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</si>
  <si>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</si>
  <si>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</si>
  <si>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</si>
  <si>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</si>
  <si>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</si>
  <si>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</si>
  <si>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</si>
  <si>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</si>
  <si>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</si>
  <si>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</si>
  <si>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</si>
  <si>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</si>
  <si>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</si>
  <si>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</si>
  <si>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</si>
  <si>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</si>
  <si>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</si>
  <si>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</si>
  <si>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</si>
  <si>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</si>
  <si>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</si>
  <si>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</si>
  <si>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</si>
  <si>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</si>
  <si>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</si>
  <si>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</si>
  <si>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</si>
  <si>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</si>
  <si>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</si>
  <si>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</si>
  <si>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</si>
  <si>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</si>
  <si>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</si>
  <si>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</si>
  <si>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</si>
  <si>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</si>
  <si>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</si>
  <si>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</si>
  <si>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</si>
  <si>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</si>
  <si>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</si>
  <si>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</si>
  <si>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</si>
  <si>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</si>
  <si>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</si>
  <si>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</si>
  <si>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</si>
  <si>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</si>
  <si>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</si>
  <si>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</si>
  <si>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</si>
  <si>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</si>
  <si>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</si>
  <si>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</si>
  <si>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</si>
  <si>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</si>
  <si>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</si>
  <si>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</si>
  <si>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</si>
  <si>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</si>
  <si>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</si>
  <si>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</si>
  <si>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</si>
  <si>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</si>
  <si>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</si>
  <si>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</si>
  <si>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</si>
  <si>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</si>
  <si>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</si>
  <si>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</si>
  <si>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</si>
  <si>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</si>
  <si>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</si>
  <si>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</si>
  <si>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</si>
  <si>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</si>
  <si>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</si>
  <si>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</si>
  <si>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</si>
  <si>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</si>
  <si>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</si>
  <si>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</si>
  <si>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</si>
  <si>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</si>
  <si>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</si>
  <si>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</si>
  <si>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</si>
  <si>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</si>
  <si>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</si>
  <si>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</si>
  <si>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</si>
  <si>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</si>
  <si>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</si>
  <si>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</si>
  <si>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</si>
  <si>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</si>
  <si>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</si>
  <si>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</si>
  <si>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</si>
  <si>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</si>
  <si>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</si>
  <si>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</si>
  <si>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</si>
  <si>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</si>
  <si>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</si>
  <si>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</si>
  <si>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</si>
  <si>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</si>
  <si>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</si>
  <si>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</si>
  <si>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</si>
  <si>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</si>
  <si>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</si>
  <si>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</si>
  <si>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</si>
  <si>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</si>
  <si>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</si>
  <si>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</si>
  <si>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</si>
  <si>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</si>
  <si>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</si>
  <si>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</si>
  <si>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</si>
  <si>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</si>
  <si>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</si>
  <si>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</si>
  <si>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</si>
  <si>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</si>
  <si>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</si>
  <si>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</si>
  <si>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</si>
  <si>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</si>
  <si>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</si>
  <si>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</si>
  <si>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</si>
  <si>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</si>
  <si>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</si>
  <si>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</si>
  <si>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</si>
  <si>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</si>
  <si>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</si>
  <si>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</si>
  <si>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</si>
  <si>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</si>
  <si>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</si>
  <si>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</si>
  <si>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</si>
  <si>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</si>
  <si>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</si>
  <si>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</si>
  <si>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</si>
  <si>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</si>
  <si>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</si>
  <si>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</si>
  <si>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</si>
  <si>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</si>
  <si>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</si>
  <si>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</si>
  <si>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</si>
  <si>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</si>
  <si>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</si>
  <si>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</si>
  <si>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</si>
  <si>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</si>
  <si>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</si>
  <si>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</si>
  <si>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</si>
  <si>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</si>
  <si>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</si>
  <si>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</si>
  <si>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</si>
  <si>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</si>
  <si>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</si>
  <si>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</si>
  <si>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</si>
  <si>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</si>
  <si>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</si>
  <si>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</si>
  <si>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</si>
  <si>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</si>
  <si>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</si>
  <si>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</si>
  <si>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</si>
  <si>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</si>
  <si>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</si>
  <si>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</si>
  <si>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</si>
  <si>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</si>
  <si>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</si>
  <si>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</si>
  <si>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</si>
  <si>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</si>
  <si>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</si>
  <si>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</si>
  <si>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</si>
  <si>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</si>
  <si>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</si>
  <si>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</si>
  <si>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</si>
  <si>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</si>
  <si>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</si>
  <si>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</si>
  <si>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</si>
  <si>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</si>
  <si>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</si>
  <si>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</si>
  <si>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</si>
  <si>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</si>
  <si>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</si>
  <si>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</si>
  <si>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</si>
  <si>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</si>
  <si>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</si>
  <si>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</si>
  <si>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</si>
  <si>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</si>
  <si>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</si>
  <si>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</si>
  <si>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</si>
  <si>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</si>
  <si>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</si>
  <si>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</si>
  <si>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</si>
  <si>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</si>
  <si>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</si>
  <si>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</si>
  <si>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</si>
  <si>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</si>
  <si>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</si>
  <si>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</si>
  <si>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</si>
  <si>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</si>
  <si>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</si>
  <si>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</si>
  <si>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</si>
  <si>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</si>
  <si>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</si>
  <si>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</si>
  <si>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</si>
  <si>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</si>
  <si>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</si>
  <si>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</si>
  <si>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</si>
  <si>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</si>
  <si>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</si>
  <si>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</si>
  <si>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</si>
  <si>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</si>
  <si>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</si>
  <si>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</si>
  <si>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</si>
  <si>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</si>
  <si>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</si>
  <si>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</si>
  <si>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</si>
  <si>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</si>
  <si>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</si>
  <si>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</si>
  <si>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</si>
  <si>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</si>
  <si>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</si>
  <si>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</si>
  <si>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</si>
  <si>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</si>
  <si>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</si>
  <si>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</si>
  <si>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</si>
  <si>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</si>
  <si>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</si>
  <si>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</si>
  <si>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</si>
  <si>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</si>
  <si>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</si>
  <si>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</si>
  <si>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</si>
  <si>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</si>
  <si>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</si>
  <si>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</si>
  <si>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</si>
  <si>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</si>
  <si>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</si>
  <si>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</si>
  <si>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</si>
  <si>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</si>
  <si>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</si>
  <si>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</si>
  <si>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</si>
  <si>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</si>
  <si>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</si>
  <si>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</si>
  <si>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</si>
  <si>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</si>
  <si>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</si>
  <si>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</si>
  <si>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</si>
  <si>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</si>
  <si>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</si>
  <si>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</si>
  <si>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</si>
  <si>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</si>
  <si>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</si>
  <si>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</si>
  <si>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</si>
  <si>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</si>
  <si>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</si>
  <si>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</si>
  <si>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</si>
  <si>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</si>
  <si>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</si>
  <si>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</si>
  <si>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</si>
  <si>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</si>
  <si>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</si>
  <si>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</si>
  <si>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</si>
  <si>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</si>
  <si>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</si>
  <si>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</si>
  <si>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</si>
  <si>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</si>
  <si>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</si>
  <si>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</si>
  <si>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</si>
  <si>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</si>
  <si>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</si>
  <si>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</si>
  <si>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</si>
  <si>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</si>
  <si>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</si>
  <si>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</si>
  <si>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</si>
  <si>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</si>
  <si>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</si>
  <si>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</si>
  <si>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</si>
  <si>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</si>
  <si>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</si>
  <si>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</si>
  <si>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</si>
  <si>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</si>
  <si>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</si>
  <si>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</si>
  <si>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</si>
  <si>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</si>
  <si>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</si>
  <si>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</si>
  <si>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</si>
  <si>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</si>
  <si>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</si>
  <si>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</si>
  <si>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</si>
  <si>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</si>
  <si>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</si>
  <si>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</si>
  <si>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</si>
  <si>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</si>
  <si>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</si>
  <si>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</si>
  <si>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</si>
  <si>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</si>
  <si>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</si>
  <si>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</si>
  <si>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</si>
  <si>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</si>
  <si>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</si>
  <si>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</si>
  <si>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</si>
  <si>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</si>
  <si>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</si>
  <si>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</si>
  <si>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</si>
  <si>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</si>
  <si>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</si>
  <si>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</si>
  <si>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</si>
  <si>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</si>
  <si>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</si>
  <si>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</si>
  <si>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</si>
  <si>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</si>
  <si>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</si>
  <si>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</si>
  <si>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</si>
  <si>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</si>
  <si>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</si>
  <si>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</si>
  <si>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</si>
  <si>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</si>
  <si>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</si>
  <si>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</si>
  <si>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</si>
  <si>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</si>
  <si>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</si>
  <si>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</si>
  <si>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</si>
  <si>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</si>
  <si>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</si>
  <si>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</si>
  <si>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</si>
  <si>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</si>
  <si>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</si>
  <si>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</si>
  <si>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</si>
  <si>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</si>
  <si>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</si>
  <si>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</si>
  <si>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</si>
  <si>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</si>
  <si>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</si>
  <si>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</si>
  <si>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</si>
  <si>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</si>
  <si>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</si>
  <si>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</si>
  <si>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</si>
  <si>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</si>
  <si>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</si>
  <si>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</si>
  <si>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</si>
  <si>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</si>
  <si>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</si>
  <si>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</si>
  <si>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</si>
  <si>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</si>
  <si>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</si>
  <si>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</si>
  <si>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</si>
  <si>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</si>
  <si>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</si>
  <si>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</si>
  <si>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</si>
  <si>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</si>
  <si>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</si>
  <si>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</si>
  <si>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</si>
  <si>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</si>
  <si>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</si>
  <si>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</si>
  <si>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</si>
  <si>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</si>
  <si>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</si>
  <si>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</si>
  <si>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</si>
  <si>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</si>
  <si>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</si>
  <si>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</si>
  <si>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</si>
  <si>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</si>
  <si>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</si>
  <si>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</si>
  <si>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</si>
  <si>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</si>
  <si>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</si>
  <si>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</si>
  <si>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</si>
  <si>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</si>
  <si>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</si>
  <si>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</si>
  <si>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</si>
  <si>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</si>
  <si>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</si>
  <si>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</si>
  <si>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</si>
  <si>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</si>
  <si>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</si>
  <si>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</si>
  <si>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</si>
  <si>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</si>
  <si>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</si>
  <si>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</si>
  <si>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</si>
  <si>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</si>
  <si>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</si>
  <si>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</si>
  <si>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</si>
  <si>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</si>
  <si>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</si>
  <si>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</si>
  <si>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</si>
  <si>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</si>
  <si>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</si>
  <si>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</si>
  <si>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</si>
  <si>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</si>
  <si>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</si>
  <si>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</si>
  <si>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</si>
  <si>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</si>
  <si>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</si>
  <si>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</si>
  <si>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</si>
  <si>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</si>
  <si>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</si>
  <si>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</si>
  <si>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</si>
  <si>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</si>
  <si>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</si>
  <si>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</si>
  <si>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</si>
  <si>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</si>
  <si>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</si>
  <si>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</si>
  <si>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</si>
  <si>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</si>
  <si>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</si>
  <si>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</si>
  <si>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</si>
  <si>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</si>
  <si>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</si>
  <si>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</si>
  <si>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</si>
  <si>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</si>
  <si>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</si>
  <si>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</si>
  <si>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</si>
  <si>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</si>
  <si>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</si>
  <si>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</si>
  <si>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</si>
  <si>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</si>
  <si>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</si>
  <si>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</si>
  <si>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</si>
  <si>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</si>
  <si>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</si>
  <si>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</si>
  <si>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</si>
  <si>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</si>
  <si>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</si>
  <si>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</si>
  <si>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</si>
  <si>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</si>
  <si>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</si>
  <si>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</si>
  <si>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</si>
  <si>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</si>
  <si>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</si>
  <si>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</si>
  <si>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</si>
  <si>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</si>
  <si>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</si>
  <si>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</si>
  <si>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</si>
  <si>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</si>
  <si>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</si>
  <si>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</si>
  <si>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</si>
  <si>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</si>
  <si>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</si>
  <si>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</si>
  <si>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</si>
  <si>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</si>
  <si>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</si>
  <si>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</si>
  <si>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</si>
  <si>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</si>
  <si>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</si>
  <si>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</si>
  <si>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</si>
  <si>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</si>
  <si>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</si>
  <si>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</si>
  <si>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</si>
  <si>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</si>
  <si>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</si>
  <si>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</si>
  <si>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</si>
  <si>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</si>
  <si>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</si>
  <si>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</si>
  <si>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</si>
  <si>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</si>
  <si>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</si>
  <si>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</si>
  <si>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</si>
  <si>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</si>
  <si>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</si>
  <si>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</si>
  <si>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</si>
  <si>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</si>
  <si>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</si>
  <si>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</si>
  <si>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</si>
  <si>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</si>
  <si>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</si>
  <si>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</si>
  <si>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</si>
  <si>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</si>
  <si>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</si>
  <si>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</si>
  <si>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</si>
  <si>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</si>
  <si>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</si>
  <si>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</si>
  <si>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</si>
  <si>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</si>
  <si>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</si>
  <si>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</si>
  <si>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</si>
  <si>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</si>
  <si>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</si>
  <si>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</si>
  <si>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</si>
  <si>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</si>
  <si>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</si>
  <si>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</si>
  <si>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</si>
  <si>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</si>
  <si>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</si>
  <si>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</si>
  <si>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</si>
  <si>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</si>
  <si>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</si>
  <si>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</si>
  <si>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</si>
  <si>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</si>
  <si>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</si>
  <si>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</si>
  <si>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</si>
  <si>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</si>
  <si>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</si>
  <si>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</si>
  <si>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</si>
  <si>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</si>
  <si>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</si>
  <si>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</si>
  <si>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</si>
  <si>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</si>
  <si>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</si>
  <si>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</si>
  <si>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</si>
  <si>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</si>
  <si>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</si>
  <si>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</si>
  <si>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</si>
  <si>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</si>
  <si>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</si>
  <si>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</si>
  <si>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</si>
  <si>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</si>
  <si>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</si>
  <si>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</si>
  <si>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</si>
  <si>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</si>
  <si>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</si>
  <si>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</si>
  <si>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</si>
  <si>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</si>
  <si>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</si>
  <si>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</si>
  <si>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</si>
  <si>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</si>
  <si>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</si>
  <si>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</si>
  <si>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</si>
  <si>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</si>
  <si>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</si>
  <si>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</si>
  <si>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</si>
  <si>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</si>
  <si>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</si>
  <si>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</si>
  <si>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</si>
  <si>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</si>
  <si>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</si>
  <si>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</si>
  <si>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</si>
  <si>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</si>
  <si>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</si>
  <si>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</si>
  <si>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</si>
  <si>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</si>
  <si>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</si>
  <si>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</si>
  <si>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</si>
  <si>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</si>
  <si>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</si>
  <si>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</si>
  <si>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</si>
  <si>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</si>
  <si>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</si>
  <si>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</si>
  <si>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</si>
  <si>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</si>
  <si>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</si>
  <si>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</si>
  <si>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</si>
  <si>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</si>
  <si>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</si>
  <si>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</si>
  <si>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</si>
  <si>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</si>
  <si>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</si>
  <si>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</si>
  <si>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</si>
  <si>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</si>
  <si>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</si>
  <si>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</si>
  <si>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</si>
  <si>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</si>
  <si>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</si>
  <si>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</si>
  <si>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</si>
  <si>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</si>
  <si>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</si>
  <si>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</si>
  <si>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</si>
  <si>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</si>
  <si>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</si>
  <si>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</si>
  <si>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</si>
  <si>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</si>
  <si>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</si>
  <si>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</si>
  <si>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</si>
  <si>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</si>
  <si>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</si>
  <si>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</si>
  <si>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</si>
  <si>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</si>
  <si>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</si>
  <si>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</si>
  <si>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</si>
  <si>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</si>
  <si>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</si>
  <si>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</si>
  <si>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</si>
  <si>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</si>
  <si>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</si>
  <si>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</si>
  <si>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</si>
  <si>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</si>
  <si>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</si>
  <si>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</si>
  <si>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</si>
  <si>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</si>
  <si>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</si>
  <si>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</si>
  <si>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</si>
  <si>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</si>
  <si>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</si>
  <si>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</si>
  <si>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</si>
  <si>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</si>
  <si>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</si>
  <si>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</si>
  <si>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</si>
  <si>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</si>
  <si>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</si>
  <si>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</si>
  <si>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</si>
  <si>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</si>
  <si>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</si>
  <si>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</si>
  <si>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</si>
  <si>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</si>
  <si>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</si>
  <si>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</si>
  <si>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</si>
  <si>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</si>
  <si>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</si>
  <si>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</si>
  <si>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</si>
  <si>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</si>
  <si>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</si>
  <si>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</si>
  <si>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</si>
  <si>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</si>
  <si>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</si>
  <si>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</si>
  <si>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</si>
  <si>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</si>
  <si>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</si>
  <si>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</si>
  <si>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</si>
  <si>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</si>
  <si>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</si>
  <si>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</si>
  <si>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</si>
  <si>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</si>
  <si>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</si>
  <si>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</si>
  <si>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</si>
  <si>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</si>
  <si>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</si>
  <si>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</si>
  <si>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</si>
  <si>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</si>
  <si>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</si>
  <si>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</si>
  <si>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</si>
  <si>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</si>
  <si>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</si>
  <si>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</si>
  <si>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</si>
  <si>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</si>
  <si>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</si>
  <si>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</si>
  <si>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</si>
  <si>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</si>
  <si>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</si>
  <si>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</si>
  <si>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</si>
  <si>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</si>
  <si>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</si>
  <si>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</si>
  <si>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</si>
  <si>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</si>
  <si>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</si>
  <si>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</si>
  <si>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</si>
  <si>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</si>
  <si>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</si>
  <si>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</si>
  <si>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</si>
  <si>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</si>
  <si>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</si>
  <si>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</si>
  <si>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</si>
  <si>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</si>
  <si>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</si>
  <si>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</si>
  <si>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</si>
  <si>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</si>
  <si>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</si>
  <si>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</si>
  <si>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</si>
  <si>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</si>
  <si>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</si>
  <si>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</si>
  <si>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</si>
  <si>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</si>
  <si>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</si>
  <si>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</si>
  <si>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</si>
  <si>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</si>
  <si>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</si>
  <si>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</si>
  <si>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</si>
  <si>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</si>
  <si>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</si>
  <si>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</si>
  <si>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</si>
  <si>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</si>
  <si>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</si>
  <si>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</si>
  <si>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</si>
  <si>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</si>
  <si>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</si>
  <si>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</si>
  <si>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</si>
  <si>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</si>
  <si>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</si>
  <si>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</si>
  <si>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</si>
  <si>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</si>
  <si>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</si>
  <si>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</si>
  <si>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</si>
  <si>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</si>
  <si>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</si>
  <si>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</si>
  <si>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</si>
  <si>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</si>
  <si>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</si>
  <si>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</si>
  <si>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</si>
  <si>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</si>
  <si>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</si>
  <si>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</si>
  <si>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</si>
  <si>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</si>
  <si>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</si>
  <si>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</si>
  <si>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</si>
  <si>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</si>
  <si>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</si>
  <si>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</si>
  <si>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</si>
  <si>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</si>
  <si>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</si>
  <si>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</si>
  <si>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</si>
  <si>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</si>
  <si>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</si>
  <si>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</si>
  <si>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</si>
  <si>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</si>
  <si>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</si>
  <si>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</si>
  <si>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</si>
  <si>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</si>
  <si>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</si>
  <si>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</si>
  <si>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</si>
  <si>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</si>
  <si>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</si>
  <si>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</si>
  <si>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</si>
  <si>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</si>
  <si>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</si>
  <si>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</si>
  <si>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</si>
  <si>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</si>
  <si>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</si>
  <si>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</si>
  <si>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</si>
  <si>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</si>
  <si>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</si>
  <si>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</si>
  <si>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</si>
  <si>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</si>
  <si>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</si>
  <si>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</si>
  <si>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</si>
  <si>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</si>
  <si>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</si>
  <si>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</si>
  <si>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</si>
  <si>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</si>
  <si>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</si>
  <si>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</si>
  <si>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</si>
  <si>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</si>
  <si>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</si>
  <si>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</si>
  <si>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</si>
  <si>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</si>
  <si>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</si>
  <si>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</si>
  <si>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</si>
  <si>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</si>
  <si>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</si>
  <si>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</si>
  <si>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</si>
  <si>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</si>
  <si>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</si>
  <si>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</si>
  <si>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</si>
  <si>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</si>
  <si>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</si>
  <si>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</si>
  <si>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</si>
  <si>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</si>
  <si>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</si>
  <si>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</si>
  <si>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</si>
  <si>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</si>
  <si>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</si>
  <si>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</si>
  <si>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</si>
  <si>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</si>
  <si>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</si>
  <si>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</si>
  <si>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</si>
  <si>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</si>
  <si>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</si>
  <si>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</si>
  <si>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</si>
  <si>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</si>
  <si>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</si>
  <si>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</si>
  <si>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</si>
  <si>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</si>
  <si>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</si>
  <si>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</si>
  <si>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</si>
  <si>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</si>
  <si>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</si>
  <si>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</si>
  <si>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</si>
  <si>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</si>
  <si>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</si>
  <si>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</si>
  <si>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</si>
  <si>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</si>
  <si>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</si>
  <si>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</si>
  <si>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</si>
  <si>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</si>
  <si>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</si>
  <si>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</si>
  <si>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</si>
  <si>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</si>
  <si>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</si>
  <si>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</si>
  <si>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</si>
  <si>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</si>
  <si>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</si>
  <si>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</si>
  <si>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</si>
  <si>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</si>
  <si>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</si>
  <si>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</si>
  <si>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</si>
  <si>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</si>
  <si>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</si>
  <si>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</si>
  <si>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</si>
  <si>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</si>
  <si>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</si>
  <si>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</si>
  <si>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</si>
  <si>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</si>
  <si>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</si>
  <si>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</si>
  <si>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</si>
  <si>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</si>
  <si>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</si>
  <si>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</si>
  <si>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</si>
  <si>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</si>
  <si>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</si>
  <si>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</si>
  <si>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</si>
  <si>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</si>
  <si>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</si>
  <si>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</si>
  <si>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</si>
  <si>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</si>
  <si>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</si>
  <si>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</si>
  <si>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</si>
  <si>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</si>
  <si>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</si>
  <si>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</si>
  <si>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</si>
  <si>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</si>
  <si>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</si>
  <si>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</si>
  <si>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</si>
  <si>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</si>
  <si>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</si>
  <si>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</si>
  <si>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</si>
  <si>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</si>
  <si>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</si>
  <si>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</si>
  <si>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</si>
  <si>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</si>
  <si>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</si>
  <si>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</si>
  <si>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</si>
  <si>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</si>
  <si>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</si>
  <si>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</si>
  <si>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</si>
  <si>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</si>
  <si>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</si>
  <si>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</si>
  <si>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</si>
  <si>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</si>
  <si>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</si>
  <si>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</si>
  <si>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</si>
  <si>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</si>
  <si>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</si>
  <si>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</si>
  <si>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</si>
  <si>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</si>
  <si>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</si>
  <si>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</si>
  <si>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</si>
  <si>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</si>
  <si>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</si>
  <si>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</si>
  <si>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</si>
  <si>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</si>
  <si>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</si>
  <si>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</si>
  <si>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</si>
  <si>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</si>
  <si>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</si>
  <si>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</si>
  <si>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</si>
  <si>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</si>
  <si>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</si>
  <si>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</si>
  <si>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</si>
  <si>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</si>
  <si>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</si>
  <si>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</si>
  <si>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</si>
  <si>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</si>
  <si>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</si>
  <si>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</si>
  <si>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</si>
  <si>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</si>
  <si>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</si>
  <si>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</si>
  <si>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</si>
  <si>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</si>
  <si>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</si>
  <si>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</si>
  <si>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</si>
  <si>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</si>
  <si>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</si>
  <si>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</si>
  <si>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</si>
  <si>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</si>
  <si>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</si>
  <si>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</si>
  <si>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</si>
  <si>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</si>
  <si>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</si>
  <si>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</si>
  <si>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</si>
  <si>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</si>
  <si>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</si>
  <si>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</si>
  <si>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</si>
  <si>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</si>
  <si>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</si>
  <si>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</si>
  <si>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</si>
  <si>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</si>
  <si>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</si>
  <si>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</si>
  <si>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</si>
  <si>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</si>
  <si>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</si>
  <si>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</si>
  <si>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</si>
  <si>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</si>
  <si>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</si>
  <si>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</si>
  <si>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</si>
  <si>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</si>
  <si>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</si>
  <si>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</si>
  <si>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</si>
  <si>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</si>
  <si>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</si>
  <si>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</si>
  <si>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</si>
  <si>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</si>
  <si>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</si>
  <si>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</si>
  <si>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</si>
  <si>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</si>
  <si>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</si>
  <si>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</si>
  <si>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</si>
  <si>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</si>
  <si>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</si>
  <si>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</si>
  <si>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</si>
  <si>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</si>
  <si>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</si>
  <si>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</si>
  <si>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</si>
  <si>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</si>
  <si>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</si>
  <si>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</si>
  <si>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</si>
  <si>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</si>
  <si>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</si>
  <si>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</si>
  <si>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</si>
  <si>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</si>
  <si>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</si>
  <si>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</si>
  <si>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</si>
  <si>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</si>
  <si>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</si>
  <si>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</si>
  <si>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</si>
  <si>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</si>
  <si>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</si>
  <si>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</si>
  <si>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</si>
  <si>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</si>
  <si>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</si>
  <si>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</si>
  <si>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</si>
  <si>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</si>
  <si>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</si>
  <si>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</si>
  <si>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</si>
  <si>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</si>
  <si>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</si>
  <si>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</si>
  <si>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</si>
  <si>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</si>
  <si>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</si>
  <si>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</si>
  <si>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</si>
  <si>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</si>
  <si>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</si>
  <si>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</si>
  <si>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</si>
  <si>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</si>
  <si>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</si>
  <si>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</si>
  <si>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</si>
  <si>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</si>
  <si>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</si>
  <si>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</si>
  <si>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</si>
  <si>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</si>
  <si>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</si>
  <si>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</si>
  <si>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</si>
  <si>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</si>
  <si>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</si>
  <si>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</si>
  <si>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</si>
  <si>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</si>
  <si>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</si>
  <si>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</si>
  <si>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</si>
  <si>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</si>
  <si>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</si>
  <si>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</si>
  <si>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</si>
  <si>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</si>
  <si>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</si>
  <si>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</si>
  <si>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</si>
  <si>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</si>
  <si>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</si>
  <si>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</si>
  <si>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</si>
  <si>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</si>
  <si>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</si>
  <si>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</si>
  <si>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</si>
  <si>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</si>
  <si>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</si>
  <si>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</si>
  <si>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</si>
  <si>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</si>
  <si>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</si>
  <si>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</si>
  <si>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</si>
  <si>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</si>
  <si>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</si>
  <si>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</si>
  <si>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</si>
  <si>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</si>
  <si>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</si>
  <si>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</si>
  <si>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</si>
  <si>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</si>
  <si>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</si>
  <si>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</si>
  <si>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</si>
  <si>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</si>
  <si>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</si>
  <si>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</si>
  <si>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</si>
  <si>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</si>
  <si>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</si>
  <si>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</si>
  <si>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</si>
  <si>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</si>
  <si>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</si>
  <si>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</si>
  <si>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</si>
  <si>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</si>
  <si>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</si>
  <si>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</si>
  <si>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</si>
  <si>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</si>
  <si>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</si>
  <si>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</si>
  <si>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</si>
  <si>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</si>
  <si>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</si>
  <si>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</si>
  <si>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</si>
  <si>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</si>
  <si>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</si>
  <si>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</si>
  <si>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</si>
  <si>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</si>
  <si>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</si>
  <si>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</si>
  <si>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</si>
  <si>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</si>
  <si>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</si>
  <si>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</si>
  <si>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</si>
  <si>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</si>
  <si>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</si>
  <si>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</si>
  <si>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</si>
  <si>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</si>
  <si>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</si>
  <si>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</si>
  <si>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</si>
  <si>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</si>
  <si>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</si>
  <si>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</si>
  <si>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</si>
  <si>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</si>
  <si>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</si>
  <si>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</si>
  <si>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</si>
  <si>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</si>
  <si>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</si>
  <si>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</si>
  <si>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</si>
  <si>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</si>
  <si>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</si>
  <si>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</si>
  <si>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</si>
  <si>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</si>
  <si>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</si>
  <si>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</si>
  <si>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</si>
  <si>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</si>
  <si>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</si>
  <si>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</si>
  <si>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</si>
  <si>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</si>
  <si>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</si>
  <si>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</si>
  <si>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</si>
  <si>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</si>
  <si>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</si>
  <si>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</si>
  <si>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</si>
  <si>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</si>
  <si>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</si>
  <si>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</si>
  <si>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</si>
  <si>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</si>
  <si>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</si>
  <si>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</si>
  <si>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</si>
  <si>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</si>
  <si>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</si>
  <si>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</si>
  <si>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</si>
  <si>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</si>
  <si>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</si>
  <si>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</si>
  <si>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</si>
  <si>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</si>
  <si>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</si>
  <si>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</si>
  <si>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</si>
  <si>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</si>
  <si>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</si>
  <si>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</si>
  <si>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</si>
  <si>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</si>
  <si>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</si>
  <si>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</si>
  <si>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</si>
  <si>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</si>
  <si>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</si>
  <si>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</si>
  <si>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</si>
  <si>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</si>
  <si>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</si>
  <si>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</si>
  <si>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</si>
  <si>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</si>
  <si>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</si>
  <si>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</si>
  <si>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</si>
  <si>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</si>
  <si>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</si>
  <si>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</si>
  <si>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</si>
  <si>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</si>
  <si>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</si>
  <si>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</si>
  <si>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</si>
  <si>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</si>
  <si>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</si>
  <si>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</si>
  <si>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</si>
  <si>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</si>
  <si>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</si>
  <si>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</si>
  <si>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</si>
  <si>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</si>
  <si>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</si>
  <si>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</si>
  <si>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</si>
  <si>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</si>
  <si>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</si>
  <si>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</si>
  <si>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</si>
  <si>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</si>
  <si>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</si>
  <si>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</si>
  <si>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</si>
  <si>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</si>
  <si>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</si>
  <si>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</si>
  <si>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</si>
  <si>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</si>
  <si>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</si>
  <si>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</si>
  <si>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</si>
  <si>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</si>
  <si>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</si>
  <si>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</si>
  <si>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</si>
  <si>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</si>
  <si>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</si>
  <si>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</si>
  <si>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</si>
  <si>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</si>
  <si>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</si>
  <si>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</si>
  <si>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</si>
  <si>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</si>
  <si>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</si>
  <si>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</si>
  <si>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</si>
  <si>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</si>
  <si>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</si>
  <si>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</si>
  <si>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</si>
  <si>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</si>
  <si>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</si>
  <si>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</si>
  <si>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</si>
  <si>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</si>
  <si>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</si>
  <si>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</si>
  <si>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</si>
  <si>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</si>
  <si>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</si>
  <si>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</si>
  <si>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</si>
  <si>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</si>
  <si>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</si>
  <si>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</si>
  <si>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</si>
  <si>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</si>
  <si>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</si>
  <si>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</si>
  <si>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</si>
  <si>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</si>
  <si>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</si>
  <si>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</si>
  <si>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</si>
  <si>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</si>
  <si>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</si>
  <si>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</si>
  <si>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</si>
  <si>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</si>
  <si>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</si>
  <si>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</si>
  <si>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</si>
  <si>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</si>
  <si>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</si>
  <si>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</si>
  <si>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</si>
  <si>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</si>
  <si>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</si>
  <si>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</si>
  <si>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</si>
  <si>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</si>
  <si>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</si>
  <si>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</si>
  <si>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</si>
  <si>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</si>
  <si>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</si>
  <si>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</si>
  <si>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</si>
  <si>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</si>
  <si>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</si>
  <si>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</si>
  <si>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</si>
  <si>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</si>
  <si>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</si>
  <si>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</si>
  <si>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</si>
  <si>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</si>
  <si>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</si>
  <si>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</si>
  <si>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</si>
  <si>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</si>
  <si>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</si>
  <si>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</si>
  <si>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</si>
  <si>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</si>
  <si>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</si>
  <si>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</si>
  <si>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</si>
  <si>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</si>
  <si>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</si>
  <si>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</si>
  <si>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</si>
  <si>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</si>
  <si>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</si>
  <si>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</si>
  <si>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</si>
  <si>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</si>
  <si>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</si>
  <si>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</si>
  <si>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</si>
  <si>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</si>
  <si>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</si>
  <si>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</si>
  <si>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</si>
  <si>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</si>
  <si>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</si>
  <si>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</si>
  <si>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</si>
  <si>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</si>
  <si>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</si>
  <si>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</si>
  <si>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</si>
  <si>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</si>
  <si>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</si>
  <si>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</si>
  <si>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</si>
  <si>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</si>
  <si>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</si>
  <si>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</si>
  <si>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</si>
  <si>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</si>
  <si>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</si>
  <si>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</si>
  <si>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</si>
  <si>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</si>
  <si>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</si>
  <si>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</si>
  <si>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</si>
  <si>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</si>
  <si>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</si>
  <si>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</si>
  <si>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</si>
  <si>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</si>
  <si>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</si>
  <si>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</si>
  <si>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</si>
  <si>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</si>
  <si>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</si>
  <si>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</si>
  <si>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</si>
  <si>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</si>
  <si>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</si>
  <si>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</si>
  <si>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</si>
  <si>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</si>
  <si>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</si>
  <si>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</si>
  <si>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</si>
  <si>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</si>
  <si>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</si>
  <si>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</si>
  <si>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</si>
  <si>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</si>
  <si>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</si>
  <si>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</si>
  <si>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</si>
  <si>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</si>
  <si>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</si>
  <si>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</si>
  <si>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</si>
  <si>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</si>
  <si>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</si>
  <si>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</si>
  <si>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</si>
  <si>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</si>
  <si>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</si>
  <si>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</si>
  <si>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</si>
  <si>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</si>
  <si>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</si>
  <si>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</si>
  <si>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</si>
  <si>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</si>
  <si>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</si>
  <si>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</si>
  <si>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</si>
  <si>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</si>
  <si>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</si>
  <si>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</si>
  <si>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</si>
  <si>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</si>
  <si>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</si>
  <si>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</si>
  <si>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</si>
  <si>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</si>
  <si>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</si>
  <si>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</si>
  <si>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</si>
  <si>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</si>
  <si>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</si>
  <si>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</si>
  <si>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</si>
  <si>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</si>
  <si>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</si>
  <si>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</si>
  <si>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</si>
  <si>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</si>
  <si>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</si>
  <si>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</si>
  <si>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</si>
  <si>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</si>
  <si>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</si>
  <si>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</si>
  <si>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</si>
  <si>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</si>
  <si>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</si>
  <si>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</si>
  <si>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</si>
  <si>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</si>
  <si>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</si>
  <si>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</si>
  <si>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</si>
  <si>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</si>
  <si>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</si>
  <si>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</si>
  <si>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</si>
  <si>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</si>
  <si>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</si>
  <si>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</si>
  <si>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</si>
  <si>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</si>
  <si>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</si>
  <si>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</si>
  <si>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</si>
  <si>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</si>
  <si>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</si>
  <si>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</si>
  <si>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</si>
  <si>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</si>
  <si>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</si>
  <si>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</si>
  <si>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</si>
  <si>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</si>
  <si>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</si>
  <si>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</si>
  <si>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</si>
  <si>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</si>
  <si>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</si>
  <si>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</si>
  <si>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</si>
  <si>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</si>
  <si>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</si>
  <si>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</si>
  <si>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</si>
  <si>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</si>
  <si>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</si>
  <si>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</si>
  <si>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</si>
  <si>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</si>
  <si>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</si>
  <si>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</si>
  <si>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</si>
  <si>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</si>
  <si>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</si>
  <si>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</si>
  <si>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</si>
  <si>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</si>
  <si>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</si>
  <si>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</si>
  <si>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</si>
  <si>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</si>
  <si>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</si>
  <si>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</si>
  <si>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</si>
  <si>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</si>
  <si>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</si>
  <si>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</si>
  <si>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</si>
  <si>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</si>
  <si>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</si>
  <si>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</si>
  <si>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</si>
  <si>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</si>
  <si>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</si>
  <si>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</si>
  <si>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</si>
  <si>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</si>
  <si>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</si>
  <si>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</si>
  <si>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</si>
  <si>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</si>
  <si>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</si>
  <si>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</si>
  <si>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</si>
  <si>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</si>
  <si>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</si>
  <si>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</si>
  <si>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</si>
  <si>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</si>
  <si>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</si>
  <si>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</si>
  <si>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</si>
  <si>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</si>
  <si>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</si>
  <si>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</si>
  <si>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</si>
  <si>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</si>
  <si>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</si>
  <si>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</si>
  <si>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</si>
  <si>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</si>
  <si>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</si>
  <si>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</si>
  <si>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</si>
  <si>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</si>
  <si>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</si>
  <si>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</si>
  <si>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</si>
  <si>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</si>
  <si>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</si>
  <si>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</si>
  <si>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</si>
  <si>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</si>
  <si>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</si>
  <si>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</si>
  <si>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</si>
  <si>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</si>
  <si>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</si>
  <si>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</si>
  <si>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</si>
  <si>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</si>
  <si>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</si>
  <si>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</si>
  <si>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</si>
  <si>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</si>
  <si>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</si>
  <si>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</si>
  <si>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</si>
  <si>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</si>
  <si>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</si>
  <si>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</si>
  <si>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</si>
  <si>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</si>
  <si>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</si>
  <si>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</si>
  <si>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</si>
  <si>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</si>
  <si>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</si>
  <si>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</si>
  <si>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</si>
  <si>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</si>
  <si>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</si>
  <si>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</si>
  <si>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</si>
  <si>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</si>
  <si>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</si>
  <si>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</si>
  <si>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</si>
  <si>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</si>
  <si>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</si>
  <si>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</si>
  <si>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</si>
  <si>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</si>
  <si>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</si>
  <si>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</si>
  <si>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</si>
  <si>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</si>
  <si>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</si>
  <si>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</si>
  <si>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</si>
  <si>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</si>
  <si>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</si>
  <si>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</si>
  <si>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</si>
  <si>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</si>
  <si>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</si>
  <si>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</si>
  <si>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</si>
  <si>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</si>
  <si>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</si>
  <si>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</si>
  <si>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</si>
  <si>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</si>
  <si>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</si>
  <si>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</si>
  <si>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</si>
  <si>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</si>
  <si>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</si>
  <si>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</si>
  <si>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</si>
  <si>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</si>
  <si>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</si>
  <si>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</si>
  <si>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</si>
  <si>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</si>
  <si>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</si>
  <si>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</si>
  <si>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</si>
  <si>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</si>
  <si>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</si>
  <si>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</si>
  <si>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</si>
  <si>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</si>
  <si>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</si>
  <si>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</si>
  <si>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</si>
  <si>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</si>
  <si>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</si>
  <si>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</si>
  <si>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</si>
  <si>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</si>
  <si>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</si>
  <si>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</si>
  <si>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</si>
  <si>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</si>
  <si>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</si>
  <si>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</si>
  <si>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</si>
  <si>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</si>
  <si>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</si>
  <si>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</si>
  <si>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</si>
  <si>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</si>
  <si>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</si>
  <si>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</si>
  <si>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</si>
  <si>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</si>
  <si>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</si>
  <si>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</si>
  <si>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</si>
  <si>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</si>
  <si>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</si>
  <si>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</si>
  <si>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</si>
  <si>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</si>
  <si>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</si>
  <si>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</si>
  <si>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</si>
  <si>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</si>
  <si>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</si>
  <si>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</si>
  <si>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</si>
  <si>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</si>
  <si>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</si>
  <si>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</si>
  <si>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</si>
  <si>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</si>
  <si>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</si>
  <si>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</si>
  <si>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</si>
  <si>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</si>
  <si>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</si>
  <si>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</si>
  <si>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</si>
  <si>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</si>
  <si>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</si>
  <si>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</si>
  <si>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</si>
  <si>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</si>
  <si>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</si>
  <si>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</si>
  <si>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</si>
  <si>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</si>
  <si>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</si>
  <si>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</si>
  <si>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</si>
  <si>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</si>
  <si>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</si>
  <si>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</si>
  <si>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</si>
  <si>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</si>
  <si>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</si>
  <si>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</si>
  <si>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</si>
  <si>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</si>
  <si>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</si>
  <si>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</si>
  <si>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</si>
  <si>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</si>
  <si>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</si>
  <si>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</si>
  <si>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</si>
  <si>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</si>
  <si>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</si>
  <si>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</si>
  <si>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</si>
  <si>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</si>
  <si>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</si>
  <si>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</si>
  <si>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</si>
  <si>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</si>
  <si>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</si>
  <si>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</si>
  <si>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</si>
  <si>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</si>
  <si>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</si>
  <si>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</si>
  <si>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</si>
  <si>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</si>
  <si>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</si>
  <si>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</si>
  <si>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</si>
  <si>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</si>
  <si>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</si>
  <si>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</si>
  <si>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</si>
  <si>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</si>
  <si>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</si>
  <si>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</si>
  <si>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</si>
  <si>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</si>
  <si>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</si>
  <si>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</si>
  <si>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</si>
  <si>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</si>
  <si>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</si>
  <si>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</si>
  <si>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</si>
  <si>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</si>
  <si>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</si>
  <si>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</si>
  <si>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</si>
  <si>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</si>
  <si>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</si>
  <si>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</si>
  <si>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</si>
  <si>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</si>
  <si>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</si>
  <si>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</si>
  <si>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</si>
  <si>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</si>
  <si>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</si>
  <si>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</si>
  <si>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</si>
  <si>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</si>
  <si>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</si>
  <si>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</si>
  <si>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</si>
  <si>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</si>
  <si>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</si>
  <si>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</si>
  <si>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</si>
  <si>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</si>
  <si>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</si>
  <si>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</si>
  <si>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</si>
  <si>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</si>
  <si>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</si>
  <si>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</si>
  <si>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</si>
  <si>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</si>
  <si>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</si>
  <si>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</si>
  <si>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</si>
  <si>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</si>
  <si>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</si>
  <si>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</si>
  <si>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</si>
  <si>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</si>
  <si>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</si>
  <si>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</si>
  <si>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</si>
  <si>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</si>
  <si>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</si>
  <si>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</si>
  <si>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</si>
  <si>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</si>
  <si>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</si>
  <si>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</si>
  <si>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</si>
  <si>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</si>
  <si>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</si>
  <si>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</si>
  <si>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</si>
  <si>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</si>
  <si>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</si>
  <si>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</si>
  <si>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</si>
  <si>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</si>
  <si>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</si>
  <si>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</si>
  <si>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</si>
  <si>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</si>
  <si>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</si>
  <si>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</si>
  <si>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</si>
  <si>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</si>
  <si>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</si>
  <si>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</si>
  <si>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</si>
  <si>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</si>
  <si>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</si>
  <si>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</si>
  <si>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</si>
  <si>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</si>
  <si>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</si>
  <si>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</si>
  <si>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</si>
  <si>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</si>
  <si>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</si>
  <si>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</si>
  <si>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</si>
  <si>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</si>
  <si>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</si>
  <si>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</si>
  <si>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</si>
  <si>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</si>
  <si>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</si>
  <si>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</si>
  <si>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</si>
  <si>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</si>
  <si>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</si>
  <si>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</si>
  <si>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</si>
  <si>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</si>
  <si>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</si>
  <si>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</si>
  <si>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</si>
  <si>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</si>
  <si>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</si>
  <si>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</si>
  <si>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</si>
  <si>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</si>
  <si>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</si>
  <si>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</si>
  <si>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</si>
  <si>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</si>
  <si>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</si>
  <si>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</si>
  <si>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</si>
  <si>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</si>
  <si>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</si>
  <si>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</si>
  <si>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</si>
  <si>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</si>
  <si>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</si>
  <si>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</si>
  <si>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</si>
  <si>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</si>
  <si>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</si>
  <si>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</si>
  <si>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</si>
  <si>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</si>
  <si>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</si>
  <si>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</si>
  <si>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</si>
  <si>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</si>
  <si>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</si>
  <si>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</si>
  <si>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</si>
  <si>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</si>
  <si>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</si>
  <si>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</si>
  <si>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</si>
  <si>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</si>
  <si>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</si>
  <si>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</si>
  <si>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</si>
  <si>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</si>
  <si>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</si>
  <si>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</si>
  <si>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</si>
  <si>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</si>
  <si>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</si>
  <si>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</si>
  <si>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</si>
  <si>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</si>
  <si>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</si>
  <si>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</si>
  <si>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</si>
  <si>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</si>
  <si>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</si>
  <si>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</si>
  <si>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</si>
  <si>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</si>
  <si>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</si>
  <si>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</si>
  <si>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</si>
  <si>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</si>
  <si>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</si>
  <si>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</si>
  <si>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</si>
  <si>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</si>
  <si>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</si>
  <si>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</si>
  <si>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</si>
  <si>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</si>
  <si>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</si>
  <si>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</si>
  <si>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</si>
  <si>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</si>
  <si>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</si>
  <si>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</si>
  <si>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</si>
  <si>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</si>
  <si>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</si>
  <si>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</si>
  <si>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</si>
  <si>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</si>
  <si>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</si>
  <si>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</si>
  <si>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</si>
  <si>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</si>
  <si>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</si>
  <si>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</si>
  <si>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</si>
  <si>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</si>
  <si>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</si>
  <si>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</si>
  <si>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</si>
  <si>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</si>
  <si>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</si>
  <si>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</si>
  <si>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</si>
  <si>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</si>
  <si>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</si>
  <si>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</si>
  <si>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</si>
  <si>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</si>
  <si>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</si>
  <si>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</si>
  <si>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</si>
  <si>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</si>
  <si>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</si>
  <si>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</si>
  <si>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</si>
  <si>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</si>
  <si>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</si>
  <si>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</si>
  <si>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</si>
  <si>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</si>
  <si>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</si>
  <si>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</si>
  <si>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</si>
  <si>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</si>
  <si>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</si>
  <si>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</si>
  <si>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</si>
  <si>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</si>
  <si>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</si>
  <si>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</si>
  <si>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</si>
  <si>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</si>
  <si>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</si>
  <si>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</si>
  <si>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</si>
  <si>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</si>
  <si>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</si>
  <si>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</si>
  <si>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</si>
  <si>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</si>
  <si>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</si>
  <si>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</si>
  <si>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</si>
  <si>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</si>
  <si>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</si>
  <si>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</si>
  <si>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</si>
  <si>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</si>
  <si>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</si>
  <si>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</si>
  <si>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</si>
  <si>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</si>
  <si>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</si>
  <si>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</si>
  <si>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</si>
  <si>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</si>
  <si>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</si>
  <si>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</si>
  <si>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</si>
  <si>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</si>
  <si>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</si>
  <si>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</si>
  <si>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</si>
  <si>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</si>
  <si>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</si>
  <si>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</si>
  <si>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</si>
  <si>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</si>
  <si>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</si>
  <si>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</si>
  <si>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</si>
  <si>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</si>
  <si>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</si>
  <si>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</si>
  <si>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</si>
  <si>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</si>
  <si>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</si>
  <si>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</si>
  <si>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</si>
  <si>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</si>
  <si>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</si>
  <si>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</si>
  <si>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</si>
  <si>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</si>
  <si>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</si>
  <si>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</si>
  <si>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</si>
  <si>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</si>
  <si>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</si>
  <si>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</si>
  <si>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</si>
  <si>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</si>
  <si>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</si>
  <si>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</si>
  <si>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</si>
  <si>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</si>
  <si>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</si>
  <si>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</si>
  <si>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</si>
  <si>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</si>
  <si>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</si>
  <si>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</si>
  <si>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</si>
  <si>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</si>
  <si>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</si>
  <si>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CRECHE</t>
  </si>
  <si>
    <t>ADAPTADO</t>
  </si>
  <si>
    <t>Freguesia / Brasilândia</t>
  </si>
  <si>
    <t>FB</t>
  </si>
  <si>
    <t>FBE</t>
  </si>
  <si>
    <t>FBC</t>
  </si>
  <si>
    <t>020.708-00</t>
  </si>
  <si>
    <t>2022/0026670-001</t>
  </si>
  <si>
    <t>2022/0026670</t>
  </si>
  <si>
    <t>DJE9491</t>
  </si>
  <si>
    <t>015.733-00</t>
  </si>
  <si>
    <t>2022/0027713-001B</t>
  </si>
  <si>
    <t>2022/0027713</t>
  </si>
  <si>
    <t>ECM4497</t>
  </si>
  <si>
    <t>015.812-00</t>
  </si>
  <si>
    <t>2022/0033780-001D</t>
  </si>
  <si>
    <t>2022/0033780</t>
  </si>
  <si>
    <t>CLU1093</t>
  </si>
  <si>
    <t>025.892-00</t>
  </si>
  <si>
    <t>2022/0027355-001</t>
  </si>
  <si>
    <t>2022/0027355</t>
  </si>
  <si>
    <t>EFU6103</t>
  </si>
  <si>
    <t>022.524-00</t>
  </si>
  <si>
    <t>2022/0026000-001</t>
  </si>
  <si>
    <t>2022/0026000</t>
  </si>
  <si>
    <t>DTD7389</t>
  </si>
  <si>
    <t>005.388-00</t>
  </si>
  <si>
    <t>2022/0028814-001</t>
  </si>
  <si>
    <t>2022/0028814</t>
  </si>
  <si>
    <t>DTC6900</t>
  </si>
  <si>
    <t>019.284-00</t>
  </si>
  <si>
    <t>2022/0031991-001</t>
  </si>
  <si>
    <t>2022/0031991</t>
  </si>
  <si>
    <t>DTA8459</t>
  </si>
  <si>
    <t>016.845-00</t>
  </si>
  <si>
    <t>2022/0026174-001</t>
  </si>
  <si>
    <t>2022/0026174</t>
  </si>
  <si>
    <t>CXA5755</t>
  </si>
  <si>
    <t>011.460-00</t>
  </si>
  <si>
    <t>2022/0031239-001D</t>
  </si>
  <si>
    <t>2022/0031239</t>
  </si>
  <si>
    <t>EGK6C37</t>
  </si>
  <si>
    <t>031.558-00</t>
  </si>
  <si>
    <t>2022/0033816-001B</t>
  </si>
  <si>
    <t>2022/0033816</t>
  </si>
  <si>
    <t>FXO4860</t>
  </si>
  <si>
    <t>022.771-00</t>
  </si>
  <si>
    <t>2023/0039607-001</t>
  </si>
  <si>
    <t>2023/0039607</t>
  </si>
  <si>
    <t>ELW1444</t>
  </si>
  <si>
    <t>014.409-00</t>
  </si>
  <si>
    <t>2022/0032145-001B</t>
  </si>
  <si>
    <t>2022/0032145</t>
  </si>
  <si>
    <t>DTC4582</t>
  </si>
  <si>
    <t>022.608-00</t>
  </si>
  <si>
    <t>2022/0030845-001A</t>
  </si>
  <si>
    <t>2022/0030845</t>
  </si>
  <si>
    <t>ELQ8250</t>
  </si>
  <si>
    <t>029.004-00</t>
  </si>
  <si>
    <t>2022/0027707-001</t>
  </si>
  <si>
    <t>2022/0027707</t>
  </si>
  <si>
    <t>FFN2680</t>
  </si>
  <si>
    <t>017.058-00</t>
  </si>
  <si>
    <t>2022/0034092-001</t>
  </si>
  <si>
    <t>2022/0034092</t>
  </si>
  <si>
    <t>GIB7756</t>
  </si>
  <si>
    <t>021.878-00</t>
  </si>
  <si>
    <t>2022/0025123-001C</t>
  </si>
  <si>
    <t>2022/0025123</t>
  </si>
  <si>
    <t>DTA8749</t>
  </si>
  <si>
    <t>023.311-00</t>
  </si>
  <si>
    <t>2022/0028906-001C</t>
  </si>
  <si>
    <t>2022/0028906</t>
  </si>
  <si>
    <t>UDX3C07</t>
  </si>
  <si>
    <t>046.270-00</t>
  </si>
  <si>
    <t>2024/0016319-001A</t>
  </si>
  <si>
    <t>2024/0016319</t>
  </si>
  <si>
    <t>TJK7J20</t>
  </si>
  <si>
    <t>014.199-00</t>
  </si>
  <si>
    <t>2022/0029312-001</t>
  </si>
  <si>
    <t>2022/0029312</t>
  </si>
  <si>
    <t>CZZ1758</t>
  </si>
  <si>
    <t>007.659-00</t>
  </si>
  <si>
    <t>2024/0058937-001</t>
  </si>
  <si>
    <t>2024/0058937</t>
  </si>
  <si>
    <t>ELQ7434</t>
  </si>
  <si>
    <t>042.779-00</t>
  </si>
  <si>
    <t>2022/0033653-001</t>
  </si>
  <si>
    <t>2022/0033653</t>
  </si>
  <si>
    <t>EZT9H58</t>
  </si>
  <si>
    <t>018.203-00</t>
  </si>
  <si>
    <t>2022/0030526-001A</t>
  </si>
  <si>
    <t>2022/0030526</t>
  </si>
  <si>
    <t>CZX6231</t>
  </si>
  <si>
    <t>022.804-00</t>
  </si>
  <si>
    <t>2023/0020998-001</t>
  </si>
  <si>
    <t>2023/0020998</t>
  </si>
  <si>
    <t>FIK1F88</t>
  </si>
  <si>
    <t>027.227-00</t>
  </si>
  <si>
    <t>2022/0028422-001A</t>
  </si>
  <si>
    <t>2022/0028422</t>
  </si>
  <si>
    <t>DTE8333</t>
  </si>
  <si>
    <t>040.419-00</t>
  </si>
  <si>
    <t>2022/0036090-001F</t>
  </si>
  <si>
    <t>2022/0036090</t>
  </si>
  <si>
    <t>TKK2H26</t>
  </si>
  <si>
    <t>048.889-00</t>
  </si>
  <si>
    <t>2023/0012714-001B</t>
  </si>
  <si>
    <t>2023/0012714</t>
  </si>
  <si>
    <t>EUG6E49</t>
  </si>
  <si>
    <t>028.577-00</t>
  </si>
  <si>
    <t>2023/0029267-001</t>
  </si>
  <si>
    <t>2023/0029267</t>
  </si>
  <si>
    <t>DTE9297</t>
  </si>
  <si>
    <t>018.609-00</t>
  </si>
  <si>
    <t>2022/0027626-001B</t>
  </si>
  <si>
    <t>2022/0027626</t>
  </si>
  <si>
    <t>EFV2C35</t>
  </si>
  <si>
    <t>017.810-00</t>
  </si>
  <si>
    <t>2022/0025591-001</t>
  </si>
  <si>
    <t>2022/0025591</t>
  </si>
  <si>
    <t>DPC4330</t>
  </si>
  <si>
    <t>031.625-00</t>
  </si>
  <si>
    <t>2022/0035206-001B</t>
  </si>
  <si>
    <t>2022/0035206</t>
  </si>
  <si>
    <t>LLJ2554</t>
  </si>
  <si>
    <t>023.474-00</t>
  </si>
  <si>
    <t>2022/0031275-001B</t>
  </si>
  <si>
    <t>2022/0031275</t>
  </si>
  <si>
    <t>EFU9J52</t>
  </si>
  <si>
    <t>037.175-00</t>
  </si>
  <si>
    <t>2023/0021897-001B</t>
  </si>
  <si>
    <t>2023/0021897</t>
  </si>
  <si>
    <t>FFN2480</t>
  </si>
  <si>
    <t>019.114-00</t>
  </si>
  <si>
    <t>2022/0029526-001</t>
  </si>
  <si>
    <t>2022/0029526</t>
  </si>
  <si>
    <t>CZZ2567</t>
  </si>
  <si>
    <t>6020.2022/0026670-0</t>
  </si>
  <si>
    <t>6020.2022/0027713-2</t>
  </si>
  <si>
    <t>6020.2022/0033780-1</t>
  </si>
  <si>
    <t>6020.2022/0027355-2</t>
  </si>
  <si>
    <t>6020.2022/0026000-0</t>
  </si>
  <si>
    <t>6020.2022/0028814-2</t>
  </si>
  <si>
    <t>6020.2022/0031991-9</t>
  </si>
  <si>
    <t>6020.2022/0026174-0</t>
  </si>
  <si>
    <t>6020.2022/0031239-6</t>
  </si>
  <si>
    <t>6020.2022/0033816-6</t>
  </si>
  <si>
    <t>6020.2023/0039607-9</t>
  </si>
  <si>
    <t>6020.2022/0032145-0</t>
  </si>
  <si>
    <t>6020.2022/0030845-3</t>
  </si>
  <si>
    <t>6020.2022/0027707-8</t>
  </si>
  <si>
    <t>6020.2022/0034092-6</t>
  </si>
  <si>
    <t>6020.2022/0025123-0</t>
  </si>
  <si>
    <t>6020.2022/0028906-8</t>
  </si>
  <si>
    <t>6020.2024/0016319-0</t>
  </si>
  <si>
    <t>6020.2022/0029312-0</t>
  </si>
  <si>
    <t>6020.2024/0058937-5</t>
  </si>
  <si>
    <t>6020.2022/0033653-8</t>
  </si>
  <si>
    <t>6020.2022/0030526-8</t>
  </si>
  <si>
    <t>6020.2023/0020998-8</t>
  </si>
  <si>
    <t>6020.2022/0028422-8</t>
  </si>
  <si>
    <t>6020.2022/0036090-0</t>
  </si>
  <si>
    <t>6020.2023/0012714-0</t>
  </si>
  <si>
    <t>6020.2023/0029267-2</t>
  </si>
  <si>
    <t>6020.2022/0027626-8</t>
  </si>
  <si>
    <t>6020.2022/0025591-0</t>
  </si>
  <si>
    <t>6020.2022/0035206-1</t>
  </si>
  <si>
    <t>6020.2022/0031275-2</t>
  </si>
  <si>
    <t>6020.2023/0021897-9</t>
  </si>
  <si>
    <t>6020.2022/0029526-2</t>
  </si>
  <si>
    <t>157.064.558-21</t>
  </si>
  <si>
    <t>279.621.408-79</t>
  </si>
  <si>
    <t>116.731.748-33</t>
  </si>
  <si>
    <t>218.551.398-20</t>
  </si>
  <si>
    <t>082.984.578-03</t>
  </si>
  <si>
    <t>859.240.918-72</t>
  </si>
  <si>
    <t>261.883.798-30</t>
  </si>
  <si>
    <t>592.649.938-00</t>
  </si>
  <si>
    <t>064.365.378-30</t>
  </si>
  <si>
    <t>340.484.098-40</t>
  </si>
  <si>
    <t>053.211.528-70</t>
  </si>
  <si>
    <t>012.760.258-58</t>
  </si>
  <si>
    <t>663.774.558-87</t>
  </si>
  <si>
    <t>213.218.998-66</t>
  </si>
  <si>
    <t>280.947.418-48</t>
  </si>
  <si>
    <t>113.931.448-37</t>
  </si>
  <si>
    <t>248.058.438-02</t>
  </si>
  <si>
    <t>331.554.628-25</t>
  </si>
  <si>
    <t>065.986.948-92</t>
  </si>
  <si>
    <t>809.179.258-15</t>
  </si>
  <si>
    <t>178.133.188-03</t>
  </si>
  <si>
    <t>083.539.738-63</t>
  </si>
  <si>
    <t>221.706.568-80</t>
  </si>
  <si>
    <t>099.400.558-03</t>
  </si>
  <si>
    <t>393.015.098-06</t>
  </si>
  <si>
    <t>152.241.578-54</t>
  </si>
  <si>
    <t>085.560.538-31</t>
  </si>
  <si>
    <t>090.499.178-44</t>
  </si>
  <si>
    <t>089.357.108-30</t>
  </si>
  <si>
    <t>288.160.208-81</t>
  </si>
  <si>
    <t>213.296.148-44</t>
  </si>
  <si>
    <t>035.019.518-84</t>
  </si>
  <si>
    <t>008.248.418-08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</si>
</sst>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41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233"/>
  <sheetViews>
    <sheetView showGridLines="0" zoomScale="85" zoomScaleNormal="85" workbookViewId="0">
      <selection activeCell="Q166" sqref="Q166:EO17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3190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3181</v>
      </c>
      <c r="G5" s="366" t="s">
        <v>3182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3194</v>
      </c>
      <c r="B6" s="522" t="s">
        <v>3195</v>
      </c>
      <c r="C6" s="523">
        <v>1</v>
      </c>
      <c r="D6" s="524" t="s">
        <v>3196</v>
      </c>
      <c r="E6" s="524" t="s">
        <v>3197</v>
      </c>
      <c r="F6" s="525" t="s">
        <v>3181</v>
      </c>
      <c r="G6" s="525" t="s">
        <v>3182</v>
      </c>
      <c r="H6" s="350" t="s">
        <v>1284</v>
      </c>
      <c r="I6" s="351" t="s">
        <v>1284</v>
      </c>
      <c r="J6" s="409" t="s">
        <v>3183</v>
      </c>
      <c r="K6" s="410" t="s">
        <v>3184</v>
      </c>
      <c r="L6" s="329">
        <f>CONTINUA!BV6</f>
        <v>0</v>
      </c>
      <c r="M6" s="329">
        <f>CONTINUA!BW6</f>
        <v>0</v>
      </c>
      <c r="N6" s="342"/>
      <c r="O6" s="288" t="s">
        <v>3326</v>
      </c>
      <c r="P6" s="330">
        <v>0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24057.41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24057.41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24057.41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3194</v>
      </c>
      <c r="B7" s="369" t="s">
        <v>3195</v>
      </c>
      <c r="C7" s="370" t="s">
        <v>3191</v>
      </c>
      <c r="D7" s="371" t="s">
        <v>3196</v>
      </c>
      <c r="E7" s="371" t="s">
        <v>3197</v>
      </c>
      <c r="F7" s="372" t="s">
        <v>3181</v>
      </c>
      <c r="G7" s="372" t="s">
        <v>3182</v>
      </c>
      <c r="H7" s="373" t="s">
        <v>1284</v>
      </c>
      <c r="I7" s="374" t="s">
        <v>1284</v>
      </c>
      <c r="J7" s="421" t="s">
        <v>3183</v>
      </c>
      <c r="K7" s="421" t="s">
        <v>3185</v>
      </c>
      <c r="L7" s="329">
        <f>CONTINUA!BV7</f>
        <v>0</v>
      </c>
      <c r="M7" s="329">
        <f>CONTINUA!BW7</f>
        <v>0</v>
      </c>
      <c r="N7" s="342"/>
      <c r="O7" s="289" t="s">
        <v>3326</v>
      </c>
      <c r="P7" s="330">
        <v>0</v>
      </c>
      <c r="Q7" s="400">
        <v>59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59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59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3194</v>
      </c>
      <c r="B8" s="369" t="s">
        <v>3195</v>
      </c>
      <c r="C8" s="375" t="s">
        <v>3191</v>
      </c>
      <c r="D8" s="371" t="s">
        <v>3196</v>
      </c>
      <c r="E8" s="371" t="s">
        <v>3197</v>
      </c>
      <c r="F8" s="376" t="s">
        <v>3181</v>
      </c>
      <c r="G8" s="376" t="s">
        <v>3182</v>
      </c>
      <c r="H8" s="373" t="s">
        <v>1284</v>
      </c>
      <c r="I8" s="374" t="s">
        <v>1284</v>
      </c>
      <c r="J8" s="421" t="s">
        <v>3183</v>
      </c>
      <c r="K8" s="422" t="s">
        <v>3186</v>
      </c>
      <c r="L8" s="329">
        <f>CONTINUA!BV8</f>
        <v>0</v>
      </c>
      <c r="M8" s="329">
        <f>CONTINUA!BW8</f>
        <v>0</v>
      </c>
      <c r="N8" s="342"/>
      <c r="O8" s="289" t="s">
        <v>3326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3194</v>
      </c>
      <c r="B9" s="369" t="s">
        <v>3195</v>
      </c>
      <c r="C9" s="375" t="s">
        <v>3191</v>
      </c>
      <c r="D9" s="371" t="s">
        <v>3196</v>
      </c>
      <c r="E9" s="371" t="s">
        <v>3197</v>
      </c>
      <c r="F9" s="376" t="s">
        <v>3181</v>
      </c>
      <c r="G9" s="376" t="s">
        <v>3182</v>
      </c>
      <c r="H9" s="373" t="s">
        <v>1284</v>
      </c>
      <c r="I9" s="374" t="s">
        <v>1284</v>
      </c>
      <c r="J9" s="421" t="s">
        <v>3183</v>
      </c>
      <c r="K9" s="423" t="s">
        <v>3187</v>
      </c>
      <c r="L9" s="329">
        <f>CONTINUA!BV9</f>
        <v>0</v>
      </c>
      <c r="M9" s="329">
        <f>CONTINUA!BW9</f>
        <v>0</v>
      </c>
      <c r="N9" s="342"/>
      <c r="O9" s="289" t="s">
        <v>3326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3194</v>
      </c>
      <c r="B10" s="378" t="s">
        <v>3195</v>
      </c>
      <c r="C10" s="379" t="s">
        <v>3191</v>
      </c>
      <c r="D10" s="380" t="s">
        <v>3196</v>
      </c>
      <c r="E10" s="380" t="s">
        <v>3197</v>
      </c>
      <c r="F10" s="381" t="s">
        <v>3181</v>
      </c>
      <c r="G10" s="381" t="s">
        <v>3182</v>
      </c>
      <c r="H10" s="382" t="s">
        <v>1284</v>
      </c>
      <c r="I10" s="383" t="s">
        <v>1284</v>
      </c>
      <c r="J10" s="421" t="s">
        <v>3183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3326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3198</v>
      </c>
      <c r="B11" s="522" t="s">
        <v>3199</v>
      </c>
      <c r="C11" s="523">
        <v>4</v>
      </c>
      <c r="D11" s="524" t="s">
        <v>3200</v>
      </c>
      <c r="E11" s="524" t="s">
        <v>3201</v>
      </c>
      <c r="F11" s="525" t="s">
        <v>3181</v>
      </c>
      <c r="G11" s="525" t="s">
        <v>3182</v>
      </c>
      <c r="H11" s="350" t="s">
        <v>1287</v>
      </c>
      <c r="I11" s="351" t="s">
        <v>1287</v>
      </c>
      <c r="J11" s="409" t="s">
        <v>3183</v>
      </c>
      <c r="K11" s="410" t="s">
        <v>3184</v>
      </c>
      <c r="L11" s="329">
        <f>CONTINUA!BV11</f>
        <v>0</v>
      </c>
      <c r="M11" s="329">
        <f>CONTINUA!BW11</f>
        <v>0</v>
      </c>
      <c r="N11" s="895"/>
      <c r="O11" s="896" t="s">
        <v>3327</v>
      </c>
      <c r="P11" s="897">
        <v>0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11465.63</v>
      </c>
      <c r="EX11" s="248">
        <f t="shared" ref="EX11:EX14" si="29">FF11</f>
        <v>1155.69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12852.68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1155.69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3198</v>
      </c>
      <c r="B12" s="369" t="s">
        <v>3199</v>
      </c>
      <c r="C12" s="370" t="s">
        <v>3192</v>
      </c>
      <c r="D12" s="371" t="s">
        <v>3200</v>
      </c>
      <c r="E12" s="371" t="s">
        <v>3201</v>
      </c>
      <c r="F12" s="372" t="s">
        <v>3181</v>
      </c>
      <c r="G12" s="372" t="s">
        <v>3182</v>
      </c>
      <c r="H12" s="373" t="s">
        <v>1287</v>
      </c>
      <c r="I12" s="374" t="s">
        <v>1287</v>
      </c>
      <c r="J12" s="421" t="s">
        <v>3183</v>
      </c>
      <c r="K12" s="421" t="s">
        <v>3185</v>
      </c>
      <c r="L12" s="329">
        <f>CONTINUA!BV12</f>
        <v>0</v>
      </c>
      <c r="M12" s="329">
        <f>CONTINUA!BW12</f>
        <v>0</v>
      </c>
      <c r="N12" s="895"/>
      <c r="O12" s="896" t="s">
        <v>3327</v>
      </c>
      <c r="P12" s="897">
        <v>0</v>
      </c>
      <c r="Q12" s="400"/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3198</v>
      </c>
      <c r="B13" s="369" t="s">
        <v>3199</v>
      </c>
      <c r="C13" s="375" t="s">
        <v>3192</v>
      </c>
      <c r="D13" s="371" t="s">
        <v>3200</v>
      </c>
      <c r="E13" s="371" t="s">
        <v>3201</v>
      </c>
      <c r="F13" s="376" t="s">
        <v>3181</v>
      </c>
      <c r="G13" s="376" t="s">
        <v>3182</v>
      </c>
      <c r="H13" s="373" t="s">
        <v>1287</v>
      </c>
      <c r="I13" s="374" t="s">
        <v>1287</v>
      </c>
      <c r="J13" s="421" t="s">
        <v>3183</v>
      </c>
      <c r="K13" s="422" t="s">
        <v>3186</v>
      </c>
      <c r="L13" s="329">
        <f>CONTINUA!BV13</f>
        <v>24</v>
      </c>
      <c r="M13" s="329">
        <f>CONTINUA!BW13</f>
        <v>0</v>
      </c>
      <c r="N13" s="895"/>
      <c r="O13" s="896" t="s">
        <v>3327</v>
      </c>
      <c r="P13" s="897">
        <v>0</v>
      </c>
      <c r="Q13" s="400">
        <v>3</v>
      </c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3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3</v>
      </c>
      <c r="EW13" s="125"/>
      <c r="EX13" s="248">
        <f t="shared" si="29"/>
        <v>0</v>
      </c>
      <c r="EY13" s="174">
        <f>(L13*regular)+(M13*Cadeirantee)</f>
        <v>231.36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3198</v>
      </c>
      <c r="B14" s="369" t="s">
        <v>3199</v>
      </c>
      <c r="C14" s="375" t="s">
        <v>3192</v>
      </c>
      <c r="D14" s="371" t="s">
        <v>3200</v>
      </c>
      <c r="E14" s="371" t="s">
        <v>3201</v>
      </c>
      <c r="F14" s="376" t="s">
        <v>3181</v>
      </c>
      <c r="G14" s="376" t="s">
        <v>3182</v>
      </c>
      <c r="H14" s="373" t="s">
        <v>1287</v>
      </c>
      <c r="I14" s="374" t="s">
        <v>1287</v>
      </c>
      <c r="J14" s="421" t="s">
        <v>3183</v>
      </c>
      <c r="K14" s="423" t="s">
        <v>3187</v>
      </c>
      <c r="L14" s="329">
        <f>CONTINUA!BV14</f>
        <v>0</v>
      </c>
      <c r="M14" s="329">
        <f>CONTINUA!BW14</f>
        <v>0</v>
      </c>
      <c r="N14" s="895"/>
      <c r="O14" s="896" t="s">
        <v>3327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3198</v>
      </c>
      <c r="B15" s="378" t="s">
        <v>3199</v>
      </c>
      <c r="C15" s="379" t="s">
        <v>3192</v>
      </c>
      <c r="D15" s="380" t="s">
        <v>3200</v>
      </c>
      <c r="E15" s="380" t="s">
        <v>3201</v>
      </c>
      <c r="F15" s="381" t="s">
        <v>3181</v>
      </c>
      <c r="G15" s="381" t="s">
        <v>3182</v>
      </c>
      <c r="H15" s="382" t="s">
        <v>1287</v>
      </c>
      <c r="I15" s="383" t="s">
        <v>1287</v>
      </c>
      <c r="J15" s="421" t="s">
        <v>3183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3327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3202</v>
      </c>
      <c r="B16" s="522" t="s">
        <v>3203</v>
      </c>
      <c r="C16" s="523">
        <v>1</v>
      </c>
      <c r="D16" s="524" t="s">
        <v>3204</v>
      </c>
      <c r="E16" s="524" t="s">
        <v>3205</v>
      </c>
      <c r="F16" s="525" t="s">
        <v>3181</v>
      </c>
      <c r="G16" s="525" t="s">
        <v>3182</v>
      </c>
      <c r="H16" s="350" t="s">
        <v>1288</v>
      </c>
      <c r="I16" s="351" t="s">
        <v>1288</v>
      </c>
      <c r="J16" s="409" t="s">
        <v>3183</v>
      </c>
      <c r="K16" s="410" t="s">
        <v>3184</v>
      </c>
      <c r="L16" s="329">
        <f>CONTINUA!BV16</f>
        <v>0</v>
      </c>
      <c r="M16" s="329">
        <f>CONTINUA!BW16</f>
        <v>0</v>
      </c>
      <c r="N16" s="895"/>
      <c r="O16" s="896" t="s">
        <v>3328</v>
      </c>
      <c r="P16" s="897">
        <v>0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17123.27</v>
      </c>
      <c r="EY16" s="174">
        <f>(L16*regular)+(M16*Cadeirantee)</f>
        <v>0</v>
      </c>
      <c r="EZ16" s="249">
        <f>SUMIF(FG16:GJ16,"&gt;0")</f>
        <v>308.18400000000003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17518.214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17123.27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308.18400000000003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3202</v>
      </c>
      <c r="B17" s="369" t="s">
        <v>3203</v>
      </c>
      <c r="C17" s="370" t="s">
        <v>3191</v>
      </c>
      <c r="D17" s="371" t="s">
        <v>3204</v>
      </c>
      <c r="E17" s="371" t="s">
        <v>3205</v>
      </c>
      <c r="F17" s="372" t="s">
        <v>3181</v>
      </c>
      <c r="G17" s="372" t="s">
        <v>3182</v>
      </c>
      <c r="H17" s="373" t="s">
        <v>1288</v>
      </c>
      <c r="I17" s="374" t="s">
        <v>1288</v>
      </c>
      <c r="J17" s="421" t="s">
        <v>3183</v>
      </c>
      <c r="K17" s="421" t="s">
        <v>3185</v>
      </c>
      <c r="L17" s="329">
        <f>CONTINUA!BV17</f>
        <v>9</v>
      </c>
      <c r="M17" s="329">
        <f>CONTINUA!BW17</f>
        <v>0</v>
      </c>
      <c r="N17" s="895"/>
      <c r="O17" s="896" t="s">
        <v>3328</v>
      </c>
      <c r="P17" s="897">
        <v>0</v>
      </c>
      <c r="Q17" s="400">
        <v>36</v>
      </c>
      <c r="R17" s="401"/>
      <c r="S17" s="400">
        <v>5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>
        <v>1</v>
      </c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36</v>
      </c>
      <c r="EQ17" s="171">
        <f t="shared" si="23"/>
        <v>1</v>
      </c>
      <c r="ER17" s="171">
        <f t="shared" si="24"/>
        <v>5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42</v>
      </c>
      <c r="EW17" s="173"/>
      <c r="EX17" s="248">
        <f t="shared" si="35"/>
        <v>0</v>
      </c>
      <c r="EY17" s="174">
        <f>(L17*regular)+(M17*Cadeirantee)</f>
        <v>86.76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3202</v>
      </c>
      <c r="B18" s="369" t="s">
        <v>3203</v>
      </c>
      <c r="C18" s="375" t="s">
        <v>3191</v>
      </c>
      <c r="D18" s="371" t="s">
        <v>3204</v>
      </c>
      <c r="E18" s="371" t="s">
        <v>3205</v>
      </c>
      <c r="F18" s="376" t="s">
        <v>3181</v>
      </c>
      <c r="G18" s="376" t="s">
        <v>3182</v>
      </c>
      <c r="H18" s="373" t="s">
        <v>1288</v>
      </c>
      <c r="I18" s="374" t="s">
        <v>1288</v>
      </c>
      <c r="J18" s="421" t="s">
        <v>3183</v>
      </c>
      <c r="K18" s="422" t="s">
        <v>3186</v>
      </c>
      <c r="L18" s="329">
        <f>CONTINUA!BV18</f>
        <v>0</v>
      </c>
      <c r="M18" s="329">
        <f>CONTINUA!BW18</f>
        <v>0</v>
      </c>
      <c r="N18" s="895"/>
      <c r="O18" s="896" t="s">
        <v>3328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3202</v>
      </c>
      <c r="B19" s="369" t="s">
        <v>3203</v>
      </c>
      <c r="C19" s="375" t="s">
        <v>3191</v>
      </c>
      <c r="D19" s="371" t="s">
        <v>3204</v>
      </c>
      <c r="E19" s="371" t="s">
        <v>3205</v>
      </c>
      <c r="F19" s="376" t="s">
        <v>3181</v>
      </c>
      <c r="G19" s="376" t="s">
        <v>3182</v>
      </c>
      <c r="H19" s="373" t="s">
        <v>1288</v>
      </c>
      <c r="I19" s="374" t="s">
        <v>1288</v>
      </c>
      <c r="J19" s="421" t="s">
        <v>3183</v>
      </c>
      <c r="K19" s="423" t="s">
        <v>3187</v>
      </c>
      <c r="L19" s="329">
        <f>CONTINUA!BV19</f>
        <v>0</v>
      </c>
      <c r="M19" s="329">
        <f>CONTINUA!BW19</f>
        <v>0</v>
      </c>
      <c r="N19" s="895"/>
      <c r="O19" s="896" t="s">
        <v>3328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3202</v>
      </c>
      <c r="B20" s="378" t="s">
        <v>3203</v>
      </c>
      <c r="C20" s="379" t="s">
        <v>3191</v>
      </c>
      <c r="D20" s="380" t="s">
        <v>3204</v>
      </c>
      <c r="E20" s="380" t="s">
        <v>3205</v>
      </c>
      <c r="F20" s="381" t="s">
        <v>3181</v>
      </c>
      <c r="G20" s="381" t="s">
        <v>3182</v>
      </c>
      <c r="H20" s="382" t="s">
        <v>1288</v>
      </c>
      <c r="I20" s="383" t="s">
        <v>1288</v>
      </c>
      <c r="J20" s="421" t="s">
        <v>3183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3328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3206</v>
      </c>
      <c r="B21" s="522" t="s">
        <v>3207</v>
      </c>
      <c r="C21" s="523">
        <v>4</v>
      </c>
      <c r="D21" s="524" t="s">
        <v>3208</v>
      </c>
      <c r="E21" s="524" t="s">
        <v>3209</v>
      </c>
      <c r="F21" s="525" t="s">
        <v>3181</v>
      </c>
      <c r="G21" s="525" t="s">
        <v>3182</v>
      </c>
      <c r="H21" s="350" t="s">
        <v>1289</v>
      </c>
      <c r="I21" s="351" t="s">
        <v>1289</v>
      </c>
      <c r="J21" s="409" t="s">
        <v>3183</v>
      </c>
      <c r="K21" s="410" t="s">
        <v>3184</v>
      </c>
      <c r="L21" s="329">
        <f>CONTINUA!BV21</f>
        <v>0</v>
      </c>
      <c r="M21" s="329">
        <f>CONTINUA!BW21</f>
        <v>0</v>
      </c>
      <c r="N21" s="895"/>
      <c r="O21" s="896" t="s">
        <v>3329</v>
      </c>
      <c r="P21" s="897">
        <v>0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11465.63</v>
      </c>
      <c r="EX21" s="248">
        <f t="shared" ref="EX21:EX24" si="40">FF21</f>
        <v>385.23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11850.859999999999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385.23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3206</v>
      </c>
      <c r="B22" s="369" t="s">
        <v>3207</v>
      </c>
      <c r="C22" s="370" t="s">
        <v>3192</v>
      </c>
      <c r="D22" s="371" t="s">
        <v>3208</v>
      </c>
      <c r="E22" s="371" t="s">
        <v>3209</v>
      </c>
      <c r="F22" s="372" t="s">
        <v>3181</v>
      </c>
      <c r="G22" s="372" t="s">
        <v>3182</v>
      </c>
      <c r="H22" s="373" t="s">
        <v>1289</v>
      </c>
      <c r="I22" s="374" t="s">
        <v>1289</v>
      </c>
      <c r="J22" s="421" t="s">
        <v>3183</v>
      </c>
      <c r="K22" s="421" t="s">
        <v>3185</v>
      </c>
      <c r="L22" s="329">
        <f>CONTINUA!BV22</f>
        <v>0</v>
      </c>
      <c r="M22" s="329">
        <f>CONTINUA!BW22</f>
        <v>0</v>
      </c>
      <c r="N22" s="895"/>
      <c r="O22" s="896" t="s">
        <v>3329</v>
      </c>
      <c r="P22" s="897">
        <v>0</v>
      </c>
      <c r="Q22" s="400"/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3206</v>
      </c>
      <c r="B23" s="369" t="s">
        <v>3207</v>
      </c>
      <c r="C23" s="375" t="s">
        <v>3192</v>
      </c>
      <c r="D23" s="371" t="s">
        <v>3208</v>
      </c>
      <c r="E23" s="371" t="s">
        <v>3209</v>
      </c>
      <c r="F23" s="376" t="s">
        <v>3181</v>
      </c>
      <c r="G23" s="376" t="s">
        <v>3182</v>
      </c>
      <c r="H23" s="373" t="s">
        <v>1289</v>
      </c>
      <c r="I23" s="374" t="s">
        <v>1289</v>
      </c>
      <c r="J23" s="421" t="s">
        <v>3183</v>
      </c>
      <c r="K23" s="422" t="s">
        <v>3186</v>
      </c>
      <c r="L23" s="329">
        <f>CONTINUA!BV23</f>
        <v>0</v>
      </c>
      <c r="M23" s="329">
        <f>CONTINUA!BW23</f>
        <v>0</v>
      </c>
      <c r="N23" s="895"/>
      <c r="O23" s="896" t="s">
        <v>3329</v>
      </c>
      <c r="P23" s="897">
        <v>0</v>
      </c>
      <c r="Q23" s="400">
        <v>1</v>
      </c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1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1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3206</v>
      </c>
      <c r="B24" s="369" t="s">
        <v>3207</v>
      </c>
      <c r="C24" s="375" t="s">
        <v>3192</v>
      </c>
      <c r="D24" s="371" t="s">
        <v>3208</v>
      </c>
      <c r="E24" s="371" t="s">
        <v>3209</v>
      </c>
      <c r="F24" s="376" t="s">
        <v>3181</v>
      </c>
      <c r="G24" s="376" t="s">
        <v>3182</v>
      </c>
      <c r="H24" s="373" t="s">
        <v>1289</v>
      </c>
      <c r="I24" s="374" t="s">
        <v>1289</v>
      </c>
      <c r="J24" s="421" t="s">
        <v>3183</v>
      </c>
      <c r="K24" s="423" t="s">
        <v>3187</v>
      </c>
      <c r="L24" s="329">
        <f>CONTINUA!BV24</f>
        <v>0</v>
      </c>
      <c r="M24" s="329">
        <f>CONTINUA!BW24</f>
        <v>0</v>
      </c>
      <c r="N24" s="895"/>
      <c r="O24" s="896" t="s">
        <v>3329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3206</v>
      </c>
      <c r="B25" s="378" t="s">
        <v>3207</v>
      </c>
      <c r="C25" s="379" t="s">
        <v>3192</v>
      </c>
      <c r="D25" s="380" t="s">
        <v>3208</v>
      </c>
      <c r="E25" s="380" t="s">
        <v>3209</v>
      </c>
      <c r="F25" s="381" t="s">
        <v>3181</v>
      </c>
      <c r="G25" s="381" t="s">
        <v>3182</v>
      </c>
      <c r="H25" s="382" t="s">
        <v>1289</v>
      </c>
      <c r="I25" s="383" t="s">
        <v>1289</v>
      </c>
      <c r="J25" s="421" t="s">
        <v>3183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3329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3210</v>
      </c>
      <c r="B26" s="522" t="s">
        <v>3211</v>
      </c>
      <c r="C26" s="523">
        <v>1</v>
      </c>
      <c r="D26" s="524" t="s">
        <v>3212</v>
      </c>
      <c r="E26" s="524" t="s">
        <v>3213</v>
      </c>
      <c r="F26" s="525" t="s">
        <v>3181</v>
      </c>
      <c r="G26" s="525" t="s">
        <v>3182</v>
      </c>
      <c r="H26" s="350" t="s">
        <v>1290</v>
      </c>
      <c r="I26" s="351" t="s">
        <v>1290</v>
      </c>
      <c r="J26" s="409" t="s">
        <v>3183</v>
      </c>
      <c r="K26" s="410" t="s">
        <v>3184</v>
      </c>
      <c r="L26" s="329">
        <f>CONTINUA!BV26</f>
        <v>0</v>
      </c>
      <c r="M26" s="329">
        <f>CONTINUA!BW26</f>
        <v>0</v>
      </c>
      <c r="N26" s="895"/>
      <c r="O26" s="896" t="s">
        <v>3330</v>
      </c>
      <c r="P26" s="897">
        <v>0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14811.890000000001</v>
      </c>
      <c r="EY26" s="174">
        <f>(L26*regular)+(M26*Cadeirantee)</f>
        <v>0</v>
      </c>
      <c r="EZ26" s="249">
        <f>SUMIF(FG26:GJ26,"&gt;0")</f>
        <v>1181.3720000000001</v>
      </c>
      <c r="FA26" s="249">
        <f>SUMIF(FG26:GJ26,"&lt;0")+SUMIF(GN26:HP26,"&lt;0")</f>
        <v>-295.34300000000002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16257.039000000001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14811.890000000001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1181.3720000000001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-179.774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-115.56900000000002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3210</v>
      </c>
      <c r="B27" s="369" t="s">
        <v>3211</v>
      </c>
      <c r="C27" s="370" t="s">
        <v>3191</v>
      </c>
      <c r="D27" s="371" t="s">
        <v>3212</v>
      </c>
      <c r="E27" s="371" t="s">
        <v>3213</v>
      </c>
      <c r="F27" s="372" t="s">
        <v>3181</v>
      </c>
      <c r="G27" s="372" t="s">
        <v>3182</v>
      </c>
      <c r="H27" s="373" t="s">
        <v>1290</v>
      </c>
      <c r="I27" s="374" t="s">
        <v>1290</v>
      </c>
      <c r="J27" s="421" t="s">
        <v>3183</v>
      </c>
      <c r="K27" s="421" t="s">
        <v>3185</v>
      </c>
      <c r="L27" s="329">
        <f>CONTINUA!BV27</f>
        <v>58</v>
      </c>
      <c r="M27" s="329">
        <f>CONTINUA!BW27</f>
        <v>0</v>
      </c>
      <c r="N27" s="895"/>
      <c r="O27" s="896" t="s">
        <v>3330</v>
      </c>
      <c r="P27" s="897">
        <v>0</v>
      </c>
      <c r="Q27" s="400">
        <v>35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>
        <v>1</v>
      </c>
      <c r="AT27" s="401"/>
      <c r="AU27" s="400">
        <v>3</v>
      </c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>
        <v>-1</v>
      </c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>
        <v>-1</v>
      </c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35</v>
      </c>
      <c r="EQ27" s="171">
        <f t="shared" si="23"/>
        <v>-1</v>
      </c>
      <c r="ER27" s="171">
        <f t="shared" si="24"/>
        <v>3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37</v>
      </c>
      <c r="EW27" s="173"/>
      <c r="EX27" s="248">
        <f t="shared" si="45"/>
        <v>0</v>
      </c>
      <c r="EY27" s="174">
        <f>(L27*regular)+(M27*Cadeirantee)</f>
        <v>559.12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3210</v>
      </c>
      <c r="B28" s="369" t="s">
        <v>3211</v>
      </c>
      <c r="C28" s="375" t="s">
        <v>3191</v>
      </c>
      <c r="D28" s="371" t="s">
        <v>3212</v>
      </c>
      <c r="E28" s="371" t="s">
        <v>3213</v>
      </c>
      <c r="F28" s="376" t="s">
        <v>3181</v>
      </c>
      <c r="G28" s="376" t="s">
        <v>3182</v>
      </c>
      <c r="H28" s="373" t="s">
        <v>1290</v>
      </c>
      <c r="I28" s="374" t="s">
        <v>1290</v>
      </c>
      <c r="J28" s="421" t="s">
        <v>3183</v>
      </c>
      <c r="K28" s="422" t="s">
        <v>3186</v>
      </c>
      <c r="L28" s="329">
        <f>CONTINUA!BV28</f>
        <v>0</v>
      </c>
      <c r="M28" s="329">
        <f>CONTINUA!BW28</f>
        <v>0</v>
      </c>
      <c r="N28" s="895"/>
      <c r="O28" s="896" t="s">
        <v>3330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3210</v>
      </c>
      <c r="B29" s="369" t="s">
        <v>3211</v>
      </c>
      <c r="C29" s="375" t="s">
        <v>3191</v>
      </c>
      <c r="D29" s="371" t="s">
        <v>3212</v>
      </c>
      <c r="E29" s="371" t="s">
        <v>3213</v>
      </c>
      <c r="F29" s="376" t="s">
        <v>3181</v>
      </c>
      <c r="G29" s="376" t="s">
        <v>3182</v>
      </c>
      <c r="H29" s="373" t="s">
        <v>1290</v>
      </c>
      <c r="I29" s="374" t="s">
        <v>1290</v>
      </c>
      <c r="J29" s="421" t="s">
        <v>3183</v>
      </c>
      <c r="K29" s="423" t="s">
        <v>3187</v>
      </c>
      <c r="L29" s="329">
        <f>CONTINUA!BV29</f>
        <v>0</v>
      </c>
      <c r="M29" s="329">
        <f>CONTINUA!BW29</f>
        <v>0</v>
      </c>
      <c r="N29" s="895"/>
      <c r="O29" s="896" t="s">
        <v>3330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3210</v>
      </c>
      <c r="B30" s="378" t="s">
        <v>3211</v>
      </c>
      <c r="C30" s="379" t="s">
        <v>3191</v>
      </c>
      <c r="D30" s="380" t="s">
        <v>3212</v>
      </c>
      <c r="E30" s="380" t="s">
        <v>3213</v>
      </c>
      <c r="F30" s="381" t="s">
        <v>3181</v>
      </c>
      <c r="G30" s="381" t="s">
        <v>3182</v>
      </c>
      <c r="H30" s="382" t="s">
        <v>1290</v>
      </c>
      <c r="I30" s="383" t="s">
        <v>1290</v>
      </c>
      <c r="J30" s="421" t="s">
        <v>3183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3330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3214</v>
      </c>
      <c r="B31" s="522" t="s">
        <v>3215</v>
      </c>
      <c r="C31" s="523">
        <v>2</v>
      </c>
      <c r="D31" s="524" t="s">
        <v>3216</v>
      </c>
      <c r="E31" s="524" t="s">
        <v>3217</v>
      </c>
      <c r="F31" s="525" t="s">
        <v>3181</v>
      </c>
      <c r="G31" s="525" t="s">
        <v>3182</v>
      </c>
      <c r="H31" s="350" t="s">
        <v>1294</v>
      </c>
      <c r="I31" s="351" t="s">
        <v>1294</v>
      </c>
      <c r="J31" s="409" t="s">
        <v>3189</v>
      </c>
      <c r="K31" s="410" t="s">
        <v>3184</v>
      </c>
      <c r="L31" s="329">
        <f>CONTINUA!BV31</f>
        <v>0</v>
      </c>
      <c r="M31" s="329">
        <f>CONTINUA!BW31</f>
        <v>0</v>
      </c>
      <c r="N31" s="895"/>
      <c r="O31" s="896" t="s">
        <v>3331</v>
      </c>
      <c r="P31" s="897">
        <v>0</v>
      </c>
      <c r="Q31" s="400"/>
      <c r="R31" s="401">
        <v>1</v>
      </c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1</v>
      </c>
      <c r="ET31" s="171">
        <f t="shared" si="26"/>
        <v>0</v>
      </c>
      <c r="EU31" s="171">
        <f t="shared" si="27"/>
        <v>0</v>
      </c>
      <c r="EV31" s="172">
        <f t="shared" si="28"/>
        <v>1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14393.93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14393.93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14393.93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3214</v>
      </c>
      <c r="B32" s="369" t="s">
        <v>3215</v>
      </c>
      <c r="C32" s="370" t="s">
        <v>3191</v>
      </c>
      <c r="D32" s="371" t="s">
        <v>3216</v>
      </c>
      <c r="E32" s="371" t="s">
        <v>3217</v>
      </c>
      <c r="F32" s="372" t="s">
        <v>3181</v>
      </c>
      <c r="G32" s="372" t="s">
        <v>3182</v>
      </c>
      <c r="H32" s="373" t="s">
        <v>1294</v>
      </c>
      <c r="I32" s="374" t="s">
        <v>1294</v>
      </c>
      <c r="J32" s="421" t="s">
        <v>3189</v>
      </c>
      <c r="K32" s="421" t="s">
        <v>3185</v>
      </c>
      <c r="L32" s="329">
        <f>CONTINUA!BV32</f>
        <v>0</v>
      </c>
      <c r="M32" s="329">
        <f>CONTINUA!BW32</f>
        <v>0</v>
      </c>
      <c r="N32" s="895"/>
      <c r="O32" s="896" t="s">
        <v>3331</v>
      </c>
      <c r="P32" s="897">
        <v>0</v>
      </c>
      <c r="Q32" s="400">
        <v>1</v>
      </c>
      <c r="R32" s="401">
        <v>4</v>
      </c>
      <c r="S32" s="400">
        <v>1</v>
      </c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1</v>
      </c>
      <c r="EQ32" s="171">
        <f t="shared" si="23"/>
        <v>0</v>
      </c>
      <c r="ER32" s="171">
        <f t="shared" si="24"/>
        <v>1</v>
      </c>
      <c r="ES32" s="171">
        <f t="shared" si="25"/>
        <v>4</v>
      </c>
      <c r="ET32" s="171">
        <f t="shared" si="26"/>
        <v>0</v>
      </c>
      <c r="EU32" s="171">
        <f t="shared" si="27"/>
        <v>0</v>
      </c>
      <c r="EV32" s="172">
        <f t="shared" si="28"/>
        <v>6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3214</v>
      </c>
      <c r="B33" s="369" t="s">
        <v>3215</v>
      </c>
      <c r="C33" s="375" t="s">
        <v>3191</v>
      </c>
      <c r="D33" s="371" t="s">
        <v>3216</v>
      </c>
      <c r="E33" s="371" t="s">
        <v>3217</v>
      </c>
      <c r="F33" s="376" t="s">
        <v>3181</v>
      </c>
      <c r="G33" s="376" t="s">
        <v>3182</v>
      </c>
      <c r="H33" s="373" t="s">
        <v>1294</v>
      </c>
      <c r="I33" s="374" t="s">
        <v>1294</v>
      </c>
      <c r="J33" s="421" t="s">
        <v>3189</v>
      </c>
      <c r="K33" s="422" t="s">
        <v>3186</v>
      </c>
      <c r="L33" s="329">
        <f>CONTINUA!BV33</f>
        <v>0</v>
      </c>
      <c r="M33" s="329">
        <f>CONTINUA!BW33</f>
        <v>0</v>
      </c>
      <c r="N33" s="895"/>
      <c r="O33" s="896" t="s">
        <v>3331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3214</v>
      </c>
      <c r="B34" s="369" t="s">
        <v>3215</v>
      </c>
      <c r="C34" s="375" t="s">
        <v>3191</v>
      </c>
      <c r="D34" s="371" t="s">
        <v>3216</v>
      </c>
      <c r="E34" s="371" t="s">
        <v>3217</v>
      </c>
      <c r="F34" s="376" t="s">
        <v>3181</v>
      </c>
      <c r="G34" s="376" t="s">
        <v>3182</v>
      </c>
      <c r="H34" s="373" t="s">
        <v>1294</v>
      </c>
      <c r="I34" s="374" t="s">
        <v>1294</v>
      </c>
      <c r="J34" s="421" t="s">
        <v>3189</v>
      </c>
      <c r="K34" s="423" t="s">
        <v>3187</v>
      </c>
      <c r="L34" s="329">
        <f>CONTINUA!BV34</f>
        <v>0</v>
      </c>
      <c r="M34" s="329">
        <f>CONTINUA!BW34</f>
        <v>0</v>
      </c>
      <c r="N34" s="895"/>
      <c r="O34" s="896" t="s">
        <v>3331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3214</v>
      </c>
      <c r="B35" s="378" t="s">
        <v>3215</v>
      </c>
      <c r="C35" s="379" t="s">
        <v>3191</v>
      </c>
      <c r="D35" s="380" t="s">
        <v>3216</v>
      </c>
      <c r="E35" s="380" t="s">
        <v>3217</v>
      </c>
      <c r="F35" s="381" t="s">
        <v>3181</v>
      </c>
      <c r="G35" s="381" t="s">
        <v>3182</v>
      </c>
      <c r="H35" s="382" t="s">
        <v>1294</v>
      </c>
      <c r="I35" s="383" t="s">
        <v>1294</v>
      </c>
      <c r="J35" s="421" t="s">
        <v>3189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3331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3218</v>
      </c>
      <c r="B36" s="522" t="s">
        <v>3219</v>
      </c>
      <c r="C36" s="523">
        <v>1</v>
      </c>
      <c r="D36" s="524" t="s">
        <v>3220</v>
      </c>
      <c r="E36" s="524" t="s">
        <v>3221</v>
      </c>
      <c r="F36" s="525" t="s">
        <v>3181</v>
      </c>
      <c r="G36" s="525" t="s">
        <v>3182</v>
      </c>
      <c r="H36" s="350" t="s">
        <v>1301</v>
      </c>
      <c r="I36" s="351" t="s">
        <v>1301</v>
      </c>
      <c r="J36" s="409" t="s">
        <v>3183</v>
      </c>
      <c r="K36" s="410" t="s">
        <v>3184</v>
      </c>
      <c r="L36" s="329">
        <f>CONTINUA!BV36</f>
        <v>0</v>
      </c>
      <c r="M36" s="329">
        <f>CONTINUA!BW36</f>
        <v>0</v>
      </c>
      <c r="N36" s="895"/>
      <c r="O36" s="896" t="s">
        <v>3332</v>
      </c>
      <c r="P36" s="897">
        <v>0</v>
      </c>
      <c r="Q36" s="400">
        <v>3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3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3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12115.28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-372.38900000000001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11742.891000000001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12115.28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-372.38900000000001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3218</v>
      </c>
      <c r="B37" s="369" t="s">
        <v>3219</v>
      </c>
      <c r="C37" s="370" t="s">
        <v>3191</v>
      </c>
      <c r="D37" s="371" t="s">
        <v>3220</v>
      </c>
      <c r="E37" s="371" t="s">
        <v>3221</v>
      </c>
      <c r="F37" s="372" t="s">
        <v>3181</v>
      </c>
      <c r="G37" s="372" t="s">
        <v>3182</v>
      </c>
      <c r="H37" s="373" t="s">
        <v>1301</v>
      </c>
      <c r="I37" s="374" t="s">
        <v>1301</v>
      </c>
      <c r="J37" s="421" t="s">
        <v>3183</v>
      </c>
      <c r="K37" s="421" t="s">
        <v>3185</v>
      </c>
      <c r="L37" s="329">
        <f>CONTINUA!BV37</f>
        <v>0</v>
      </c>
      <c r="M37" s="329">
        <f>CONTINUA!BW37</f>
        <v>0</v>
      </c>
      <c r="N37" s="895"/>
      <c r="O37" s="896" t="s">
        <v>3332</v>
      </c>
      <c r="P37" s="897">
        <v>0</v>
      </c>
      <c r="Q37" s="400">
        <v>25</v>
      </c>
      <c r="R37" s="401"/>
      <c r="S37" s="400"/>
      <c r="T37" s="401"/>
      <c r="U37" s="400">
        <v>-1</v>
      </c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25</v>
      </c>
      <c r="EQ37" s="171">
        <f t="shared" si="23"/>
        <v>-1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24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3218</v>
      </c>
      <c r="B38" s="369" t="s">
        <v>3219</v>
      </c>
      <c r="C38" s="375" t="s">
        <v>3191</v>
      </c>
      <c r="D38" s="371" t="s">
        <v>3220</v>
      </c>
      <c r="E38" s="371" t="s">
        <v>3221</v>
      </c>
      <c r="F38" s="376" t="s">
        <v>3181</v>
      </c>
      <c r="G38" s="376" t="s">
        <v>3182</v>
      </c>
      <c r="H38" s="373" t="s">
        <v>1301</v>
      </c>
      <c r="I38" s="374" t="s">
        <v>1301</v>
      </c>
      <c r="J38" s="421" t="s">
        <v>3183</v>
      </c>
      <c r="K38" s="422" t="s">
        <v>3186</v>
      </c>
      <c r="L38" s="329">
        <f>CONTINUA!BV38</f>
        <v>0</v>
      </c>
      <c r="M38" s="329">
        <f>CONTINUA!BW38</f>
        <v>0</v>
      </c>
      <c r="N38" s="895"/>
      <c r="O38" s="896" t="s">
        <v>3332</v>
      </c>
      <c r="P38" s="897">
        <v>0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3218</v>
      </c>
      <c r="B39" s="369" t="s">
        <v>3219</v>
      </c>
      <c r="C39" s="375" t="s">
        <v>3191</v>
      </c>
      <c r="D39" s="371" t="s">
        <v>3220</v>
      </c>
      <c r="E39" s="371" t="s">
        <v>3221</v>
      </c>
      <c r="F39" s="376" t="s">
        <v>3181</v>
      </c>
      <c r="G39" s="376" t="s">
        <v>3182</v>
      </c>
      <c r="H39" s="373" t="s">
        <v>1301</v>
      </c>
      <c r="I39" s="374" t="s">
        <v>1301</v>
      </c>
      <c r="J39" s="421" t="s">
        <v>3183</v>
      </c>
      <c r="K39" s="423" t="s">
        <v>3187</v>
      </c>
      <c r="L39" s="329">
        <f>CONTINUA!BV39</f>
        <v>0</v>
      </c>
      <c r="M39" s="329">
        <f>CONTINUA!BW39</f>
        <v>0</v>
      </c>
      <c r="N39" s="895"/>
      <c r="O39" s="896" t="s">
        <v>3332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3218</v>
      </c>
      <c r="B40" s="378" t="s">
        <v>3219</v>
      </c>
      <c r="C40" s="379" t="s">
        <v>3191</v>
      </c>
      <c r="D40" s="380" t="s">
        <v>3220</v>
      </c>
      <c r="E40" s="380" t="s">
        <v>3221</v>
      </c>
      <c r="F40" s="381" t="s">
        <v>3181</v>
      </c>
      <c r="G40" s="381" t="s">
        <v>3182</v>
      </c>
      <c r="H40" s="382" t="s">
        <v>1301</v>
      </c>
      <c r="I40" s="383" t="s">
        <v>1301</v>
      </c>
      <c r="J40" s="421" t="s">
        <v>3183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3332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3222</v>
      </c>
      <c r="B41" s="522" t="s">
        <v>3223</v>
      </c>
      <c r="C41" s="523">
        <v>1</v>
      </c>
      <c r="D41" s="524" t="s">
        <v>3224</v>
      </c>
      <c r="E41" s="524" t="s">
        <v>3225</v>
      </c>
      <c r="F41" s="525" t="s">
        <v>3181</v>
      </c>
      <c r="G41" s="525" t="s">
        <v>3182</v>
      </c>
      <c r="H41" s="350" t="s">
        <v>1304</v>
      </c>
      <c r="I41" s="351" t="s">
        <v>1304</v>
      </c>
      <c r="J41" s="409" t="s">
        <v>3183</v>
      </c>
      <c r="K41" s="410" t="s">
        <v>3184</v>
      </c>
      <c r="L41" s="329">
        <f>CONTINUA!BV41</f>
        <v>0</v>
      </c>
      <c r="M41" s="329">
        <f>CONTINUA!BW41</f>
        <v>0</v>
      </c>
      <c r="N41" s="895"/>
      <c r="O41" s="896" t="s">
        <v>3333</v>
      </c>
      <c r="P41" s="897">
        <v>0</v>
      </c>
      <c r="Q41" s="400">
        <v>1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1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1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17123.27</v>
      </c>
      <c r="EY41" s="174">
        <f>(L41*regular)+(M41*Cadeirantee)</f>
        <v>0</v>
      </c>
      <c r="EZ41" s="249">
        <f>SUMIF(FG41:GJ41,"&gt;0")</f>
        <v>192.61500000000001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17460.485000000001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17123.27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192.61500000000001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3222</v>
      </c>
      <c r="B42" s="369" t="s">
        <v>3223</v>
      </c>
      <c r="C42" s="370" t="s">
        <v>3191</v>
      </c>
      <c r="D42" s="371" t="s">
        <v>3224</v>
      </c>
      <c r="E42" s="371" t="s">
        <v>3225</v>
      </c>
      <c r="F42" s="372" t="s">
        <v>3181</v>
      </c>
      <c r="G42" s="372" t="s">
        <v>3182</v>
      </c>
      <c r="H42" s="373" t="s">
        <v>1304</v>
      </c>
      <c r="I42" s="374" t="s">
        <v>1304</v>
      </c>
      <c r="J42" s="421" t="s">
        <v>3183</v>
      </c>
      <c r="K42" s="421" t="s">
        <v>3185</v>
      </c>
      <c r="L42" s="329">
        <f>CONTINUA!BV42</f>
        <v>15</v>
      </c>
      <c r="M42" s="329">
        <f>CONTINUA!BW42</f>
        <v>0</v>
      </c>
      <c r="N42" s="895"/>
      <c r="O42" s="896" t="s">
        <v>3333</v>
      </c>
      <c r="P42" s="897">
        <v>0</v>
      </c>
      <c r="Q42" s="400">
        <v>35</v>
      </c>
      <c r="R42" s="401"/>
      <c r="S42" s="400">
        <v>5</v>
      </c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>
        <v>1</v>
      </c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35</v>
      </c>
      <c r="EQ42" s="171">
        <f t="shared" si="23"/>
        <v>1</v>
      </c>
      <c r="ER42" s="171">
        <f t="shared" si="24"/>
        <v>5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41</v>
      </c>
      <c r="EW42" s="173"/>
      <c r="EX42" s="248">
        <f t="shared" si="60"/>
        <v>0</v>
      </c>
      <c r="EY42" s="174">
        <f>(L42*regular)+(M42*Cadeirantee)</f>
        <v>144.60000000000002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3222</v>
      </c>
      <c r="B43" s="369" t="s">
        <v>3223</v>
      </c>
      <c r="C43" s="375" t="s">
        <v>3191</v>
      </c>
      <c r="D43" s="371" t="s">
        <v>3224</v>
      </c>
      <c r="E43" s="371" t="s">
        <v>3225</v>
      </c>
      <c r="F43" s="376" t="s">
        <v>3181</v>
      </c>
      <c r="G43" s="376" t="s">
        <v>3182</v>
      </c>
      <c r="H43" s="373" t="s">
        <v>1304</v>
      </c>
      <c r="I43" s="374" t="s">
        <v>1304</v>
      </c>
      <c r="J43" s="421" t="s">
        <v>3183</v>
      </c>
      <c r="K43" s="422" t="s">
        <v>3186</v>
      </c>
      <c r="L43" s="329">
        <f>CONTINUA!BV43</f>
        <v>0</v>
      </c>
      <c r="M43" s="329">
        <f>CONTINUA!BW43</f>
        <v>0</v>
      </c>
      <c r="N43" s="895"/>
      <c r="O43" s="896" t="s">
        <v>3333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3222</v>
      </c>
      <c r="B44" s="369" t="s">
        <v>3223</v>
      </c>
      <c r="C44" s="375" t="s">
        <v>3191</v>
      </c>
      <c r="D44" s="371" t="s">
        <v>3224</v>
      </c>
      <c r="E44" s="371" t="s">
        <v>3225</v>
      </c>
      <c r="F44" s="376" t="s">
        <v>3181</v>
      </c>
      <c r="G44" s="376" t="s">
        <v>3182</v>
      </c>
      <c r="H44" s="373" t="s">
        <v>1304</v>
      </c>
      <c r="I44" s="374" t="s">
        <v>1304</v>
      </c>
      <c r="J44" s="421" t="s">
        <v>3183</v>
      </c>
      <c r="K44" s="423" t="s">
        <v>3187</v>
      </c>
      <c r="L44" s="329">
        <f>CONTINUA!BV44</f>
        <v>0</v>
      </c>
      <c r="M44" s="329">
        <f>CONTINUA!BW44</f>
        <v>0</v>
      </c>
      <c r="N44" s="895"/>
      <c r="O44" s="896" t="s">
        <v>3333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3222</v>
      </c>
      <c r="B45" s="378" t="s">
        <v>3223</v>
      </c>
      <c r="C45" s="379" t="s">
        <v>3191</v>
      </c>
      <c r="D45" s="380" t="s">
        <v>3224</v>
      </c>
      <c r="E45" s="380" t="s">
        <v>3225</v>
      </c>
      <c r="F45" s="381" t="s">
        <v>3181</v>
      </c>
      <c r="G45" s="381" t="s">
        <v>3182</v>
      </c>
      <c r="H45" s="382" t="s">
        <v>1304</v>
      </c>
      <c r="I45" s="383" t="s">
        <v>1304</v>
      </c>
      <c r="J45" s="421" t="s">
        <v>3183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3333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3226</v>
      </c>
      <c r="B46" s="522" t="s">
        <v>3227</v>
      </c>
      <c r="C46" s="523">
        <v>1</v>
      </c>
      <c r="D46" s="524" t="s">
        <v>3228</v>
      </c>
      <c r="E46" s="524" t="s">
        <v>3229</v>
      </c>
      <c r="F46" s="525" t="s">
        <v>3181</v>
      </c>
      <c r="G46" s="525" t="s">
        <v>3182</v>
      </c>
      <c r="H46" s="350" t="s">
        <v>1306</v>
      </c>
      <c r="I46" s="351" t="s">
        <v>1306</v>
      </c>
      <c r="J46" s="409" t="s">
        <v>3183</v>
      </c>
      <c r="K46" s="410" t="s">
        <v>3184</v>
      </c>
      <c r="L46" s="329">
        <f>CONTINUA!BV46</f>
        <v>0</v>
      </c>
      <c r="M46" s="329">
        <f>CONTINUA!BW46</f>
        <v>0</v>
      </c>
      <c r="N46" s="895"/>
      <c r="O46" s="896" t="s">
        <v>3334</v>
      </c>
      <c r="P46" s="897">
        <v>0</v>
      </c>
      <c r="Q46" s="400">
        <v>59</v>
      </c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>
        <v>-1</v>
      </c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>
        <v>-1</v>
      </c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>
        <v>1</v>
      </c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59</v>
      </c>
      <c r="EQ46" s="171">
        <f t="shared" si="23"/>
        <v>-1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58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24057.41</v>
      </c>
      <c r="EY46" s="174">
        <f>(L46*regular)+(M46*Cadeirantee)</f>
        <v>0</v>
      </c>
      <c r="EZ46" s="249">
        <f>SUMIF(FG46:GJ46,"&gt;0")</f>
        <v>89.887</v>
      </c>
      <c r="FA46" s="249">
        <f>SUMIF(FG46:GJ46,"&lt;0")+SUMIF(GN46:HP46,"&lt;0")</f>
        <v>-475.11700000000002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23672.18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24057.41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-295.34300000000002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-179.774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89.887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3226</v>
      </c>
      <c r="B47" s="369" t="s">
        <v>3227</v>
      </c>
      <c r="C47" s="370" t="s">
        <v>3191</v>
      </c>
      <c r="D47" s="371" t="s">
        <v>3228</v>
      </c>
      <c r="E47" s="371" t="s">
        <v>3229</v>
      </c>
      <c r="F47" s="372" t="s">
        <v>3181</v>
      </c>
      <c r="G47" s="372" t="s">
        <v>3182</v>
      </c>
      <c r="H47" s="373" t="s">
        <v>1306</v>
      </c>
      <c r="I47" s="374" t="s">
        <v>1306</v>
      </c>
      <c r="J47" s="421" t="s">
        <v>3183</v>
      </c>
      <c r="K47" s="421" t="s">
        <v>3185</v>
      </c>
      <c r="L47" s="329">
        <f>CONTINUA!BV47</f>
        <v>0</v>
      </c>
      <c r="M47" s="329">
        <f>CONTINUA!BW47</f>
        <v>0</v>
      </c>
      <c r="N47" s="895"/>
      <c r="O47" s="896" t="s">
        <v>3334</v>
      </c>
      <c r="P47" s="897">
        <v>0</v>
      </c>
      <c r="Q47" s="400"/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0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3226</v>
      </c>
      <c r="B48" s="369" t="s">
        <v>3227</v>
      </c>
      <c r="C48" s="375" t="s">
        <v>3191</v>
      </c>
      <c r="D48" s="371" t="s">
        <v>3228</v>
      </c>
      <c r="E48" s="371" t="s">
        <v>3229</v>
      </c>
      <c r="F48" s="376" t="s">
        <v>3181</v>
      </c>
      <c r="G48" s="376" t="s">
        <v>3182</v>
      </c>
      <c r="H48" s="373" t="s">
        <v>1306</v>
      </c>
      <c r="I48" s="374" t="s">
        <v>1306</v>
      </c>
      <c r="J48" s="421" t="s">
        <v>3183</v>
      </c>
      <c r="K48" s="422" t="s">
        <v>3186</v>
      </c>
      <c r="L48" s="329">
        <f>CONTINUA!BV48</f>
        <v>0</v>
      </c>
      <c r="M48" s="329">
        <f>CONTINUA!BW48</f>
        <v>0</v>
      </c>
      <c r="N48" s="895"/>
      <c r="O48" s="896" t="s">
        <v>3334</v>
      </c>
      <c r="P48" s="897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3226</v>
      </c>
      <c r="B49" s="369" t="s">
        <v>3227</v>
      </c>
      <c r="C49" s="375" t="s">
        <v>3191</v>
      </c>
      <c r="D49" s="371" t="s">
        <v>3228</v>
      </c>
      <c r="E49" s="371" t="s">
        <v>3229</v>
      </c>
      <c r="F49" s="376" t="s">
        <v>3181</v>
      </c>
      <c r="G49" s="376" t="s">
        <v>3182</v>
      </c>
      <c r="H49" s="373" t="s">
        <v>1306</v>
      </c>
      <c r="I49" s="374" t="s">
        <v>1306</v>
      </c>
      <c r="J49" s="421" t="s">
        <v>3183</v>
      </c>
      <c r="K49" s="423" t="s">
        <v>3187</v>
      </c>
      <c r="L49" s="329">
        <f>CONTINUA!BV49</f>
        <v>0</v>
      </c>
      <c r="M49" s="329">
        <f>CONTINUA!BW49</f>
        <v>0</v>
      </c>
      <c r="N49" s="895"/>
      <c r="O49" s="896" t="s">
        <v>3334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3226</v>
      </c>
      <c r="B50" s="378" t="s">
        <v>3227</v>
      </c>
      <c r="C50" s="379" t="s">
        <v>3191</v>
      </c>
      <c r="D50" s="380" t="s">
        <v>3228</v>
      </c>
      <c r="E50" s="380" t="s">
        <v>3229</v>
      </c>
      <c r="F50" s="381" t="s">
        <v>3181</v>
      </c>
      <c r="G50" s="381" t="s">
        <v>3182</v>
      </c>
      <c r="H50" s="382" t="s">
        <v>1306</v>
      </c>
      <c r="I50" s="383" t="s">
        <v>1306</v>
      </c>
      <c r="J50" s="421" t="s">
        <v>3183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3334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3230</v>
      </c>
      <c r="B51" s="522" t="s">
        <v>3231</v>
      </c>
      <c r="C51" s="523">
        <v>2</v>
      </c>
      <c r="D51" s="524" t="s">
        <v>3232</v>
      </c>
      <c r="E51" s="524" t="s">
        <v>3233</v>
      </c>
      <c r="F51" s="525" t="s">
        <v>3181</v>
      </c>
      <c r="G51" s="525" t="s">
        <v>3182</v>
      </c>
      <c r="H51" s="350" t="s">
        <v>1312</v>
      </c>
      <c r="I51" s="351" t="s">
        <v>1312</v>
      </c>
      <c r="J51" s="409" t="s">
        <v>3189</v>
      </c>
      <c r="K51" s="410" t="s">
        <v>3184</v>
      </c>
      <c r="L51" s="329">
        <f>CONTINUA!BV51</f>
        <v>0</v>
      </c>
      <c r="M51" s="329">
        <f>CONTINUA!BW51</f>
        <v>0</v>
      </c>
      <c r="N51" s="895"/>
      <c r="O51" s="896" t="s">
        <v>3335</v>
      </c>
      <c r="P51" s="897">
        <v>0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>
        <v>1</v>
      </c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1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1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20022.150000000001</v>
      </c>
      <c r="EY51" s="174">
        <f>(L51*regular)+(M51*Cadeirantee)</f>
        <v>0</v>
      </c>
      <c r="EZ51" s="249">
        <f>SUMIF(FG51:GJ51,"&gt;0")</f>
        <v>205.45600000000002</v>
      </c>
      <c r="FA51" s="249">
        <f>SUMIF(FG51:GJ51,"&lt;0")+SUMIF(GN51:HP51,"&lt;0")</f>
        <v>-744.77800000000002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19482.828000000001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20022.150000000001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-744.77800000000002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205.45600000000002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3230</v>
      </c>
      <c r="B52" s="369" t="s">
        <v>3231</v>
      </c>
      <c r="C52" s="370" t="s">
        <v>3191</v>
      </c>
      <c r="D52" s="371" t="s">
        <v>3232</v>
      </c>
      <c r="E52" s="371" t="s">
        <v>3233</v>
      </c>
      <c r="F52" s="372" t="s">
        <v>3181</v>
      </c>
      <c r="G52" s="372" t="s">
        <v>3182</v>
      </c>
      <c r="H52" s="373" t="s">
        <v>1312</v>
      </c>
      <c r="I52" s="374" t="s">
        <v>1312</v>
      </c>
      <c r="J52" s="421" t="s">
        <v>3189</v>
      </c>
      <c r="K52" s="421" t="s">
        <v>3185</v>
      </c>
      <c r="L52" s="329">
        <f>CONTINUA!BV52</f>
        <v>0</v>
      </c>
      <c r="M52" s="329">
        <f>CONTINUA!BW52</f>
        <v>0</v>
      </c>
      <c r="N52" s="895"/>
      <c r="O52" s="896" t="s">
        <v>3335</v>
      </c>
      <c r="P52" s="897">
        <v>0</v>
      </c>
      <c r="Q52" s="400">
        <v>6</v>
      </c>
      <c r="R52" s="401">
        <v>6</v>
      </c>
      <c r="S52" s="400"/>
      <c r="T52" s="401">
        <v>1</v>
      </c>
      <c r="U52" s="400">
        <v>-2</v>
      </c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6</v>
      </c>
      <c r="EQ52" s="171">
        <f t="shared" si="23"/>
        <v>-2</v>
      </c>
      <c r="ER52" s="171">
        <f t="shared" si="24"/>
        <v>0</v>
      </c>
      <c r="ES52" s="171">
        <f t="shared" si="25"/>
        <v>6</v>
      </c>
      <c r="ET52" s="171">
        <f t="shared" si="26"/>
        <v>0</v>
      </c>
      <c r="EU52" s="171">
        <f t="shared" si="27"/>
        <v>1</v>
      </c>
      <c r="EV52" s="172">
        <f t="shared" si="28"/>
        <v>11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3230</v>
      </c>
      <c r="B53" s="369" t="s">
        <v>3231</v>
      </c>
      <c r="C53" s="375" t="s">
        <v>3191</v>
      </c>
      <c r="D53" s="371" t="s">
        <v>3232</v>
      </c>
      <c r="E53" s="371" t="s">
        <v>3233</v>
      </c>
      <c r="F53" s="376" t="s">
        <v>3181</v>
      </c>
      <c r="G53" s="376" t="s">
        <v>3182</v>
      </c>
      <c r="H53" s="373" t="s">
        <v>1312</v>
      </c>
      <c r="I53" s="374" t="s">
        <v>1312</v>
      </c>
      <c r="J53" s="421" t="s">
        <v>3189</v>
      </c>
      <c r="K53" s="422" t="s">
        <v>3186</v>
      </c>
      <c r="L53" s="329">
        <f>CONTINUA!BV53</f>
        <v>0</v>
      </c>
      <c r="M53" s="329">
        <f>CONTINUA!BW53</f>
        <v>0</v>
      </c>
      <c r="N53" s="895"/>
      <c r="O53" s="896" t="s">
        <v>3335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3230</v>
      </c>
      <c r="B54" s="369" t="s">
        <v>3231</v>
      </c>
      <c r="C54" s="375" t="s">
        <v>3191</v>
      </c>
      <c r="D54" s="371" t="s">
        <v>3232</v>
      </c>
      <c r="E54" s="371" t="s">
        <v>3233</v>
      </c>
      <c r="F54" s="376" t="s">
        <v>3181</v>
      </c>
      <c r="G54" s="376" t="s">
        <v>3182</v>
      </c>
      <c r="H54" s="373" t="s">
        <v>1312</v>
      </c>
      <c r="I54" s="374" t="s">
        <v>1312</v>
      </c>
      <c r="J54" s="421" t="s">
        <v>3189</v>
      </c>
      <c r="K54" s="423" t="s">
        <v>3187</v>
      </c>
      <c r="L54" s="329">
        <f>CONTINUA!BV54</f>
        <v>0</v>
      </c>
      <c r="M54" s="329">
        <f>CONTINUA!BW54</f>
        <v>0</v>
      </c>
      <c r="N54" s="895"/>
      <c r="O54" s="896" t="s">
        <v>3335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3230</v>
      </c>
      <c r="B55" s="378" t="s">
        <v>3231</v>
      </c>
      <c r="C55" s="379" t="s">
        <v>3191</v>
      </c>
      <c r="D55" s="380" t="s">
        <v>3232</v>
      </c>
      <c r="E55" s="380" t="s">
        <v>3233</v>
      </c>
      <c r="F55" s="381" t="s">
        <v>3181</v>
      </c>
      <c r="G55" s="381" t="s">
        <v>3182</v>
      </c>
      <c r="H55" s="382" t="s">
        <v>1312</v>
      </c>
      <c r="I55" s="383" t="s">
        <v>1312</v>
      </c>
      <c r="J55" s="421" t="s">
        <v>3189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3335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3234</v>
      </c>
      <c r="B56" s="522" t="s">
        <v>3235</v>
      </c>
      <c r="C56" s="523">
        <v>1</v>
      </c>
      <c r="D56" s="524" t="s">
        <v>3236</v>
      </c>
      <c r="E56" s="524" t="s">
        <v>3237</v>
      </c>
      <c r="F56" s="525" t="s">
        <v>3181</v>
      </c>
      <c r="G56" s="525" t="s">
        <v>3182</v>
      </c>
      <c r="H56" s="350" t="s">
        <v>1317</v>
      </c>
      <c r="I56" s="351" t="s">
        <v>1317</v>
      </c>
      <c r="J56" s="409" t="s">
        <v>3183</v>
      </c>
      <c r="K56" s="410" t="s">
        <v>3184</v>
      </c>
      <c r="L56" s="329">
        <f>CONTINUA!BV56</f>
        <v>0</v>
      </c>
      <c r="M56" s="329">
        <f>CONTINUA!BW56</f>
        <v>0</v>
      </c>
      <c r="N56" s="895"/>
      <c r="O56" s="896" t="s">
        <v>3336</v>
      </c>
      <c r="P56" s="897">
        <v>0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14426.66</v>
      </c>
      <c r="EY56" s="174">
        <f>(L56*regular)+(M56*Cadeirantee)</f>
        <v>0</v>
      </c>
      <c r="EZ56" s="249">
        <f>SUMIF(FG56:GJ56,"&gt;0")</f>
        <v>487.95800000000003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14982.098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14426.66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308.18400000000003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179.774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3234</v>
      </c>
      <c r="B57" s="369" t="s">
        <v>3235</v>
      </c>
      <c r="C57" s="370" t="s">
        <v>3191</v>
      </c>
      <c r="D57" s="371" t="s">
        <v>3236</v>
      </c>
      <c r="E57" s="371" t="s">
        <v>3237</v>
      </c>
      <c r="F57" s="372" t="s">
        <v>3181</v>
      </c>
      <c r="G57" s="372" t="s">
        <v>3182</v>
      </c>
      <c r="H57" s="373" t="s">
        <v>1317</v>
      </c>
      <c r="I57" s="374" t="s">
        <v>1317</v>
      </c>
      <c r="J57" s="421" t="s">
        <v>3183</v>
      </c>
      <c r="K57" s="421" t="s">
        <v>3185</v>
      </c>
      <c r="L57" s="329">
        <f>CONTINUA!BV57</f>
        <v>7</v>
      </c>
      <c r="M57" s="329">
        <f>CONTINUA!BW57</f>
        <v>0</v>
      </c>
      <c r="N57" s="895"/>
      <c r="O57" s="896" t="s">
        <v>3336</v>
      </c>
      <c r="P57" s="897">
        <v>0</v>
      </c>
      <c r="Q57" s="400">
        <v>34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>
        <v>1</v>
      </c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>
        <v>1</v>
      </c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34</v>
      </c>
      <c r="EQ57" s="171">
        <f t="shared" si="23"/>
        <v>2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36</v>
      </c>
      <c r="EW57" s="173"/>
      <c r="EX57" s="248">
        <f t="shared" si="75"/>
        <v>0</v>
      </c>
      <c r="EY57" s="174">
        <f>(L57*regular)+(M57*Cadeirantee)</f>
        <v>67.48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3234</v>
      </c>
      <c r="B58" s="369" t="s">
        <v>3235</v>
      </c>
      <c r="C58" s="375" t="s">
        <v>3191</v>
      </c>
      <c r="D58" s="371" t="s">
        <v>3236</v>
      </c>
      <c r="E58" s="371" t="s">
        <v>3237</v>
      </c>
      <c r="F58" s="376" t="s">
        <v>3181</v>
      </c>
      <c r="G58" s="376" t="s">
        <v>3182</v>
      </c>
      <c r="H58" s="373" t="s">
        <v>1317</v>
      </c>
      <c r="I58" s="374" t="s">
        <v>1317</v>
      </c>
      <c r="J58" s="421" t="s">
        <v>3183</v>
      </c>
      <c r="K58" s="422" t="s">
        <v>3186</v>
      </c>
      <c r="L58" s="329">
        <f>CONTINUA!BV58</f>
        <v>0</v>
      </c>
      <c r="M58" s="329">
        <f>CONTINUA!BW58</f>
        <v>0</v>
      </c>
      <c r="N58" s="895"/>
      <c r="O58" s="896" t="s">
        <v>3336</v>
      </c>
      <c r="P58" s="897">
        <v>0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3234</v>
      </c>
      <c r="B59" s="369" t="s">
        <v>3235</v>
      </c>
      <c r="C59" s="375" t="s">
        <v>3191</v>
      </c>
      <c r="D59" s="371" t="s">
        <v>3236</v>
      </c>
      <c r="E59" s="371" t="s">
        <v>3237</v>
      </c>
      <c r="F59" s="376" t="s">
        <v>3181</v>
      </c>
      <c r="G59" s="376" t="s">
        <v>3182</v>
      </c>
      <c r="H59" s="373" t="s">
        <v>1317</v>
      </c>
      <c r="I59" s="374" t="s">
        <v>1317</v>
      </c>
      <c r="J59" s="421" t="s">
        <v>3183</v>
      </c>
      <c r="K59" s="423" t="s">
        <v>3187</v>
      </c>
      <c r="L59" s="329">
        <f>CONTINUA!BV59</f>
        <v>0</v>
      </c>
      <c r="M59" s="329">
        <f>CONTINUA!BW59</f>
        <v>0</v>
      </c>
      <c r="N59" s="895"/>
      <c r="O59" s="896" t="s">
        <v>3336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3234</v>
      </c>
      <c r="B60" s="378" t="s">
        <v>3235</v>
      </c>
      <c r="C60" s="379" t="s">
        <v>3191</v>
      </c>
      <c r="D60" s="380" t="s">
        <v>3236</v>
      </c>
      <c r="E60" s="380" t="s">
        <v>3237</v>
      </c>
      <c r="F60" s="381" t="s">
        <v>3181</v>
      </c>
      <c r="G60" s="381" t="s">
        <v>3182</v>
      </c>
      <c r="H60" s="382" t="s">
        <v>1317</v>
      </c>
      <c r="I60" s="383" t="s">
        <v>1317</v>
      </c>
      <c r="J60" s="421" t="s">
        <v>3183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3336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3238</v>
      </c>
      <c r="B61" s="522" t="s">
        <v>3239</v>
      </c>
      <c r="C61" s="523">
        <v>1</v>
      </c>
      <c r="D61" s="524" t="s">
        <v>3240</v>
      </c>
      <c r="E61" s="524" t="s">
        <v>3241</v>
      </c>
      <c r="F61" s="525" t="s">
        <v>3181</v>
      </c>
      <c r="G61" s="525" t="s">
        <v>3182</v>
      </c>
      <c r="H61" s="350" t="s">
        <v>1318</v>
      </c>
      <c r="I61" s="351" t="s">
        <v>1318</v>
      </c>
      <c r="J61" s="409" t="s">
        <v>3183</v>
      </c>
      <c r="K61" s="410" t="s">
        <v>3184</v>
      </c>
      <c r="L61" s="329">
        <f>CONTINUA!BV61</f>
        <v>0</v>
      </c>
      <c r="M61" s="329">
        <f>CONTINUA!BW61</f>
        <v>0</v>
      </c>
      <c r="N61" s="895"/>
      <c r="O61" s="896" t="s">
        <v>3337</v>
      </c>
      <c r="P61" s="897">
        <v>0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19434.650000000001</v>
      </c>
      <c r="EY61" s="174">
        <f>(L61*regular)+(M61*Cadeirantee)</f>
        <v>0</v>
      </c>
      <c r="EZ61" s="249">
        <f>SUMIF(FG61:GJ61,"&gt;0")</f>
        <v>642.05000000000007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20076.7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19434.650000000001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642.05000000000007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3238</v>
      </c>
      <c r="B62" s="369" t="s">
        <v>3239</v>
      </c>
      <c r="C62" s="370" t="s">
        <v>3191</v>
      </c>
      <c r="D62" s="371" t="s">
        <v>3240</v>
      </c>
      <c r="E62" s="371" t="s">
        <v>3241</v>
      </c>
      <c r="F62" s="372" t="s">
        <v>3181</v>
      </c>
      <c r="G62" s="372" t="s">
        <v>3182</v>
      </c>
      <c r="H62" s="373" t="s">
        <v>1318</v>
      </c>
      <c r="I62" s="374" t="s">
        <v>1318</v>
      </c>
      <c r="J62" s="421" t="s">
        <v>3183</v>
      </c>
      <c r="K62" s="421" t="s">
        <v>3185</v>
      </c>
      <c r="L62" s="329">
        <f>CONTINUA!BV62</f>
        <v>0</v>
      </c>
      <c r="M62" s="329">
        <f>CONTINUA!BW62</f>
        <v>0</v>
      </c>
      <c r="N62" s="895"/>
      <c r="O62" s="896" t="s">
        <v>3337</v>
      </c>
      <c r="P62" s="897">
        <v>0</v>
      </c>
      <c r="Q62" s="400">
        <v>47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>
        <v>2</v>
      </c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47</v>
      </c>
      <c r="EQ62" s="171">
        <f t="shared" si="23"/>
        <v>2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49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3238</v>
      </c>
      <c r="B63" s="369" t="s">
        <v>3239</v>
      </c>
      <c r="C63" s="375" t="s">
        <v>3191</v>
      </c>
      <c r="D63" s="371" t="s">
        <v>3240</v>
      </c>
      <c r="E63" s="371" t="s">
        <v>3241</v>
      </c>
      <c r="F63" s="376" t="s">
        <v>3181</v>
      </c>
      <c r="G63" s="376" t="s">
        <v>3182</v>
      </c>
      <c r="H63" s="373" t="s">
        <v>1318</v>
      </c>
      <c r="I63" s="374" t="s">
        <v>1318</v>
      </c>
      <c r="J63" s="421" t="s">
        <v>3183</v>
      </c>
      <c r="K63" s="422" t="s">
        <v>3186</v>
      </c>
      <c r="L63" s="329">
        <f>CONTINUA!BV63</f>
        <v>0</v>
      </c>
      <c r="M63" s="329">
        <f>CONTINUA!BW63</f>
        <v>0</v>
      </c>
      <c r="N63" s="895"/>
      <c r="O63" s="896" t="s">
        <v>3337</v>
      </c>
      <c r="P63" s="897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3238</v>
      </c>
      <c r="B64" s="369" t="s">
        <v>3239</v>
      </c>
      <c r="C64" s="375" t="s">
        <v>3191</v>
      </c>
      <c r="D64" s="371" t="s">
        <v>3240</v>
      </c>
      <c r="E64" s="371" t="s">
        <v>3241</v>
      </c>
      <c r="F64" s="376" t="s">
        <v>3181</v>
      </c>
      <c r="G64" s="376" t="s">
        <v>3182</v>
      </c>
      <c r="H64" s="373" t="s">
        <v>1318</v>
      </c>
      <c r="I64" s="374" t="s">
        <v>1318</v>
      </c>
      <c r="J64" s="421" t="s">
        <v>3183</v>
      </c>
      <c r="K64" s="423" t="s">
        <v>3187</v>
      </c>
      <c r="L64" s="329">
        <f>CONTINUA!BV64</f>
        <v>0</v>
      </c>
      <c r="M64" s="329">
        <f>CONTINUA!BW64</f>
        <v>0</v>
      </c>
      <c r="N64" s="895"/>
      <c r="O64" s="896" t="s">
        <v>3337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3238</v>
      </c>
      <c r="B65" s="378" t="s">
        <v>3239</v>
      </c>
      <c r="C65" s="379" t="s">
        <v>3191</v>
      </c>
      <c r="D65" s="380" t="s">
        <v>3240</v>
      </c>
      <c r="E65" s="380" t="s">
        <v>3241</v>
      </c>
      <c r="F65" s="381" t="s">
        <v>3181</v>
      </c>
      <c r="G65" s="381" t="s">
        <v>3182</v>
      </c>
      <c r="H65" s="382" t="s">
        <v>1318</v>
      </c>
      <c r="I65" s="383" t="s">
        <v>1318</v>
      </c>
      <c r="J65" s="421" t="s">
        <v>3183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3337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3242</v>
      </c>
      <c r="B66" s="522" t="s">
        <v>3243</v>
      </c>
      <c r="C66" s="523">
        <v>4</v>
      </c>
      <c r="D66" s="524" t="s">
        <v>3244</v>
      </c>
      <c r="E66" s="524" t="s">
        <v>3245</v>
      </c>
      <c r="F66" s="525" t="s">
        <v>3181</v>
      </c>
      <c r="G66" s="525" t="s">
        <v>3182</v>
      </c>
      <c r="H66" s="350" t="s">
        <v>1320</v>
      </c>
      <c r="I66" s="351" t="s">
        <v>1320</v>
      </c>
      <c r="J66" s="409" t="s">
        <v>3183</v>
      </c>
      <c r="K66" s="410" t="s">
        <v>3184</v>
      </c>
      <c r="L66" s="329">
        <f>CONTINUA!BV66</f>
        <v>0</v>
      </c>
      <c r="M66" s="329">
        <f>CONTINUA!BW66</f>
        <v>0</v>
      </c>
      <c r="N66" s="895"/>
      <c r="O66" s="896" t="s">
        <v>3338</v>
      </c>
      <c r="P66" s="897">
        <v>0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11465.63</v>
      </c>
      <c r="EX66" s="248">
        <f t="shared" ref="EX66:EX69" si="85">FF66</f>
        <v>3467.07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14932.699999999999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3467.07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3242</v>
      </c>
      <c r="B67" s="369" t="s">
        <v>3243</v>
      </c>
      <c r="C67" s="370" t="s">
        <v>3192</v>
      </c>
      <c r="D67" s="371" t="s">
        <v>3244</v>
      </c>
      <c r="E67" s="371" t="s">
        <v>3245</v>
      </c>
      <c r="F67" s="372" t="s">
        <v>3181</v>
      </c>
      <c r="G67" s="372" t="s">
        <v>3182</v>
      </c>
      <c r="H67" s="373" t="s">
        <v>1320</v>
      </c>
      <c r="I67" s="374" t="s">
        <v>1320</v>
      </c>
      <c r="J67" s="421" t="s">
        <v>3183</v>
      </c>
      <c r="K67" s="421" t="s">
        <v>3185</v>
      </c>
      <c r="L67" s="329">
        <f>CONTINUA!BV67</f>
        <v>0</v>
      </c>
      <c r="M67" s="329">
        <f>CONTINUA!BW67</f>
        <v>0</v>
      </c>
      <c r="N67" s="895"/>
      <c r="O67" s="896" t="s">
        <v>3338</v>
      </c>
      <c r="P67" s="897">
        <v>0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3242</v>
      </c>
      <c r="B68" s="369" t="s">
        <v>3243</v>
      </c>
      <c r="C68" s="375" t="s">
        <v>3192</v>
      </c>
      <c r="D68" s="371" t="s">
        <v>3244</v>
      </c>
      <c r="E68" s="371" t="s">
        <v>3245</v>
      </c>
      <c r="F68" s="376" t="s">
        <v>3181</v>
      </c>
      <c r="G68" s="376" t="s">
        <v>3182</v>
      </c>
      <c r="H68" s="373" t="s">
        <v>1320</v>
      </c>
      <c r="I68" s="374" t="s">
        <v>1320</v>
      </c>
      <c r="J68" s="421" t="s">
        <v>3183</v>
      </c>
      <c r="K68" s="422" t="s">
        <v>3186</v>
      </c>
      <c r="L68" s="329">
        <f>CONTINUA!BV68</f>
        <v>0</v>
      </c>
      <c r="M68" s="329">
        <f>CONTINUA!BW68</f>
        <v>0</v>
      </c>
      <c r="N68" s="895"/>
      <c r="O68" s="896" t="s">
        <v>3338</v>
      </c>
      <c r="P68" s="897">
        <v>0</v>
      </c>
      <c r="Q68" s="400">
        <v>9</v>
      </c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9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9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3242</v>
      </c>
      <c r="B69" s="369" t="s">
        <v>3243</v>
      </c>
      <c r="C69" s="375" t="s">
        <v>3192</v>
      </c>
      <c r="D69" s="371" t="s">
        <v>3244</v>
      </c>
      <c r="E69" s="371" t="s">
        <v>3245</v>
      </c>
      <c r="F69" s="376" t="s">
        <v>3181</v>
      </c>
      <c r="G69" s="376" t="s">
        <v>3182</v>
      </c>
      <c r="H69" s="373" t="s">
        <v>1320</v>
      </c>
      <c r="I69" s="374" t="s">
        <v>1320</v>
      </c>
      <c r="J69" s="421" t="s">
        <v>3183</v>
      </c>
      <c r="K69" s="423" t="s">
        <v>3187</v>
      </c>
      <c r="L69" s="329">
        <f>CONTINUA!BV69</f>
        <v>0</v>
      </c>
      <c r="M69" s="329">
        <f>CONTINUA!BW69</f>
        <v>0</v>
      </c>
      <c r="N69" s="895"/>
      <c r="O69" s="896" t="s">
        <v>3338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3242</v>
      </c>
      <c r="B70" s="378" t="s">
        <v>3243</v>
      </c>
      <c r="C70" s="379" t="s">
        <v>3192</v>
      </c>
      <c r="D70" s="380" t="s">
        <v>3244</v>
      </c>
      <c r="E70" s="380" t="s">
        <v>3245</v>
      </c>
      <c r="F70" s="381" t="s">
        <v>3181</v>
      </c>
      <c r="G70" s="381" t="s">
        <v>3182</v>
      </c>
      <c r="H70" s="382" t="s">
        <v>1320</v>
      </c>
      <c r="I70" s="383" t="s">
        <v>1320</v>
      </c>
      <c r="J70" s="421" t="s">
        <v>3183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3338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3246</v>
      </c>
      <c r="B71" s="522" t="s">
        <v>3247</v>
      </c>
      <c r="C71" s="523">
        <v>1</v>
      </c>
      <c r="D71" s="524" t="s">
        <v>3248</v>
      </c>
      <c r="E71" s="524" t="s">
        <v>3249</v>
      </c>
      <c r="F71" s="525" t="s">
        <v>3181</v>
      </c>
      <c r="G71" s="525" t="s">
        <v>3182</v>
      </c>
      <c r="H71" s="350" t="s">
        <v>1324</v>
      </c>
      <c r="I71" s="351" t="s">
        <v>1324</v>
      </c>
      <c r="J71" s="409" t="s">
        <v>3183</v>
      </c>
      <c r="K71" s="410" t="s">
        <v>3184</v>
      </c>
      <c r="L71" s="329">
        <f>CONTINUA!BV71</f>
        <v>0</v>
      </c>
      <c r="M71" s="329">
        <f>CONTINUA!BW71</f>
        <v>0</v>
      </c>
      <c r="N71" s="895"/>
      <c r="O71" s="896" t="s">
        <v>3339</v>
      </c>
      <c r="P71" s="897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17893.730000000003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17941.930000000004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17893.730000000003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3246</v>
      </c>
      <c r="B72" s="369" t="s">
        <v>3247</v>
      </c>
      <c r="C72" s="370" t="s">
        <v>3191</v>
      </c>
      <c r="D72" s="371" t="s">
        <v>3248</v>
      </c>
      <c r="E72" s="371" t="s">
        <v>3249</v>
      </c>
      <c r="F72" s="372" t="s">
        <v>3181</v>
      </c>
      <c r="G72" s="372" t="s">
        <v>3182</v>
      </c>
      <c r="H72" s="373" t="s">
        <v>1324</v>
      </c>
      <c r="I72" s="374" t="s">
        <v>1324</v>
      </c>
      <c r="J72" s="421" t="s">
        <v>3183</v>
      </c>
      <c r="K72" s="421" t="s">
        <v>3185</v>
      </c>
      <c r="L72" s="329">
        <f>CONTINUA!BV72</f>
        <v>5</v>
      </c>
      <c r="M72" s="329">
        <f>CONTINUA!BW72</f>
        <v>0</v>
      </c>
      <c r="N72" s="895"/>
      <c r="O72" s="896" t="s">
        <v>3339</v>
      </c>
      <c r="P72" s="897">
        <v>0</v>
      </c>
      <c r="Q72" s="400">
        <v>37</v>
      </c>
      <c r="R72" s="401"/>
      <c r="S72" s="400">
        <v>6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37</v>
      </c>
      <c r="EQ72" s="171">
        <f t="shared" si="23"/>
        <v>0</v>
      </c>
      <c r="ER72" s="171">
        <f t="shared" si="24"/>
        <v>6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43</v>
      </c>
      <c r="EW72" s="173"/>
      <c r="EX72" s="248">
        <f t="shared" si="90"/>
        <v>0</v>
      </c>
      <c r="EY72" s="174">
        <f>(L72*regular)+(M72*Cadeirantee)</f>
        <v>48.2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3246</v>
      </c>
      <c r="B73" s="369" t="s">
        <v>3247</v>
      </c>
      <c r="C73" s="375" t="s">
        <v>3191</v>
      </c>
      <c r="D73" s="371" t="s">
        <v>3248</v>
      </c>
      <c r="E73" s="371" t="s">
        <v>3249</v>
      </c>
      <c r="F73" s="376" t="s">
        <v>3181</v>
      </c>
      <c r="G73" s="376" t="s">
        <v>3182</v>
      </c>
      <c r="H73" s="373" t="s">
        <v>1324</v>
      </c>
      <c r="I73" s="374" t="s">
        <v>1324</v>
      </c>
      <c r="J73" s="421" t="s">
        <v>3183</v>
      </c>
      <c r="K73" s="422" t="s">
        <v>3186</v>
      </c>
      <c r="L73" s="329">
        <f>CONTINUA!BV73</f>
        <v>0</v>
      </c>
      <c r="M73" s="329">
        <f>CONTINUA!BW73</f>
        <v>0</v>
      </c>
      <c r="N73" s="895"/>
      <c r="O73" s="896" t="s">
        <v>3339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3246</v>
      </c>
      <c r="B74" s="369" t="s">
        <v>3247</v>
      </c>
      <c r="C74" s="375" t="s">
        <v>3191</v>
      </c>
      <c r="D74" s="371" t="s">
        <v>3248</v>
      </c>
      <c r="E74" s="371" t="s">
        <v>3249</v>
      </c>
      <c r="F74" s="376" t="s">
        <v>3181</v>
      </c>
      <c r="G74" s="376" t="s">
        <v>3182</v>
      </c>
      <c r="H74" s="373" t="s">
        <v>1324</v>
      </c>
      <c r="I74" s="374" t="s">
        <v>1324</v>
      </c>
      <c r="J74" s="421" t="s">
        <v>3183</v>
      </c>
      <c r="K74" s="423" t="s">
        <v>3187</v>
      </c>
      <c r="L74" s="329">
        <f>CONTINUA!BV74</f>
        <v>0</v>
      </c>
      <c r="M74" s="329">
        <f>CONTINUA!BW74</f>
        <v>0</v>
      </c>
      <c r="N74" s="895"/>
      <c r="O74" s="896" t="s">
        <v>3339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3246</v>
      </c>
      <c r="B75" s="378" t="s">
        <v>3247</v>
      </c>
      <c r="C75" s="379" t="s">
        <v>3191</v>
      </c>
      <c r="D75" s="380" t="s">
        <v>3248</v>
      </c>
      <c r="E75" s="380" t="s">
        <v>3249</v>
      </c>
      <c r="F75" s="381" t="s">
        <v>3181</v>
      </c>
      <c r="G75" s="381" t="s">
        <v>3182</v>
      </c>
      <c r="H75" s="382" t="s">
        <v>1324</v>
      </c>
      <c r="I75" s="383" t="s">
        <v>1324</v>
      </c>
      <c r="J75" s="421" t="s">
        <v>3183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3339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3250</v>
      </c>
      <c r="B76" s="522" t="s">
        <v>3251</v>
      </c>
      <c r="C76" s="523">
        <v>4</v>
      </c>
      <c r="D76" s="524" t="s">
        <v>3252</v>
      </c>
      <c r="E76" s="524" t="s">
        <v>3253</v>
      </c>
      <c r="F76" s="525" t="s">
        <v>3181</v>
      </c>
      <c r="G76" s="525" t="s">
        <v>3182</v>
      </c>
      <c r="H76" s="350" t="s">
        <v>1326</v>
      </c>
      <c r="I76" s="351" t="s">
        <v>1326</v>
      </c>
      <c r="J76" s="409" t="s">
        <v>3183</v>
      </c>
      <c r="K76" s="410" t="s">
        <v>3184</v>
      </c>
      <c r="L76" s="329">
        <f>CONTINUA!BV76</f>
        <v>0</v>
      </c>
      <c r="M76" s="329">
        <f>CONTINUA!BW76</f>
        <v>0</v>
      </c>
      <c r="N76" s="895"/>
      <c r="O76" s="896" t="s">
        <v>3340</v>
      </c>
      <c r="P76" s="897">
        <v>0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11465.63</v>
      </c>
      <c r="EX76" s="248">
        <f t="shared" ref="EX76:EX79" si="103">FF76</f>
        <v>2311.38</v>
      </c>
      <c r="EY76" s="174">
        <f>(L76*regular)+(M76*Cadeirantee)</f>
        <v>0</v>
      </c>
      <c r="EZ76" s="249">
        <f>SUMIF(FG76:GJ76,"&gt;0")</f>
        <v>218.29700000000003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13995.306999999999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2311.38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115.56900000000002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102.72800000000001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3250</v>
      </c>
      <c r="B77" s="369" t="s">
        <v>3251</v>
      </c>
      <c r="C77" s="370" t="s">
        <v>3192</v>
      </c>
      <c r="D77" s="371" t="s">
        <v>3252</v>
      </c>
      <c r="E77" s="371" t="s">
        <v>3253</v>
      </c>
      <c r="F77" s="372" t="s">
        <v>3181</v>
      </c>
      <c r="G77" s="372" t="s">
        <v>3182</v>
      </c>
      <c r="H77" s="373" t="s">
        <v>1326</v>
      </c>
      <c r="I77" s="374" t="s">
        <v>1326</v>
      </c>
      <c r="J77" s="421" t="s">
        <v>3183</v>
      </c>
      <c r="K77" s="421" t="s">
        <v>3185</v>
      </c>
      <c r="L77" s="329">
        <f>CONTINUA!BV77</f>
        <v>0</v>
      </c>
      <c r="M77" s="329">
        <f>CONTINUA!BW77</f>
        <v>0</v>
      </c>
      <c r="N77" s="895"/>
      <c r="O77" s="896" t="s">
        <v>3340</v>
      </c>
      <c r="P77" s="897">
        <v>0</v>
      </c>
      <c r="Q77" s="400"/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3250</v>
      </c>
      <c r="B78" s="369" t="s">
        <v>3251</v>
      </c>
      <c r="C78" s="375" t="s">
        <v>3192</v>
      </c>
      <c r="D78" s="371" t="s">
        <v>3252</v>
      </c>
      <c r="E78" s="371" t="s">
        <v>3253</v>
      </c>
      <c r="F78" s="376" t="s">
        <v>3181</v>
      </c>
      <c r="G78" s="376" t="s">
        <v>3182</v>
      </c>
      <c r="H78" s="373" t="s">
        <v>1326</v>
      </c>
      <c r="I78" s="374" t="s">
        <v>1326</v>
      </c>
      <c r="J78" s="421" t="s">
        <v>3183</v>
      </c>
      <c r="K78" s="422" t="s">
        <v>3186</v>
      </c>
      <c r="L78" s="329">
        <f>CONTINUA!BV78</f>
        <v>0</v>
      </c>
      <c r="M78" s="329">
        <f>CONTINUA!BW78</f>
        <v>0</v>
      </c>
      <c r="N78" s="895"/>
      <c r="O78" s="896" t="s">
        <v>3340</v>
      </c>
      <c r="P78" s="897">
        <v>0</v>
      </c>
      <c r="Q78" s="400">
        <v>6</v>
      </c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>
        <v>1</v>
      </c>
      <c r="CX78" s="401"/>
      <c r="CY78" s="400"/>
      <c r="CZ78" s="401"/>
      <c r="DA78" s="400">
        <v>1</v>
      </c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6</v>
      </c>
      <c r="EQ78" s="171">
        <f t="shared" si="96"/>
        <v>2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8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3250</v>
      </c>
      <c r="B79" s="369" t="s">
        <v>3251</v>
      </c>
      <c r="C79" s="375" t="s">
        <v>3192</v>
      </c>
      <c r="D79" s="371" t="s">
        <v>3252</v>
      </c>
      <c r="E79" s="371" t="s">
        <v>3253</v>
      </c>
      <c r="F79" s="376" t="s">
        <v>3181</v>
      </c>
      <c r="G79" s="376" t="s">
        <v>3182</v>
      </c>
      <c r="H79" s="373" t="s">
        <v>1326</v>
      </c>
      <c r="I79" s="374" t="s">
        <v>1326</v>
      </c>
      <c r="J79" s="421" t="s">
        <v>3183</v>
      </c>
      <c r="K79" s="423" t="s">
        <v>3187</v>
      </c>
      <c r="L79" s="329">
        <f>CONTINUA!BV79</f>
        <v>0</v>
      </c>
      <c r="M79" s="329">
        <f>CONTINUA!BW79</f>
        <v>0</v>
      </c>
      <c r="N79" s="895"/>
      <c r="O79" s="896" t="s">
        <v>3340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3250</v>
      </c>
      <c r="B80" s="378" t="s">
        <v>3251</v>
      </c>
      <c r="C80" s="379" t="s">
        <v>3192</v>
      </c>
      <c r="D80" s="380" t="s">
        <v>3252</v>
      </c>
      <c r="E80" s="380" t="s">
        <v>3253</v>
      </c>
      <c r="F80" s="381" t="s">
        <v>3181</v>
      </c>
      <c r="G80" s="381" t="s">
        <v>3182</v>
      </c>
      <c r="H80" s="382" t="s">
        <v>1326</v>
      </c>
      <c r="I80" s="383" t="s">
        <v>1326</v>
      </c>
      <c r="J80" s="421" t="s">
        <v>3183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3340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3254</v>
      </c>
      <c r="B81" s="522" t="s">
        <v>3255</v>
      </c>
      <c r="C81" s="523">
        <v>1</v>
      </c>
      <c r="D81" s="524" t="s">
        <v>3256</v>
      </c>
      <c r="E81" s="524" t="s">
        <v>3257</v>
      </c>
      <c r="F81" s="525" t="s">
        <v>3181</v>
      </c>
      <c r="G81" s="525" t="s">
        <v>3182</v>
      </c>
      <c r="H81" s="350" t="s">
        <v>1327</v>
      </c>
      <c r="I81" s="351" t="s">
        <v>1327</v>
      </c>
      <c r="J81" s="409" t="s">
        <v>3183</v>
      </c>
      <c r="K81" s="410" t="s">
        <v>3184</v>
      </c>
      <c r="L81" s="329">
        <f>CONTINUA!BV81</f>
        <v>0</v>
      </c>
      <c r="M81" s="329">
        <f>CONTINUA!BW81</f>
        <v>0</v>
      </c>
      <c r="N81" s="895"/>
      <c r="O81" s="896" t="s">
        <v>3341</v>
      </c>
      <c r="P81" s="897">
        <v>0</v>
      </c>
      <c r="Q81" s="400">
        <v>27</v>
      </c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>
        <v>1</v>
      </c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27</v>
      </c>
      <c r="EQ81" s="171">
        <f t="shared" si="96"/>
        <v>1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28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19049.420000000002</v>
      </c>
      <c r="EY81" s="174">
        <f>(L81*regular)+(M81*Cadeirantee)</f>
        <v>0</v>
      </c>
      <c r="EZ81" s="249">
        <f>SUMIF(FG81:GJ81,"&gt;0")</f>
        <v>102.72800000000001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19152.148000000001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19049.420000000002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102.72800000000001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3254</v>
      </c>
      <c r="B82" s="369" t="s">
        <v>3255</v>
      </c>
      <c r="C82" s="370" t="s">
        <v>3191</v>
      </c>
      <c r="D82" s="371" t="s">
        <v>3256</v>
      </c>
      <c r="E82" s="371" t="s">
        <v>3257</v>
      </c>
      <c r="F82" s="372" t="s">
        <v>3181</v>
      </c>
      <c r="G82" s="372" t="s">
        <v>3182</v>
      </c>
      <c r="H82" s="373" t="s">
        <v>1327</v>
      </c>
      <c r="I82" s="374" t="s">
        <v>1327</v>
      </c>
      <c r="J82" s="421" t="s">
        <v>3183</v>
      </c>
      <c r="K82" s="421" t="s">
        <v>3185</v>
      </c>
      <c r="L82" s="329">
        <f>CONTINUA!BV82</f>
        <v>0</v>
      </c>
      <c r="M82" s="329">
        <f>CONTINUA!BW82</f>
        <v>0</v>
      </c>
      <c r="N82" s="895"/>
      <c r="O82" s="896" t="s">
        <v>3341</v>
      </c>
      <c r="P82" s="897">
        <v>0</v>
      </c>
      <c r="Q82" s="400">
        <v>19</v>
      </c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19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19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3254</v>
      </c>
      <c r="B83" s="369" t="s">
        <v>3255</v>
      </c>
      <c r="C83" s="375" t="s">
        <v>3191</v>
      </c>
      <c r="D83" s="371" t="s">
        <v>3256</v>
      </c>
      <c r="E83" s="371" t="s">
        <v>3257</v>
      </c>
      <c r="F83" s="376" t="s">
        <v>3181</v>
      </c>
      <c r="G83" s="376" t="s">
        <v>3182</v>
      </c>
      <c r="H83" s="373" t="s">
        <v>1327</v>
      </c>
      <c r="I83" s="374" t="s">
        <v>1327</v>
      </c>
      <c r="J83" s="421" t="s">
        <v>3183</v>
      </c>
      <c r="K83" s="422" t="s">
        <v>3186</v>
      </c>
      <c r="L83" s="329">
        <f>CONTINUA!BV83</f>
        <v>0</v>
      </c>
      <c r="M83" s="329">
        <f>CONTINUA!BW83</f>
        <v>0</v>
      </c>
      <c r="N83" s="895"/>
      <c r="O83" s="896" t="s">
        <v>3341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3254</v>
      </c>
      <c r="B84" s="369" t="s">
        <v>3255</v>
      </c>
      <c r="C84" s="375" t="s">
        <v>3191</v>
      </c>
      <c r="D84" s="371" t="s">
        <v>3256</v>
      </c>
      <c r="E84" s="371" t="s">
        <v>3257</v>
      </c>
      <c r="F84" s="376" t="s">
        <v>3181</v>
      </c>
      <c r="G84" s="376" t="s">
        <v>3182</v>
      </c>
      <c r="H84" s="373" t="s">
        <v>1327</v>
      </c>
      <c r="I84" s="374" t="s">
        <v>1327</v>
      </c>
      <c r="J84" s="421" t="s">
        <v>3183</v>
      </c>
      <c r="K84" s="423" t="s">
        <v>3187</v>
      </c>
      <c r="L84" s="329">
        <f>CONTINUA!BV84</f>
        <v>0</v>
      </c>
      <c r="M84" s="329">
        <f>CONTINUA!BW84</f>
        <v>0</v>
      </c>
      <c r="N84" s="895"/>
      <c r="O84" s="896" t="s">
        <v>3341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3254</v>
      </c>
      <c r="B85" s="378" t="s">
        <v>3255</v>
      </c>
      <c r="C85" s="379" t="s">
        <v>3191</v>
      </c>
      <c r="D85" s="380" t="s">
        <v>3256</v>
      </c>
      <c r="E85" s="380" t="s">
        <v>3257</v>
      </c>
      <c r="F85" s="381" t="s">
        <v>3181</v>
      </c>
      <c r="G85" s="381" t="s">
        <v>3182</v>
      </c>
      <c r="H85" s="382" t="s">
        <v>1327</v>
      </c>
      <c r="I85" s="383" t="s">
        <v>1327</v>
      </c>
      <c r="J85" s="421" t="s">
        <v>3183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3341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3258</v>
      </c>
      <c r="B86" s="522" t="s">
        <v>3259</v>
      </c>
      <c r="C86" s="523">
        <v>1</v>
      </c>
      <c r="D86" s="524" t="s">
        <v>3260</v>
      </c>
      <c r="E86" s="524" t="s">
        <v>3261</v>
      </c>
      <c r="F86" s="525" t="s">
        <v>3181</v>
      </c>
      <c r="G86" s="525" t="s">
        <v>3182</v>
      </c>
      <c r="H86" s="350" t="s">
        <v>1328</v>
      </c>
      <c r="I86" s="351" t="s">
        <v>1328</v>
      </c>
      <c r="J86" s="409" t="s">
        <v>3183</v>
      </c>
      <c r="K86" s="410" t="s">
        <v>3184</v>
      </c>
      <c r="L86" s="329">
        <f>CONTINUA!BV86</f>
        <v>0</v>
      </c>
      <c r="M86" s="329">
        <f>CONTINUA!BW86</f>
        <v>0</v>
      </c>
      <c r="N86" s="895"/>
      <c r="O86" s="896" t="s">
        <v>3342</v>
      </c>
      <c r="P86" s="897">
        <v>0</v>
      </c>
      <c r="Q86" s="400">
        <v>4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>
        <v>2</v>
      </c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4</v>
      </c>
      <c r="EQ86" s="171">
        <f t="shared" si="96"/>
        <v>2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6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18664.190000000002</v>
      </c>
      <c r="EY86" s="174">
        <f>(L86*regular)+(M86*Cadeirantee)</f>
        <v>0</v>
      </c>
      <c r="EZ86" s="249">
        <f>SUMIF(FG86:GJ86,"&gt;0")</f>
        <v>1284.1000000000004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19948.29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18664.190000000002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321.02500000000003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308.18400000000003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231.13800000000003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218.29700000000003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205.45600000000002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3258</v>
      </c>
      <c r="B87" s="369" t="s">
        <v>3259</v>
      </c>
      <c r="C87" s="370" t="s">
        <v>3191</v>
      </c>
      <c r="D87" s="371" t="s">
        <v>3260</v>
      </c>
      <c r="E87" s="371" t="s">
        <v>3261</v>
      </c>
      <c r="F87" s="372" t="s">
        <v>3181</v>
      </c>
      <c r="G87" s="372" t="s">
        <v>3182</v>
      </c>
      <c r="H87" s="373" t="s">
        <v>1328</v>
      </c>
      <c r="I87" s="374" t="s">
        <v>1328</v>
      </c>
      <c r="J87" s="421" t="s">
        <v>3183</v>
      </c>
      <c r="K87" s="421" t="s">
        <v>3185</v>
      </c>
      <c r="L87" s="329">
        <f>CONTINUA!BV87</f>
        <v>0</v>
      </c>
      <c r="M87" s="329">
        <f>CONTINUA!BW87</f>
        <v>0</v>
      </c>
      <c r="N87" s="895"/>
      <c r="O87" s="896" t="s">
        <v>3342</v>
      </c>
      <c r="P87" s="897">
        <v>0</v>
      </c>
      <c r="Q87" s="400">
        <v>41</v>
      </c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>
        <v>1</v>
      </c>
      <c r="AL87" s="401"/>
      <c r="AM87" s="400"/>
      <c r="AN87" s="401"/>
      <c r="AO87" s="400">
        <v>1</v>
      </c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>
        <v>1</v>
      </c>
      <c r="BN87" s="401"/>
      <c r="BO87" s="400"/>
      <c r="BP87" s="401"/>
      <c r="BQ87" s="400">
        <v>1</v>
      </c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41</v>
      </c>
      <c r="EQ87" s="171">
        <f t="shared" si="96"/>
        <v>4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45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3258</v>
      </c>
      <c r="B88" s="369" t="s">
        <v>3259</v>
      </c>
      <c r="C88" s="375" t="s">
        <v>3191</v>
      </c>
      <c r="D88" s="371" t="s">
        <v>3260</v>
      </c>
      <c r="E88" s="371" t="s">
        <v>3261</v>
      </c>
      <c r="F88" s="376" t="s">
        <v>3181</v>
      </c>
      <c r="G88" s="376" t="s">
        <v>3182</v>
      </c>
      <c r="H88" s="373" t="s">
        <v>1328</v>
      </c>
      <c r="I88" s="374" t="s">
        <v>1328</v>
      </c>
      <c r="J88" s="421" t="s">
        <v>3183</v>
      </c>
      <c r="K88" s="422" t="s">
        <v>3186</v>
      </c>
      <c r="L88" s="329">
        <f>CONTINUA!BV88</f>
        <v>0</v>
      </c>
      <c r="M88" s="329">
        <f>CONTINUA!BW88</f>
        <v>0</v>
      </c>
      <c r="N88" s="895"/>
      <c r="O88" s="896" t="s">
        <v>3342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3258</v>
      </c>
      <c r="B89" s="369" t="s">
        <v>3259</v>
      </c>
      <c r="C89" s="375" t="s">
        <v>3191</v>
      </c>
      <c r="D89" s="371" t="s">
        <v>3260</v>
      </c>
      <c r="E89" s="371" t="s">
        <v>3261</v>
      </c>
      <c r="F89" s="376" t="s">
        <v>3181</v>
      </c>
      <c r="G89" s="376" t="s">
        <v>3182</v>
      </c>
      <c r="H89" s="373" t="s">
        <v>1328</v>
      </c>
      <c r="I89" s="374" t="s">
        <v>1328</v>
      </c>
      <c r="J89" s="421" t="s">
        <v>3183</v>
      </c>
      <c r="K89" s="423" t="s">
        <v>3187</v>
      </c>
      <c r="L89" s="329">
        <f>CONTINUA!BV89</f>
        <v>0</v>
      </c>
      <c r="M89" s="329">
        <f>CONTINUA!BW89</f>
        <v>0</v>
      </c>
      <c r="N89" s="895"/>
      <c r="O89" s="896" t="s">
        <v>3342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3258</v>
      </c>
      <c r="B90" s="378" t="s">
        <v>3259</v>
      </c>
      <c r="C90" s="379" t="s">
        <v>3191</v>
      </c>
      <c r="D90" s="380" t="s">
        <v>3260</v>
      </c>
      <c r="E90" s="380" t="s">
        <v>3261</v>
      </c>
      <c r="F90" s="381" t="s">
        <v>3181</v>
      </c>
      <c r="G90" s="381" t="s">
        <v>3182</v>
      </c>
      <c r="H90" s="382" t="s">
        <v>1328</v>
      </c>
      <c r="I90" s="383" t="s">
        <v>1328</v>
      </c>
      <c r="J90" s="421" t="s">
        <v>3183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3342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3262</v>
      </c>
      <c r="B91" s="522" t="s">
        <v>3263</v>
      </c>
      <c r="C91" s="523">
        <v>1</v>
      </c>
      <c r="D91" s="524" t="s">
        <v>3264</v>
      </c>
      <c r="E91" s="524" t="s">
        <v>3265</v>
      </c>
      <c r="F91" s="525" t="s">
        <v>3181</v>
      </c>
      <c r="G91" s="525" t="s">
        <v>3182</v>
      </c>
      <c r="H91" s="350" t="s">
        <v>1330</v>
      </c>
      <c r="I91" s="351" t="s">
        <v>1330</v>
      </c>
      <c r="J91" s="409" t="s">
        <v>3183</v>
      </c>
      <c r="K91" s="410" t="s">
        <v>3184</v>
      </c>
      <c r="L91" s="329">
        <f>CONTINUA!BV91</f>
        <v>0</v>
      </c>
      <c r="M91" s="329">
        <f>CONTINUA!BW91</f>
        <v>0</v>
      </c>
      <c r="N91" s="895"/>
      <c r="O91" s="896" t="s">
        <v>3343</v>
      </c>
      <c r="P91" s="897">
        <v>0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25983.56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26157.08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25983.56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3262</v>
      </c>
      <c r="B92" s="369" t="s">
        <v>3263</v>
      </c>
      <c r="C92" s="370" t="s">
        <v>3191</v>
      </c>
      <c r="D92" s="371" t="s">
        <v>3264</v>
      </c>
      <c r="E92" s="371" t="s">
        <v>3265</v>
      </c>
      <c r="F92" s="372" t="s">
        <v>3181</v>
      </c>
      <c r="G92" s="372" t="s">
        <v>3182</v>
      </c>
      <c r="H92" s="373" t="s">
        <v>1330</v>
      </c>
      <c r="I92" s="374" t="s">
        <v>1330</v>
      </c>
      <c r="J92" s="421" t="s">
        <v>3183</v>
      </c>
      <c r="K92" s="421" t="s">
        <v>3185</v>
      </c>
      <c r="L92" s="329">
        <f>CONTINUA!BV92</f>
        <v>18</v>
      </c>
      <c r="M92" s="329">
        <f>CONTINUA!BW92</f>
        <v>0</v>
      </c>
      <c r="N92" s="895"/>
      <c r="O92" s="896" t="s">
        <v>3343</v>
      </c>
      <c r="P92" s="897">
        <v>0</v>
      </c>
      <c r="Q92" s="400">
        <v>55</v>
      </c>
      <c r="R92" s="401"/>
      <c r="S92" s="400">
        <v>9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55</v>
      </c>
      <c r="EQ92" s="171">
        <f t="shared" si="96"/>
        <v>0</v>
      </c>
      <c r="ER92" s="171">
        <f t="shared" si="97"/>
        <v>9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64</v>
      </c>
      <c r="EW92" s="173"/>
      <c r="EX92" s="248">
        <f t="shared" si="118"/>
        <v>0</v>
      </c>
      <c r="EY92" s="174">
        <f>(L92*regular)+(M92*Cadeirantee)</f>
        <v>173.52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3262</v>
      </c>
      <c r="B93" s="369" t="s">
        <v>3263</v>
      </c>
      <c r="C93" s="375" t="s">
        <v>3191</v>
      </c>
      <c r="D93" s="371" t="s">
        <v>3264</v>
      </c>
      <c r="E93" s="371" t="s">
        <v>3265</v>
      </c>
      <c r="F93" s="376" t="s">
        <v>3181</v>
      </c>
      <c r="G93" s="376" t="s">
        <v>3182</v>
      </c>
      <c r="H93" s="373" t="s">
        <v>1330</v>
      </c>
      <c r="I93" s="374" t="s">
        <v>1330</v>
      </c>
      <c r="J93" s="421" t="s">
        <v>3183</v>
      </c>
      <c r="K93" s="422" t="s">
        <v>3186</v>
      </c>
      <c r="L93" s="329">
        <f>CONTINUA!BV93</f>
        <v>0</v>
      </c>
      <c r="M93" s="329">
        <f>CONTINUA!BW93</f>
        <v>0</v>
      </c>
      <c r="N93" s="895"/>
      <c r="O93" s="896" t="s">
        <v>3343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3262</v>
      </c>
      <c r="B94" s="369" t="s">
        <v>3263</v>
      </c>
      <c r="C94" s="375" t="s">
        <v>3191</v>
      </c>
      <c r="D94" s="371" t="s">
        <v>3264</v>
      </c>
      <c r="E94" s="371" t="s">
        <v>3265</v>
      </c>
      <c r="F94" s="376" t="s">
        <v>3181</v>
      </c>
      <c r="G94" s="376" t="s">
        <v>3182</v>
      </c>
      <c r="H94" s="373" t="s">
        <v>1330</v>
      </c>
      <c r="I94" s="374" t="s">
        <v>1330</v>
      </c>
      <c r="J94" s="421" t="s">
        <v>3183</v>
      </c>
      <c r="K94" s="423" t="s">
        <v>3187</v>
      </c>
      <c r="L94" s="329">
        <f>CONTINUA!BV94</f>
        <v>0</v>
      </c>
      <c r="M94" s="329">
        <f>CONTINUA!BW94</f>
        <v>0</v>
      </c>
      <c r="N94" s="895"/>
      <c r="O94" s="896" t="s">
        <v>3343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3262</v>
      </c>
      <c r="B95" s="378" t="s">
        <v>3263</v>
      </c>
      <c r="C95" s="379" t="s">
        <v>3191</v>
      </c>
      <c r="D95" s="380" t="s">
        <v>3264</v>
      </c>
      <c r="E95" s="380" t="s">
        <v>3265</v>
      </c>
      <c r="F95" s="381" t="s">
        <v>3181</v>
      </c>
      <c r="G95" s="381" t="s">
        <v>3182</v>
      </c>
      <c r="H95" s="382" t="s">
        <v>1330</v>
      </c>
      <c r="I95" s="383" t="s">
        <v>1330</v>
      </c>
      <c r="J95" s="421" t="s">
        <v>3183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3343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3266</v>
      </c>
      <c r="B96" s="522" t="s">
        <v>3267</v>
      </c>
      <c r="C96" s="523">
        <v>1</v>
      </c>
      <c r="D96" s="524" t="s">
        <v>3268</v>
      </c>
      <c r="E96" s="524" t="s">
        <v>3269</v>
      </c>
      <c r="F96" s="525" t="s">
        <v>3181</v>
      </c>
      <c r="G96" s="525" t="s">
        <v>3182</v>
      </c>
      <c r="H96" s="350" t="s">
        <v>1339</v>
      </c>
      <c r="I96" s="351" t="s">
        <v>1339</v>
      </c>
      <c r="J96" s="409" t="s">
        <v>3183</v>
      </c>
      <c r="K96" s="410" t="s">
        <v>3184</v>
      </c>
      <c r="L96" s="329">
        <f>CONTINUA!BV96</f>
        <v>0</v>
      </c>
      <c r="M96" s="329">
        <f>CONTINUA!BW96</f>
        <v>0</v>
      </c>
      <c r="N96" s="895"/>
      <c r="O96" s="896" t="s">
        <v>3344</v>
      </c>
      <c r="P96" s="897">
        <v>0</v>
      </c>
      <c r="Q96" s="400">
        <v>28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>
        <v>-1</v>
      </c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>
        <v>1</v>
      </c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28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28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12115.28</v>
      </c>
      <c r="EY96" s="174">
        <f>(L96*regular)+(M96*Cadeirantee)</f>
        <v>0</v>
      </c>
      <c r="EZ96" s="249">
        <f>SUMIF(FG96:GJ96,"&gt;0")</f>
        <v>205.45600000000002</v>
      </c>
      <c r="FA96" s="249">
        <f>SUMIF(FG96:GJ96,"&lt;0")+SUMIF(GN96:HP96,"&lt;0")</f>
        <v>-269.661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12051.075000000001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12115.28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-269.661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205.45600000000002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3266</v>
      </c>
      <c r="B97" s="369" t="s">
        <v>3267</v>
      </c>
      <c r="C97" s="370" t="s">
        <v>3191</v>
      </c>
      <c r="D97" s="371" t="s">
        <v>3268</v>
      </c>
      <c r="E97" s="371" t="s">
        <v>3269</v>
      </c>
      <c r="F97" s="372" t="s">
        <v>3181</v>
      </c>
      <c r="G97" s="372" t="s">
        <v>3182</v>
      </c>
      <c r="H97" s="373" t="s">
        <v>1339</v>
      </c>
      <c r="I97" s="374" t="s">
        <v>1339</v>
      </c>
      <c r="J97" s="421" t="s">
        <v>3183</v>
      </c>
      <c r="K97" s="421" t="s">
        <v>3185</v>
      </c>
      <c r="L97" s="329">
        <f>CONTINUA!BV97</f>
        <v>0</v>
      </c>
      <c r="M97" s="329">
        <f>CONTINUA!BW97</f>
        <v>0</v>
      </c>
      <c r="N97" s="895"/>
      <c r="O97" s="896" t="s">
        <v>3344</v>
      </c>
      <c r="P97" s="897">
        <v>0</v>
      </c>
      <c r="Q97" s="400"/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0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0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3266</v>
      </c>
      <c r="B98" s="369" t="s">
        <v>3267</v>
      </c>
      <c r="C98" s="375" t="s">
        <v>3191</v>
      </c>
      <c r="D98" s="371" t="s">
        <v>3268</v>
      </c>
      <c r="E98" s="371" t="s">
        <v>3269</v>
      </c>
      <c r="F98" s="376" t="s">
        <v>3181</v>
      </c>
      <c r="G98" s="376" t="s">
        <v>3182</v>
      </c>
      <c r="H98" s="373" t="s">
        <v>1339</v>
      </c>
      <c r="I98" s="374" t="s">
        <v>1339</v>
      </c>
      <c r="J98" s="421" t="s">
        <v>3183</v>
      </c>
      <c r="K98" s="422" t="s">
        <v>3186</v>
      </c>
      <c r="L98" s="329">
        <f>CONTINUA!BV98</f>
        <v>0</v>
      </c>
      <c r="M98" s="329">
        <f>CONTINUA!BW98</f>
        <v>0</v>
      </c>
      <c r="N98" s="895"/>
      <c r="O98" s="896" t="s">
        <v>3344</v>
      </c>
      <c r="P98" s="897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3266</v>
      </c>
      <c r="B99" s="369" t="s">
        <v>3267</v>
      </c>
      <c r="C99" s="375" t="s">
        <v>3191</v>
      </c>
      <c r="D99" s="371" t="s">
        <v>3268</v>
      </c>
      <c r="E99" s="371" t="s">
        <v>3269</v>
      </c>
      <c r="F99" s="376" t="s">
        <v>3181</v>
      </c>
      <c r="G99" s="376" t="s">
        <v>3182</v>
      </c>
      <c r="H99" s="373" t="s">
        <v>1339</v>
      </c>
      <c r="I99" s="374" t="s">
        <v>1339</v>
      </c>
      <c r="J99" s="421" t="s">
        <v>3183</v>
      </c>
      <c r="K99" s="423" t="s">
        <v>3187</v>
      </c>
      <c r="L99" s="329">
        <f>CONTINUA!BV99</f>
        <v>0</v>
      </c>
      <c r="M99" s="329">
        <f>CONTINUA!BW99</f>
        <v>0</v>
      </c>
      <c r="N99" s="895"/>
      <c r="O99" s="896" t="s">
        <v>3344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3266</v>
      </c>
      <c r="B100" s="378" t="s">
        <v>3267</v>
      </c>
      <c r="C100" s="379" t="s">
        <v>3191</v>
      </c>
      <c r="D100" s="380" t="s">
        <v>3268</v>
      </c>
      <c r="E100" s="380" t="s">
        <v>3269</v>
      </c>
      <c r="F100" s="381" t="s">
        <v>3181</v>
      </c>
      <c r="G100" s="381" t="s">
        <v>3182</v>
      </c>
      <c r="H100" s="382" t="s">
        <v>1339</v>
      </c>
      <c r="I100" s="383" t="s">
        <v>1339</v>
      </c>
      <c r="J100" s="421" t="s">
        <v>3183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3344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3270</v>
      </c>
      <c r="B101" s="522" t="s">
        <v>3271</v>
      </c>
      <c r="C101" s="523">
        <v>3</v>
      </c>
      <c r="D101" s="524" t="s">
        <v>3272</v>
      </c>
      <c r="E101" s="524" t="s">
        <v>3273</v>
      </c>
      <c r="F101" s="525" t="s">
        <v>3181</v>
      </c>
      <c r="G101" s="525" t="s">
        <v>3182</v>
      </c>
      <c r="H101" s="350" t="s">
        <v>1340</v>
      </c>
      <c r="I101" s="351" t="s">
        <v>1340</v>
      </c>
      <c r="J101" s="409" t="s">
        <v>3188</v>
      </c>
      <c r="K101" s="410" t="s">
        <v>3184</v>
      </c>
      <c r="L101" s="329">
        <f>CONTINUA!BV101</f>
        <v>0</v>
      </c>
      <c r="M101" s="329">
        <f>CONTINUA!BW101</f>
        <v>0</v>
      </c>
      <c r="N101" s="895"/>
      <c r="O101" s="896" t="s">
        <v>3345</v>
      </c>
      <c r="P101" s="897">
        <v>0</v>
      </c>
      <c r="Q101" s="400"/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16188.48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16188.48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16188.48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3270</v>
      </c>
      <c r="B102" s="369" t="s">
        <v>3271</v>
      </c>
      <c r="C102" s="370" t="s">
        <v>3193</v>
      </c>
      <c r="D102" s="371" t="s">
        <v>3272</v>
      </c>
      <c r="E102" s="371" t="s">
        <v>3273</v>
      </c>
      <c r="F102" s="372" t="s">
        <v>3181</v>
      </c>
      <c r="G102" s="372" t="s">
        <v>3182</v>
      </c>
      <c r="H102" s="373" t="s">
        <v>1340</v>
      </c>
      <c r="I102" s="374" t="s">
        <v>1340</v>
      </c>
      <c r="J102" s="421" t="s">
        <v>3188</v>
      </c>
      <c r="K102" s="421" t="s">
        <v>3185</v>
      </c>
      <c r="L102" s="329">
        <f>CONTINUA!BV102</f>
        <v>0</v>
      </c>
      <c r="M102" s="329">
        <f>CONTINUA!BW102</f>
        <v>0</v>
      </c>
      <c r="N102" s="895"/>
      <c r="O102" s="896" t="s">
        <v>3345</v>
      </c>
      <c r="P102" s="897">
        <v>0</v>
      </c>
      <c r="Q102" s="400"/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0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3270</v>
      </c>
      <c r="B103" s="369" t="s">
        <v>3271</v>
      </c>
      <c r="C103" s="375" t="s">
        <v>3193</v>
      </c>
      <c r="D103" s="371" t="s">
        <v>3272</v>
      </c>
      <c r="E103" s="371" t="s">
        <v>3273</v>
      </c>
      <c r="F103" s="376" t="s">
        <v>3181</v>
      </c>
      <c r="G103" s="376" t="s">
        <v>3182</v>
      </c>
      <c r="H103" s="373" t="s">
        <v>1340</v>
      </c>
      <c r="I103" s="374" t="s">
        <v>1340</v>
      </c>
      <c r="J103" s="421" t="s">
        <v>3188</v>
      </c>
      <c r="K103" s="422" t="s">
        <v>3186</v>
      </c>
      <c r="L103" s="329">
        <f>CONTINUA!BV103</f>
        <v>0</v>
      </c>
      <c r="M103" s="329">
        <f>CONTINUA!BW103</f>
        <v>0</v>
      </c>
      <c r="N103" s="895"/>
      <c r="O103" s="896" t="s">
        <v>3345</v>
      </c>
      <c r="P103" s="897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3270</v>
      </c>
      <c r="B104" s="369" t="s">
        <v>3271</v>
      </c>
      <c r="C104" s="375" t="s">
        <v>3193</v>
      </c>
      <c r="D104" s="371" t="s">
        <v>3272</v>
      </c>
      <c r="E104" s="371" t="s">
        <v>3273</v>
      </c>
      <c r="F104" s="376" t="s">
        <v>3181</v>
      </c>
      <c r="G104" s="376" t="s">
        <v>3182</v>
      </c>
      <c r="H104" s="373" t="s">
        <v>1340</v>
      </c>
      <c r="I104" s="374" t="s">
        <v>1340</v>
      </c>
      <c r="J104" s="421" t="s">
        <v>3188</v>
      </c>
      <c r="K104" s="423" t="s">
        <v>3187</v>
      </c>
      <c r="L104" s="329">
        <f>CONTINUA!BV104</f>
        <v>0</v>
      </c>
      <c r="M104" s="329">
        <f>CONTINUA!BW104</f>
        <v>0</v>
      </c>
      <c r="N104" s="895"/>
      <c r="O104" s="896" t="s">
        <v>3345</v>
      </c>
      <c r="P104" s="897">
        <v>0</v>
      </c>
      <c r="Q104" s="400">
        <v>24</v>
      </c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24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24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3270</v>
      </c>
      <c r="B105" s="378" t="s">
        <v>3271</v>
      </c>
      <c r="C105" s="379" t="s">
        <v>3193</v>
      </c>
      <c r="D105" s="380" t="s">
        <v>3272</v>
      </c>
      <c r="E105" s="380" t="s">
        <v>3273</v>
      </c>
      <c r="F105" s="381" t="s">
        <v>3181</v>
      </c>
      <c r="G105" s="381" t="s">
        <v>3182</v>
      </c>
      <c r="H105" s="382" t="s">
        <v>1340</v>
      </c>
      <c r="I105" s="383" t="s">
        <v>1340</v>
      </c>
      <c r="J105" s="421" t="s">
        <v>3188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3345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3274</v>
      </c>
      <c r="B106" s="522" t="s">
        <v>3275</v>
      </c>
      <c r="C106" s="523">
        <v>4</v>
      </c>
      <c r="D106" s="524" t="s">
        <v>3276</v>
      </c>
      <c r="E106" s="524" t="s">
        <v>3277</v>
      </c>
      <c r="F106" s="525" t="s">
        <v>3181</v>
      </c>
      <c r="G106" s="525" t="s">
        <v>3182</v>
      </c>
      <c r="H106" s="350" t="s">
        <v>1345</v>
      </c>
      <c r="I106" s="351" t="s">
        <v>1345</v>
      </c>
      <c r="J106" s="409" t="s">
        <v>3183</v>
      </c>
      <c r="K106" s="410" t="s">
        <v>3184</v>
      </c>
      <c r="L106" s="329">
        <f>CONTINUA!BV106</f>
        <v>0</v>
      </c>
      <c r="M106" s="329">
        <f>CONTINUA!BW106</f>
        <v>0</v>
      </c>
      <c r="N106" s="895"/>
      <c r="O106" s="896" t="s">
        <v>3346</v>
      </c>
      <c r="P106" s="897">
        <v>0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11465.63</v>
      </c>
      <c r="EX106" s="248">
        <f t="shared" ref="EX106:EX109" si="133">FF106</f>
        <v>770.46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12390.33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770.46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3274</v>
      </c>
      <c r="B107" s="369" t="s">
        <v>3275</v>
      </c>
      <c r="C107" s="370" t="s">
        <v>3192</v>
      </c>
      <c r="D107" s="371" t="s">
        <v>3276</v>
      </c>
      <c r="E107" s="371" t="s">
        <v>3277</v>
      </c>
      <c r="F107" s="372" t="s">
        <v>3181</v>
      </c>
      <c r="G107" s="372" t="s">
        <v>3182</v>
      </c>
      <c r="H107" s="373" t="s">
        <v>1345</v>
      </c>
      <c r="I107" s="374" t="s">
        <v>1345</v>
      </c>
      <c r="J107" s="421" t="s">
        <v>3183</v>
      </c>
      <c r="K107" s="421" t="s">
        <v>3185</v>
      </c>
      <c r="L107" s="329">
        <f>CONTINUA!BV107</f>
        <v>0</v>
      </c>
      <c r="M107" s="329">
        <f>CONTINUA!BW107</f>
        <v>0</v>
      </c>
      <c r="N107" s="895"/>
      <c r="O107" s="896" t="s">
        <v>3346</v>
      </c>
      <c r="P107" s="897">
        <v>0</v>
      </c>
      <c r="Q107" s="400"/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0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3274</v>
      </c>
      <c r="B108" s="369" t="s">
        <v>3275</v>
      </c>
      <c r="C108" s="375" t="s">
        <v>3192</v>
      </c>
      <c r="D108" s="371" t="s">
        <v>3276</v>
      </c>
      <c r="E108" s="371" t="s">
        <v>3277</v>
      </c>
      <c r="F108" s="376" t="s">
        <v>3181</v>
      </c>
      <c r="G108" s="376" t="s">
        <v>3182</v>
      </c>
      <c r="H108" s="373" t="s">
        <v>1345</v>
      </c>
      <c r="I108" s="374" t="s">
        <v>1345</v>
      </c>
      <c r="J108" s="421" t="s">
        <v>3183</v>
      </c>
      <c r="K108" s="422" t="s">
        <v>3186</v>
      </c>
      <c r="L108" s="329">
        <f>CONTINUA!BV108</f>
        <v>16</v>
      </c>
      <c r="M108" s="329">
        <f>CONTINUA!BW108</f>
        <v>0</v>
      </c>
      <c r="N108" s="895"/>
      <c r="O108" s="896" t="s">
        <v>3346</v>
      </c>
      <c r="P108" s="897">
        <v>0</v>
      </c>
      <c r="Q108" s="400">
        <v>2</v>
      </c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2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2</v>
      </c>
      <c r="EW108" s="125"/>
      <c r="EX108" s="248">
        <f t="shared" si="133"/>
        <v>0</v>
      </c>
      <c r="EY108" s="174">
        <f>(L108*regular)+(M108*Cadeirantee)</f>
        <v>154.24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3274</v>
      </c>
      <c r="B109" s="369" t="s">
        <v>3275</v>
      </c>
      <c r="C109" s="375" t="s">
        <v>3192</v>
      </c>
      <c r="D109" s="371" t="s">
        <v>3276</v>
      </c>
      <c r="E109" s="371" t="s">
        <v>3277</v>
      </c>
      <c r="F109" s="376" t="s">
        <v>3181</v>
      </c>
      <c r="G109" s="376" t="s">
        <v>3182</v>
      </c>
      <c r="H109" s="373" t="s">
        <v>1345</v>
      </c>
      <c r="I109" s="374" t="s">
        <v>1345</v>
      </c>
      <c r="J109" s="421" t="s">
        <v>3183</v>
      </c>
      <c r="K109" s="423" t="s">
        <v>3187</v>
      </c>
      <c r="L109" s="329">
        <f>CONTINUA!BV109</f>
        <v>0</v>
      </c>
      <c r="M109" s="329">
        <f>CONTINUA!BW109</f>
        <v>0</v>
      </c>
      <c r="N109" s="895"/>
      <c r="O109" s="896" t="s">
        <v>3346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3274</v>
      </c>
      <c r="B110" s="378" t="s">
        <v>3275</v>
      </c>
      <c r="C110" s="379" t="s">
        <v>3192</v>
      </c>
      <c r="D110" s="380" t="s">
        <v>3276</v>
      </c>
      <c r="E110" s="380" t="s">
        <v>3277</v>
      </c>
      <c r="F110" s="381" t="s">
        <v>3181</v>
      </c>
      <c r="G110" s="381" t="s">
        <v>3182</v>
      </c>
      <c r="H110" s="382" t="s">
        <v>1345</v>
      </c>
      <c r="I110" s="383" t="s">
        <v>1345</v>
      </c>
      <c r="J110" s="421" t="s">
        <v>3183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3346</v>
      </c>
      <c r="P110" s="897">
        <v>0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3278</v>
      </c>
      <c r="B111" s="522" t="s">
        <v>3279</v>
      </c>
      <c r="C111" s="523">
        <v>1</v>
      </c>
      <c r="D111" s="524" t="s">
        <v>3280</v>
      </c>
      <c r="E111" s="524" t="s">
        <v>3281</v>
      </c>
      <c r="F111" s="525" t="s">
        <v>3181</v>
      </c>
      <c r="G111" s="525" t="s">
        <v>3182</v>
      </c>
      <c r="H111" s="350" t="s">
        <v>1346</v>
      </c>
      <c r="I111" s="351" t="s">
        <v>1346</v>
      </c>
      <c r="J111" s="409" t="s">
        <v>3183</v>
      </c>
      <c r="K111" s="410" t="s">
        <v>3184</v>
      </c>
      <c r="L111" s="329">
        <f>CONTINUA!BV111</f>
        <v>0</v>
      </c>
      <c r="M111" s="329">
        <f>CONTINUA!BW111</f>
        <v>0</v>
      </c>
      <c r="N111" s="895"/>
      <c r="O111" s="896" t="s">
        <v>3347</v>
      </c>
      <c r="P111" s="897">
        <v>0</v>
      </c>
      <c r="Q111" s="400">
        <v>19</v>
      </c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>
        <v>-1</v>
      </c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19</v>
      </c>
      <c r="EQ111" s="171">
        <f t="shared" si="96"/>
        <v>-1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18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11730.050000000001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-282.50200000000001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11447.548000000001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11730.050000000001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-282.50200000000001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3278</v>
      </c>
      <c r="B112" s="369" t="s">
        <v>3279</v>
      </c>
      <c r="C112" s="370" t="s">
        <v>3191</v>
      </c>
      <c r="D112" s="371" t="s">
        <v>3280</v>
      </c>
      <c r="E112" s="371" t="s">
        <v>3281</v>
      </c>
      <c r="F112" s="372" t="s">
        <v>3181</v>
      </c>
      <c r="G112" s="372" t="s">
        <v>3182</v>
      </c>
      <c r="H112" s="373" t="s">
        <v>1346</v>
      </c>
      <c r="I112" s="374" t="s">
        <v>1346</v>
      </c>
      <c r="J112" s="421" t="s">
        <v>3183</v>
      </c>
      <c r="K112" s="421" t="s">
        <v>3185</v>
      </c>
      <c r="L112" s="329">
        <f>CONTINUA!BV112</f>
        <v>0</v>
      </c>
      <c r="M112" s="329">
        <f>CONTINUA!BW112</f>
        <v>0</v>
      </c>
      <c r="N112" s="895"/>
      <c r="O112" s="896" t="s">
        <v>3347</v>
      </c>
      <c r="P112" s="897">
        <v>0</v>
      </c>
      <c r="Q112" s="400">
        <v>8</v>
      </c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8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8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3278</v>
      </c>
      <c r="B113" s="369" t="s">
        <v>3279</v>
      </c>
      <c r="C113" s="375" t="s">
        <v>3191</v>
      </c>
      <c r="D113" s="371" t="s">
        <v>3280</v>
      </c>
      <c r="E113" s="371" t="s">
        <v>3281</v>
      </c>
      <c r="F113" s="376" t="s">
        <v>3181</v>
      </c>
      <c r="G113" s="376" t="s">
        <v>3182</v>
      </c>
      <c r="H113" s="373" t="s">
        <v>1346</v>
      </c>
      <c r="I113" s="374" t="s">
        <v>1346</v>
      </c>
      <c r="J113" s="421" t="s">
        <v>3183</v>
      </c>
      <c r="K113" s="422" t="s">
        <v>3186</v>
      </c>
      <c r="L113" s="329">
        <f>CONTINUA!BV113</f>
        <v>0</v>
      </c>
      <c r="M113" s="329">
        <f>CONTINUA!BW113</f>
        <v>0</v>
      </c>
      <c r="N113" s="895"/>
      <c r="O113" s="896" t="s">
        <v>3347</v>
      </c>
      <c r="P113" s="897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3278</v>
      </c>
      <c r="B114" s="369" t="s">
        <v>3279</v>
      </c>
      <c r="C114" s="375" t="s">
        <v>3191</v>
      </c>
      <c r="D114" s="371" t="s">
        <v>3280</v>
      </c>
      <c r="E114" s="371" t="s">
        <v>3281</v>
      </c>
      <c r="F114" s="376" t="s">
        <v>3181</v>
      </c>
      <c r="G114" s="376" t="s">
        <v>3182</v>
      </c>
      <c r="H114" s="373" t="s">
        <v>1346</v>
      </c>
      <c r="I114" s="374" t="s">
        <v>1346</v>
      </c>
      <c r="J114" s="421" t="s">
        <v>3183</v>
      </c>
      <c r="K114" s="423" t="s">
        <v>3187</v>
      </c>
      <c r="L114" s="329">
        <f>CONTINUA!BV114</f>
        <v>0</v>
      </c>
      <c r="M114" s="329">
        <f>CONTINUA!BW114</f>
        <v>0</v>
      </c>
      <c r="N114" s="895"/>
      <c r="O114" s="896" t="s">
        <v>3347</v>
      </c>
      <c r="P114" s="897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3278</v>
      </c>
      <c r="B115" s="378" t="s">
        <v>3279</v>
      </c>
      <c r="C115" s="379" t="s">
        <v>3191</v>
      </c>
      <c r="D115" s="380" t="s">
        <v>3280</v>
      </c>
      <c r="E115" s="380" t="s">
        <v>3281</v>
      </c>
      <c r="F115" s="381" t="s">
        <v>3181</v>
      </c>
      <c r="G115" s="381" t="s">
        <v>3182</v>
      </c>
      <c r="H115" s="382" t="s">
        <v>1346</v>
      </c>
      <c r="I115" s="383" t="s">
        <v>1346</v>
      </c>
      <c r="J115" s="421" t="s">
        <v>3183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3347</v>
      </c>
      <c r="P115" s="897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3282</v>
      </c>
      <c r="B116" s="522" t="s">
        <v>3283</v>
      </c>
      <c r="C116" s="523">
        <v>1</v>
      </c>
      <c r="D116" s="524" t="s">
        <v>3284</v>
      </c>
      <c r="E116" s="524" t="s">
        <v>3285</v>
      </c>
      <c r="F116" s="525" t="s">
        <v>3181</v>
      </c>
      <c r="G116" s="525" t="s">
        <v>3182</v>
      </c>
      <c r="H116" s="350" t="s">
        <v>1347</v>
      </c>
      <c r="I116" s="351" t="s">
        <v>1347</v>
      </c>
      <c r="J116" s="409" t="s">
        <v>3183</v>
      </c>
      <c r="K116" s="410" t="s">
        <v>3184</v>
      </c>
      <c r="L116" s="329">
        <f>CONTINUA!BV116</f>
        <v>0</v>
      </c>
      <c r="M116" s="329">
        <f>CONTINUA!BW116</f>
        <v>0</v>
      </c>
      <c r="N116" s="895"/>
      <c r="O116" s="896" t="s">
        <v>3348</v>
      </c>
      <c r="P116" s="897">
        <v>0</v>
      </c>
      <c r="Q116" s="400">
        <v>11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11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11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12115.28</v>
      </c>
      <c r="EY116" s="174">
        <f>(L116*regular)+(M116*Cadeirantee)</f>
        <v>0</v>
      </c>
      <c r="EZ116" s="249">
        <f>SUMIF(FG116:GJ116,"&gt;0")</f>
        <v>282.50200000000001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12465.262000000001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12115.28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282.50200000000001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3282</v>
      </c>
      <c r="B117" s="369" t="s">
        <v>3283</v>
      </c>
      <c r="C117" s="370" t="s">
        <v>3191</v>
      </c>
      <c r="D117" s="371" t="s">
        <v>3284</v>
      </c>
      <c r="E117" s="371" t="s">
        <v>3285</v>
      </c>
      <c r="F117" s="372" t="s">
        <v>3181</v>
      </c>
      <c r="G117" s="372" t="s">
        <v>3182</v>
      </c>
      <c r="H117" s="373" t="s">
        <v>1347</v>
      </c>
      <c r="I117" s="374" t="s">
        <v>1347</v>
      </c>
      <c r="J117" s="421" t="s">
        <v>3183</v>
      </c>
      <c r="K117" s="421" t="s">
        <v>3185</v>
      </c>
      <c r="L117" s="329">
        <f>CONTINUA!BV117</f>
        <v>7</v>
      </c>
      <c r="M117" s="329">
        <f>CONTINUA!BW117</f>
        <v>0</v>
      </c>
      <c r="N117" s="895"/>
      <c r="O117" s="896" t="s">
        <v>3348</v>
      </c>
      <c r="P117" s="897">
        <v>0</v>
      </c>
      <c r="Q117" s="400">
        <v>17</v>
      </c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>
        <v>1</v>
      </c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17</v>
      </c>
      <c r="EQ117" s="171">
        <f t="shared" si="96"/>
        <v>1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18</v>
      </c>
      <c r="EW117" s="173"/>
      <c r="EX117" s="248">
        <f t="shared" si="143"/>
        <v>0</v>
      </c>
      <c r="EY117" s="174">
        <f>(L117*regular)+(M117*Cadeirantee)</f>
        <v>67.48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3282</v>
      </c>
      <c r="B118" s="369" t="s">
        <v>3283</v>
      </c>
      <c r="C118" s="375" t="s">
        <v>3191</v>
      </c>
      <c r="D118" s="371" t="s">
        <v>3284</v>
      </c>
      <c r="E118" s="371" t="s">
        <v>3285</v>
      </c>
      <c r="F118" s="376" t="s">
        <v>3181</v>
      </c>
      <c r="G118" s="376" t="s">
        <v>3182</v>
      </c>
      <c r="H118" s="373" t="s">
        <v>1347</v>
      </c>
      <c r="I118" s="374" t="s">
        <v>1347</v>
      </c>
      <c r="J118" s="421" t="s">
        <v>3183</v>
      </c>
      <c r="K118" s="422" t="s">
        <v>3186</v>
      </c>
      <c r="L118" s="329">
        <f>CONTINUA!BV118</f>
        <v>0</v>
      </c>
      <c r="M118" s="329">
        <f>CONTINUA!BW118</f>
        <v>0</v>
      </c>
      <c r="N118" s="895"/>
      <c r="O118" s="896" t="s">
        <v>3348</v>
      </c>
      <c r="P118" s="897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3282</v>
      </c>
      <c r="B119" s="369" t="s">
        <v>3283</v>
      </c>
      <c r="C119" s="375" t="s">
        <v>3191</v>
      </c>
      <c r="D119" s="371" t="s">
        <v>3284</v>
      </c>
      <c r="E119" s="371" t="s">
        <v>3285</v>
      </c>
      <c r="F119" s="376" t="s">
        <v>3181</v>
      </c>
      <c r="G119" s="376" t="s">
        <v>3182</v>
      </c>
      <c r="H119" s="373" t="s">
        <v>1347</v>
      </c>
      <c r="I119" s="374" t="s">
        <v>1347</v>
      </c>
      <c r="J119" s="421" t="s">
        <v>3183</v>
      </c>
      <c r="K119" s="423" t="s">
        <v>3187</v>
      </c>
      <c r="L119" s="329">
        <f>CONTINUA!BV119</f>
        <v>0</v>
      </c>
      <c r="M119" s="329">
        <f>CONTINUA!BW119</f>
        <v>0</v>
      </c>
      <c r="N119" s="895"/>
      <c r="O119" s="896" t="s">
        <v>3348</v>
      </c>
      <c r="P119" s="897">
        <v>0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3282</v>
      </c>
      <c r="B120" s="378" t="s">
        <v>3283</v>
      </c>
      <c r="C120" s="379" t="s">
        <v>3191</v>
      </c>
      <c r="D120" s="380" t="s">
        <v>3284</v>
      </c>
      <c r="E120" s="380" t="s">
        <v>3285</v>
      </c>
      <c r="F120" s="381" t="s">
        <v>3181</v>
      </c>
      <c r="G120" s="381" t="s">
        <v>3182</v>
      </c>
      <c r="H120" s="382" t="s">
        <v>1347</v>
      </c>
      <c r="I120" s="383" t="s">
        <v>1347</v>
      </c>
      <c r="J120" s="421" t="s">
        <v>3183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3348</v>
      </c>
      <c r="P120" s="897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3286</v>
      </c>
      <c r="B121" s="522" t="s">
        <v>3287</v>
      </c>
      <c r="C121" s="523">
        <v>4</v>
      </c>
      <c r="D121" s="524" t="s">
        <v>3288</v>
      </c>
      <c r="E121" s="524" t="s">
        <v>3289</v>
      </c>
      <c r="F121" s="525" t="s">
        <v>3181</v>
      </c>
      <c r="G121" s="525" t="s">
        <v>3182</v>
      </c>
      <c r="H121" s="350" t="s">
        <v>1348</v>
      </c>
      <c r="I121" s="351" t="s">
        <v>1348</v>
      </c>
      <c r="J121" s="409" t="s">
        <v>3183</v>
      </c>
      <c r="K121" s="410" t="s">
        <v>3184</v>
      </c>
      <c r="L121" s="329">
        <f>CONTINUA!BV121</f>
        <v>0</v>
      </c>
      <c r="M121" s="329">
        <f>CONTINUA!BW121</f>
        <v>0</v>
      </c>
      <c r="N121" s="895"/>
      <c r="O121" s="896" t="s">
        <v>3349</v>
      </c>
      <c r="P121" s="897">
        <v>0</v>
      </c>
      <c r="Q121" s="400"/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11465.63</v>
      </c>
      <c r="EX121" s="248">
        <f t="shared" ref="EX121:EX124" si="148">FF121</f>
        <v>4622.76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-243.97900000000004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15844.411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4622.76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-128.41000000000003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-115.56900000000002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3286</v>
      </c>
      <c r="B122" s="369" t="s">
        <v>3287</v>
      </c>
      <c r="C122" s="370" t="s">
        <v>3192</v>
      </c>
      <c r="D122" s="371" t="s">
        <v>3288</v>
      </c>
      <c r="E122" s="371" t="s">
        <v>3289</v>
      </c>
      <c r="F122" s="372" t="s">
        <v>3181</v>
      </c>
      <c r="G122" s="372" t="s">
        <v>3182</v>
      </c>
      <c r="H122" s="373" t="s">
        <v>1348</v>
      </c>
      <c r="I122" s="374" t="s">
        <v>1348</v>
      </c>
      <c r="J122" s="421" t="s">
        <v>3183</v>
      </c>
      <c r="K122" s="421" t="s">
        <v>3185</v>
      </c>
      <c r="L122" s="329">
        <f>CONTINUA!BV122</f>
        <v>0</v>
      </c>
      <c r="M122" s="329">
        <f>CONTINUA!BW122</f>
        <v>0</v>
      </c>
      <c r="N122" s="895"/>
      <c r="O122" s="896" t="s">
        <v>3349</v>
      </c>
      <c r="P122" s="897">
        <v>0</v>
      </c>
      <c r="Q122" s="400"/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3286</v>
      </c>
      <c r="B123" s="369" t="s">
        <v>3287</v>
      </c>
      <c r="C123" s="375" t="s">
        <v>3192</v>
      </c>
      <c r="D123" s="371" t="s">
        <v>3288</v>
      </c>
      <c r="E123" s="371" t="s">
        <v>3289</v>
      </c>
      <c r="F123" s="376" t="s">
        <v>3181</v>
      </c>
      <c r="G123" s="376" t="s">
        <v>3182</v>
      </c>
      <c r="H123" s="373" t="s">
        <v>1348</v>
      </c>
      <c r="I123" s="374" t="s">
        <v>1348</v>
      </c>
      <c r="J123" s="421" t="s">
        <v>3183</v>
      </c>
      <c r="K123" s="422" t="s">
        <v>3186</v>
      </c>
      <c r="L123" s="329">
        <f>CONTINUA!BV123</f>
        <v>0</v>
      </c>
      <c r="M123" s="329">
        <f>CONTINUA!BW123</f>
        <v>0</v>
      </c>
      <c r="N123" s="895"/>
      <c r="O123" s="896" t="s">
        <v>3349</v>
      </c>
      <c r="P123" s="897">
        <v>0</v>
      </c>
      <c r="Q123" s="400">
        <v>12</v>
      </c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>
        <v>-1</v>
      </c>
      <c r="CT123" s="401"/>
      <c r="CU123" s="400"/>
      <c r="CV123" s="401"/>
      <c r="CW123" s="400">
        <v>-1</v>
      </c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12</v>
      </c>
      <c r="EQ123" s="171">
        <f t="shared" si="96"/>
        <v>-2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10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3286</v>
      </c>
      <c r="B124" s="369" t="s">
        <v>3287</v>
      </c>
      <c r="C124" s="375" t="s">
        <v>3192</v>
      </c>
      <c r="D124" s="371" t="s">
        <v>3288</v>
      </c>
      <c r="E124" s="371" t="s">
        <v>3289</v>
      </c>
      <c r="F124" s="376" t="s">
        <v>3181</v>
      </c>
      <c r="G124" s="376" t="s">
        <v>3182</v>
      </c>
      <c r="H124" s="373" t="s">
        <v>1348</v>
      </c>
      <c r="I124" s="374" t="s">
        <v>1348</v>
      </c>
      <c r="J124" s="421" t="s">
        <v>3183</v>
      </c>
      <c r="K124" s="423" t="s">
        <v>3187</v>
      </c>
      <c r="L124" s="329">
        <f>CONTINUA!BV124</f>
        <v>0</v>
      </c>
      <c r="M124" s="329">
        <f>CONTINUA!BW124</f>
        <v>0</v>
      </c>
      <c r="N124" s="895"/>
      <c r="O124" s="896" t="s">
        <v>3349</v>
      </c>
      <c r="P124" s="897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3286</v>
      </c>
      <c r="B125" s="378" t="s">
        <v>3287</v>
      </c>
      <c r="C125" s="379" t="s">
        <v>3192</v>
      </c>
      <c r="D125" s="380" t="s">
        <v>3288</v>
      </c>
      <c r="E125" s="380" t="s">
        <v>3289</v>
      </c>
      <c r="F125" s="381" t="s">
        <v>3181</v>
      </c>
      <c r="G125" s="381" t="s">
        <v>3182</v>
      </c>
      <c r="H125" s="382" t="s">
        <v>1348</v>
      </c>
      <c r="I125" s="383" t="s">
        <v>1348</v>
      </c>
      <c r="J125" s="421" t="s">
        <v>3183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3349</v>
      </c>
      <c r="P125" s="897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3290</v>
      </c>
      <c r="B126" s="522" t="s">
        <v>3291</v>
      </c>
      <c r="C126" s="523">
        <v>1</v>
      </c>
      <c r="D126" s="524" t="s">
        <v>3292</v>
      </c>
      <c r="E126" s="524" t="s">
        <v>3293</v>
      </c>
      <c r="F126" s="525" t="s">
        <v>3181</v>
      </c>
      <c r="G126" s="525" t="s">
        <v>3182</v>
      </c>
      <c r="H126" s="350" t="s">
        <v>1351</v>
      </c>
      <c r="I126" s="351" t="s">
        <v>1351</v>
      </c>
      <c r="J126" s="409" t="s">
        <v>3183</v>
      </c>
      <c r="K126" s="410" t="s">
        <v>3184</v>
      </c>
      <c r="L126" s="329">
        <f>CONTINUA!BV126</f>
        <v>0</v>
      </c>
      <c r="M126" s="329">
        <f>CONTINUA!BW126</f>
        <v>0</v>
      </c>
      <c r="N126" s="895"/>
      <c r="O126" s="896" t="s">
        <v>3350</v>
      </c>
      <c r="P126" s="897">
        <v>0</v>
      </c>
      <c r="Q126" s="400">
        <v>31</v>
      </c>
      <c r="R126" s="401"/>
      <c r="S126" s="400"/>
      <c r="T126" s="401"/>
      <c r="U126" s="400">
        <v>1</v>
      </c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31</v>
      </c>
      <c r="EQ126" s="171">
        <f t="shared" si="96"/>
        <v>1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32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27139.25</v>
      </c>
      <c r="EY126" s="174">
        <f>(L126*regular)+(M126*Cadeirantee)</f>
        <v>0</v>
      </c>
      <c r="EZ126" s="249">
        <f>SUMIF(FG126:GJ126,"&gt;0")</f>
        <v>51.364000000000004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27595.494000000002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27139.25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51.364000000000004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3290</v>
      </c>
      <c r="B127" s="369" t="s">
        <v>3291</v>
      </c>
      <c r="C127" s="370" t="s">
        <v>3191</v>
      </c>
      <c r="D127" s="371" t="s">
        <v>3292</v>
      </c>
      <c r="E127" s="371" t="s">
        <v>3293</v>
      </c>
      <c r="F127" s="372" t="s">
        <v>3181</v>
      </c>
      <c r="G127" s="372" t="s">
        <v>3182</v>
      </c>
      <c r="H127" s="373" t="s">
        <v>1351</v>
      </c>
      <c r="I127" s="374" t="s">
        <v>1351</v>
      </c>
      <c r="J127" s="421" t="s">
        <v>3183</v>
      </c>
      <c r="K127" s="421" t="s">
        <v>3185</v>
      </c>
      <c r="L127" s="329">
        <f>CONTINUA!BV127</f>
        <v>42</v>
      </c>
      <c r="M127" s="329">
        <f>CONTINUA!BW127</f>
        <v>0</v>
      </c>
      <c r="N127" s="895"/>
      <c r="O127" s="896" t="s">
        <v>3350</v>
      </c>
      <c r="P127" s="897">
        <v>0</v>
      </c>
      <c r="Q127" s="400">
        <v>27</v>
      </c>
      <c r="R127" s="401"/>
      <c r="S127" s="400">
        <v>9</v>
      </c>
      <c r="T127" s="401"/>
      <c r="U127" s="400">
        <v>-1</v>
      </c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>
        <v>1</v>
      </c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27</v>
      </c>
      <c r="EQ127" s="171">
        <f t="shared" si="96"/>
        <v>-1</v>
      </c>
      <c r="ER127" s="171">
        <f t="shared" si="97"/>
        <v>10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36</v>
      </c>
      <c r="EW127" s="173"/>
      <c r="EX127" s="248">
        <f t="shared" si="153"/>
        <v>0</v>
      </c>
      <c r="EY127" s="174">
        <f>(L127*regular)+(M127*Cadeirantee)</f>
        <v>404.88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3290</v>
      </c>
      <c r="B128" s="369" t="s">
        <v>3291</v>
      </c>
      <c r="C128" s="375" t="s">
        <v>3191</v>
      </c>
      <c r="D128" s="371" t="s">
        <v>3292</v>
      </c>
      <c r="E128" s="371" t="s">
        <v>3293</v>
      </c>
      <c r="F128" s="376" t="s">
        <v>3181</v>
      </c>
      <c r="G128" s="376" t="s">
        <v>3182</v>
      </c>
      <c r="H128" s="373" t="s">
        <v>1351</v>
      </c>
      <c r="I128" s="374" t="s">
        <v>1351</v>
      </c>
      <c r="J128" s="421" t="s">
        <v>3183</v>
      </c>
      <c r="K128" s="422" t="s">
        <v>3186</v>
      </c>
      <c r="L128" s="329">
        <f>CONTINUA!BV128</f>
        <v>0</v>
      </c>
      <c r="M128" s="329">
        <f>CONTINUA!BW128</f>
        <v>0</v>
      </c>
      <c r="N128" s="895"/>
      <c r="O128" s="896" t="s">
        <v>3350</v>
      </c>
      <c r="P128" s="897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3290</v>
      </c>
      <c r="B129" s="369" t="s">
        <v>3291</v>
      </c>
      <c r="C129" s="375" t="s">
        <v>3191</v>
      </c>
      <c r="D129" s="371" t="s">
        <v>3292</v>
      </c>
      <c r="E129" s="371" t="s">
        <v>3293</v>
      </c>
      <c r="F129" s="376" t="s">
        <v>3181</v>
      </c>
      <c r="G129" s="376" t="s">
        <v>3182</v>
      </c>
      <c r="H129" s="373" t="s">
        <v>1351</v>
      </c>
      <c r="I129" s="374" t="s">
        <v>1351</v>
      </c>
      <c r="J129" s="421" t="s">
        <v>3183</v>
      </c>
      <c r="K129" s="423" t="s">
        <v>3187</v>
      </c>
      <c r="L129" s="329">
        <f>CONTINUA!BV129</f>
        <v>0</v>
      </c>
      <c r="M129" s="329">
        <f>CONTINUA!BW129</f>
        <v>0</v>
      </c>
      <c r="N129" s="895"/>
      <c r="O129" s="896" t="s">
        <v>3350</v>
      </c>
      <c r="P129" s="897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3290</v>
      </c>
      <c r="B130" s="378" t="s">
        <v>3291</v>
      </c>
      <c r="C130" s="379" t="s">
        <v>3191</v>
      </c>
      <c r="D130" s="380" t="s">
        <v>3292</v>
      </c>
      <c r="E130" s="380" t="s">
        <v>3293</v>
      </c>
      <c r="F130" s="381" t="s">
        <v>3181</v>
      </c>
      <c r="G130" s="381" t="s">
        <v>3182</v>
      </c>
      <c r="H130" s="382" t="s">
        <v>1351</v>
      </c>
      <c r="I130" s="383" t="s">
        <v>1351</v>
      </c>
      <c r="J130" s="421" t="s">
        <v>3183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3350</v>
      </c>
      <c r="P130" s="897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3294</v>
      </c>
      <c r="B131" s="522" t="s">
        <v>3295</v>
      </c>
      <c r="C131" s="523">
        <v>3</v>
      </c>
      <c r="D131" s="524" t="s">
        <v>3296</v>
      </c>
      <c r="E131" s="524" t="s">
        <v>3297</v>
      </c>
      <c r="F131" s="525" t="s">
        <v>3181</v>
      </c>
      <c r="G131" s="525" t="s">
        <v>3182</v>
      </c>
      <c r="H131" s="350" t="s">
        <v>1356</v>
      </c>
      <c r="I131" s="351" t="s">
        <v>1356</v>
      </c>
      <c r="J131" s="409" t="s">
        <v>3188</v>
      </c>
      <c r="K131" s="410" t="s">
        <v>3184</v>
      </c>
      <c r="L131" s="329">
        <f>CONTINUA!BV131</f>
        <v>0</v>
      </c>
      <c r="M131" s="329">
        <f>CONTINUA!BW131</f>
        <v>0</v>
      </c>
      <c r="N131" s="895"/>
      <c r="O131" s="896" t="s">
        <v>3351</v>
      </c>
      <c r="P131" s="897">
        <v>0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16188.48</v>
      </c>
      <c r="EY131" s="174">
        <f>(L131*regular)+(M131*Cadeirantee)</f>
        <v>0</v>
      </c>
      <c r="EZ131" s="249">
        <f>SUMIF(FG131:GJ131,"&gt;0")</f>
        <v>82.818666666666658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16271.298666666666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16188.48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82.818666666666658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3294</v>
      </c>
      <c r="B132" s="369" t="s">
        <v>3295</v>
      </c>
      <c r="C132" s="370" t="s">
        <v>3193</v>
      </c>
      <c r="D132" s="371" t="s">
        <v>3296</v>
      </c>
      <c r="E132" s="371" t="s">
        <v>3297</v>
      </c>
      <c r="F132" s="372" t="s">
        <v>3181</v>
      </c>
      <c r="G132" s="372" t="s">
        <v>3182</v>
      </c>
      <c r="H132" s="373" t="s">
        <v>1356</v>
      </c>
      <c r="I132" s="374" t="s">
        <v>1356</v>
      </c>
      <c r="J132" s="421" t="s">
        <v>3188</v>
      </c>
      <c r="K132" s="421" t="s">
        <v>3185</v>
      </c>
      <c r="L132" s="329">
        <f>CONTINUA!BV132</f>
        <v>0</v>
      </c>
      <c r="M132" s="329">
        <f>CONTINUA!BW132</f>
        <v>0</v>
      </c>
      <c r="N132" s="895"/>
      <c r="O132" s="896" t="s">
        <v>3351</v>
      </c>
      <c r="P132" s="897">
        <v>0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3294</v>
      </c>
      <c r="B133" s="369" t="s">
        <v>3295</v>
      </c>
      <c r="C133" s="375" t="s">
        <v>3193</v>
      </c>
      <c r="D133" s="371" t="s">
        <v>3296</v>
      </c>
      <c r="E133" s="371" t="s">
        <v>3297</v>
      </c>
      <c r="F133" s="376" t="s">
        <v>3181</v>
      </c>
      <c r="G133" s="376" t="s">
        <v>3182</v>
      </c>
      <c r="H133" s="373" t="s">
        <v>1356</v>
      </c>
      <c r="I133" s="374" t="s">
        <v>1356</v>
      </c>
      <c r="J133" s="421" t="s">
        <v>3188</v>
      </c>
      <c r="K133" s="422" t="s">
        <v>3186</v>
      </c>
      <c r="L133" s="329">
        <f>CONTINUA!BV133</f>
        <v>0</v>
      </c>
      <c r="M133" s="329">
        <f>CONTINUA!BW133</f>
        <v>0</v>
      </c>
      <c r="N133" s="895"/>
      <c r="O133" s="896" t="s">
        <v>3351</v>
      </c>
      <c r="P133" s="897">
        <v>0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3294</v>
      </c>
      <c r="B134" s="369" t="s">
        <v>3295</v>
      </c>
      <c r="C134" s="375" t="s">
        <v>3193</v>
      </c>
      <c r="D134" s="371" t="s">
        <v>3296</v>
      </c>
      <c r="E134" s="371" t="s">
        <v>3297</v>
      </c>
      <c r="F134" s="376" t="s">
        <v>3181</v>
      </c>
      <c r="G134" s="376" t="s">
        <v>3182</v>
      </c>
      <c r="H134" s="373" t="s">
        <v>1356</v>
      </c>
      <c r="I134" s="374" t="s">
        <v>1356</v>
      </c>
      <c r="J134" s="421" t="s">
        <v>3188</v>
      </c>
      <c r="K134" s="423" t="s">
        <v>3187</v>
      </c>
      <c r="L134" s="329">
        <f>CONTINUA!BV134</f>
        <v>0</v>
      </c>
      <c r="M134" s="329">
        <f>CONTINUA!BW134</f>
        <v>0</v>
      </c>
      <c r="N134" s="895"/>
      <c r="O134" s="896" t="s">
        <v>3351</v>
      </c>
      <c r="P134" s="897">
        <v>0</v>
      </c>
      <c r="Q134" s="400">
        <v>24</v>
      </c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>
        <v>1</v>
      </c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24</v>
      </c>
      <c r="EQ134" s="171">
        <f t="shared" si="96"/>
        <v>1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25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3294</v>
      </c>
      <c r="B135" s="378" t="s">
        <v>3295</v>
      </c>
      <c r="C135" s="379" t="s">
        <v>3193</v>
      </c>
      <c r="D135" s="380" t="s">
        <v>3296</v>
      </c>
      <c r="E135" s="380" t="s">
        <v>3297</v>
      </c>
      <c r="F135" s="381" t="s">
        <v>3181</v>
      </c>
      <c r="G135" s="381" t="s">
        <v>3182</v>
      </c>
      <c r="H135" s="382" t="s">
        <v>1356</v>
      </c>
      <c r="I135" s="383" t="s">
        <v>1356</v>
      </c>
      <c r="J135" s="421" t="s">
        <v>3188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3351</v>
      </c>
      <c r="P135" s="897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3298</v>
      </c>
      <c r="B136" s="522" t="s">
        <v>3299</v>
      </c>
      <c r="C136" s="523">
        <v>1</v>
      </c>
      <c r="D136" s="524" t="s">
        <v>3300</v>
      </c>
      <c r="E136" s="524" t="s">
        <v>3301</v>
      </c>
      <c r="F136" s="525" t="s">
        <v>3181</v>
      </c>
      <c r="G136" s="525" t="s">
        <v>3182</v>
      </c>
      <c r="H136" s="350" t="s">
        <v>1357</v>
      </c>
      <c r="I136" s="351" t="s">
        <v>1357</v>
      </c>
      <c r="J136" s="409" t="s">
        <v>3183</v>
      </c>
      <c r="K136" s="410" t="s">
        <v>3184</v>
      </c>
      <c r="L136" s="329">
        <f>CONTINUA!BV136</f>
        <v>0</v>
      </c>
      <c r="M136" s="329">
        <f>CONTINUA!BW136</f>
        <v>0</v>
      </c>
      <c r="N136" s="895"/>
      <c r="O136" s="896" t="s">
        <v>3352</v>
      </c>
      <c r="P136" s="897">
        <v>0</v>
      </c>
      <c r="Q136" s="400">
        <v>32</v>
      </c>
      <c r="R136" s="401"/>
      <c r="S136" s="400"/>
      <c r="T136" s="401"/>
      <c r="U136" s="400">
        <v>-1</v>
      </c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>
        <v>1</v>
      </c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32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32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13656.2</v>
      </c>
      <c r="EY136" s="174">
        <f>(L136*regular)+(M136*Cadeirantee)</f>
        <v>0</v>
      </c>
      <c r="EZ136" s="249">
        <f>SUMIF(FG136:GJ136,"&gt;0")</f>
        <v>295.34300000000002</v>
      </c>
      <c r="FA136" s="249">
        <f>SUMIF(FG136:GJ136,"&lt;0")+SUMIF(GN136:HP136,"&lt;0")</f>
        <v>-372.38900000000001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13579.154000000002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13656.2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-372.38900000000001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295.34300000000002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3298</v>
      </c>
      <c r="B137" s="369" t="s">
        <v>3299</v>
      </c>
      <c r="C137" s="370" t="s">
        <v>3191</v>
      </c>
      <c r="D137" s="371" t="s">
        <v>3300</v>
      </c>
      <c r="E137" s="371" t="s">
        <v>3301</v>
      </c>
      <c r="F137" s="372" t="s">
        <v>3181</v>
      </c>
      <c r="G137" s="372" t="s">
        <v>3182</v>
      </c>
      <c r="H137" s="373" t="s">
        <v>1357</v>
      </c>
      <c r="I137" s="374" t="s">
        <v>1357</v>
      </c>
      <c r="J137" s="421" t="s">
        <v>3183</v>
      </c>
      <c r="K137" s="421" t="s">
        <v>3185</v>
      </c>
      <c r="L137" s="329">
        <f>CONTINUA!BV137</f>
        <v>0</v>
      </c>
      <c r="M137" s="329">
        <f>CONTINUA!BW137</f>
        <v>0</v>
      </c>
      <c r="N137" s="895"/>
      <c r="O137" s="896" t="s">
        <v>3352</v>
      </c>
      <c r="P137" s="897">
        <v>0</v>
      </c>
      <c r="Q137" s="400"/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0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0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3298</v>
      </c>
      <c r="B138" s="369" t="s">
        <v>3299</v>
      </c>
      <c r="C138" s="375" t="s">
        <v>3191</v>
      </c>
      <c r="D138" s="371" t="s">
        <v>3300</v>
      </c>
      <c r="E138" s="371" t="s">
        <v>3301</v>
      </c>
      <c r="F138" s="376" t="s">
        <v>3181</v>
      </c>
      <c r="G138" s="376" t="s">
        <v>3182</v>
      </c>
      <c r="H138" s="373" t="s">
        <v>1357</v>
      </c>
      <c r="I138" s="374" t="s">
        <v>1357</v>
      </c>
      <c r="J138" s="421" t="s">
        <v>3183</v>
      </c>
      <c r="K138" s="422" t="s">
        <v>3186</v>
      </c>
      <c r="L138" s="329">
        <f>CONTINUA!BV138</f>
        <v>0</v>
      </c>
      <c r="M138" s="329">
        <f>CONTINUA!BW138</f>
        <v>0</v>
      </c>
      <c r="N138" s="895"/>
      <c r="O138" s="896" t="s">
        <v>3352</v>
      </c>
      <c r="P138" s="897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3298</v>
      </c>
      <c r="B139" s="369" t="s">
        <v>3299</v>
      </c>
      <c r="C139" s="375" t="s">
        <v>3191</v>
      </c>
      <c r="D139" s="371" t="s">
        <v>3300</v>
      </c>
      <c r="E139" s="371" t="s">
        <v>3301</v>
      </c>
      <c r="F139" s="376" t="s">
        <v>3181</v>
      </c>
      <c r="G139" s="376" t="s">
        <v>3182</v>
      </c>
      <c r="H139" s="373" t="s">
        <v>1357</v>
      </c>
      <c r="I139" s="374" t="s">
        <v>1357</v>
      </c>
      <c r="J139" s="421" t="s">
        <v>3183</v>
      </c>
      <c r="K139" s="423" t="s">
        <v>3187</v>
      </c>
      <c r="L139" s="329">
        <f>CONTINUA!BV139</f>
        <v>0</v>
      </c>
      <c r="M139" s="329">
        <f>CONTINUA!BW139</f>
        <v>0</v>
      </c>
      <c r="N139" s="895"/>
      <c r="O139" s="896" t="s">
        <v>3352</v>
      </c>
      <c r="P139" s="897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170" si="168">Q139</f>
        <v>0</v>
      </c>
      <c r="EQ139" s="171">
        <f t="shared" ref="EQ139:EQ170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170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170" si="171">R139</f>
        <v>0</v>
      </c>
      <c r="ET139" s="171">
        <f t="shared" ref="ET139:ET170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170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170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170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3298</v>
      </c>
      <c r="B140" s="378" t="s">
        <v>3299</v>
      </c>
      <c r="C140" s="379" t="s">
        <v>3191</v>
      </c>
      <c r="D140" s="380" t="s">
        <v>3300</v>
      </c>
      <c r="E140" s="380" t="s">
        <v>3301</v>
      </c>
      <c r="F140" s="381" t="s">
        <v>3181</v>
      </c>
      <c r="G140" s="381" t="s">
        <v>3182</v>
      </c>
      <c r="H140" s="382" t="s">
        <v>1357</v>
      </c>
      <c r="I140" s="383" t="s">
        <v>1357</v>
      </c>
      <c r="J140" s="421" t="s">
        <v>3183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3352</v>
      </c>
      <c r="P140" s="897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3302</v>
      </c>
      <c r="B141" s="522" t="s">
        <v>3303</v>
      </c>
      <c r="C141" s="523">
        <v>1</v>
      </c>
      <c r="D141" s="524" t="s">
        <v>3304</v>
      </c>
      <c r="E141" s="524" t="s">
        <v>3305</v>
      </c>
      <c r="F141" s="525" t="s">
        <v>3181</v>
      </c>
      <c r="G141" s="525" t="s">
        <v>3182</v>
      </c>
      <c r="H141" s="350" t="s">
        <v>1358</v>
      </c>
      <c r="I141" s="351" t="s">
        <v>1358</v>
      </c>
      <c r="J141" s="409" t="s">
        <v>3183</v>
      </c>
      <c r="K141" s="410" t="s">
        <v>3184</v>
      </c>
      <c r="L141" s="329">
        <f>CONTINUA!BV141</f>
        <v>0</v>
      </c>
      <c r="M141" s="329">
        <f>CONTINUA!BW141</f>
        <v>0</v>
      </c>
      <c r="N141" s="895"/>
      <c r="O141" s="896" t="s">
        <v>3353</v>
      </c>
      <c r="P141" s="897">
        <v>0</v>
      </c>
      <c r="Q141" s="400">
        <v>10</v>
      </c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10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10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15582.35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15582.35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15582.35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3302</v>
      </c>
      <c r="B142" s="369" t="s">
        <v>3303</v>
      </c>
      <c r="C142" s="370" t="s">
        <v>3191</v>
      </c>
      <c r="D142" s="371" t="s">
        <v>3304</v>
      </c>
      <c r="E142" s="371" t="s">
        <v>3305</v>
      </c>
      <c r="F142" s="372" t="s">
        <v>3181</v>
      </c>
      <c r="G142" s="372" t="s">
        <v>3182</v>
      </c>
      <c r="H142" s="373" t="s">
        <v>1358</v>
      </c>
      <c r="I142" s="374" t="s">
        <v>1358</v>
      </c>
      <c r="J142" s="421" t="s">
        <v>3183</v>
      </c>
      <c r="K142" s="421" t="s">
        <v>3185</v>
      </c>
      <c r="L142" s="329">
        <f>CONTINUA!BV142</f>
        <v>0</v>
      </c>
      <c r="M142" s="329">
        <f>CONTINUA!BW142</f>
        <v>0</v>
      </c>
      <c r="N142" s="895"/>
      <c r="O142" s="896" t="s">
        <v>3353</v>
      </c>
      <c r="P142" s="897">
        <v>0</v>
      </c>
      <c r="Q142" s="400">
        <v>26</v>
      </c>
      <c r="R142" s="401"/>
      <c r="S142" s="400">
        <v>1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26</v>
      </c>
      <c r="EQ142" s="171">
        <f t="shared" si="169"/>
        <v>0</v>
      </c>
      <c r="ER142" s="171">
        <f t="shared" si="170"/>
        <v>1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27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3302</v>
      </c>
      <c r="B143" s="369" t="s">
        <v>3303</v>
      </c>
      <c r="C143" s="375" t="s">
        <v>3191</v>
      </c>
      <c r="D143" s="371" t="s">
        <v>3304</v>
      </c>
      <c r="E143" s="371" t="s">
        <v>3305</v>
      </c>
      <c r="F143" s="376" t="s">
        <v>3181</v>
      </c>
      <c r="G143" s="376" t="s">
        <v>3182</v>
      </c>
      <c r="H143" s="373" t="s">
        <v>1358</v>
      </c>
      <c r="I143" s="374" t="s">
        <v>1358</v>
      </c>
      <c r="J143" s="421" t="s">
        <v>3183</v>
      </c>
      <c r="K143" s="422" t="s">
        <v>3186</v>
      </c>
      <c r="L143" s="329">
        <f>CONTINUA!BV143</f>
        <v>0</v>
      </c>
      <c r="M143" s="329">
        <f>CONTINUA!BW143</f>
        <v>0</v>
      </c>
      <c r="N143" s="895"/>
      <c r="O143" s="896" t="s">
        <v>3353</v>
      </c>
      <c r="P143" s="897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3302</v>
      </c>
      <c r="B144" s="369" t="s">
        <v>3303</v>
      </c>
      <c r="C144" s="375" t="s">
        <v>3191</v>
      </c>
      <c r="D144" s="371" t="s">
        <v>3304</v>
      </c>
      <c r="E144" s="371" t="s">
        <v>3305</v>
      </c>
      <c r="F144" s="376" t="s">
        <v>3181</v>
      </c>
      <c r="G144" s="376" t="s">
        <v>3182</v>
      </c>
      <c r="H144" s="373" t="s">
        <v>1358</v>
      </c>
      <c r="I144" s="374" t="s">
        <v>1358</v>
      </c>
      <c r="J144" s="421" t="s">
        <v>3183</v>
      </c>
      <c r="K144" s="423" t="s">
        <v>3187</v>
      </c>
      <c r="L144" s="329">
        <f>CONTINUA!BV144</f>
        <v>0</v>
      </c>
      <c r="M144" s="329">
        <f>CONTINUA!BW144</f>
        <v>0</v>
      </c>
      <c r="N144" s="895"/>
      <c r="O144" s="896" t="s">
        <v>3353</v>
      </c>
      <c r="P144" s="897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3302</v>
      </c>
      <c r="B145" s="378" t="s">
        <v>3303</v>
      </c>
      <c r="C145" s="379" t="s">
        <v>3191</v>
      </c>
      <c r="D145" s="380" t="s">
        <v>3304</v>
      </c>
      <c r="E145" s="380" t="s">
        <v>3305</v>
      </c>
      <c r="F145" s="381" t="s">
        <v>3181</v>
      </c>
      <c r="G145" s="381" t="s">
        <v>3182</v>
      </c>
      <c r="H145" s="382" t="s">
        <v>1358</v>
      </c>
      <c r="I145" s="383" t="s">
        <v>1358</v>
      </c>
      <c r="J145" s="421" t="s">
        <v>3183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3353</v>
      </c>
      <c r="P145" s="897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3306</v>
      </c>
      <c r="B146" s="522" t="s">
        <v>3307</v>
      </c>
      <c r="C146" s="523">
        <v>1</v>
      </c>
      <c r="D146" s="524" t="s">
        <v>3308</v>
      </c>
      <c r="E146" s="524" t="s">
        <v>3309</v>
      </c>
      <c r="F146" s="525" t="s">
        <v>3181</v>
      </c>
      <c r="G146" s="525" t="s">
        <v>3182</v>
      </c>
      <c r="H146" s="350" t="s">
        <v>1359</v>
      </c>
      <c r="I146" s="351" t="s">
        <v>1359</v>
      </c>
      <c r="J146" s="409" t="s">
        <v>3183</v>
      </c>
      <c r="K146" s="410" t="s">
        <v>3184</v>
      </c>
      <c r="L146" s="329">
        <f>CONTINUA!BV146</f>
        <v>0</v>
      </c>
      <c r="M146" s="329">
        <f>CONTINUA!BW146</f>
        <v>0</v>
      </c>
      <c r="N146" s="895"/>
      <c r="O146" s="896" t="s">
        <v>3354</v>
      </c>
      <c r="P146" s="897">
        <v>0</v>
      </c>
      <c r="Q146" s="400"/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14811.890000000001</v>
      </c>
      <c r="EY146" s="174">
        <f>(L146*regular)+(M146*Cadeirantee)</f>
        <v>0</v>
      </c>
      <c r="EZ146" s="249">
        <f>SUMIF(FG146:GJ146,"&gt;0")</f>
        <v>231.13800000000003</v>
      </c>
      <c r="FA146" s="249">
        <f>SUMIF(FG146:GJ146,"&lt;0")+SUMIF(GN146:HP146,"&lt;0")</f>
        <v>-372.38900000000001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14670.639000000003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14811.890000000001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-372.38900000000001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231.13800000000003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3306</v>
      </c>
      <c r="B147" s="369" t="s">
        <v>3307</v>
      </c>
      <c r="C147" s="370" t="s">
        <v>3191</v>
      </c>
      <c r="D147" s="371" t="s">
        <v>3308</v>
      </c>
      <c r="E147" s="371" t="s">
        <v>3309</v>
      </c>
      <c r="F147" s="372" t="s">
        <v>3181</v>
      </c>
      <c r="G147" s="372" t="s">
        <v>3182</v>
      </c>
      <c r="H147" s="373" t="s">
        <v>1359</v>
      </c>
      <c r="I147" s="374" t="s">
        <v>1359</v>
      </c>
      <c r="J147" s="421" t="s">
        <v>3183</v>
      </c>
      <c r="K147" s="421" t="s">
        <v>3185</v>
      </c>
      <c r="L147" s="329">
        <f>CONTINUA!BV147</f>
        <v>0</v>
      </c>
      <c r="M147" s="329">
        <f>CONTINUA!BW147</f>
        <v>0</v>
      </c>
      <c r="N147" s="895"/>
      <c r="O147" s="896" t="s">
        <v>3354</v>
      </c>
      <c r="P147" s="897">
        <v>0</v>
      </c>
      <c r="Q147" s="400">
        <v>35</v>
      </c>
      <c r="R147" s="401"/>
      <c r="S147" s="400"/>
      <c r="T147" s="401"/>
      <c r="U147" s="400">
        <v>-1</v>
      </c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>
        <v>1</v>
      </c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35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35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3306</v>
      </c>
      <c r="B148" s="369" t="s">
        <v>3307</v>
      </c>
      <c r="C148" s="375" t="s">
        <v>3191</v>
      </c>
      <c r="D148" s="371" t="s">
        <v>3308</v>
      </c>
      <c r="E148" s="371" t="s">
        <v>3309</v>
      </c>
      <c r="F148" s="376" t="s">
        <v>3181</v>
      </c>
      <c r="G148" s="376" t="s">
        <v>3182</v>
      </c>
      <c r="H148" s="373" t="s">
        <v>1359</v>
      </c>
      <c r="I148" s="374" t="s">
        <v>1359</v>
      </c>
      <c r="J148" s="421" t="s">
        <v>3183</v>
      </c>
      <c r="K148" s="422" t="s">
        <v>3186</v>
      </c>
      <c r="L148" s="329">
        <f>CONTINUA!BV148</f>
        <v>0</v>
      </c>
      <c r="M148" s="329">
        <f>CONTINUA!BW148</f>
        <v>0</v>
      </c>
      <c r="N148" s="895"/>
      <c r="O148" s="896" t="s">
        <v>3354</v>
      </c>
      <c r="P148" s="897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3306</v>
      </c>
      <c r="B149" s="369" t="s">
        <v>3307</v>
      </c>
      <c r="C149" s="375" t="s">
        <v>3191</v>
      </c>
      <c r="D149" s="371" t="s">
        <v>3308</v>
      </c>
      <c r="E149" s="371" t="s">
        <v>3309</v>
      </c>
      <c r="F149" s="376" t="s">
        <v>3181</v>
      </c>
      <c r="G149" s="376" t="s">
        <v>3182</v>
      </c>
      <c r="H149" s="373" t="s">
        <v>1359</v>
      </c>
      <c r="I149" s="374" t="s">
        <v>1359</v>
      </c>
      <c r="J149" s="421" t="s">
        <v>3183</v>
      </c>
      <c r="K149" s="423" t="s">
        <v>3187</v>
      </c>
      <c r="L149" s="329">
        <f>CONTINUA!BV149</f>
        <v>0</v>
      </c>
      <c r="M149" s="329">
        <f>CONTINUA!BW149</f>
        <v>0</v>
      </c>
      <c r="N149" s="895"/>
      <c r="O149" s="896" t="s">
        <v>3354</v>
      </c>
      <c r="P149" s="897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3306</v>
      </c>
      <c r="B150" s="378" t="s">
        <v>3307</v>
      </c>
      <c r="C150" s="379" t="s">
        <v>3191</v>
      </c>
      <c r="D150" s="380" t="s">
        <v>3308</v>
      </c>
      <c r="E150" s="380" t="s">
        <v>3309</v>
      </c>
      <c r="F150" s="381" t="s">
        <v>3181</v>
      </c>
      <c r="G150" s="381" t="s">
        <v>3182</v>
      </c>
      <c r="H150" s="382" t="s">
        <v>1359</v>
      </c>
      <c r="I150" s="383" t="s">
        <v>1359</v>
      </c>
      <c r="J150" s="421" t="s">
        <v>3183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3354</v>
      </c>
      <c r="P150" s="897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3310</v>
      </c>
      <c r="B151" s="522" t="s">
        <v>3311</v>
      </c>
      <c r="C151" s="523">
        <v>4</v>
      </c>
      <c r="D151" s="524" t="s">
        <v>3312</v>
      </c>
      <c r="E151" s="524" t="s">
        <v>3313</v>
      </c>
      <c r="F151" s="525" t="s">
        <v>3181</v>
      </c>
      <c r="G151" s="525" t="s">
        <v>3182</v>
      </c>
      <c r="H151" s="350" t="s">
        <v>1360</v>
      </c>
      <c r="I151" s="351" t="s">
        <v>1360</v>
      </c>
      <c r="J151" s="409" t="s">
        <v>3183</v>
      </c>
      <c r="K151" s="410" t="s">
        <v>3184</v>
      </c>
      <c r="L151" s="329">
        <f>CONTINUA!BV151</f>
        <v>0</v>
      </c>
      <c r="M151" s="329">
        <f>CONTINUA!BW151</f>
        <v>0</v>
      </c>
      <c r="N151" s="895"/>
      <c r="O151" s="896" t="s">
        <v>3355</v>
      </c>
      <c r="P151" s="897">
        <v>0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11465.63</v>
      </c>
      <c r="EX151" s="248">
        <f t="shared" ref="EX151:EX154" si="186">FF151</f>
        <v>5393.22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16858.849999999999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5393.22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3310</v>
      </c>
      <c r="B152" s="369" t="s">
        <v>3311</v>
      </c>
      <c r="C152" s="370" t="s">
        <v>3192</v>
      </c>
      <c r="D152" s="371" t="s">
        <v>3312</v>
      </c>
      <c r="E152" s="371" t="s">
        <v>3313</v>
      </c>
      <c r="F152" s="372" t="s">
        <v>3181</v>
      </c>
      <c r="G152" s="372" t="s">
        <v>3182</v>
      </c>
      <c r="H152" s="373" t="s">
        <v>1360</v>
      </c>
      <c r="I152" s="374" t="s">
        <v>1360</v>
      </c>
      <c r="J152" s="421" t="s">
        <v>3183</v>
      </c>
      <c r="K152" s="421" t="s">
        <v>3185</v>
      </c>
      <c r="L152" s="329">
        <f>CONTINUA!BV152</f>
        <v>0</v>
      </c>
      <c r="M152" s="329">
        <f>CONTINUA!BW152</f>
        <v>0</v>
      </c>
      <c r="N152" s="895"/>
      <c r="O152" s="896" t="s">
        <v>3355</v>
      </c>
      <c r="P152" s="897">
        <v>0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3310</v>
      </c>
      <c r="B153" s="369" t="s">
        <v>3311</v>
      </c>
      <c r="C153" s="375" t="s">
        <v>3192</v>
      </c>
      <c r="D153" s="371" t="s">
        <v>3312</v>
      </c>
      <c r="E153" s="371" t="s">
        <v>3313</v>
      </c>
      <c r="F153" s="376" t="s">
        <v>3181</v>
      </c>
      <c r="G153" s="376" t="s">
        <v>3182</v>
      </c>
      <c r="H153" s="373" t="s">
        <v>1360</v>
      </c>
      <c r="I153" s="374" t="s">
        <v>1360</v>
      </c>
      <c r="J153" s="421" t="s">
        <v>3183</v>
      </c>
      <c r="K153" s="422" t="s">
        <v>3186</v>
      </c>
      <c r="L153" s="329">
        <f>CONTINUA!BV153</f>
        <v>0</v>
      </c>
      <c r="M153" s="329">
        <f>CONTINUA!BW153</f>
        <v>0</v>
      </c>
      <c r="N153" s="895"/>
      <c r="O153" s="896" t="s">
        <v>3355</v>
      </c>
      <c r="P153" s="897">
        <v>0</v>
      </c>
      <c r="Q153" s="400">
        <v>14</v>
      </c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14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14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3310</v>
      </c>
      <c r="B154" s="369" t="s">
        <v>3311</v>
      </c>
      <c r="C154" s="375" t="s">
        <v>3192</v>
      </c>
      <c r="D154" s="371" t="s">
        <v>3312</v>
      </c>
      <c r="E154" s="371" t="s">
        <v>3313</v>
      </c>
      <c r="F154" s="376" t="s">
        <v>3181</v>
      </c>
      <c r="G154" s="376" t="s">
        <v>3182</v>
      </c>
      <c r="H154" s="373" t="s">
        <v>1360</v>
      </c>
      <c r="I154" s="374" t="s">
        <v>1360</v>
      </c>
      <c r="J154" s="421" t="s">
        <v>3183</v>
      </c>
      <c r="K154" s="423" t="s">
        <v>3187</v>
      </c>
      <c r="L154" s="329">
        <f>CONTINUA!BV154</f>
        <v>0</v>
      </c>
      <c r="M154" s="329">
        <f>CONTINUA!BW154</f>
        <v>0</v>
      </c>
      <c r="N154" s="895"/>
      <c r="O154" s="896" t="s">
        <v>3355</v>
      </c>
      <c r="P154" s="897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3310</v>
      </c>
      <c r="B155" s="378" t="s">
        <v>3311</v>
      </c>
      <c r="C155" s="379" t="s">
        <v>3192</v>
      </c>
      <c r="D155" s="380" t="s">
        <v>3312</v>
      </c>
      <c r="E155" s="380" t="s">
        <v>3313</v>
      </c>
      <c r="F155" s="381" t="s">
        <v>3181</v>
      </c>
      <c r="G155" s="381" t="s">
        <v>3182</v>
      </c>
      <c r="H155" s="382" t="s">
        <v>1360</v>
      </c>
      <c r="I155" s="383" t="s">
        <v>1360</v>
      </c>
      <c r="J155" s="421" t="s">
        <v>3183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3355</v>
      </c>
      <c r="P155" s="897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3314</v>
      </c>
      <c r="B156" s="522" t="s">
        <v>3315</v>
      </c>
      <c r="C156" s="523">
        <v>1</v>
      </c>
      <c r="D156" s="524" t="s">
        <v>3316</v>
      </c>
      <c r="E156" s="524" t="s">
        <v>3317</v>
      </c>
      <c r="F156" s="525" t="s">
        <v>3181</v>
      </c>
      <c r="G156" s="525" t="s">
        <v>3182</v>
      </c>
      <c r="H156" s="350" t="s">
        <v>1361</v>
      </c>
      <c r="I156" s="351" t="s">
        <v>1361</v>
      </c>
      <c r="J156" s="409" t="s">
        <v>3183</v>
      </c>
      <c r="K156" s="410" t="s">
        <v>3184</v>
      </c>
      <c r="L156" s="329">
        <f>CONTINUA!BV156</f>
        <v>0</v>
      </c>
      <c r="M156" s="329">
        <f>CONTINUA!BW156</f>
        <v>0</v>
      </c>
      <c r="N156" s="895"/>
      <c r="O156" s="896" t="s">
        <v>3356</v>
      </c>
      <c r="P156" s="897">
        <v>0</v>
      </c>
      <c r="Q156" s="400">
        <v>27</v>
      </c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>
        <v>7</v>
      </c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>
        <v>1</v>
      </c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>
        <v>1</v>
      </c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27</v>
      </c>
      <c r="EQ156" s="171">
        <f t="shared" si="169"/>
        <v>9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36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13656.2</v>
      </c>
      <c r="EY156" s="174">
        <f>(L156*regular)+(M156*Cadeirantee)</f>
        <v>0</v>
      </c>
      <c r="EZ156" s="249">
        <f>SUMIF(FG156:GJ156,"&gt;0")</f>
        <v>2696.61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16352.810000000001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13656.2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2247.1750000000002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269.661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179.774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3314</v>
      </c>
      <c r="B157" s="369" t="s">
        <v>3315</v>
      </c>
      <c r="C157" s="370" t="s">
        <v>3191</v>
      </c>
      <c r="D157" s="371" t="s">
        <v>3316</v>
      </c>
      <c r="E157" s="371" t="s">
        <v>3317</v>
      </c>
      <c r="F157" s="372" t="s">
        <v>3181</v>
      </c>
      <c r="G157" s="372" t="s">
        <v>3182</v>
      </c>
      <c r="H157" s="373" t="s">
        <v>1361</v>
      </c>
      <c r="I157" s="374" t="s">
        <v>1361</v>
      </c>
      <c r="J157" s="421" t="s">
        <v>3183</v>
      </c>
      <c r="K157" s="421" t="s">
        <v>3185</v>
      </c>
      <c r="L157" s="329">
        <f>CONTINUA!BV157</f>
        <v>0</v>
      </c>
      <c r="M157" s="329">
        <f>CONTINUA!BW157</f>
        <v>0</v>
      </c>
      <c r="N157" s="895"/>
      <c r="O157" s="896" t="s">
        <v>3356</v>
      </c>
      <c r="P157" s="897">
        <v>0</v>
      </c>
      <c r="Q157" s="400">
        <v>5</v>
      </c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5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5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3314</v>
      </c>
      <c r="B158" s="369" t="s">
        <v>3315</v>
      </c>
      <c r="C158" s="375" t="s">
        <v>3191</v>
      </c>
      <c r="D158" s="371" t="s">
        <v>3316</v>
      </c>
      <c r="E158" s="371" t="s">
        <v>3317</v>
      </c>
      <c r="F158" s="376" t="s">
        <v>3181</v>
      </c>
      <c r="G158" s="376" t="s">
        <v>3182</v>
      </c>
      <c r="H158" s="373" t="s">
        <v>1361</v>
      </c>
      <c r="I158" s="374" t="s">
        <v>1361</v>
      </c>
      <c r="J158" s="421" t="s">
        <v>3183</v>
      </c>
      <c r="K158" s="422" t="s">
        <v>3186</v>
      </c>
      <c r="L158" s="329">
        <f>CONTINUA!BV158</f>
        <v>0</v>
      </c>
      <c r="M158" s="329">
        <f>CONTINUA!BW158</f>
        <v>0</v>
      </c>
      <c r="N158" s="895"/>
      <c r="O158" s="896" t="s">
        <v>3356</v>
      </c>
      <c r="P158" s="897">
        <v>0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3314</v>
      </c>
      <c r="B159" s="369" t="s">
        <v>3315</v>
      </c>
      <c r="C159" s="375" t="s">
        <v>3191</v>
      </c>
      <c r="D159" s="371" t="s">
        <v>3316</v>
      </c>
      <c r="E159" s="371" t="s">
        <v>3317</v>
      </c>
      <c r="F159" s="376" t="s">
        <v>3181</v>
      </c>
      <c r="G159" s="376" t="s">
        <v>3182</v>
      </c>
      <c r="H159" s="373" t="s">
        <v>1361</v>
      </c>
      <c r="I159" s="374" t="s">
        <v>1361</v>
      </c>
      <c r="J159" s="421" t="s">
        <v>3183</v>
      </c>
      <c r="K159" s="423" t="s">
        <v>3187</v>
      </c>
      <c r="L159" s="329">
        <f>CONTINUA!BV159</f>
        <v>0</v>
      </c>
      <c r="M159" s="329">
        <f>CONTINUA!BW159</f>
        <v>0</v>
      </c>
      <c r="N159" s="895"/>
      <c r="O159" s="896" t="s">
        <v>3356</v>
      </c>
      <c r="P159" s="897">
        <v>0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3314</v>
      </c>
      <c r="B160" s="378" t="s">
        <v>3315</v>
      </c>
      <c r="C160" s="379" t="s">
        <v>3191</v>
      </c>
      <c r="D160" s="380" t="s">
        <v>3316</v>
      </c>
      <c r="E160" s="380" t="s">
        <v>3317</v>
      </c>
      <c r="F160" s="381" t="s">
        <v>3181</v>
      </c>
      <c r="G160" s="381" t="s">
        <v>3182</v>
      </c>
      <c r="H160" s="382" t="s">
        <v>1361</v>
      </c>
      <c r="I160" s="383" t="s">
        <v>1361</v>
      </c>
      <c r="J160" s="421" t="s">
        <v>3183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3356</v>
      </c>
      <c r="P160" s="897">
        <v>0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3318</v>
      </c>
      <c r="B161" s="522" t="s">
        <v>3319</v>
      </c>
      <c r="C161" s="523">
        <v>1</v>
      </c>
      <c r="D161" s="524" t="s">
        <v>3320</v>
      </c>
      <c r="E161" s="524" t="s">
        <v>3321</v>
      </c>
      <c r="F161" s="525" t="s">
        <v>3181</v>
      </c>
      <c r="G161" s="525" t="s">
        <v>3182</v>
      </c>
      <c r="H161" s="350" t="s">
        <v>1362</v>
      </c>
      <c r="I161" s="351" t="s">
        <v>1362</v>
      </c>
      <c r="J161" s="409" t="s">
        <v>3183</v>
      </c>
      <c r="K161" s="410" t="s">
        <v>3184</v>
      </c>
      <c r="L161" s="329">
        <f>CONTINUA!BV161</f>
        <v>0</v>
      </c>
      <c r="M161" s="329">
        <f>CONTINUA!BW161</f>
        <v>0</v>
      </c>
      <c r="N161" s="895"/>
      <c r="O161" s="896" t="s">
        <v>3357</v>
      </c>
      <c r="P161" s="897">
        <v>0</v>
      </c>
      <c r="Q161" s="400"/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12115.28</v>
      </c>
      <c r="EY161" s="174">
        <f>(L161*regular)+(M161*Cadeirantee)</f>
        <v>0</v>
      </c>
      <c r="EZ161" s="249">
        <f>SUMIF(FG161:GJ161,"&gt;0")</f>
        <v>487.95800000000003</v>
      </c>
      <c r="FA161" s="249">
        <f>SUMIF(FG161:GJ161,"&lt;0")+SUMIF(GN161:HP161,"&lt;0")</f>
        <v>-423.75300000000004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12179.485000000001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12115.28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-321.02500000000003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308.18400000000003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179.774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-102.72800000000001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3318</v>
      </c>
      <c r="B162" s="369" t="s">
        <v>3319</v>
      </c>
      <c r="C162" s="370" t="s">
        <v>3191</v>
      </c>
      <c r="D162" s="371" t="s">
        <v>3320</v>
      </c>
      <c r="E162" s="371" t="s">
        <v>3321</v>
      </c>
      <c r="F162" s="372" t="s">
        <v>3181</v>
      </c>
      <c r="G162" s="372" t="s">
        <v>3182</v>
      </c>
      <c r="H162" s="373" t="s">
        <v>1362</v>
      </c>
      <c r="I162" s="374" t="s">
        <v>1362</v>
      </c>
      <c r="J162" s="421" t="s">
        <v>3183</v>
      </c>
      <c r="K162" s="421" t="s">
        <v>3185</v>
      </c>
      <c r="L162" s="329">
        <f>CONTINUA!BV162</f>
        <v>0</v>
      </c>
      <c r="M162" s="329">
        <f>CONTINUA!BW162</f>
        <v>0</v>
      </c>
      <c r="N162" s="895"/>
      <c r="O162" s="896" t="s">
        <v>3357</v>
      </c>
      <c r="P162" s="897">
        <v>0</v>
      </c>
      <c r="Q162" s="400">
        <v>28</v>
      </c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>
        <v>-1</v>
      </c>
      <c r="AL162" s="401"/>
      <c r="AM162" s="400"/>
      <c r="AN162" s="401"/>
      <c r="AO162" s="400">
        <v>1</v>
      </c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>
        <v>1</v>
      </c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>
        <v>-1</v>
      </c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28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28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3318</v>
      </c>
      <c r="B163" s="369" t="s">
        <v>3319</v>
      </c>
      <c r="C163" s="375" t="s">
        <v>3191</v>
      </c>
      <c r="D163" s="371" t="s">
        <v>3320</v>
      </c>
      <c r="E163" s="371" t="s">
        <v>3321</v>
      </c>
      <c r="F163" s="376" t="s">
        <v>3181</v>
      </c>
      <c r="G163" s="376" t="s">
        <v>3182</v>
      </c>
      <c r="H163" s="373" t="s">
        <v>1362</v>
      </c>
      <c r="I163" s="374" t="s">
        <v>1362</v>
      </c>
      <c r="J163" s="421" t="s">
        <v>3183</v>
      </c>
      <c r="K163" s="422" t="s">
        <v>3186</v>
      </c>
      <c r="L163" s="329">
        <f>CONTINUA!BV163</f>
        <v>0</v>
      </c>
      <c r="M163" s="329">
        <f>CONTINUA!BW163</f>
        <v>0</v>
      </c>
      <c r="N163" s="895"/>
      <c r="O163" s="896" t="s">
        <v>3357</v>
      </c>
      <c r="P163" s="897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3318</v>
      </c>
      <c r="B164" s="369" t="s">
        <v>3319</v>
      </c>
      <c r="C164" s="375" t="s">
        <v>3191</v>
      </c>
      <c r="D164" s="371" t="s">
        <v>3320</v>
      </c>
      <c r="E164" s="371" t="s">
        <v>3321</v>
      </c>
      <c r="F164" s="376" t="s">
        <v>3181</v>
      </c>
      <c r="G164" s="376" t="s">
        <v>3182</v>
      </c>
      <c r="H164" s="373" t="s">
        <v>1362</v>
      </c>
      <c r="I164" s="374" t="s">
        <v>1362</v>
      </c>
      <c r="J164" s="421" t="s">
        <v>3183</v>
      </c>
      <c r="K164" s="423" t="s">
        <v>3187</v>
      </c>
      <c r="L164" s="329">
        <f>CONTINUA!BV164</f>
        <v>0</v>
      </c>
      <c r="M164" s="329">
        <f>CONTINUA!BW164</f>
        <v>0</v>
      </c>
      <c r="N164" s="895"/>
      <c r="O164" s="896" t="s">
        <v>3357</v>
      </c>
      <c r="P164" s="897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3318</v>
      </c>
      <c r="B165" s="378" t="s">
        <v>3319</v>
      </c>
      <c r="C165" s="379" t="s">
        <v>3191</v>
      </c>
      <c r="D165" s="380" t="s">
        <v>3320</v>
      </c>
      <c r="E165" s="380" t="s">
        <v>3321</v>
      </c>
      <c r="F165" s="381" t="s">
        <v>3181</v>
      </c>
      <c r="G165" s="381" t="s">
        <v>3182</v>
      </c>
      <c r="H165" s="382" t="s">
        <v>1362</v>
      </c>
      <c r="I165" s="383" t="s">
        <v>1362</v>
      </c>
      <c r="J165" s="421" t="s">
        <v>3183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3357</v>
      </c>
      <c r="P165" s="897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3322</v>
      </c>
      <c r="B166" s="522" t="s">
        <v>3323</v>
      </c>
      <c r="C166" s="523">
        <v>1</v>
      </c>
      <c r="D166" s="524" t="s">
        <v>3324</v>
      </c>
      <c r="E166" s="524" t="s">
        <v>3325</v>
      </c>
      <c r="F166" s="525" t="s">
        <v>3181</v>
      </c>
      <c r="G166" s="525" t="s">
        <v>3182</v>
      </c>
      <c r="H166" s="350" t="s">
        <v>1363</v>
      </c>
      <c r="I166" s="351" t="s">
        <v>1363</v>
      </c>
      <c r="J166" s="409" t="s">
        <v>3183</v>
      </c>
      <c r="K166" s="410" t="s">
        <v>3184</v>
      </c>
      <c r="L166" s="329">
        <f>CONTINUA!BV166</f>
        <v>0</v>
      </c>
      <c r="M166" s="329">
        <f>CONTINUA!BW166</f>
        <v>0</v>
      </c>
      <c r="N166" s="895"/>
      <c r="O166" s="896" t="s">
        <v>3358</v>
      </c>
      <c r="P166" s="897">
        <v>0</v>
      </c>
      <c r="Q166" s="400">
        <v>25</v>
      </c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>
        <v>-1</v>
      </c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>
        <v>-1</v>
      </c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25</v>
      </c>
      <c r="EQ166" s="171">
        <f t="shared" si="169"/>
        <v>-2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23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13270.970000000001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-475.11700000000002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12795.853000000001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13270.970000000001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-282.50200000000001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-192.61500000000001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3322</v>
      </c>
      <c r="B167" s="369" t="s">
        <v>3323</v>
      </c>
      <c r="C167" s="370" t="s">
        <v>3191</v>
      </c>
      <c r="D167" s="371" t="s">
        <v>3324</v>
      </c>
      <c r="E167" s="371" t="s">
        <v>3325</v>
      </c>
      <c r="F167" s="372" t="s">
        <v>3181</v>
      </c>
      <c r="G167" s="372" t="s">
        <v>3182</v>
      </c>
      <c r="H167" s="373" t="s">
        <v>1363</v>
      </c>
      <c r="I167" s="374" t="s">
        <v>1363</v>
      </c>
      <c r="J167" s="421" t="s">
        <v>3183</v>
      </c>
      <c r="K167" s="421" t="s">
        <v>3185</v>
      </c>
      <c r="L167" s="329">
        <f>CONTINUA!BV167</f>
        <v>0</v>
      </c>
      <c r="M167" s="329">
        <f>CONTINUA!BW167</f>
        <v>0</v>
      </c>
      <c r="N167" s="895"/>
      <c r="O167" s="896" t="s">
        <v>3358</v>
      </c>
      <c r="P167" s="897">
        <v>0</v>
      </c>
      <c r="Q167" s="400">
        <v>6</v>
      </c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6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6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3322</v>
      </c>
      <c r="B168" s="369" t="s">
        <v>3323</v>
      </c>
      <c r="C168" s="375" t="s">
        <v>3191</v>
      </c>
      <c r="D168" s="371" t="s">
        <v>3324</v>
      </c>
      <c r="E168" s="371" t="s">
        <v>3325</v>
      </c>
      <c r="F168" s="376" t="s">
        <v>3181</v>
      </c>
      <c r="G168" s="376" t="s">
        <v>3182</v>
      </c>
      <c r="H168" s="373" t="s">
        <v>1363</v>
      </c>
      <c r="I168" s="374" t="s">
        <v>1363</v>
      </c>
      <c r="J168" s="421" t="s">
        <v>3183</v>
      </c>
      <c r="K168" s="422" t="s">
        <v>3186</v>
      </c>
      <c r="L168" s="329">
        <f>CONTINUA!BV168</f>
        <v>0</v>
      </c>
      <c r="M168" s="329">
        <f>CONTINUA!BW168</f>
        <v>0</v>
      </c>
      <c r="N168" s="895"/>
      <c r="O168" s="896" t="s">
        <v>3358</v>
      </c>
      <c r="P168" s="897">
        <v>0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3322</v>
      </c>
      <c r="B169" s="369" t="s">
        <v>3323</v>
      </c>
      <c r="C169" s="375" t="s">
        <v>3191</v>
      </c>
      <c r="D169" s="371" t="s">
        <v>3324</v>
      </c>
      <c r="E169" s="371" t="s">
        <v>3325</v>
      </c>
      <c r="F169" s="376" t="s">
        <v>3181</v>
      </c>
      <c r="G169" s="376" t="s">
        <v>3182</v>
      </c>
      <c r="H169" s="373" t="s">
        <v>1363</v>
      </c>
      <c r="I169" s="374" t="s">
        <v>1363</v>
      </c>
      <c r="J169" s="421" t="s">
        <v>3183</v>
      </c>
      <c r="K169" s="423" t="s">
        <v>3187</v>
      </c>
      <c r="L169" s="329">
        <f>CONTINUA!BV169</f>
        <v>0</v>
      </c>
      <c r="M169" s="329">
        <f>CONTINUA!BW169</f>
        <v>0</v>
      </c>
      <c r="N169" s="895"/>
      <c r="O169" s="896" t="s">
        <v>3358</v>
      </c>
      <c r="P169" s="897">
        <v>0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3322</v>
      </c>
      <c r="B170" s="378" t="s">
        <v>3323</v>
      </c>
      <c r="C170" s="379" t="s">
        <v>3191</v>
      </c>
      <c r="D170" s="380" t="s">
        <v>3324</v>
      </c>
      <c r="E170" s="380" t="s">
        <v>3325</v>
      </c>
      <c r="F170" s="381" t="s">
        <v>3181</v>
      </c>
      <c r="G170" s="381" t="s">
        <v>3182</v>
      </c>
      <c r="H170" s="382" t="s">
        <v>1363</v>
      </c>
      <c r="I170" s="383" t="s">
        <v>1363</v>
      </c>
      <c r="J170" s="421" t="s">
        <v>3183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3358</v>
      </c>
      <c r="P170" s="897">
        <v>0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ht="11.25" x14ac:dyDescent="0.2">
      <c r="G171" s="7"/>
      <c r="H171" s="7"/>
      <c r="I171" s="7"/>
      <c r="J171" s="7"/>
      <c r="K171" s="7"/>
      <c r="L171" s="7">
        <f t="shared" ref="L171:P172" si="206">K171+1</f>
        <v>1</v>
      </c>
      <c r="M171" s="7">
        <f t="shared" si="206"/>
        <v>2</v>
      </c>
      <c r="N171" s="7">
        <f t="shared" si="206"/>
        <v>3</v>
      </c>
      <c r="O171" s="7">
        <f t="shared" si="206"/>
        <v>4</v>
      </c>
      <c r="P171" s="7">
        <f t="shared" si="206"/>
        <v>5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>
        <f t="shared" ref="EM171:EQ172" si="207">EL171+1</f>
        <v>1</v>
      </c>
      <c r="EN171" s="7">
        <f t="shared" si="207"/>
        <v>2</v>
      </c>
      <c r="EO171" s="7">
        <f t="shared" si="207"/>
        <v>3</v>
      </c>
      <c r="EP171" s="7">
        <f t="shared" si="207"/>
        <v>4</v>
      </c>
      <c r="EQ171" s="7">
        <f t="shared" si="207"/>
        <v>5</v>
      </c>
      <c r="ER171" s="7">
        <f t="shared" ref="ER171:GO172" si="208">EQ171+1</f>
        <v>6</v>
      </c>
      <c r="ES171" s="7">
        <f t="shared" si="208"/>
        <v>7</v>
      </c>
      <c r="ET171" s="7">
        <f t="shared" si="208"/>
        <v>8</v>
      </c>
      <c r="EU171" s="7">
        <f t="shared" si="208"/>
        <v>9</v>
      </c>
      <c r="EV171" s="7">
        <f t="shared" si="208"/>
        <v>10</v>
      </c>
      <c r="EW171" s="7">
        <f t="shared" si="208"/>
        <v>11</v>
      </c>
      <c r="EX171" s="7">
        <f t="shared" si="208"/>
        <v>12</v>
      </c>
      <c r="EY171" s="7">
        <f t="shared" si="208"/>
        <v>13</v>
      </c>
      <c r="EZ171" s="7">
        <f t="shared" si="208"/>
        <v>14</v>
      </c>
      <c r="FA171" s="7">
        <f t="shared" si="208"/>
        <v>15</v>
      </c>
      <c r="FB171" s="7">
        <f t="shared" si="208"/>
        <v>16</v>
      </c>
      <c r="FC171" s="7">
        <f t="shared" si="208"/>
        <v>17</v>
      </c>
      <c r="FD171" s="7">
        <f t="shared" si="208"/>
        <v>18</v>
      </c>
      <c r="FE171" s="7">
        <f t="shared" si="208"/>
        <v>19</v>
      </c>
      <c r="FF171" s="7">
        <f t="shared" si="208"/>
        <v>20</v>
      </c>
      <c r="FG171" s="7">
        <f t="shared" si="208"/>
        <v>21</v>
      </c>
      <c r="FH171" s="7">
        <f t="shared" si="208"/>
        <v>22</v>
      </c>
      <c r="FI171" s="7">
        <f t="shared" si="208"/>
        <v>23</v>
      </c>
      <c r="FJ171" s="7">
        <f t="shared" si="208"/>
        <v>24</v>
      </c>
      <c r="FK171" s="7">
        <f t="shared" si="208"/>
        <v>25</v>
      </c>
      <c r="FL171" s="7">
        <f t="shared" si="208"/>
        <v>26</v>
      </c>
      <c r="FM171" s="7">
        <f t="shared" si="208"/>
        <v>27</v>
      </c>
      <c r="FN171" s="7">
        <f t="shared" si="208"/>
        <v>28</v>
      </c>
      <c r="FO171" s="7">
        <f t="shared" si="208"/>
        <v>29</v>
      </c>
      <c r="FP171" s="7">
        <f t="shared" si="208"/>
        <v>30</v>
      </c>
      <c r="FQ171" s="7">
        <f t="shared" si="208"/>
        <v>31</v>
      </c>
      <c r="FR171" s="7">
        <f t="shared" si="208"/>
        <v>32</v>
      </c>
      <c r="FS171" s="7">
        <f t="shared" si="208"/>
        <v>33</v>
      </c>
      <c r="FT171" s="7">
        <f t="shared" si="208"/>
        <v>34</v>
      </c>
      <c r="FU171" s="7">
        <f t="shared" si="208"/>
        <v>35</v>
      </c>
      <c r="FV171" s="7">
        <f t="shared" si="208"/>
        <v>36</v>
      </c>
      <c r="FW171" s="7">
        <f t="shared" si="208"/>
        <v>37</v>
      </c>
      <c r="FX171" s="7">
        <f t="shared" si="208"/>
        <v>38</v>
      </c>
      <c r="FY171" s="7">
        <f t="shared" si="208"/>
        <v>39</v>
      </c>
      <c r="FZ171" s="7">
        <f t="shared" si="208"/>
        <v>40</v>
      </c>
      <c r="GA171" s="7">
        <f t="shared" si="208"/>
        <v>41</v>
      </c>
      <c r="GB171" s="7">
        <f t="shared" si="208"/>
        <v>42</v>
      </c>
      <c r="GC171" s="7">
        <f t="shared" si="208"/>
        <v>43</v>
      </c>
      <c r="GD171" s="7">
        <f t="shared" si="208"/>
        <v>44</v>
      </c>
      <c r="GE171" s="7">
        <f t="shared" si="208"/>
        <v>45</v>
      </c>
      <c r="GF171" s="7">
        <f t="shared" si="208"/>
        <v>46</v>
      </c>
      <c r="GG171" s="7">
        <f t="shared" si="208"/>
        <v>47</v>
      </c>
      <c r="GH171" s="7">
        <f t="shared" si="208"/>
        <v>48</v>
      </c>
      <c r="GI171" s="7">
        <f t="shared" si="208"/>
        <v>49</v>
      </c>
      <c r="GJ171" s="7">
        <f t="shared" si="208"/>
        <v>50</v>
      </c>
      <c r="GK171" s="7">
        <f t="shared" si="208"/>
        <v>51</v>
      </c>
      <c r="GL171" s="7">
        <f t="shared" si="208"/>
        <v>52</v>
      </c>
      <c r="GM171" s="7">
        <f t="shared" si="208"/>
        <v>53</v>
      </c>
      <c r="GN171" s="7">
        <f t="shared" si="208"/>
        <v>54</v>
      </c>
      <c r="GO171" s="7">
        <f t="shared" si="208"/>
        <v>55</v>
      </c>
      <c r="GP171" s="7">
        <f t="shared" ref="GP171:IA171" si="209">GO171+1</f>
        <v>56</v>
      </c>
      <c r="GQ171" s="7">
        <f t="shared" si="209"/>
        <v>57</v>
      </c>
      <c r="GR171" s="7">
        <f t="shared" si="209"/>
        <v>58</v>
      </c>
      <c r="GS171" s="7">
        <f t="shared" si="209"/>
        <v>59</v>
      </c>
      <c r="GT171" s="7">
        <f t="shared" si="209"/>
        <v>60</v>
      </c>
      <c r="GU171" s="7">
        <f t="shared" si="209"/>
        <v>61</v>
      </c>
      <c r="GV171" s="7">
        <f t="shared" si="209"/>
        <v>62</v>
      </c>
      <c r="GW171" s="7">
        <f t="shared" si="209"/>
        <v>63</v>
      </c>
      <c r="GX171" s="7">
        <f t="shared" si="209"/>
        <v>64</v>
      </c>
      <c r="GY171" s="7">
        <f t="shared" si="209"/>
        <v>65</v>
      </c>
      <c r="GZ171" s="7">
        <f t="shared" si="209"/>
        <v>66</v>
      </c>
      <c r="HA171" s="7">
        <f t="shared" si="209"/>
        <v>67</v>
      </c>
      <c r="HB171" s="7">
        <f t="shared" si="209"/>
        <v>68</v>
      </c>
      <c r="HC171" s="7">
        <f t="shared" si="209"/>
        <v>69</v>
      </c>
      <c r="HD171" s="7">
        <f t="shared" si="209"/>
        <v>70</v>
      </c>
      <c r="HE171" s="7">
        <f t="shared" si="209"/>
        <v>71</v>
      </c>
      <c r="HF171" s="7">
        <f t="shared" si="209"/>
        <v>72</v>
      </c>
      <c r="HG171" s="7">
        <f t="shared" si="209"/>
        <v>73</v>
      </c>
      <c r="HH171" s="7">
        <f t="shared" si="209"/>
        <v>74</v>
      </c>
      <c r="HI171" s="7">
        <f t="shared" si="209"/>
        <v>75</v>
      </c>
      <c r="HJ171" s="7">
        <f t="shared" si="209"/>
        <v>76</v>
      </c>
      <c r="HK171" s="7">
        <f t="shared" si="209"/>
        <v>77</v>
      </c>
      <c r="HL171" s="7">
        <f t="shared" si="209"/>
        <v>78</v>
      </c>
      <c r="HM171" s="7">
        <f t="shared" si="209"/>
        <v>79</v>
      </c>
      <c r="HN171" s="7">
        <f t="shared" si="209"/>
        <v>80</v>
      </c>
      <c r="HO171" s="7">
        <f t="shared" si="209"/>
        <v>81</v>
      </c>
      <c r="HP171" s="7">
        <f t="shared" si="209"/>
        <v>82</v>
      </c>
      <c r="HQ171" s="7">
        <f t="shared" si="209"/>
        <v>83</v>
      </c>
      <c r="HR171" s="7">
        <f t="shared" si="209"/>
        <v>84</v>
      </c>
      <c r="HS171" s="7">
        <f t="shared" si="209"/>
        <v>85</v>
      </c>
      <c r="HT171" s="7">
        <f t="shared" si="209"/>
        <v>86</v>
      </c>
      <c r="HU171" s="7">
        <f t="shared" si="209"/>
        <v>87</v>
      </c>
      <c r="HV171" s="7">
        <f t="shared" si="209"/>
        <v>88</v>
      </c>
      <c r="HW171" s="7">
        <f t="shared" si="209"/>
        <v>89</v>
      </c>
      <c r="HX171" s="7">
        <f t="shared" si="209"/>
        <v>90</v>
      </c>
      <c r="HY171" s="7">
        <f t="shared" si="209"/>
        <v>91</v>
      </c>
      <c r="HZ171" s="7">
        <f t="shared" si="209"/>
        <v>92</v>
      </c>
      <c r="IA171" s="7">
        <f t="shared" si="209"/>
        <v>93</v>
      </c>
    </row>
    <row r="172" spans="1:237" ht="11.25" x14ac:dyDescent="0.2">
      <c r="G172" s="7"/>
      <c r="H172" s="7"/>
      <c r="I172" s="7"/>
      <c r="J172" s="7"/>
      <c r="K172" s="7"/>
      <c r="L172" s="7">
        <f t="shared" si="206"/>
        <v>1</v>
      </c>
      <c r="M172" s="7">
        <f t="shared" si="206"/>
        <v>2</v>
      </c>
      <c r="N172" s="7">
        <f t="shared" si="206"/>
        <v>3</v>
      </c>
      <c r="O172" s="7">
        <f t="shared" si="206"/>
        <v>4</v>
      </c>
      <c r="P172" s="7">
        <f t="shared" si="206"/>
        <v>5</v>
      </c>
      <c r="Q172" s="7">
        <f t="shared" ref="Q172" si="210">P172+1</f>
        <v>6</v>
      </c>
      <c r="R172" s="7">
        <f t="shared" ref="R172" si="211">Q172+1</f>
        <v>7</v>
      </c>
      <c r="S172" s="7">
        <f t="shared" ref="S172" si="212">R172+1</f>
        <v>8</v>
      </c>
      <c r="T172" s="7">
        <f t="shared" ref="T172" si="213">S172+1</f>
        <v>9</v>
      </c>
      <c r="U172" s="7">
        <f t="shared" ref="U172" si="214">T172+1</f>
        <v>10</v>
      </c>
      <c r="V172" s="7">
        <f t="shared" ref="V172" si="215">U172+1</f>
        <v>11</v>
      </c>
      <c r="W172" s="7">
        <f t="shared" ref="W172" si="216">V172+1</f>
        <v>12</v>
      </c>
      <c r="X172" s="7">
        <f t="shared" ref="X172" si="217">W172+1</f>
        <v>13</v>
      </c>
      <c r="Y172" s="7">
        <f t="shared" ref="Y172" si="218">X172+1</f>
        <v>14</v>
      </c>
      <c r="Z172" s="7">
        <f t="shared" ref="Z172" si="219">Y172+1</f>
        <v>15</v>
      </c>
      <c r="AA172" s="7">
        <f t="shared" ref="AA172" si="220">Z172+1</f>
        <v>16</v>
      </c>
      <c r="AB172" s="7">
        <f t="shared" ref="AB172" si="221">AA172+1</f>
        <v>17</v>
      </c>
      <c r="AC172" s="7">
        <f t="shared" ref="AC172" si="222">AB172+1</f>
        <v>18</v>
      </c>
      <c r="AD172" s="7">
        <f t="shared" ref="AD172" si="223">AC172+1</f>
        <v>19</v>
      </c>
      <c r="AE172" s="7">
        <f t="shared" ref="AE172" si="224">AD172+1</f>
        <v>20</v>
      </c>
      <c r="AF172" s="7">
        <f t="shared" ref="AF172" si="225">AE172+1</f>
        <v>21</v>
      </c>
      <c r="AG172" s="7">
        <f t="shared" ref="AG172" si="226">AF172+1</f>
        <v>22</v>
      </c>
      <c r="AH172" s="7">
        <f t="shared" ref="AH172" si="227">AG172+1</f>
        <v>23</v>
      </c>
      <c r="AI172" s="7">
        <f t="shared" ref="AI172" si="228">AH172+1</f>
        <v>24</v>
      </c>
      <c r="AJ172" s="7">
        <f t="shared" ref="AJ172" si="229">AI172+1</f>
        <v>25</v>
      </c>
      <c r="AK172" s="7">
        <f t="shared" ref="AK172" si="230">AJ172+1</f>
        <v>26</v>
      </c>
      <c r="AL172" s="7">
        <f t="shared" ref="AL172" si="231">AK172+1</f>
        <v>27</v>
      </c>
      <c r="AM172" s="7">
        <f t="shared" ref="AM172" si="232">AL172+1</f>
        <v>28</v>
      </c>
      <c r="AN172" s="7">
        <f t="shared" ref="AN172" si="233">AM172+1</f>
        <v>29</v>
      </c>
      <c r="AO172" s="7">
        <f t="shared" ref="AO172" si="234">AN172+1</f>
        <v>30</v>
      </c>
      <c r="AP172" s="7">
        <f t="shared" ref="AP172" si="235">AO172+1</f>
        <v>31</v>
      </c>
      <c r="AQ172" s="7">
        <f t="shared" ref="AQ172" si="236">AP172+1</f>
        <v>32</v>
      </c>
      <c r="AR172" s="7">
        <f t="shared" ref="AR172" si="237">AQ172+1</f>
        <v>33</v>
      </c>
      <c r="AS172" s="7">
        <f t="shared" ref="AS172" si="238">AR172+1</f>
        <v>34</v>
      </c>
      <c r="AT172" s="7">
        <f t="shared" ref="AT172" si="239">AS172+1</f>
        <v>35</v>
      </c>
      <c r="AU172" s="7">
        <f t="shared" ref="AU172" si="240">AT172+1</f>
        <v>36</v>
      </c>
      <c r="AV172" s="7">
        <f t="shared" ref="AV172" si="241">AU172+1</f>
        <v>37</v>
      </c>
      <c r="AW172" s="7">
        <f t="shared" ref="AW172" si="242">AV172+1</f>
        <v>38</v>
      </c>
      <c r="AX172" s="7">
        <f t="shared" ref="AX172" si="243">AW172+1</f>
        <v>39</v>
      </c>
      <c r="AY172" s="7">
        <f t="shared" ref="AY172" si="244">AX172+1</f>
        <v>40</v>
      </c>
      <c r="AZ172" s="7">
        <f t="shared" ref="AZ172" si="245">AY172+1</f>
        <v>41</v>
      </c>
      <c r="BA172" s="7">
        <f t="shared" ref="BA172" si="246">AZ172+1</f>
        <v>42</v>
      </c>
      <c r="BB172" s="7">
        <f t="shared" ref="BB172" si="247">BA172+1</f>
        <v>43</v>
      </c>
      <c r="BC172" s="7">
        <f t="shared" ref="BC172" si="248">BB172+1</f>
        <v>44</v>
      </c>
      <c r="BD172" s="7">
        <f t="shared" ref="BD172" si="249">BC172+1</f>
        <v>45</v>
      </c>
      <c r="BE172" s="7">
        <f t="shared" ref="BE172" si="250">BD172+1</f>
        <v>46</v>
      </c>
      <c r="BF172" s="7">
        <f t="shared" ref="BF172" si="251">BE172+1</f>
        <v>47</v>
      </c>
      <c r="BG172" s="7">
        <f t="shared" ref="BG172" si="252">BF172+1</f>
        <v>48</v>
      </c>
      <c r="BH172" s="7">
        <f t="shared" ref="BH172" si="253">BG172+1</f>
        <v>49</v>
      </c>
      <c r="BI172" s="7">
        <f t="shared" ref="BI172" si="254">BH172+1</f>
        <v>50</v>
      </c>
      <c r="BJ172" s="7">
        <f t="shared" ref="BJ172" si="255">BI172+1</f>
        <v>51</v>
      </c>
      <c r="BK172" s="7">
        <f t="shared" ref="BK172" si="256">BJ172+1</f>
        <v>52</v>
      </c>
      <c r="BL172" s="7">
        <f t="shared" ref="BL172" si="257">BK172+1</f>
        <v>53</v>
      </c>
      <c r="BM172" s="7">
        <f t="shared" ref="BM172" si="258">BL172+1</f>
        <v>54</v>
      </c>
      <c r="BN172" s="7">
        <f t="shared" ref="BN172" si="259">BM172+1</f>
        <v>55</v>
      </c>
      <c r="BO172" s="7">
        <f t="shared" ref="BO172" si="260">BN172+1</f>
        <v>56</v>
      </c>
      <c r="BP172" s="7">
        <f t="shared" ref="BP172" si="261">BO172+1</f>
        <v>57</v>
      </c>
      <c r="BQ172" s="7">
        <f t="shared" ref="BQ172" si="262">BP172+1</f>
        <v>58</v>
      </c>
      <c r="BR172" s="7">
        <f t="shared" ref="BR172" si="263">BQ172+1</f>
        <v>59</v>
      </c>
      <c r="BS172" s="7">
        <f t="shared" ref="BS172" si="264">BR172+1</f>
        <v>60</v>
      </c>
      <c r="BT172" s="7">
        <f t="shared" ref="BT172" si="265">BS172+1</f>
        <v>61</v>
      </c>
      <c r="BU172" s="7">
        <f t="shared" ref="BU172" si="266">BT172+1</f>
        <v>62</v>
      </c>
      <c r="BV172" s="7">
        <f t="shared" ref="BV172" si="267">BU172+1</f>
        <v>63</v>
      </c>
      <c r="BW172" s="7">
        <f t="shared" ref="BW172" si="268">BV172+1</f>
        <v>64</v>
      </c>
      <c r="BX172" s="7">
        <f t="shared" ref="BX172" si="269">BW172+1</f>
        <v>65</v>
      </c>
      <c r="BY172" s="7">
        <f t="shared" ref="BY172" si="270">BX172+1</f>
        <v>66</v>
      </c>
      <c r="BZ172" s="7">
        <f t="shared" ref="BZ172" si="271">BY172+1</f>
        <v>67</v>
      </c>
      <c r="CA172" s="7">
        <f t="shared" ref="CA172" si="272">BZ172+1</f>
        <v>68</v>
      </c>
      <c r="CB172" s="7">
        <f t="shared" ref="CB172" si="273">CA172+1</f>
        <v>69</v>
      </c>
      <c r="CC172" s="7">
        <f t="shared" ref="CC172" si="274">CB172+1</f>
        <v>70</v>
      </c>
      <c r="CD172" s="7">
        <f t="shared" ref="CD172" si="275">CC172+1</f>
        <v>71</v>
      </c>
      <c r="CE172" s="7">
        <f t="shared" ref="CE172" si="276">CD172+1</f>
        <v>72</v>
      </c>
      <c r="CF172" s="7">
        <f t="shared" ref="CF172" si="277">CE172+1</f>
        <v>73</v>
      </c>
      <c r="CG172" s="7">
        <f t="shared" ref="CG172" si="278">CF172+1</f>
        <v>74</v>
      </c>
      <c r="CH172" s="7">
        <f t="shared" ref="CH172" si="279">CG172+1</f>
        <v>75</v>
      </c>
      <c r="CI172" s="7">
        <f t="shared" ref="CI172" si="280">CH172+1</f>
        <v>76</v>
      </c>
      <c r="CJ172" s="7">
        <f t="shared" ref="CJ172" si="281">CI172+1</f>
        <v>77</v>
      </c>
      <c r="CK172" s="7">
        <f t="shared" ref="CK172" si="282">CJ172+1</f>
        <v>78</v>
      </c>
      <c r="CL172" s="7">
        <f t="shared" ref="CL172" si="283">CK172+1</f>
        <v>79</v>
      </c>
      <c r="CM172" s="7">
        <f t="shared" ref="CM172" si="284">CL172+1</f>
        <v>80</v>
      </c>
      <c r="CN172" s="7">
        <f t="shared" ref="CN172" si="285">CM172+1</f>
        <v>81</v>
      </c>
      <c r="CO172" s="7">
        <f t="shared" ref="CO172" si="286">CN172+1</f>
        <v>82</v>
      </c>
      <c r="CP172" s="7">
        <f t="shared" ref="CP172" si="287">CO172+1</f>
        <v>83</v>
      </c>
      <c r="CQ172" s="7">
        <f t="shared" ref="CQ172" si="288">CP172+1</f>
        <v>84</v>
      </c>
      <c r="CR172" s="7">
        <f t="shared" ref="CR172" si="289">CQ172+1</f>
        <v>85</v>
      </c>
      <c r="CS172" s="7">
        <f t="shared" ref="CS172" si="290">CR172+1</f>
        <v>86</v>
      </c>
      <c r="CT172" s="7">
        <f t="shared" ref="CT172" si="291">CS172+1</f>
        <v>87</v>
      </c>
      <c r="CU172" s="7">
        <f t="shared" ref="CU172" si="292">CT172+1</f>
        <v>88</v>
      </c>
      <c r="CV172" s="7">
        <f t="shared" ref="CV172" si="293">CU172+1</f>
        <v>89</v>
      </c>
      <c r="CW172" s="7">
        <f t="shared" ref="CW172" si="294">CV172+1</f>
        <v>90</v>
      </c>
      <c r="CX172" s="7">
        <f t="shared" ref="CX172" si="295">CW172+1</f>
        <v>91</v>
      </c>
      <c r="CY172" s="7">
        <f t="shared" ref="CY172" si="296">CX172+1</f>
        <v>92</v>
      </c>
      <c r="CZ172" s="7">
        <f t="shared" ref="CZ172" si="297">CY172+1</f>
        <v>93</v>
      </c>
      <c r="DA172" s="7">
        <f t="shared" ref="DA172" si="298">CZ172+1</f>
        <v>94</v>
      </c>
      <c r="DB172" s="7">
        <f t="shared" ref="DB172" si="299">DA172+1</f>
        <v>95</v>
      </c>
      <c r="DC172" s="7">
        <f t="shared" ref="DC172" si="300">DB172+1</f>
        <v>96</v>
      </c>
      <c r="DD172" s="7">
        <f t="shared" ref="DD172" si="301">DC172+1</f>
        <v>97</v>
      </c>
      <c r="DE172" s="7">
        <f t="shared" ref="DE172" si="302">DD172+1</f>
        <v>98</v>
      </c>
      <c r="DF172" s="7">
        <f t="shared" ref="DF172" si="303">DE172+1</f>
        <v>99</v>
      </c>
      <c r="DG172" s="7">
        <f t="shared" ref="DG172" si="304">DF172+1</f>
        <v>100</v>
      </c>
      <c r="DH172" s="7">
        <f t="shared" ref="DH172" si="305">DG172+1</f>
        <v>101</v>
      </c>
      <c r="DI172" s="7">
        <f t="shared" ref="DI172" si="306">DH172+1</f>
        <v>102</v>
      </c>
      <c r="DJ172" s="7">
        <f t="shared" ref="DJ172" si="307">DI172+1</f>
        <v>103</v>
      </c>
      <c r="DK172" s="7">
        <f t="shared" ref="DK172" si="308">DJ172+1</f>
        <v>104</v>
      </c>
      <c r="DL172" s="7">
        <f t="shared" ref="DL172" si="309">DK172+1</f>
        <v>105</v>
      </c>
      <c r="DM172" s="7">
        <f t="shared" ref="DM172" si="310">DL172+1</f>
        <v>106</v>
      </c>
      <c r="DN172" s="7">
        <f t="shared" ref="DN172" si="311">DM172+1</f>
        <v>107</v>
      </c>
      <c r="DO172" s="7">
        <f t="shared" ref="DO172" si="312">DN172+1</f>
        <v>108</v>
      </c>
      <c r="DP172" s="7">
        <f t="shared" ref="DP172" si="313">DO172+1</f>
        <v>109</v>
      </c>
      <c r="DQ172" s="7">
        <f t="shared" ref="DQ172" si="314">DP172+1</f>
        <v>110</v>
      </c>
      <c r="DR172" s="7">
        <f t="shared" ref="DR172" si="315">DQ172+1</f>
        <v>111</v>
      </c>
      <c r="DS172" s="7">
        <f t="shared" ref="DS172" si="316">DR172+1</f>
        <v>112</v>
      </c>
      <c r="DT172" s="7">
        <f t="shared" ref="DT172" si="317">DS172+1</f>
        <v>113</v>
      </c>
      <c r="DU172" s="7">
        <f t="shared" ref="DU172" si="318">DT172+1</f>
        <v>114</v>
      </c>
      <c r="DV172" s="7">
        <f t="shared" ref="DV172" si="319">DU172+1</f>
        <v>115</v>
      </c>
      <c r="DW172" s="7">
        <f t="shared" ref="DW172" si="320">DV172+1</f>
        <v>116</v>
      </c>
      <c r="DX172" s="7">
        <f t="shared" ref="DX172" si="321">DW172+1</f>
        <v>117</v>
      </c>
      <c r="DY172" s="7">
        <f t="shared" ref="DY172" si="322">DX172+1</f>
        <v>118</v>
      </c>
      <c r="DZ172" s="7">
        <f t="shared" ref="DZ172" si="323">DY172+1</f>
        <v>119</v>
      </c>
      <c r="EA172" s="7">
        <f t="shared" ref="EA172" si="324">DZ172+1</f>
        <v>120</v>
      </c>
      <c r="EB172" s="7">
        <f t="shared" ref="EB172" si="325">EA172+1</f>
        <v>121</v>
      </c>
      <c r="EC172" s="7">
        <f t="shared" ref="EC172" si="326">EB172+1</f>
        <v>122</v>
      </c>
      <c r="ED172" s="7">
        <f t="shared" ref="ED172" si="327">EC172+1</f>
        <v>123</v>
      </c>
      <c r="EE172" s="7">
        <f t="shared" ref="EE172" si="328">ED172+1</f>
        <v>124</v>
      </c>
      <c r="EF172" s="7">
        <f t="shared" ref="EF172" si="329">EE172+1</f>
        <v>125</v>
      </c>
      <c r="EG172" s="7">
        <f t="shared" ref="EG172" si="330">EF172+1</f>
        <v>126</v>
      </c>
      <c r="EH172" s="7">
        <f t="shared" ref="EH172" si="331">EG172+1</f>
        <v>127</v>
      </c>
      <c r="EI172" s="7">
        <f t="shared" ref="EI172" si="332">EH172+1</f>
        <v>128</v>
      </c>
      <c r="EJ172" s="7">
        <f t="shared" ref="EJ172" si="333">EI172+1</f>
        <v>129</v>
      </c>
      <c r="EK172" s="7">
        <f t="shared" ref="EK172" si="334">EJ172+1</f>
        <v>130</v>
      </c>
      <c r="EL172" s="7">
        <f t="shared" ref="EL172" si="335">EK172+1</f>
        <v>131</v>
      </c>
      <c r="EM172" s="7">
        <f t="shared" si="207"/>
        <v>132</v>
      </c>
      <c r="EN172" s="7">
        <f t="shared" si="207"/>
        <v>133</v>
      </c>
      <c r="EO172" s="7">
        <f t="shared" si="207"/>
        <v>134</v>
      </c>
      <c r="EP172" s="7">
        <f t="shared" si="207"/>
        <v>135</v>
      </c>
      <c r="EQ172" s="7">
        <f t="shared" si="207"/>
        <v>136</v>
      </c>
      <c r="ER172" s="7">
        <f t="shared" si="208"/>
        <v>137</v>
      </c>
      <c r="ES172" s="7">
        <f t="shared" si="208"/>
        <v>138</v>
      </c>
      <c r="ET172" s="7">
        <f t="shared" si="208"/>
        <v>139</v>
      </c>
      <c r="EU172" s="7">
        <f t="shared" si="208"/>
        <v>140</v>
      </c>
      <c r="EV172" s="7">
        <f t="shared" si="208"/>
        <v>141</v>
      </c>
      <c r="EW172" s="7">
        <f t="shared" si="208"/>
        <v>142</v>
      </c>
      <c r="EX172" s="7">
        <f t="shared" si="208"/>
        <v>143</v>
      </c>
      <c r="EY172" s="7">
        <f t="shared" si="208"/>
        <v>144</v>
      </c>
      <c r="EZ172" s="7">
        <f t="shared" si="208"/>
        <v>145</v>
      </c>
      <c r="FA172" s="7">
        <f t="shared" si="208"/>
        <v>146</v>
      </c>
      <c r="FB172" s="7">
        <f t="shared" si="208"/>
        <v>147</v>
      </c>
      <c r="FC172" s="7">
        <f t="shared" si="208"/>
        <v>148</v>
      </c>
      <c r="FD172" s="7">
        <f t="shared" si="208"/>
        <v>149</v>
      </c>
      <c r="FE172" s="7">
        <f t="shared" si="208"/>
        <v>150</v>
      </c>
      <c r="FF172" s="7">
        <f t="shared" si="208"/>
        <v>151</v>
      </c>
      <c r="FG172" s="7">
        <f t="shared" si="208"/>
        <v>152</v>
      </c>
      <c r="FH172" s="7">
        <f t="shared" si="208"/>
        <v>153</v>
      </c>
      <c r="FI172" s="7">
        <f t="shared" si="208"/>
        <v>154</v>
      </c>
      <c r="FJ172" s="7">
        <f t="shared" si="208"/>
        <v>155</v>
      </c>
      <c r="FK172" s="7">
        <f t="shared" si="208"/>
        <v>156</v>
      </c>
      <c r="FL172" s="7">
        <f t="shared" si="208"/>
        <v>157</v>
      </c>
      <c r="FM172" s="7">
        <f t="shared" si="208"/>
        <v>158</v>
      </c>
      <c r="FN172" s="7">
        <f t="shared" si="208"/>
        <v>159</v>
      </c>
      <c r="FO172" s="7">
        <f t="shared" si="208"/>
        <v>160</v>
      </c>
      <c r="FP172" s="7">
        <f t="shared" si="208"/>
        <v>161</v>
      </c>
      <c r="FQ172" s="7">
        <f t="shared" si="208"/>
        <v>162</v>
      </c>
      <c r="FR172" s="7">
        <f t="shared" si="208"/>
        <v>163</v>
      </c>
      <c r="FS172" s="7">
        <f t="shared" si="208"/>
        <v>164</v>
      </c>
      <c r="FT172" s="7">
        <f t="shared" si="208"/>
        <v>165</v>
      </c>
      <c r="FU172" s="7">
        <f t="shared" si="208"/>
        <v>166</v>
      </c>
      <c r="FV172" s="7">
        <f t="shared" si="208"/>
        <v>167</v>
      </c>
      <c r="FW172" s="7">
        <f t="shared" si="208"/>
        <v>168</v>
      </c>
      <c r="FX172" s="7">
        <f t="shared" si="208"/>
        <v>169</v>
      </c>
      <c r="FY172" s="7">
        <f t="shared" si="208"/>
        <v>170</v>
      </c>
    </row>
    <row r="173" spans="1:237" x14ac:dyDescent="0.25">
      <c r="N173"/>
      <c r="P173" s="84"/>
    </row>
    <row r="174" spans="1:237" x14ac:dyDescent="0.25">
      <c r="P174" s="84"/>
    </row>
    <row r="175" spans="1:237" x14ac:dyDescent="0.25">
      <c r="P175" s="84"/>
    </row>
    <row r="176" spans="1:237" x14ac:dyDescent="0.25">
      <c r="P176" s="84"/>
    </row>
    <row r="177" spans="16:16" x14ac:dyDescent="0.25">
      <c r="P177" s="84"/>
    </row>
    <row r="178" spans="16:16" x14ac:dyDescent="0.25">
      <c r="P178" s="84"/>
    </row>
    <row r="179" spans="16:16" x14ac:dyDescent="0.25">
      <c r="P179" s="84"/>
    </row>
    <row r="180" spans="16:16" x14ac:dyDescent="0.25">
      <c r="P180" s="84"/>
    </row>
    <row r="181" spans="16:16" x14ac:dyDescent="0.25">
      <c r="P181" s="84"/>
    </row>
    <row r="182" spans="16:16" x14ac:dyDescent="0.25">
      <c r="P182" s="84"/>
    </row>
    <row r="183" spans="16:16" x14ac:dyDescent="0.25">
      <c r="P183" s="84"/>
    </row>
    <row r="184" spans="16:16" x14ac:dyDescent="0.25">
      <c r="P184" s="84"/>
    </row>
    <row r="185" spans="16:16" x14ac:dyDescent="0.25">
      <c r="P185" s="84"/>
    </row>
    <row r="186" spans="16:16" x14ac:dyDescent="0.25">
      <c r="P186" s="84"/>
    </row>
    <row r="187" spans="16:16" x14ac:dyDescent="0.25">
      <c r="P187" s="84"/>
    </row>
    <row r="188" spans="16:16" x14ac:dyDescent="0.25">
      <c r="P188" s="84"/>
    </row>
    <row r="189" spans="16:16" x14ac:dyDescent="0.25">
      <c r="P189" s="84"/>
    </row>
    <row r="190" spans="16:16" x14ac:dyDescent="0.25">
      <c r="P190" s="84"/>
    </row>
    <row r="191" spans="16:16" x14ac:dyDescent="0.25">
      <c r="P191" s="84"/>
    </row>
    <row r="192" spans="16:16" x14ac:dyDescent="0.25">
      <c r="P192" s="84"/>
    </row>
    <row r="193" spans="16:16" x14ac:dyDescent="0.25">
      <c r="P193" s="84"/>
    </row>
    <row r="194" spans="16:16" x14ac:dyDescent="0.25">
      <c r="P194" s="84"/>
    </row>
    <row r="195" spans="16:16" x14ac:dyDescent="0.25">
      <c r="P195" s="84"/>
    </row>
    <row r="196" spans="16:16" x14ac:dyDescent="0.25">
      <c r="P196" s="84"/>
    </row>
    <row r="197" spans="16:16" x14ac:dyDescent="0.25">
      <c r="P197" s="84"/>
    </row>
    <row r="198" spans="16:16" x14ac:dyDescent="0.25">
      <c r="P198" s="84"/>
    </row>
    <row r="199" spans="16:16" x14ac:dyDescent="0.25">
      <c r="P199" s="84"/>
    </row>
    <row r="200" spans="16:16" x14ac:dyDescent="0.25">
      <c r="P200" s="84"/>
    </row>
    <row r="201" spans="16:16" x14ac:dyDescent="0.25">
      <c r="P201" s="84"/>
    </row>
    <row r="202" spans="16:16" x14ac:dyDescent="0.25">
      <c r="P202" s="84"/>
    </row>
    <row r="203" spans="16:16" x14ac:dyDescent="0.25">
      <c r="P203" s="84"/>
    </row>
    <row r="204" spans="16:16" x14ac:dyDescent="0.25">
      <c r="P204" s="84"/>
    </row>
    <row r="205" spans="16:16" x14ac:dyDescent="0.25">
      <c r="P205" s="84"/>
    </row>
    <row r="206" spans="16:16" x14ac:dyDescent="0.25">
      <c r="P206" s="84"/>
    </row>
    <row r="207" spans="16:16" x14ac:dyDescent="0.25">
      <c r="P207" s="84"/>
    </row>
    <row r="208" spans="16:16" x14ac:dyDescent="0.25">
      <c r="P208" s="84"/>
    </row>
    <row r="209" spans="16:16" x14ac:dyDescent="0.25">
      <c r="P209" s="84"/>
    </row>
    <row r="210" spans="16:16" x14ac:dyDescent="0.25">
      <c r="P210" s="84"/>
    </row>
    <row r="211" spans="16:16" x14ac:dyDescent="0.25">
      <c r="P211" s="84"/>
    </row>
    <row r="212" spans="16:16" x14ac:dyDescent="0.25">
      <c r="P212" s="84"/>
    </row>
    <row r="213" spans="16:16" x14ac:dyDescent="0.25">
      <c r="P213" s="84"/>
    </row>
    <row r="214" spans="16:16" x14ac:dyDescent="0.25">
      <c r="P214" s="84"/>
    </row>
    <row r="215" spans="16:16" x14ac:dyDescent="0.25">
      <c r="P215" s="84"/>
    </row>
    <row r="216" spans="16:16" x14ac:dyDescent="0.25">
      <c r="P216" s="84"/>
    </row>
    <row r="217" spans="16:16" x14ac:dyDescent="0.25">
      <c r="P217" s="84"/>
    </row>
    <row r="218" spans="16:16" x14ac:dyDescent="0.25">
      <c r="P218" s="84"/>
    </row>
    <row r="219" spans="16:16" x14ac:dyDescent="0.25">
      <c r="P219" s="84"/>
    </row>
    <row r="220" spans="16:16" x14ac:dyDescent="0.25">
      <c r="P220" s="84"/>
    </row>
    <row r="221" spans="16:16" x14ac:dyDescent="0.25">
      <c r="P221" s="84"/>
    </row>
    <row r="222" spans="16:16" x14ac:dyDescent="0.25">
      <c r="P222" s="84"/>
    </row>
    <row r="223" spans="16:16" x14ac:dyDescent="0.25">
      <c r="P223" s="84"/>
    </row>
    <row r="224" spans="16:16" x14ac:dyDescent="0.25">
      <c r="P224" s="84"/>
    </row>
    <row r="225" spans="16:16" x14ac:dyDescent="0.25">
      <c r="P225" s="84"/>
    </row>
    <row r="226" spans="16:16" x14ac:dyDescent="0.25">
      <c r="P226" s="84"/>
    </row>
    <row r="227" spans="16:16" x14ac:dyDescent="0.25">
      <c r="P227" s="84"/>
    </row>
    <row r="228" spans="16:16" x14ac:dyDescent="0.25">
      <c r="P228" s="84"/>
    </row>
    <row r="229" spans="16:16" x14ac:dyDescent="0.25">
      <c r="P229" s="84"/>
    </row>
    <row r="230" spans="16:16" x14ac:dyDescent="0.25">
      <c r="P230" s="84"/>
    </row>
    <row r="231" spans="16:16" x14ac:dyDescent="0.25">
      <c r="P231" s="84"/>
    </row>
    <row r="232" spans="16:16" x14ac:dyDescent="0.25">
      <c r="P232" s="84"/>
    </row>
    <row r="233" spans="16:16" x14ac:dyDescent="0.25">
      <c r="P23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170">
    <cfRule type="cellIs" dxfId="416" priority="8123" operator="greaterThan">
      <formula>0</formula>
    </cfRule>
  </conditionalFormatting>
  <conditionalFormatting sqref="J6:J170">
    <cfRule type="cellIs" dxfId="415" priority="1" operator="equal">
      <formula>"CRECHE"</formula>
    </cfRule>
    <cfRule type="cellIs" dxfId="41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170 EJ6:EJ170 EH6:EH170 EF6:EF170 ED6:ED170 EB6:EB170 DZ6:DZ170 DX6:DX170 DV6:DV170 DT6:DT170 DR6:DR170 DP6:DP170 DN6:DN170 DL6:DL170 DJ6:DJ170 DH6:DH170 DF6:DF170 DD6:DD170 DB6:DB170 CZ6:CZ170 CX6:CX170 CV6:CV170 CT6:CT170 CR6:CR170 CP6:CP170 CN6:CN170 CL6:CL170 CJ6:CJ170 CH6:CH170 CF6:CF170 CD6:CD170 CB6:CB170 BZ6:BZ170 BX6:BX170 BV6:BV170 BT6:BT170 BR6:BR170 BP6:BP170 BN6:BN170 BL6:BL170 BJ6:BJ170 BH6:BH170 BF6:BF170 BD6:BD170 BB6:BB170 AZ6:AZ170 AX6:AX170 AV6:AV170 AT6:AT170 AR6:AR170 AP6:AP170 AN6:AN170 AL6:AL170 AJ6:AJ170 AH6:AH170 AF6:AF170 AD6:AD170 AB6:AB170 Z6:Z170 X6:X170 V6:V170 T6:T17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74"/>
  <sheetViews>
    <sheetView showGridLines="0" topLeftCell="R1" zoomScale="80" zoomScaleNormal="80" workbookViewId="0">
      <selection activeCell="L166" sqref="L166:BU17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Freguesia / Brasilândia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3194</v>
      </c>
      <c r="B6" s="526" t="s">
        <v>3195</v>
      </c>
      <c r="C6" s="527">
        <v>1</v>
      </c>
      <c r="D6" s="528" t="s">
        <v>3196</v>
      </c>
      <c r="E6" s="426" t="s">
        <v>3197</v>
      </c>
      <c r="F6" s="529" t="s">
        <v>3181</v>
      </c>
      <c r="G6" s="529" t="s">
        <v>3182</v>
      </c>
      <c r="H6" s="530" t="s">
        <v>1284</v>
      </c>
      <c r="I6" s="384" t="s">
        <v>1284</v>
      </c>
      <c r="J6" s="353" t="s">
        <v>3183</v>
      </c>
      <c r="K6" s="354" t="s">
        <v>3184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3194</v>
      </c>
      <c r="B7" s="386" t="s">
        <v>3195</v>
      </c>
      <c r="C7" s="352" t="s">
        <v>3191</v>
      </c>
      <c r="D7" s="387" t="s">
        <v>3196</v>
      </c>
      <c r="E7" s="388" t="s">
        <v>3197</v>
      </c>
      <c r="F7" s="389" t="s">
        <v>3181</v>
      </c>
      <c r="G7" s="389" t="s">
        <v>3182</v>
      </c>
      <c r="H7" s="390" t="s">
        <v>1284</v>
      </c>
      <c r="I7" s="391" t="s">
        <v>1284</v>
      </c>
      <c r="J7" s="353" t="s">
        <v>3183</v>
      </c>
      <c r="K7" s="353" t="s">
        <v>3185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3194</v>
      </c>
      <c r="B8" s="386" t="s">
        <v>3195</v>
      </c>
      <c r="C8" s="392" t="s">
        <v>3191</v>
      </c>
      <c r="D8" s="387" t="s">
        <v>3196</v>
      </c>
      <c r="E8" s="388" t="s">
        <v>3197</v>
      </c>
      <c r="F8" s="389" t="s">
        <v>3181</v>
      </c>
      <c r="G8" s="389" t="s">
        <v>3182</v>
      </c>
      <c r="H8" s="390" t="s">
        <v>1284</v>
      </c>
      <c r="I8" s="391" t="s">
        <v>1284</v>
      </c>
      <c r="J8" s="353" t="s">
        <v>3183</v>
      </c>
      <c r="K8" s="355" t="s">
        <v>3186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3194</v>
      </c>
      <c r="B9" s="386" t="s">
        <v>3195</v>
      </c>
      <c r="C9" s="392" t="s">
        <v>3191</v>
      </c>
      <c r="D9" s="387" t="s">
        <v>3196</v>
      </c>
      <c r="E9" s="388" t="s">
        <v>3197</v>
      </c>
      <c r="F9" s="389" t="s">
        <v>3181</v>
      </c>
      <c r="G9" s="389" t="s">
        <v>3182</v>
      </c>
      <c r="H9" s="390" t="s">
        <v>1284</v>
      </c>
      <c r="I9" s="391" t="s">
        <v>1284</v>
      </c>
      <c r="J9" s="353" t="s">
        <v>3183</v>
      </c>
      <c r="K9" s="356" t="s">
        <v>3187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3194</v>
      </c>
      <c r="B10" s="393" t="s">
        <v>3195</v>
      </c>
      <c r="C10" s="394" t="s">
        <v>3191</v>
      </c>
      <c r="D10" s="395" t="s">
        <v>3196</v>
      </c>
      <c r="E10" s="411" t="s">
        <v>3197</v>
      </c>
      <c r="F10" s="396" t="s">
        <v>3181</v>
      </c>
      <c r="G10" s="396" t="s">
        <v>3182</v>
      </c>
      <c r="H10" s="397" t="s">
        <v>1284</v>
      </c>
      <c r="I10" s="899" t="s">
        <v>1284</v>
      </c>
      <c r="J10" s="353" t="s">
        <v>3183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3198</v>
      </c>
      <c r="B11" s="526" t="s">
        <v>3199</v>
      </c>
      <c r="C11" s="527">
        <v>4</v>
      </c>
      <c r="D11" s="528" t="s">
        <v>3200</v>
      </c>
      <c r="E11" s="426" t="s">
        <v>3201</v>
      </c>
      <c r="F11" s="529" t="s">
        <v>3181</v>
      </c>
      <c r="G11" s="529" t="s">
        <v>3182</v>
      </c>
      <c r="H11" s="530" t="s">
        <v>1287</v>
      </c>
      <c r="I11" s="384" t="s">
        <v>1287</v>
      </c>
      <c r="J11" s="353" t="s">
        <v>3183</v>
      </c>
      <c r="K11" s="354" t="s">
        <v>3184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3198</v>
      </c>
      <c r="B12" s="386" t="s">
        <v>3199</v>
      </c>
      <c r="C12" s="352" t="s">
        <v>3192</v>
      </c>
      <c r="D12" s="387" t="s">
        <v>3200</v>
      </c>
      <c r="E12" s="388" t="s">
        <v>3201</v>
      </c>
      <c r="F12" s="389" t="s">
        <v>3181</v>
      </c>
      <c r="G12" s="389" t="s">
        <v>3182</v>
      </c>
      <c r="H12" s="390" t="s">
        <v>1287</v>
      </c>
      <c r="I12" s="391" t="s">
        <v>1287</v>
      </c>
      <c r="J12" s="353" t="s">
        <v>3183</v>
      </c>
      <c r="K12" s="353" t="s">
        <v>3185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3198</v>
      </c>
      <c r="B13" s="386" t="s">
        <v>3199</v>
      </c>
      <c r="C13" s="392" t="s">
        <v>3192</v>
      </c>
      <c r="D13" s="387" t="s">
        <v>3200</v>
      </c>
      <c r="E13" s="388" t="s">
        <v>3201</v>
      </c>
      <c r="F13" s="389" t="s">
        <v>3181</v>
      </c>
      <c r="G13" s="389" t="s">
        <v>3182</v>
      </c>
      <c r="H13" s="390" t="s">
        <v>1287</v>
      </c>
      <c r="I13" s="391" t="s">
        <v>1287</v>
      </c>
      <c r="J13" s="353" t="s">
        <v>3183</v>
      </c>
      <c r="K13" s="355" t="s">
        <v>3186</v>
      </c>
      <c r="L13" s="400"/>
      <c r="M13" s="401"/>
      <c r="N13" s="400">
        <v>3</v>
      </c>
      <c r="O13" s="401"/>
      <c r="P13" s="400"/>
      <c r="Q13" s="401"/>
      <c r="R13" s="400"/>
      <c r="S13" s="401"/>
      <c r="T13" s="400"/>
      <c r="U13" s="401"/>
      <c r="V13" s="400"/>
      <c r="W13" s="401"/>
      <c r="X13" s="400">
        <v>3</v>
      </c>
      <c r="Y13" s="401"/>
      <c r="Z13" s="400"/>
      <c r="AA13" s="401"/>
      <c r="AB13" s="400">
        <v>3</v>
      </c>
      <c r="AC13" s="401"/>
      <c r="AD13" s="400"/>
      <c r="AE13" s="401"/>
      <c r="AF13" s="400"/>
      <c r="AG13" s="401"/>
      <c r="AH13" s="400"/>
      <c r="AI13" s="401"/>
      <c r="AJ13" s="400"/>
      <c r="AK13" s="401"/>
      <c r="AL13" s="400">
        <v>3</v>
      </c>
      <c r="AM13" s="401"/>
      <c r="AN13" s="400"/>
      <c r="AO13" s="401"/>
      <c r="AP13" s="400">
        <v>3</v>
      </c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>
        <v>3</v>
      </c>
      <c r="BE13" s="401"/>
      <c r="BF13" s="400"/>
      <c r="BG13" s="401"/>
      <c r="BH13" s="400"/>
      <c r="BI13" s="401"/>
      <c r="BJ13" s="400"/>
      <c r="BK13" s="401"/>
      <c r="BL13" s="400"/>
      <c r="BM13" s="401"/>
      <c r="BN13" s="400">
        <v>3</v>
      </c>
      <c r="BO13" s="401"/>
      <c r="BP13" s="400"/>
      <c r="BQ13" s="401"/>
      <c r="BR13" s="400">
        <v>3</v>
      </c>
      <c r="BS13" s="401"/>
      <c r="BT13" s="400"/>
      <c r="BU13" s="401"/>
      <c r="BV13" s="337">
        <f t="shared" si="5"/>
        <v>24</v>
      </c>
      <c r="BW13" s="337">
        <f t="shared" si="6"/>
        <v>0</v>
      </c>
    </row>
    <row r="14" spans="1:75" s="64" customFormat="1" ht="21.95" customHeight="1" x14ac:dyDescent="0.2">
      <c r="A14" s="385" t="s">
        <v>3198</v>
      </c>
      <c r="B14" s="386" t="s">
        <v>3199</v>
      </c>
      <c r="C14" s="392" t="s">
        <v>3192</v>
      </c>
      <c r="D14" s="387" t="s">
        <v>3200</v>
      </c>
      <c r="E14" s="388" t="s">
        <v>3201</v>
      </c>
      <c r="F14" s="389" t="s">
        <v>3181</v>
      </c>
      <c r="G14" s="389" t="s">
        <v>3182</v>
      </c>
      <c r="H14" s="390" t="s">
        <v>1287</v>
      </c>
      <c r="I14" s="391" t="s">
        <v>1287</v>
      </c>
      <c r="J14" s="353" t="s">
        <v>3183</v>
      </c>
      <c r="K14" s="356" t="s">
        <v>3187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3198</v>
      </c>
      <c r="B15" s="393" t="s">
        <v>3199</v>
      </c>
      <c r="C15" s="394" t="s">
        <v>3192</v>
      </c>
      <c r="D15" s="395" t="s">
        <v>3200</v>
      </c>
      <c r="E15" s="411" t="s">
        <v>3201</v>
      </c>
      <c r="F15" s="396" t="s">
        <v>3181</v>
      </c>
      <c r="G15" s="396" t="s">
        <v>3182</v>
      </c>
      <c r="H15" s="397" t="s">
        <v>1287</v>
      </c>
      <c r="I15" s="899" t="s">
        <v>1287</v>
      </c>
      <c r="J15" s="353" t="s">
        <v>3183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3202</v>
      </c>
      <c r="B16" s="526" t="s">
        <v>3203</v>
      </c>
      <c r="C16" s="527">
        <v>1</v>
      </c>
      <c r="D16" s="528" t="s">
        <v>3204</v>
      </c>
      <c r="E16" s="426" t="s">
        <v>3205</v>
      </c>
      <c r="F16" s="529" t="s">
        <v>3181</v>
      </c>
      <c r="G16" s="529" t="s">
        <v>3182</v>
      </c>
      <c r="H16" s="530" t="s">
        <v>1288</v>
      </c>
      <c r="I16" s="384" t="s">
        <v>1288</v>
      </c>
      <c r="J16" s="353" t="s">
        <v>3183</v>
      </c>
      <c r="K16" s="354" t="s">
        <v>3184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3202</v>
      </c>
      <c r="B17" s="386" t="s">
        <v>3203</v>
      </c>
      <c r="C17" s="352" t="s">
        <v>3191</v>
      </c>
      <c r="D17" s="387" t="s">
        <v>3204</v>
      </c>
      <c r="E17" s="388" t="s">
        <v>3205</v>
      </c>
      <c r="F17" s="389" t="s">
        <v>3181</v>
      </c>
      <c r="G17" s="389" t="s">
        <v>3182</v>
      </c>
      <c r="H17" s="390" t="s">
        <v>1288</v>
      </c>
      <c r="I17" s="391" t="s">
        <v>1288</v>
      </c>
      <c r="J17" s="353" t="s">
        <v>3183</v>
      </c>
      <c r="K17" s="353" t="s">
        <v>3185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>
        <v>3</v>
      </c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>
        <v>3</v>
      </c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>
        <v>3</v>
      </c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9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3202</v>
      </c>
      <c r="B18" s="386" t="s">
        <v>3203</v>
      </c>
      <c r="C18" s="392" t="s">
        <v>3191</v>
      </c>
      <c r="D18" s="387" t="s">
        <v>3204</v>
      </c>
      <c r="E18" s="388" t="s">
        <v>3205</v>
      </c>
      <c r="F18" s="389" t="s">
        <v>3181</v>
      </c>
      <c r="G18" s="389" t="s">
        <v>3182</v>
      </c>
      <c r="H18" s="390" t="s">
        <v>1288</v>
      </c>
      <c r="I18" s="391" t="s">
        <v>1288</v>
      </c>
      <c r="J18" s="353" t="s">
        <v>3183</v>
      </c>
      <c r="K18" s="355" t="s">
        <v>3186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3202</v>
      </c>
      <c r="B19" s="386" t="s">
        <v>3203</v>
      </c>
      <c r="C19" s="392" t="s">
        <v>3191</v>
      </c>
      <c r="D19" s="387" t="s">
        <v>3204</v>
      </c>
      <c r="E19" s="388" t="s">
        <v>3205</v>
      </c>
      <c r="F19" s="389" t="s">
        <v>3181</v>
      </c>
      <c r="G19" s="389" t="s">
        <v>3182</v>
      </c>
      <c r="H19" s="390" t="s">
        <v>1288</v>
      </c>
      <c r="I19" s="391" t="s">
        <v>1288</v>
      </c>
      <c r="J19" s="353" t="s">
        <v>3183</v>
      </c>
      <c r="K19" s="356" t="s">
        <v>3187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3202</v>
      </c>
      <c r="B20" s="393" t="s">
        <v>3203</v>
      </c>
      <c r="C20" s="394" t="s">
        <v>3191</v>
      </c>
      <c r="D20" s="395" t="s">
        <v>3204</v>
      </c>
      <c r="E20" s="411" t="s">
        <v>3205</v>
      </c>
      <c r="F20" s="396" t="s">
        <v>3181</v>
      </c>
      <c r="G20" s="396" t="s">
        <v>3182</v>
      </c>
      <c r="H20" s="397" t="s">
        <v>1288</v>
      </c>
      <c r="I20" s="899" t="s">
        <v>1288</v>
      </c>
      <c r="J20" s="353" t="s">
        <v>3183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3206</v>
      </c>
      <c r="B21" s="526" t="s">
        <v>3207</v>
      </c>
      <c r="C21" s="527">
        <v>4</v>
      </c>
      <c r="D21" s="528" t="s">
        <v>3208</v>
      </c>
      <c r="E21" s="426" t="s">
        <v>3209</v>
      </c>
      <c r="F21" s="529" t="s">
        <v>3181</v>
      </c>
      <c r="G21" s="529" t="s">
        <v>3182</v>
      </c>
      <c r="H21" s="530" t="s">
        <v>1289</v>
      </c>
      <c r="I21" s="384" t="s">
        <v>1289</v>
      </c>
      <c r="J21" s="353" t="s">
        <v>3183</v>
      </c>
      <c r="K21" s="354" t="s">
        <v>3184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3206</v>
      </c>
      <c r="B22" s="386" t="s">
        <v>3207</v>
      </c>
      <c r="C22" s="352" t="s">
        <v>3192</v>
      </c>
      <c r="D22" s="387" t="s">
        <v>3208</v>
      </c>
      <c r="E22" s="388" t="s">
        <v>3209</v>
      </c>
      <c r="F22" s="389" t="s">
        <v>3181</v>
      </c>
      <c r="G22" s="389" t="s">
        <v>3182</v>
      </c>
      <c r="H22" s="390" t="s">
        <v>1289</v>
      </c>
      <c r="I22" s="391" t="s">
        <v>1289</v>
      </c>
      <c r="J22" s="353" t="s">
        <v>3183</v>
      </c>
      <c r="K22" s="353" t="s">
        <v>3185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3206</v>
      </c>
      <c r="B23" s="386" t="s">
        <v>3207</v>
      </c>
      <c r="C23" s="392" t="s">
        <v>3192</v>
      </c>
      <c r="D23" s="387" t="s">
        <v>3208</v>
      </c>
      <c r="E23" s="388" t="s">
        <v>3209</v>
      </c>
      <c r="F23" s="389" t="s">
        <v>3181</v>
      </c>
      <c r="G23" s="389" t="s">
        <v>3182</v>
      </c>
      <c r="H23" s="390" t="s">
        <v>1289</v>
      </c>
      <c r="I23" s="391" t="s">
        <v>1289</v>
      </c>
      <c r="J23" s="353" t="s">
        <v>3183</v>
      </c>
      <c r="K23" s="355" t="s">
        <v>3186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3206</v>
      </c>
      <c r="B24" s="386" t="s">
        <v>3207</v>
      </c>
      <c r="C24" s="392" t="s">
        <v>3192</v>
      </c>
      <c r="D24" s="387" t="s">
        <v>3208</v>
      </c>
      <c r="E24" s="388" t="s">
        <v>3209</v>
      </c>
      <c r="F24" s="389" t="s">
        <v>3181</v>
      </c>
      <c r="G24" s="389" t="s">
        <v>3182</v>
      </c>
      <c r="H24" s="390" t="s">
        <v>1289</v>
      </c>
      <c r="I24" s="391" t="s">
        <v>1289</v>
      </c>
      <c r="J24" s="353" t="s">
        <v>3183</v>
      </c>
      <c r="K24" s="356" t="s">
        <v>3187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3206</v>
      </c>
      <c r="B25" s="393" t="s">
        <v>3207</v>
      </c>
      <c r="C25" s="394" t="s">
        <v>3192</v>
      </c>
      <c r="D25" s="395" t="s">
        <v>3208</v>
      </c>
      <c r="E25" s="411" t="s">
        <v>3209</v>
      </c>
      <c r="F25" s="396" t="s">
        <v>3181</v>
      </c>
      <c r="G25" s="396" t="s">
        <v>3182</v>
      </c>
      <c r="H25" s="397" t="s">
        <v>1289</v>
      </c>
      <c r="I25" s="899" t="s">
        <v>1289</v>
      </c>
      <c r="J25" s="353" t="s">
        <v>3183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3210</v>
      </c>
      <c r="B26" s="526" t="s">
        <v>3211</v>
      </c>
      <c r="C26" s="527">
        <v>1</v>
      </c>
      <c r="D26" s="528" t="s">
        <v>3212</v>
      </c>
      <c r="E26" s="426" t="s">
        <v>3213</v>
      </c>
      <c r="F26" s="529" t="s">
        <v>3181</v>
      </c>
      <c r="G26" s="529" t="s">
        <v>3182</v>
      </c>
      <c r="H26" s="530" t="s">
        <v>1290</v>
      </c>
      <c r="I26" s="384" t="s">
        <v>1290</v>
      </c>
      <c r="J26" s="353" t="s">
        <v>3183</v>
      </c>
      <c r="K26" s="354" t="s">
        <v>3184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3210</v>
      </c>
      <c r="B27" s="386" t="s">
        <v>3211</v>
      </c>
      <c r="C27" s="352" t="s">
        <v>3191</v>
      </c>
      <c r="D27" s="387" t="s">
        <v>3212</v>
      </c>
      <c r="E27" s="388" t="s">
        <v>3213</v>
      </c>
      <c r="F27" s="389" t="s">
        <v>3181</v>
      </c>
      <c r="G27" s="389" t="s">
        <v>3182</v>
      </c>
      <c r="H27" s="390" t="s">
        <v>1290</v>
      </c>
      <c r="I27" s="391" t="s">
        <v>1290</v>
      </c>
      <c r="J27" s="353" t="s">
        <v>3183</v>
      </c>
      <c r="K27" s="353" t="s">
        <v>3185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>
        <v>5</v>
      </c>
      <c r="Y27" s="401"/>
      <c r="Z27" s="400">
        <v>1</v>
      </c>
      <c r="AA27" s="401"/>
      <c r="AB27" s="400">
        <v>2</v>
      </c>
      <c r="AC27" s="401"/>
      <c r="AD27" s="400">
        <v>2</v>
      </c>
      <c r="AE27" s="401"/>
      <c r="AF27" s="400"/>
      <c r="AG27" s="401"/>
      <c r="AH27" s="400"/>
      <c r="AI27" s="401"/>
      <c r="AJ27" s="400">
        <v>3</v>
      </c>
      <c r="AK27" s="401"/>
      <c r="AL27" s="400">
        <v>5</v>
      </c>
      <c r="AM27" s="401"/>
      <c r="AN27" s="400">
        <v>3</v>
      </c>
      <c r="AO27" s="401"/>
      <c r="AP27" s="400">
        <v>3</v>
      </c>
      <c r="AQ27" s="401"/>
      <c r="AR27" s="400">
        <v>3</v>
      </c>
      <c r="AS27" s="401"/>
      <c r="AT27" s="400"/>
      <c r="AU27" s="401"/>
      <c r="AV27" s="400"/>
      <c r="AW27" s="401"/>
      <c r="AX27" s="400"/>
      <c r="AY27" s="401"/>
      <c r="AZ27" s="400">
        <v>4</v>
      </c>
      <c r="BA27" s="401"/>
      <c r="BB27" s="400">
        <v>3</v>
      </c>
      <c r="BC27" s="401"/>
      <c r="BD27" s="400">
        <v>4</v>
      </c>
      <c r="BE27" s="401"/>
      <c r="BF27" s="400">
        <v>3</v>
      </c>
      <c r="BG27" s="401"/>
      <c r="BH27" s="400"/>
      <c r="BI27" s="401"/>
      <c r="BJ27" s="400"/>
      <c r="BK27" s="401"/>
      <c r="BL27" s="400">
        <v>4</v>
      </c>
      <c r="BM27" s="401"/>
      <c r="BN27" s="400">
        <v>5</v>
      </c>
      <c r="BO27" s="401"/>
      <c r="BP27" s="400">
        <v>4</v>
      </c>
      <c r="BQ27" s="401"/>
      <c r="BR27" s="400">
        <v>4</v>
      </c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58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3210</v>
      </c>
      <c r="B28" s="386" t="s">
        <v>3211</v>
      </c>
      <c r="C28" s="392" t="s">
        <v>3191</v>
      </c>
      <c r="D28" s="387" t="s">
        <v>3212</v>
      </c>
      <c r="E28" s="388" t="s">
        <v>3213</v>
      </c>
      <c r="F28" s="389" t="s">
        <v>3181</v>
      </c>
      <c r="G28" s="389" t="s">
        <v>3182</v>
      </c>
      <c r="H28" s="390" t="s">
        <v>1290</v>
      </c>
      <c r="I28" s="391" t="s">
        <v>1290</v>
      </c>
      <c r="J28" s="353" t="s">
        <v>3183</v>
      </c>
      <c r="K28" s="355" t="s">
        <v>3186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3210</v>
      </c>
      <c r="B29" s="386" t="s">
        <v>3211</v>
      </c>
      <c r="C29" s="392" t="s">
        <v>3191</v>
      </c>
      <c r="D29" s="387" t="s">
        <v>3212</v>
      </c>
      <c r="E29" s="388" t="s">
        <v>3213</v>
      </c>
      <c r="F29" s="389" t="s">
        <v>3181</v>
      </c>
      <c r="G29" s="389" t="s">
        <v>3182</v>
      </c>
      <c r="H29" s="390" t="s">
        <v>1290</v>
      </c>
      <c r="I29" s="391" t="s">
        <v>1290</v>
      </c>
      <c r="J29" s="353" t="s">
        <v>3183</v>
      </c>
      <c r="K29" s="356" t="s">
        <v>3187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3210</v>
      </c>
      <c r="B30" s="393" t="s">
        <v>3211</v>
      </c>
      <c r="C30" s="394" t="s">
        <v>3191</v>
      </c>
      <c r="D30" s="395" t="s">
        <v>3212</v>
      </c>
      <c r="E30" s="411" t="s">
        <v>3213</v>
      </c>
      <c r="F30" s="396" t="s">
        <v>3181</v>
      </c>
      <c r="G30" s="396" t="s">
        <v>3182</v>
      </c>
      <c r="H30" s="397" t="s">
        <v>1290</v>
      </c>
      <c r="I30" s="899" t="s">
        <v>1290</v>
      </c>
      <c r="J30" s="353" t="s">
        <v>3183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3214</v>
      </c>
      <c r="B31" s="526" t="s">
        <v>3215</v>
      </c>
      <c r="C31" s="527">
        <v>2</v>
      </c>
      <c r="D31" s="528" t="s">
        <v>3216</v>
      </c>
      <c r="E31" s="426" t="s">
        <v>3217</v>
      </c>
      <c r="F31" s="529" t="s">
        <v>3181</v>
      </c>
      <c r="G31" s="529" t="s">
        <v>3182</v>
      </c>
      <c r="H31" s="530" t="s">
        <v>1294</v>
      </c>
      <c r="I31" s="384" t="s">
        <v>1294</v>
      </c>
      <c r="J31" s="353" t="s">
        <v>3189</v>
      </c>
      <c r="K31" s="354" t="s">
        <v>3184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3214</v>
      </c>
      <c r="B32" s="386" t="s">
        <v>3215</v>
      </c>
      <c r="C32" s="352" t="s">
        <v>3191</v>
      </c>
      <c r="D32" s="387" t="s">
        <v>3216</v>
      </c>
      <c r="E32" s="388" t="s">
        <v>3217</v>
      </c>
      <c r="F32" s="389" t="s">
        <v>3181</v>
      </c>
      <c r="G32" s="389" t="s">
        <v>3182</v>
      </c>
      <c r="H32" s="390" t="s">
        <v>1294</v>
      </c>
      <c r="I32" s="391" t="s">
        <v>1294</v>
      </c>
      <c r="J32" s="353" t="s">
        <v>3189</v>
      </c>
      <c r="K32" s="353" t="s">
        <v>3185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3214</v>
      </c>
      <c r="B33" s="386" t="s">
        <v>3215</v>
      </c>
      <c r="C33" s="392" t="s">
        <v>3191</v>
      </c>
      <c r="D33" s="387" t="s">
        <v>3216</v>
      </c>
      <c r="E33" s="388" t="s">
        <v>3217</v>
      </c>
      <c r="F33" s="389" t="s">
        <v>3181</v>
      </c>
      <c r="G33" s="389" t="s">
        <v>3182</v>
      </c>
      <c r="H33" s="390" t="s">
        <v>1294</v>
      </c>
      <c r="I33" s="391" t="s">
        <v>1294</v>
      </c>
      <c r="J33" s="353" t="s">
        <v>3189</v>
      </c>
      <c r="K33" s="355" t="s">
        <v>3186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3214</v>
      </c>
      <c r="B34" s="386" t="s">
        <v>3215</v>
      </c>
      <c r="C34" s="392" t="s">
        <v>3191</v>
      </c>
      <c r="D34" s="387" t="s">
        <v>3216</v>
      </c>
      <c r="E34" s="388" t="s">
        <v>3217</v>
      </c>
      <c r="F34" s="389" t="s">
        <v>3181</v>
      </c>
      <c r="G34" s="389" t="s">
        <v>3182</v>
      </c>
      <c r="H34" s="390" t="s">
        <v>1294</v>
      </c>
      <c r="I34" s="391" t="s">
        <v>1294</v>
      </c>
      <c r="J34" s="353" t="s">
        <v>3189</v>
      </c>
      <c r="K34" s="356" t="s">
        <v>3187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3214</v>
      </c>
      <c r="B35" s="393" t="s">
        <v>3215</v>
      </c>
      <c r="C35" s="394" t="s">
        <v>3191</v>
      </c>
      <c r="D35" s="395" t="s">
        <v>3216</v>
      </c>
      <c r="E35" s="411" t="s">
        <v>3217</v>
      </c>
      <c r="F35" s="396" t="s">
        <v>3181</v>
      </c>
      <c r="G35" s="396" t="s">
        <v>3182</v>
      </c>
      <c r="H35" s="397" t="s">
        <v>1294</v>
      </c>
      <c r="I35" s="899" t="s">
        <v>1294</v>
      </c>
      <c r="J35" s="353" t="s">
        <v>3189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3218</v>
      </c>
      <c r="B36" s="526" t="s">
        <v>3219</v>
      </c>
      <c r="C36" s="527">
        <v>1</v>
      </c>
      <c r="D36" s="528" t="s">
        <v>3220</v>
      </c>
      <c r="E36" s="426" t="s">
        <v>3221</v>
      </c>
      <c r="F36" s="529" t="s">
        <v>3181</v>
      </c>
      <c r="G36" s="529" t="s">
        <v>3182</v>
      </c>
      <c r="H36" s="530" t="s">
        <v>1301</v>
      </c>
      <c r="I36" s="384" t="s">
        <v>1301</v>
      </c>
      <c r="J36" s="353" t="s">
        <v>3183</v>
      </c>
      <c r="K36" s="354" t="s">
        <v>3184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3218</v>
      </c>
      <c r="B37" s="386" t="s">
        <v>3219</v>
      </c>
      <c r="C37" s="352" t="s">
        <v>3191</v>
      </c>
      <c r="D37" s="387" t="s">
        <v>3220</v>
      </c>
      <c r="E37" s="388" t="s">
        <v>3221</v>
      </c>
      <c r="F37" s="389" t="s">
        <v>3181</v>
      </c>
      <c r="G37" s="389" t="s">
        <v>3182</v>
      </c>
      <c r="H37" s="390" t="s">
        <v>1301</v>
      </c>
      <c r="I37" s="391" t="s">
        <v>1301</v>
      </c>
      <c r="J37" s="353" t="s">
        <v>3183</v>
      </c>
      <c r="K37" s="353" t="s">
        <v>3185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3218</v>
      </c>
      <c r="B38" s="386" t="s">
        <v>3219</v>
      </c>
      <c r="C38" s="392" t="s">
        <v>3191</v>
      </c>
      <c r="D38" s="387" t="s">
        <v>3220</v>
      </c>
      <c r="E38" s="388" t="s">
        <v>3221</v>
      </c>
      <c r="F38" s="389" t="s">
        <v>3181</v>
      </c>
      <c r="G38" s="389" t="s">
        <v>3182</v>
      </c>
      <c r="H38" s="390" t="s">
        <v>1301</v>
      </c>
      <c r="I38" s="391" t="s">
        <v>1301</v>
      </c>
      <c r="J38" s="353" t="s">
        <v>3183</v>
      </c>
      <c r="K38" s="355" t="s">
        <v>3186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3218</v>
      </c>
      <c r="B39" s="386" t="s">
        <v>3219</v>
      </c>
      <c r="C39" s="392" t="s">
        <v>3191</v>
      </c>
      <c r="D39" s="387" t="s">
        <v>3220</v>
      </c>
      <c r="E39" s="388" t="s">
        <v>3221</v>
      </c>
      <c r="F39" s="389" t="s">
        <v>3181</v>
      </c>
      <c r="G39" s="389" t="s">
        <v>3182</v>
      </c>
      <c r="H39" s="390" t="s">
        <v>1301</v>
      </c>
      <c r="I39" s="391" t="s">
        <v>1301</v>
      </c>
      <c r="J39" s="353" t="s">
        <v>3183</v>
      </c>
      <c r="K39" s="356" t="s">
        <v>3187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3218</v>
      </c>
      <c r="B40" s="393" t="s">
        <v>3219</v>
      </c>
      <c r="C40" s="394" t="s">
        <v>3191</v>
      </c>
      <c r="D40" s="395" t="s">
        <v>3220</v>
      </c>
      <c r="E40" s="411" t="s">
        <v>3221</v>
      </c>
      <c r="F40" s="396" t="s">
        <v>3181</v>
      </c>
      <c r="G40" s="396" t="s">
        <v>3182</v>
      </c>
      <c r="H40" s="397" t="s">
        <v>1301</v>
      </c>
      <c r="I40" s="899" t="s">
        <v>1301</v>
      </c>
      <c r="J40" s="353" t="s">
        <v>3183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3222</v>
      </c>
      <c r="B41" s="526" t="s">
        <v>3223</v>
      </c>
      <c r="C41" s="527">
        <v>1</v>
      </c>
      <c r="D41" s="528" t="s">
        <v>3224</v>
      </c>
      <c r="E41" s="426" t="s">
        <v>3225</v>
      </c>
      <c r="F41" s="529" t="s">
        <v>3181</v>
      </c>
      <c r="G41" s="529" t="s">
        <v>3182</v>
      </c>
      <c r="H41" s="530" t="s">
        <v>1304</v>
      </c>
      <c r="I41" s="384" t="s">
        <v>1304</v>
      </c>
      <c r="J41" s="353" t="s">
        <v>3183</v>
      </c>
      <c r="K41" s="354" t="s">
        <v>3184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3222</v>
      </c>
      <c r="B42" s="386" t="s">
        <v>3223</v>
      </c>
      <c r="C42" s="352" t="s">
        <v>3191</v>
      </c>
      <c r="D42" s="387" t="s">
        <v>3224</v>
      </c>
      <c r="E42" s="388" t="s">
        <v>3225</v>
      </c>
      <c r="F42" s="389" t="s">
        <v>3181</v>
      </c>
      <c r="G42" s="389" t="s">
        <v>3182</v>
      </c>
      <c r="H42" s="390" t="s">
        <v>1304</v>
      </c>
      <c r="I42" s="391" t="s">
        <v>1304</v>
      </c>
      <c r="J42" s="353" t="s">
        <v>3183</v>
      </c>
      <c r="K42" s="353" t="s">
        <v>3185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>
        <v>1</v>
      </c>
      <c r="W42" s="401"/>
      <c r="X42" s="400">
        <v>1</v>
      </c>
      <c r="Y42" s="401"/>
      <c r="Z42" s="400">
        <v>1</v>
      </c>
      <c r="AA42" s="401"/>
      <c r="AB42" s="400">
        <v>1</v>
      </c>
      <c r="AC42" s="401"/>
      <c r="AD42" s="400"/>
      <c r="AE42" s="401"/>
      <c r="AF42" s="400"/>
      <c r="AG42" s="401"/>
      <c r="AH42" s="400"/>
      <c r="AI42" s="401"/>
      <c r="AJ42" s="400">
        <v>1</v>
      </c>
      <c r="AK42" s="401"/>
      <c r="AL42" s="400">
        <v>1</v>
      </c>
      <c r="AM42" s="401"/>
      <c r="AN42" s="400">
        <v>1</v>
      </c>
      <c r="AO42" s="401"/>
      <c r="AP42" s="400">
        <v>1</v>
      </c>
      <c r="AQ42" s="401"/>
      <c r="AR42" s="400"/>
      <c r="AS42" s="401"/>
      <c r="AT42" s="400"/>
      <c r="AU42" s="401"/>
      <c r="AV42" s="400"/>
      <c r="AW42" s="401"/>
      <c r="AX42" s="400">
        <v>1</v>
      </c>
      <c r="AY42" s="401"/>
      <c r="AZ42" s="400"/>
      <c r="BA42" s="401"/>
      <c r="BB42" s="400">
        <v>1</v>
      </c>
      <c r="BC42" s="401"/>
      <c r="BD42" s="400">
        <v>1</v>
      </c>
      <c r="BE42" s="401"/>
      <c r="BF42" s="400"/>
      <c r="BG42" s="401"/>
      <c r="BH42" s="400"/>
      <c r="BI42" s="401"/>
      <c r="BJ42" s="400"/>
      <c r="BK42" s="401"/>
      <c r="BL42" s="400">
        <v>1</v>
      </c>
      <c r="BM42" s="401"/>
      <c r="BN42" s="400">
        <v>1</v>
      </c>
      <c r="BO42" s="401"/>
      <c r="BP42" s="400">
        <v>1</v>
      </c>
      <c r="BQ42" s="401"/>
      <c r="BR42" s="400">
        <v>1</v>
      </c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15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3222</v>
      </c>
      <c r="B43" s="386" t="s">
        <v>3223</v>
      </c>
      <c r="C43" s="392" t="s">
        <v>3191</v>
      </c>
      <c r="D43" s="387" t="s">
        <v>3224</v>
      </c>
      <c r="E43" s="388" t="s">
        <v>3225</v>
      </c>
      <c r="F43" s="389" t="s">
        <v>3181</v>
      </c>
      <c r="G43" s="389" t="s">
        <v>3182</v>
      </c>
      <c r="H43" s="390" t="s">
        <v>1304</v>
      </c>
      <c r="I43" s="391" t="s">
        <v>1304</v>
      </c>
      <c r="J43" s="353" t="s">
        <v>3183</v>
      </c>
      <c r="K43" s="355" t="s">
        <v>3186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3222</v>
      </c>
      <c r="B44" s="386" t="s">
        <v>3223</v>
      </c>
      <c r="C44" s="392" t="s">
        <v>3191</v>
      </c>
      <c r="D44" s="387" t="s">
        <v>3224</v>
      </c>
      <c r="E44" s="388" t="s">
        <v>3225</v>
      </c>
      <c r="F44" s="389" t="s">
        <v>3181</v>
      </c>
      <c r="G44" s="389" t="s">
        <v>3182</v>
      </c>
      <c r="H44" s="390" t="s">
        <v>1304</v>
      </c>
      <c r="I44" s="391" t="s">
        <v>1304</v>
      </c>
      <c r="J44" s="353" t="s">
        <v>3183</v>
      </c>
      <c r="K44" s="356" t="s">
        <v>3187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3222</v>
      </c>
      <c r="B45" s="393" t="s">
        <v>3223</v>
      </c>
      <c r="C45" s="394" t="s">
        <v>3191</v>
      </c>
      <c r="D45" s="395" t="s">
        <v>3224</v>
      </c>
      <c r="E45" s="411" t="s">
        <v>3225</v>
      </c>
      <c r="F45" s="396" t="s">
        <v>3181</v>
      </c>
      <c r="G45" s="396" t="s">
        <v>3182</v>
      </c>
      <c r="H45" s="397" t="s">
        <v>1304</v>
      </c>
      <c r="I45" s="899" t="s">
        <v>1304</v>
      </c>
      <c r="J45" s="353" t="s">
        <v>3183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3226</v>
      </c>
      <c r="B46" s="526" t="s">
        <v>3227</v>
      </c>
      <c r="C46" s="527">
        <v>1</v>
      </c>
      <c r="D46" s="528" t="s">
        <v>3228</v>
      </c>
      <c r="E46" s="426" t="s">
        <v>3229</v>
      </c>
      <c r="F46" s="529" t="s">
        <v>3181</v>
      </c>
      <c r="G46" s="529" t="s">
        <v>3182</v>
      </c>
      <c r="H46" s="530" t="s">
        <v>1306</v>
      </c>
      <c r="I46" s="384" t="s">
        <v>1306</v>
      </c>
      <c r="J46" s="353" t="s">
        <v>3183</v>
      </c>
      <c r="K46" s="354" t="s">
        <v>3184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3226</v>
      </c>
      <c r="B47" s="386" t="s">
        <v>3227</v>
      </c>
      <c r="C47" s="352" t="s">
        <v>3191</v>
      </c>
      <c r="D47" s="387" t="s">
        <v>3228</v>
      </c>
      <c r="E47" s="388" t="s">
        <v>3229</v>
      </c>
      <c r="F47" s="389" t="s">
        <v>3181</v>
      </c>
      <c r="G47" s="389" t="s">
        <v>3182</v>
      </c>
      <c r="H47" s="390" t="s">
        <v>1306</v>
      </c>
      <c r="I47" s="391" t="s">
        <v>1306</v>
      </c>
      <c r="J47" s="353" t="s">
        <v>3183</v>
      </c>
      <c r="K47" s="353" t="s">
        <v>3185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3226</v>
      </c>
      <c r="B48" s="386" t="s">
        <v>3227</v>
      </c>
      <c r="C48" s="392" t="s">
        <v>3191</v>
      </c>
      <c r="D48" s="387" t="s">
        <v>3228</v>
      </c>
      <c r="E48" s="388" t="s">
        <v>3229</v>
      </c>
      <c r="F48" s="389" t="s">
        <v>3181</v>
      </c>
      <c r="G48" s="389" t="s">
        <v>3182</v>
      </c>
      <c r="H48" s="390" t="s">
        <v>1306</v>
      </c>
      <c r="I48" s="391" t="s">
        <v>1306</v>
      </c>
      <c r="J48" s="353" t="s">
        <v>3183</v>
      </c>
      <c r="K48" s="355" t="s">
        <v>3186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3226</v>
      </c>
      <c r="B49" s="386" t="s">
        <v>3227</v>
      </c>
      <c r="C49" s="392" t="s">
        <v>3191</v>
      </c>
      <c r="D49" s="387" t="s">
        <v>3228</v>
      </c>
      <c r="E49" s="388" t="s">
        <v>3229</v>
      </c>
      <c r="F49" s="389" t="s">
        <v>3181</v>
      </c>
      <c r="G49" s="389" t="s">
        <v>3182</v>
      </c>
      <c r="H49" s="390" t="s">
        <v>1306</v>
      </c>
      <c r="I49" s="391" t="s">
        <v>1306</v>
      </c>
      <c r="J49" s="353" t="s">
        <v>3183</v>
      </c>
      <c r="K49" s="356" t="s">
        <v>3187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3226</v>
      </c>
      <c r="B50" s="393" t="s">
        <v>3227</v>
      </c>
      <c r="C50" s="394" t="s">
        <v>3191</v>
      </c>
      <c r="D50" s="395" t="s">
        <v>3228</v>
      </c>
      <c r="E50" s="411" t="s">
        <v>3229</v>
      </c>
      <c r="F50" s="396" t="s">
        <v>3181</v>
      </c>
      <c r="G50" s="396" t="s">
        <v>3182</v>
      </c>
      <c r="H50" s="397" t="s">
        <v>1306</v>
      </c>
      <c r="I50" s="899" t="s">
        <v>1306</v>
      </c>
      <c r="J50" s="353" t="s">
        <v>3183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3230</v>
      </c>
      <c r="B51" s="526" t="s">
        <v>3231</v>
      </c>
      <c r="C51" s="527">
        <v>2</v>
      </c>
      <c r="D51" s="528" t="s">
        <v>3232</v>
      </c>
      <c r="E51" s="426" t="s">
        <v>3233</v>
      </c>
      <c r="F51" s="529" t="s">
        <v>3181</v>
      </c>
      <c r="G51" s="529" t="s">
        <v>3182</v>
      </c>
      <c r="H51" s="530" t="s">
        <v>1312</v>
      </c>
      <c r="I51" s="384" t="s">
        <v>1312</v>
      </c>
      <c r="J51" s="353" t="s">
        <v>3189</v>
      </c>
      <c r="K51" s="354" t="s">
        <v>3184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3230</v>
      </c>
      <c r="B52" s="386" t="s">
        <v>3231</v>
      </c>
      <c r="C52" s="352" t="s">
        <v>3191</v>
      </c>
      <c r="D52" s="387" t="s">
        <v>3232</v>
      </c>
      <c r="E52" s="388" t="s">
        <v>3233</v>
      </c>
      <c r="F52" s="389" t="s">
        <v>3181</v>
      </c>
      <c r="G52" s="389" t="s">
        <v>3182</v>
      </c>
      <c r="H52" s="390" t="s">
        <v>1312</v>
      </c>
      <c r="I52" s="391" t="s">
        <v>1312</v>
      </c>
      <c r="J52" s="353" t="s">
        <v>3189</v>
      </c>
      <c r="K52" s="353" t="s">
        <v>3185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3230</v>
      </c>
      <c r="B53" s="386" t="s">
        <v>3231</v>
      </c>
      <c r="C53" s="392" t="s">
        <v>3191</v>
      </c>
      <c r="D53" s="387" t="s">
        <v>3232</v>
      </c>
      <c r="E53" s="388" t="s">
        <v>3233</v>
      </c>
      <c r="F53" s="389" t="s">
        <v>3181</v>
      </c>
      <c r="G53" s="389" t="s">
        <v>3182</v>
      </c>
      <c r="H53" s="390" t="s">
        <v>1312</v>
      </c>
      <c r="I53" s="391" t="s">
        <v>1312</v>
      </c>
      <c r="J53" s="353" t="s">
        <v>3189</v>
      </c>
      <c r="K53" s="355" t="s">
        <v>3186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3230</v>
      </c>
      <c r="B54" s="386" t="s">
        <v>3231</v>
      </c>
      <c r="C54" s="392" t="s">
        <v>3191</v>
      </c>
      <c r="D54" s="387" t="s">
        <v>3232</v>
      </c>
      <c r="E54" s="388" t="s">
        <v>3233</v>
      </c>
      <c r="F54" s="389" t="s">
        <v>3181</v>
      </c>
      <c r="G54" s="389" t="s">
        <v>3182</v>
      </c>
      <c r="H54" s="390" t="s">
        <v>1312</v>
      </c>
      <c r="I54" s="391" t="s">
        <v>1312</v>
      </c>
      <c r="J54" s="353" t="s">
        <v>3189</v>
      </c>
      <c r="K54" s="356" t="s">
        <v>3187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3230</v>
      </c>
      <c r="B55" s="393" t="s">
        <v>3231</v>
      </c>
      <c r="C55" s="394" t="s">
        <v>3191</v>
      </c>
      <c r="D55" s="395" t="s">
        <v>3232</v>
      </c>
      <c r="E55" s="411" t="s">
        <v>3233</v>
      </c>
      <c r="F55" s="396" t="s">
        <v>3181</v>
      </c>
      <c r="G55" s="396" t="s">
        <v>3182</v>
      </c>
      <c r="H55" s="397" t="s">
        <v>1312</v>
      </c>
      <c r="I55" s="899" t="s">
        <v>1312</v>
      </c>
      <c r="J55" s="353" t="s">
        <v>3189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3234</v>
      </c>
      <c r="B56" s="526" t="s">
        <v>3235</v>
      </c>
      <c r="C56" s="527">
        <v>1</v>
      </c>
      <c r="D56" s="528" t="s">
        <v>3236</v>
      </c>
      <c r="E56" s="426" t="s">
        <v>3237</v>
      </c>
      <c r="F56" s="529" t="s">
        <v>3181</v>
      </c>
      <c r="G56" s="529" t="s">
        <v>3182</v>
      </c>
      <c r="H56" s="530" t="s">
        <v>1317</v>
      </c>
      <c r="I56" s="384" t="s">
        <v>1317</v>
      </c>
      <c r="J56" s="353" t="s">
        <v>3183</v>
      </c>
      <c r="K56" s="354" t="s">
        <v>3184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3234</v>
      </c>
      <c r="B57" s="386" t="s">
        <v>3235</v>
      </c>
      <c r="C57" s="352" t="s">
        <v>3191</v>
      </c>
      <c r="D57" s="387" t="s">
        <v>3236</v>
      </c>
      <c r="E57" s="388" t="s">
        <v>3237</v>
      </c>
      <c r="F57" s="389" t="s">
        <v>3181</v>
      </c>
      <c r="G57" s="389" t="s">
        <v>3182</v>
      </c>
      <c r="H57" s="390" t="s">
        <v>1317</v>
      </c>
      <c r="I57" s="391" t="s">
        <v>1317</v>
      </c>
      <c r="J57" s="353" t="s">
        <v>3183</v>
      </c>
      <c r="K57" s="353" t="s">
        <v>3185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>
        <v>1</v>
      </c>
      <c r="W57" s="401"/>
      <c r="X57" s="400">
        <v>1</v>
      </c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>
        <v>1</v>
      </c>
      <c r="AK57" s="401"/>
      <c r="AL57" s="400">
        <v>1</v>
      </c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>
        <v>1</v>
      </c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>
        <v>1</v>
      </c>
      <c r="BM57" s="401"/>
      <c r="BN57" s="400">
        <v>1</v>
      </c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7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3234</v>
      </c>
      <c r="B58" s="386" t="s">
        <v>3235</v>
      </c>
      <c r="C58" s="392" t="s">
        <v>3191</v>
      </c>
      <c r="D58" s="387" t="s">
        <v>3236</v>
      </c>
      <c r="E58" s="388" t="s">
        <v>3237</v>
      </c>
      <c r="F58" s="389" t="s">
        <v>3181</v>
      </c>
      <c r="G58" s="389" t="s">
        <v>3182</v>
      </c>
      <c r="H58" s="390" t="s">
        <v>1317</v>
      </c>
      <c r="I58" s="391" t="s">
        <v>1317</v>
      </c>
      <c r="J58" s="353" t="s">
        <v>3183</v>
      </c>
      <c r="K58" s="355" t="s">
        <v>3186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3234</v>
      </c>
      <c r="B59" s="386" t="s">
        <v>3235</v>
      </c>
      <c r="C59" s="392" t="s">
        <v>3191</v>
      </c>
      <c r="D59" s="387" t="s">
        <v>3236</v>
      </c>
      <c r="E59" s="388" t="s">
        <v>3237</v>
      </c>
      <c r="F59" s="389" t="s">
        <v>3181</v>
      </c>
      <c r="G59" s="389" t="s">
        <v>3182</v>
      </c>
      <c r="H59" s="390" t="s">
        <v>1317</v>
      </c>
      <c r="I59" s="391" t="s">
        <v>1317</v>
      </c>
      <c r="J59" s="353" t="s">
        <v>3183</v>
      </c>
      <c r="K59" s="356" t="s">
        <v>3187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3234</v>
      </c>
      <c r="B60" s="393" t="s">
        <v>3235</v>
      </c>
      <c r="C60" s="394" t="s">
        <v>3191</v>
      </c>
      <c r="D60" s="395" t="s">
        <v>3236</v>
      </c>
      <c r="E60" s="411" t="s">
        <v>3237</v>
      </c>
      <c r="F60" s="396" t="s">
        <v>3181</v>
      </c>
      <c r="G60" s="396" t="s">
        <v>3182</v>
      </c>
      <c r="H60" s="397" t="s">
        <v>1317</v>
      </c>
      <c r="I60" s="899" t="s">
        <v>1317</v>
      </c>
      <c r="J60" s="353" t="s">
        <v>3183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3238</v>
      </c>
      <c r="B61" s="526" t="s">
        <v>3239</v>
      </c>
      <c r="C61" s="527">
        <v>1</v>
      </c>
      <c r="D61" s="528" t="s">
        <v>3240</v>
      </c>
      <c r="E61" s="426" t="s">
        <v>3241</v>
      </c>
      <c r="F61" s="529" t="s">
        <v>3181</v>
      </c>
      <c r="G61" s="529" t="s">
        <v>3182</v>
      </c>
      <c r="H61" s="530" t="s">
        <v>1318</v>
      </c>
      <c r="I61" s="384" t="s">
        <v>1318</v>
      </c>
      <c r="J61" s="353" t="s">
        <v>3183</v>
      </c>
      <c r="K61" s="354" t="s">
        <v>3184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3238</v>
      </c>
      <c r="B62" s="386" t="s">
        <v>3239</v>
      </c>
      <c r="C62" s="352" t="s">
        <v>3191</v>
      </c>
      <c r="D62" s="387" t="s">
        <v>3240</v>
      </c>
      <c r="E62" s="388" t="s">
        <v>3241</v>
      </c>
      <c r="F62" s="389" t="s">
        <v>3181</v>
      </c>
      <c r="G62" s="389" t="s">
        <v>3182</v>
      </c>
      <c r="H62" s="390" t="s">
        <v>1318</v>
      </c>
      <c r="I62" s="391" t="s">
        <v>1318</v>
      </c>
      <c r="J62" s="353" t="s">
        <v>3183</v>
      </c>
      <c r="K62" s="353" t="s">
        <v>3185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3238</v>
      </c>
      <c r="B63" s="386" t="s">
        <v>3239</v>
      </c>
      <c r="C63" s="392" t="s">
        <v>3191</v>
      </c>
      <c r="D63" s="387" t="s">
        <v>3240</v>
      </c>
      <c r="E63" s="388" t="s">
        <v>3241</v>
      </c>
      <c r="F63" s="389" t="s">
        <v>3181</v>
      </c>
      <c r="G63" s="389" t="s">
        <v>3182</v>
      </c>
      <c r="H63" s="390" t="s">
        <v>1318</v>
      </c>
      <c r="I63" s="391" t="s">
        <v>1318</v>
      </c>
      <c r="J63" s="353" t="s">
        <v>3183</v>
      </c>
      <c r="K63" s="355" t="s">
        <v>3186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3238</v>
      </c>
      <c r="B64" s="386" t="s">
        <v>3239</v>
      </c>
      <c r="C64" s="392" t="s">
        <v>3191</v>
      </c>
      <c r="D64" s="387" t="s">
        <v>3240</v>
      </c>
      <c r="E64" s="388" t="s">
        <v>3241</v>
      </c>
      <c r="F64" s="389" t="s">
        <v>3181</v>
      </c>
      <c r="G64" s="389" t="s">
        <v>3182</v>
      </c>
      <c r="H64" s="390" t="s">
        <v>1318</v>
      </c>
      <c r="I64" s="391" t="s">
        <v>1318</v>
      </c>
      <c r="J64" s="353" t="s">
        <v>3183</v>
      </c>
      <c r="K64" s="356" t="s">
        <v>3187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3238</v>
      </c>
      <c r="B65" s="393" t="s">
        <v>3239</v>
      </c>
      <c r="C65" s="394" t="s">
        <v>3191</v>
      </c>
      <c r="D65" s="395" t="s">
        <v>3240</v>
      </c>
      <c r="E65" s="411" t="s">
        <v>3241</v>
      </c>
      <c r="F65" s="396" t="s">
        <v>3181</v>
      </c>
      <c r="G65" s="396" t="s">
        <v>3182</v>
      </c>
      <c r="H65" s="397" t="s">
        <v>1318</v>
      </c>
      <c r="I65" s="899" t="s">
        <v>1318</v>
      </c>
      <c r="J65" s="353" t="s">
        <v>3183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3242</v>
      </c>
      <c r="B66" s="526" t="s">
        <v>3243</v>
      </c>
      <c r="C66" s="527">
        <v>4</v>
      </c>
      <c r="D66" s="528" t="s">
        <v>3244</v>
      </c>
      <c r="E66" s="426" t="s">
        <v>3245</v>
      </c>
      <c r="F66" s="529" t="s">
        <v>3181</v>
      </c>
      <c r="G66" s="529" t="s">
        <v>3182</v>
      </c>
      <c r="H66" s="530" t="s">
        <v>1320</v>
      </c>
      <c r="I66" s="384" t="s">
        <v>1320</v>
      </c>
      <c r="J66" s="353" t="s">
        <v>3183</v>
      </c>
      <c r="K66" s="354" t="s">
        <v>3184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3242</v>
      </c>
      <c r="B67" s="386" t="s">
        <v>3243</v>
      </c>
      <c r="C67" s="352" t="s">
        <v>3192</v>
      </c>
      <c r="D67" s="387" t="s">
        <v>3244</v>
      </c>
      <c r="E67" s="388" t="s">
        <v>3245</v>
      </c>
      <c r="F67" s="389" t="s">
        <v>3181</v>
      </c>
      <c r="G67" s="389" t="s">
        <v>3182</v>
      </c>
      <c r="H67" s="390" t="s">
        <v>1320</v>
      </c>
      <c r="I67" s="391" t="s">
        <v>1320</v>
      </c>
      <c r="J67" s="353" t="s">
        <v>3183</v>
      </c>
      <c r="K67" s="353" t="s">
        <v>3185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3242</v>
      </c>
      <c r="B68" s="386" t="s">
        <v>3243</v>
      </c>
      <c r="C68" s="392" t="s">
        <v>3192</v>
      </c>
      <c r="D68" s="387" t="s">
        <v>3244</v>
      </c>
      <c r="E68" s="388" t="s">
        <v>3245</v>
      </c>
      <c r="F68" s="389" t="s">
        <v>3181</v>
      </c>
      <c r="G68" s="389" t="s">
        <v>3182</v>
      </c>
      <c r="H68" s="390" t="s">
        <v>1320</v>
      </c>
      <c r="I68" s="391" t="s">
        <v>1320</v>
      </c>
      <c r="J68" s="353" t="s">
        <v>3183</v>
      </c>
      <c r="K68" s="355" t="s">
        <v>3186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3242</v>
      </c>
      <c r="B69" s="386" t="s">
        <v>3243</v>
      </c>
      <c r="C69" s="392" t="s">
        <v>3192</v>
      </c>
      <c r="D69" s="387" t="s">
        <v>3244</v>
      </c>
      <c r="E69" s="388" t="s">
        <v>3245</v>
      </c>
      <c r="F69" s="389" t="s">
        <v>3181</v>
      </c>
      <c r="G69" s="389" t="s">
        <v>3182</v>
      </c>
      <c r="H69" s="390" t="s">
        <v>1320</v>
      </c>
      <c r="I69" s="391" t="s">
        <v>1320</v>
      </c>
      <c r="J69" s="353" t="s">
        <v>3183</v>
      </c>
      <c r="K69" s="356" t="s">
        <v>3187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3242</v>
      </c>
      <c r="B70" s="393" t="s">
        <v>3243</v>
      </c>
      <c r="C70" s="394" t="s">
        <v>3192</v>
      </c>
      <c r="D70" s="395" t="s">
        <v>3244</v>
      </c>
      <c r="E70" s="411" t="s">
        <v>3245</v>
      </c>
      <c r="F70" s="396" t="s">
        <v>3181</v>
      </c>
      <c r="G70" s="396" t="s">
        <v>3182</v>
      </c>
      <c r="H70" s="397" t="s">
        <v>1320</v>
      </c>
      <c r="I70" s="899" t="s">
        <v>1320</v>
      </c>
      <c r="J70" s="353" t="s">
        <v>3183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3246</v>
      </c>
      <c r="B71" s="526" t="s">
        <v>3247</v>
      </c>
      <c r="C71" s="527">
        <v>1</v>
      </c>
      <c r="D71" s="528" t="s">
        <v>3248</v>
      </c>
      <c r="E71" s="426" t="s">
        <v>3249</v>
      </c>
      <c r="F71" s="529" t="s">
        <v>3181</v>
      </c>
      <c r="G71" s="529" t="s">
        <v>3182</v>
      </c>
      <c r="H71" s="530" t="s">
        <v>1324</v>
      </c>
      <c r="I71" s="384" t="s">
        <v>1324</v>
      </c>
      <c r="J71" s="353" t="s">
        <v>3183</v>
      </c>
      <c r="K71" s="354" t="s">
        <v>3184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3246</v>
      </c>
      <c r="B72" s="386" t="s">
        <v>3247</v>
      </c>
      <c r="C72" s="352" t="s">
        <v>3191</v>
      </c>
      <c r="D72" s="387" t="s">
        <v>3248</v>
      </c>
      <c r="E72" s="388" t="s">
        <v>3249</v>
      </c>
      <c r="F72" s="389" t="s">
        <v>3181</v>
      </c>
      <c r="G72" s="389" t="s">
        <v>3182</v>
      </c>
      <c r="H72" s="390" t="s">
        <v>1324</v>
      </c>
      <c r="I72" s="391" t="s">
        <v>1324</v>
      </c>
      <c r="J72" s="353" t="s">
        <v>3183</v>
      </c>
      <c r="K72" s="353" t="s">
        <v>3185</v>
      </c>
      <c r="L72" s="400"/>
      <c r="M72" s="401"/>
      <c r="N72" s="400">
        <v>1</v>
      </c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>
        <v>1</v>
      </c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>
        <v>1</v>
      </c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>
        <v>1</v>
      </c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>
        <v>1</v>
      </c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5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3246</v>
      </c>
      <c r="B73" s="386" t="s">
        <v>3247</v>
      </c>
      <c r="C73" s="392" t="s">
        <v>3191</v>
      </c>
      <c r="D73" s="387" t="s">
        <v>3248</v>
      </c>
      <c r="E73" s="388" t="s">
        <v>3249</v>
      </c>
      <c r="F73" s="389" t="s">
        <v>3181</v>
      </c>
      <c r="G73" s="389" t="s">
        <v>3182</v>
      </c>
      <c r="H73" s="390" t="s">
        <v>1324</v>
      </c>
      <c r="I73" s="391" t="s">
        <v>1324</v>
      </c>
      <c r="J73" s="353" t="s">
        <v>3183</v>
      </c>
      <c r="K73" s="355" t="s">
        <v>3186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3246</v>
      </c>
      <c r="B74" s="386" t="s">
        <v>3247</v>
      </c>
      <c r="C74" s="392" t="s">
        <v>3191</v>
      </c>
      <c r="D74" s="387" t="s">
        <v>3248</v>
      </c>
      <c r="E74" s="388" t="s">
        <v>3249</v>
      </c>
      <c r="F74" s="389" t="s">
        <v>3181</v>
      </c>
      <c r="G74" s="389" t="s">
        <v>3182</v>
      </c>
      <c r="H74" s="390" t="s">
        <v>1324</v>
      </c>
      <c r="I74" s="391" t="s">
        <v>1324</v>
      </c>
      <c r="J74" s="353" t="s">
        <v>3183</v>
      </c>
      <c r="K74" s="356" t="s">
        <v>3187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3246</v>
      </c>
      <c r="B75" s="393" t="s">
        <v>3247</v>
      </c>
      <c r="C75" s="394" t="s">
        <v>3191</v>
      </c>
      <c r="D75" s="395" t="s">
        <v>3248</v>
      </c>
      <c r="E75" s="411" t="s">
        <v>3249</v>
      </c>
      <c r="F75" s="396" t="s">
        <v>3181</v>
      </c>
      <c r="G75" s="396" t="s">
        <v>3182</v>
      </c>
      <c r="H75" s="397" t="s">
        <v>1324</v>
      </c>
      <c r="I75" s="899" t="s">
        <v>1324</v>
      </c>
      <c r="J75" s="353" t="s">
        <v>3183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3250</v>
      </c>
      <c r="B76" s="526" t="s">
        <v>3251</v>
      </c>
      <c r="C76" s="527">
        <v>4</v>
      </c>
      <c r="D76" s="528" t="s">
        <v>3252</v>
      </c>
      <c r="E76" s="426" t="s">
        <v>3253</v>
      </c>
      <c r="F76" s="529" t="s">
        <v>3181</v>
      </c>
      <c r="G76" s="529" t="s">
        <v>3182</v>
      </c>
      <c r="H76" s="530" t="s">
        <v>1326</v>
      </c>
      <c r="I76" s="384" t="s">
        <v>1326</v>
      </c>
      <c r="J76" s="353" t="s">
        <v>3183</v>
      </c>
      <c r="K76" s="354" t="s">
        <v>3184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3250</v>
      </c>
      <c r="B77" s="386" t="s">
        <v>3251</v>
      </c>
      <c r="C77" s="352" t="s">
        <v>3192</v>
      </c>
      <c r="D77" s="387" t="s">
        <v>3252</v>
      </c>
      <c r="E77" s="388" t="s">
        <v>3253</v>
      </c>
      <c r="F77" s="389" t="s">
        <v>3181</v>
      </c>
      <c r="G77" s="389" t="s">
        <v>3182</v>
      </c>
      <c r="H77" s="390" t="s">
        <v>1326</v>
      </c>
      <c r="I77" s="391" t="s">
        <v>1326</v>
      </c>
      <c r="J77" s="353" t="s">
        <v>3183</v>
      </c>
      <c r="K77" s="353" t="s">
        <v>3185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3250</v>
      </c>
      <c r="B78" s="386" t="s">
        <v>3251</v>
      </c>
      <c r="C78" s="392" t="s">
        <v>3192</v>
      </c>
      <c r="D78" s="387" t="s">
        <v>3252</v>
      </c>
      <c r="E78" s="388" t="s">
        <v>3253</v>
      </c>
      <c r="F78" s="389" t="s">
        <v>3181</v>
      </c>
      <c r="G78" s="389" t="s">
        <v>3182</v>
      </c>
      <c r="H78" s="390" t="s">
        <v>1326</v>
      </c>
      <c r="I78" s="391" t="s">
        <v>1326</v>
      </c>
      <c r="J78" s="353" t="s">
        <v>3183</v>
      </c>
      <c r="K78" s="355" t="s">
        <v>3186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3250</v>
      </c>
      <c r="B79" s="386" t="s">
        <v>3251</v>
      </c>
      <c r="C79" s="392" t="s">
        <v>3192</v>
      </c>
      <c r="D79" s="387" t="s">
        <v>3252</v>
      </c>
      <c r="E79" s="388" t="s">
        <v>3253</v>
      </c>
      <c r="F79" s="389" t="s">
        <v>3181</v>
      </c>
      <c r="G79" s="389" t="s">
        <v>3182</v>
      </c>
      <c r="H79" s="390" t="s">
        <v>1326</v>
      </c>
      <c r="I79" s="391" t="s">
        <v>1326</v>
      </c>
      <c r="J79" s="353" t="s">
        <v>3183</v>
      </c>
      <c r="K79" s="356" t="s">
        <v>3187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3250</v>
      </c>
      <c r="B80" s="393" t="s">
        <v>3251</v>
      </c>
      <c r="C80" s="394" t="s">
        <v>3192</v>
      </c>
      <c r="D80" s="395" t="s">
        <v>3252</v>
      </c>
      <c r="E80" s="411" t="s">
        <v>3253</v>
      </c>
      <c r="F80" s="396" t="s">
        <v>3181</v>
      </c>
      <c r="G80" s="396" t="s">
        <v>3182</v>
      </c>
      <c r="H80" s="397" t="s">
        <v>1326</v>
      </c>
      <c r="I80" s="899" t="s">
        <v>1326</v>
      </c>
      <c r="J80" s="353" t="s">
        <v>3183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3254</v>
      </c>
      <c r="B81" s="526" t="s">
        <v>3255</v>
      </c>
      <c r="C81" s="527">
        <v>1</v>
      </c>
      <c r="D81" s="528" t="s">
        <v>3256</v>
      </c>
      <c r="E81" s="426" t="s">
        <v>3257</v>
      </c>
      <c r="F81" s="529" t="s">
        <v>3181</v>
      </c>
      <c r="G81" s="529" t="s">
        <v>3182</v>
      </c>
      <c r="H81" s="530" t="s">
        <v>1327</v>
      </c>
      <c r="I81" s="384" t="s">
        <v>1327</v>
      </c>
      <c r="J81" s="353" t="s">
        <v>3183</v>
      </c>
      <c r="K81" s="354" t="s">
        <v>3184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3254</v>
      </c>
      <c r="B82" s="386" t="s">
        <v>3255</v>
      </c>
      <c r="C82" s="352" t="s">
        <v>3191</v>
      </c>
      <c r="D82" s="387" t="s">
        <v>3256</v>
      </c>
      <c r="E82" s="388" t="s">
        <v>3257</v>
      </c>
      <c r="F82" s="389" t="s">
        <v>3181</v>
      </c>
      <c r="G82" s="389" t="s">
        <v>3182</v>
      </c>
      <c r="H82" s="390" t="s">
        <v>1327</v>
      </c>
      <c r="I82" s="391" t="s">
        <v>1327</v>
      </c>
      <c r="J82" s="353" t="s">
        <v>3183</v>
      </c>
      <c r="K82" s="353" t="s">
        <v>3185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3254</v>
      </c>
      <c r="B83" s="386" t="s">
        <v>3255</v>
      </c>
      <c r="C83" s="392" t="s">
        <v>3191</v>
      </c>
      <c r="D83" s="387" t="s">
        <v>3256</v>
      </c>
      <c r="E83" s="388" t="s">
        <v>3257</v>
      </c>
      <c r="F83" s="389" t="s">
        <v>3181</v>
      </c>
      <c r="G83" s="389" t="s">
        <v>3182</v>
      </c>
      <c r="H83" s="390" t="s">
        <v>1327</v>
      </c>
      <c r="I83" s="391" t="s">
        <v>1327</v>
      </c>
      <c r="J83" s="353" t="s">
        <v>3183</v>
      </c>
      <c r="K83" s="355" t="s">
        <v>3186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3254</v>
      </c>
      <c r="B84" s="386" t="s">
        <v>3255</v>
      </c>
      <c r="C84" s="392" t="s">
        <v>3191</v>
      </c>
      <c r="D84" s="387" t="s">
        <v>3256</v>
      </c>
      <c r="E84" s="388" t="s">
        <v>3257</v>
      </c>
      <c r="F84" s="389" t="s">
        <v>3181</v>
      </c>
      <c r="G84" s="389" t="s">
        <v>3182</v>
      </c>
      <c r="H84" s="390" t="s">
        <v>1327</v>
      </c>
      <c r="I84" s="391" t="s">
        <v>1327</v>
      </c>
      <c r="J84" s="353" t="s">
        <v>3183</v>
      </c>
      <c r="K84" s="356" t="s">
        <v>3187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3254</v>
      </c>
      <c r="B85" s="393" t="s">
        <v>3255</v>
      </c>
      <c r="C85" s="394" t="s">
        <v>3191</v>
      </c>
      <c r="D85" s="395" t="s">
        <v>3256</v>
      </c>
      <c r="E85" s="411" t="s">
        <v>3257</v>
      </c>
      <c r="F85" s="396" t="s">
        <v>3181</v>
      </c>
      <c r="G85" s="396" t="s">
        <v>3182</v>
      </c>
      <c r="H85" s="397" t="s">
        <v>1327</v>
      </c>
      <c r="I85" s="899" t="s">
        <v>1327</v>
      </c>
      <c r="J85" s="353" t="s">
        <v>3183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3258</v>
      </c>
      <c r="B86" s="526" t="s">
        <v>3259</v>
      </c>
      <c r="C86" s="527">
        <v>1</v>
      </c>
      <c r="D86" s="528" t="s">
        <v>3260</v>
      </c>
      <c r="E86" s="426" t="s">
        <v>3261</v>
      </c>
      <c r="F86" s="529" t="s">
        <v>3181</v>
      </c>
      <c r="G86" s="529" t="s">
        <v>3182</v>
      </c>
      <c r="H86" s="530" t="s">
        <v>1328</v>
      </c>
      <c r="I86" s="384" t="s">
        <v>1328</v>
      </c>
      <c r="J86" s="353" t="s">
        <v>3183</v>
      </c>
      <c r="K86" s="354" t="s">
        <v>3184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3258</v>
      </c>
      <c r="B87" s="386" t="s">
        <v>3259</v>
      </c>
      <c r="C87" s="352" t="s">
        <v>3191</v>
      </c>
      <c r="D87" s="387" t="s">
        <v>3260</v>
      </c>
      <c r="E87" s="388" t="s">
        <v>3261</v>
      </c>
      <c r="F87" s="389" t="s">
        <v>3181</v>
      </c>
      <c r="G87" s="389" t="s">
        <v>3182</v>
      </c>
      <c r="H87" s="390" t="s">
        <v>1328</v>
      </c>
      <c r="I87" s="391" t="s">
        <v>1328</v>
      </c>
      <c r="J87" s="353" t="s">
        <v>3183</v>
      </c>
      <c r="K87" s="353" t="s">
        <v>3185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3258</v>
      </c>
      <c r="B88" s="386" t="s">
        <v>3259</v>
      </c>
      <c r="C88" s="392" t="s">
        <v>3191</v>
      </c>
      <c r="D88" s="387" t="s">
        <v>3260</v>
      </c>
      <c r="E88" s="388" t="s">
        <v>3261</v>
      </c>
      <c r="F88" s="389" t="s">
        <v>3181</v>
      </c>
      <c r="G88" s="389" t="s">
        <v>3182</v>
      </c>
      <c r="H88" s="390" t="s">
        <v>1328</v>
      </c>
      <c r="I88" s="391" t="s">
        <v>1328</v>
      </c>
      <c r="J88" s="353" t="s">
        <v>3183</v>
      </c>
      <c r="K88" s="355" t="s">
        <v>3186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3258</v>
      </c>
      <c r="B89" s="386" t="s">
        <v>3259</v>
      </c>
      <c r="C89" s="392" t="s">
        <v>3191</v>
      </c>
      <c r="D89" s="387" t="s">
        <v>3260</v>
      </c>
      <c r="E89" s="388" t="s">
        <v>3261</v>
      </c>
      <c r="F89" s="389" t="s">
        <v>3181</v>
      </c>
      <c r="G89" s="389" t="s">
        <v>3182</v>
      </c>
      <c r="H89" s="390" t="s">
        <v>1328</v>
      </c>
      <c r="I89" s="391" t="s">
        <v>1328</v>
      </c>
      <c r="J89" s="353" t="s">
        <v>3183</v>
      </c>
      <c r="K89" s="356" t="s">
        <v>3187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3258</v>
      </c>
      <c r="B90" s="393" t="s">
        <v>3259</v>
      </c>
      <c r="C90" s="394" t="s">
        <v>3191</v>
      </c>
      <c r="D90" s="395" t="s">
        <v>3260</v>
      </c>
      <c r="E90" s="411" t="s">
        <v>3261</v>
      </c>
      <c r="F90" s="396" t="s">
        <v>3181</v>
      </c>
      <c r="G90" s="396" t="s">
        <v>3182</v>
      </c>
      <c r="H90" s="397" t="s">
        <v>1328</v>
      </c>
      <c r="I90" s="899" t="s">
        <v>1328</v>
      </c>
      <c r="J90" s="353" t="s">
        <v>3183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3262</v>
      </c>
      <c r="B91" s="526" t="s">
        <v>3263</v>
      </c>
      <c r="C91" s="527">
        <v>1</v>
      </c>
      <c r="D91" s="528" t="s">
        <v>3264</v>
      </c>
      <c r="E91" s="426" t="s">
        <v>3265</v>
      </c>
      <c r="F91" s="529" t="s">
        <v>3181</v>
      </c>
      <c r="G91" s="529" t="s">
        <v>3182</v>
      </c>
      <c r="H91" s="530" t="s">
        <v>1330</v>
      </c>
      <c r="I91" s="384" t="s">
        <v>1330</v>
      </c>
      <c r="J91" s="353" t="s">
        <v>3183</v>
      </c>
      <c r="K91" s="354" t="s">
        <v>3184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3262</v>
      </c>
      <c r="B92" s="386" t="s">
        <v>3263</v>
      </c>
      <c r="C92" s="352" t="s">
        <v>3191</v>
      </c>
      <c r="D92" s="387" t="s">
        <v>3264</v>
      </c>
      <c r="E92" s="388" t="s">
        <v>3265</v>
      </c>
      <c r="F92" s="389" t="s">
        <v>3181</v>
      </c>
      <c r="G92" s="389" t="s">
        <v>3182</v>
      </c>
      <c r="H92" s="390" t="s">
        <v>1330</v>
      </c>
      <c r="I92" s="391" t="s">
        <v>1330</v>
      </c>
      <c r="J92" s="353" t="s">
        <v>3183</v>
      </c>
      <c r="K92" s="353" t="s">
        <v>3185</v>
      </c>
      <c r="L92" s="400">
        <v>1</v>
      </c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>
        <v>2</v>
      </c>
      <c r="AA92" s="401"/>
      <c r="AB92" s="400"/>
      <c r="AC92" s="401"/>
      <c r="AD92" s="400">
        <v>3</v>
      </c>
      <c r="AE92" s="401"/>
      <c r="AF92" s="400"/>
      <c r="AG92" s="401"/>
      <c r="AH92" s="400"/>
      <c r="AI92" s="401"/>
      <c r="AJ92" s="400"/>
      <c r="AK92" s="401"/>
      <c r="AL92" s="400"/>
      <c r="AM92" s="401"/>
      <c r="AN92" s="400">
        <v>2</v>
      </c>
      <c r="AO92" s="401"/>
      <c r="AP92" s="400"/>
      <c r="AQ92" s="401"/>
      <c r="AR92" s="400">
        <v>3</v>
      </c>
      <c r="AS92" s="401"/>
      <c r="AT92" s="400"/>
      <c r="AU92" s="401"/>
      <c r="AV92" s="400"/>
      <c r="AW92" s="401"/>
      <c r="AX92" s="400"/>
      <c r="AY92" s="401"/>
      <c r="AZ92" s="400"/>
      <c r="BA92" s="401"/>
      <c r="BB92" s="400">
        <v>2</v>
      </c>
      <c r="BC92" s="401"/>
      <c r="BD92" s="400"/>
      <c r="BE92" s="401"/>
      <c r="BF92" s="400">
        <v>3</v>
      </c>
      <c r="BG92" s="401"/>
      <c r="BH92" s="400"/>
      <c r="BI92" s="401"/>
      <c r="BJ92" s="400"/>
      <c r="BK92" s="401"/>
      <c r="BL92" s="400"/>
      <c r="BM92" s="401"/>
      <c r="BN92" s="400"/>
      <c r="BO92" s="401"/>
      <c r="BP92" s="400">
        <v>2</v>
      </c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18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3262</v>
      </c>
      <c r="B93" s="386" t="s">
        <v>3263</v>
      </c>
      <c r="C93" s="392" t="s">
        <v>3191</v>
      </c>
      <c r="D93" s="387" t="s">
        <v>3264</v>
      </c>
      <c r="E93" s="388" t="s">
        <v>3265</v>
      </c>
      <c r="F93" s="389" t="s">
        <v>3181</v>
      </c>
      <c r="G93" s="389" t="s">
        <v>3182</v>
      </c>
      <c r="H93" s="390" t="s">
        <v>1330</v>
      </c>
      <c r="I93" s="391" t="s">
        <v>1330</v>
      </c>
      <c r="J93" s="353" t="s">
        <v>3183</v>
      </c>
      <c r="K93" s="355" t="s">
        <v>3186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3262</v>
      </c>
      <c r="B94" s="386" t="s">
        <v>3263</v>
      </c>
      <c r="C94" s="392" t="s">
        <v>3191</v>
      </c>
      <c r="D94" s="387" t="s">
        <v>3264</v>
      </c>
      <c r="E94" s="388" t="s">
        <v>3265</v>
      </c>
      <c r="F94" s="389" t="s">
        <v>3181</v>
      </c>
      <c r="G94" s="389" t="s">
        <v>3182</v>
      </c>
      <c r="H94" s="390" t="s">
        <v>1330</v>
      </c>
      <c r="I94" s="391" t="s">
        <v>1330</v>
      </c>
      <c r="J94" s="353" t="s">
        <v>3183</v>
      </c>
      <c r="K94" s="356" t="s">
        <v>3187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3262</v>
      </c>
      <c r="B95" s="393" t="s">
        <v>3263</v>
      </c>
      <c r="C95" s="394" t="s">
        <v>3191</v>
      </c>
      <c r="D95" s="395" t="s">
        <v>3264</v>
      </c>
      <c r="E95" s="411" t="s">
        <v>3265</v>
      </c>
      <c r="F95" s="396" t="s">
        <v>3181</v>
      </c>
      <c r="G95" s="396" t="s">
        <v>3182</v>
      </c>
      <c r="H95" s="397" t="s">
        <v>1330</v>
      </c>
      <c r="I95" s="899" t="s">
        <v>1330</v>
      </c>
      <c r="J95" s="353" t="s">
        <v>3183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3266</v>
      </c>
      <c r="B96" s="526" t="s">
        <v>3267</v>
      </c>
      <c r="C96" s="527">
        <v>1</v>
      </c>
      <c r="D96" s="528" t="s">
        <v>3268</v>
      </c>
      <c r="E96" s="426" t="s">
        <v>3269</v>
      </c>
      <c r="F96" s="529" t="s">
        <v>3181</v>
      </c>
      <c r="G96" s="529" t="s">
        <v>3182</v>
      </c>
      <c r="H96" s="530" t="s">
        <v>1339</v>
      </c>
      <c r="I96" s="384" t="s">
        <v>1339</v>
      </c>
      <c r="J96" s="353" t="s">
        <v>3183</v>
      </c>
      <c r="K96" s="354" t="s">
        <v>3184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3266</v>
      </c>
      <c r="B97" s="386" t="s">
        <v>3267</v>
      </c>
      <c r="C97" s="352" t="s">
        <v>3191</v>
      </c>
      <c r="D97" s="387" t="s">
        <v>3268</v>
      </c>
      <c r="E97" s="388" t="s">
        <v>3269</v>
      </c>
      <c r="F97" s="389" t="s">
        <v>3181</v>
      </c>
      <c r="G97" s="389" t="s">
        <v>3182</v>
      </c>
      <c r="H97" s="390" t="s">
        <v>1339</v>
      </c>
      <c r="I97" s="391" t="s">
        <v>1339</v>
      </c>
      <c r="J97" s="353" t="s">
        <v>3183</v>
      </c>
      <c r="K97" s="353" t="s">
        <v>3185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3266</v>
      </c>
      <c r="B98" s="386" t="s">
        <v>3267</v>
      </c>
      <c r="C98" s="392" t="s">
        <v>3191</v>
      </c>
      <c r="D98" s="387" t="s">
        <v>3268</v>
      </c>
      <c r="E98" s="388" t="s">
        <v>3269</v>
      </c>
      <c r="F98" s="389" t="s">
        <v>3181</v>
      </c>
      <c r="G98" s="389" t="s">
        <v>3182</v>
      </c>
      <c r="H98" s="390" t="s">
        <v>1339</v>
      </c>
      <c r="I98" s="391" t="s">
        <v>1339</v>
      </c>
      <c r="J98" s="353" t="s">
        <v>3183</v>
      </c>
      <c r="K98" s="355" t="s">
        <v>3186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3266</v>
      </c>
      <c r="B99" s="386" t="s">
        <v>3267</v>
      </c>
      <c r="C99" s="392" t="s">
        <v>3191</v>
      </c>
      <c r="D99" s="387" t="s">
        <v>3268</v>
      </c>
      <c r="E99" s="388" t="s">
        <v>3269</v>
      </c>
      <c r="F99" s="389" t="s">
        <v>3181</v>
      </c>
      <c r="G99" s="389" t="s">
        <v>3182</v>
      </c>
      <c r="H99" s="390" t="s">
        <v>1339</v>
      </c>
      <c r="I99" s="391" t="s">
        <v>1339</v>
      </c>
      <c r="J99" s="353" t="s">
        <v>3183</v>
      </c>
      <c r="K99" s="356" t="s">
        <v>3187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3266</v>
      </c>
      <c r="B100" s="393" t="s">
        <v>3267</v>
      </c>
      <c r="C100" s="394" t="s">
        <v>3191</v>
      </c>
      <c r="D100" s="395" t="s">
        <v>3268</v>
      </c>
      <c r="E100" s="411" t="s">
        <v>3269</v>
      </c>
      <c r="F100" s="396" t="s">
        <v>3181</v>
      </c>
      <c r="G100" s="396" t="s">
        <v>3182</v>
      </c>
      <c r="H100" s="397" t="s">
        <v>1339</v>
      </c>
      <c r="I100" s="899" t="s">
        <v>1339</v>
      </c>
      <c r="J100" s="353" t="s">
        <v>3183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3270</v>
      </c>
      <c r="B101" s="526" t="s">
        <v>3271</v>
      </c>
      <c r="C101" s="527">
        <v>3</v>
      </c>
      <c r="D101" s="528" t="s">
        <v>3272</v>
      </c>
      <c r="E101" s="426" t="s">
        <v>3273</v>
      </c>
      <c r="F101" s="529" t="s">
        <v>3181</v>
      </c>
      <c r="G101" s="529" t="s">
        <v>3182</v>
      </c>
      <c r="H101" s="530" t="s">
        <v>1340</v>
      </c>
      <c r="I101" s="384" t="s">
        <v>1340</v>
      </c>
      <c r="J101" s="353" t="s">
        <v>3188</v>
      </c>
      <c r="K101" s="354" t="s">
        <v>3184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3270</v>
      </c>
      <c r="B102" s="386" t="s">
        <v>3271</v>
      </c>
      <c r="C102" s="352" t="s">
        <v>3193</v>
      </c>
      <c r="D102" s="387" t="s">
        <v>3272</v>
      </c>
      <c r="E102" s="388" t="s">
        <v>3273</v>
      </c>
      <c r="F102" s="389" t="s">
        <v>3181</v>
      </c>
      <c r="G102" s="389" t="s">
        <v>3182</v>
      </c>
      <c r="H102" s="390" t="s">
        <v>1340</v>
      </c>
      <c r="I102" s="391" t="s">
        <v>1340</v>
      </c>
      <c r="J102" s="353" t="s">
        <v>3188</v>
      </c>
      <c r="K102" s="353" t="s">
        <v>3185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3270</v>
      </c>
      <c r="B103" s="386" t="s">
        <v>3271</v>
      </c>
      <c r="C103" s="392" t="s">
        <v>3193</v>
      </c>
      <c r="D103" s="387" t="s">
        <v>3272</v>
      </c>
      <c r="E103" s="388" t="s">
        <v>3273</v>
      </c>
      <c r="F103" s="389" t="s">
        <v>3181</v>
      </c>
      <c r="G103" s="389" t="s">
        <v>3182</v>
      </c>
      <c r="H103" s="390" t="s">
        <v>1340</v>
      </c>
      <c r="I103" s="391" t="s">
        <v>1340</v>
      </c>
      <c r="J103" s="353" t="s">
        <v>3188</v>
      </c>
      <c r="K103" s="355" t="s">
        <v>3186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3270</v>
      </c>
      <c r="B104" s="386" t="s">
        <v>3271</v>
      </c>
      <c r="C104" s="392" t="s">
        <v>3193</v>
      </c>
      <c r="D104" s="387" t="s">
        <v>3272</v>
      </c>
      <c r="E104" s="388" t="s">
        <v>3273</v>
      </c>
      <c r="F104" s="389" t="s">
        <v>3181</v>
      </c>
      <c r="G104" s="389" t="s">
        <v>3182</v>
      </c>
      <c r="H104" s="390" t="s">
        <v>1340</v>
      </c>
      <c r="I104" s="391" t="s">
        <v>1340</v>
      </c>
      <c r="J104" s="353" t="s">
        <v>3188</v>
      </c>
      <c r="K104" s="356" t="s">
        <v>3187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3270</v>
      </c>
      <c r="B105" s="393" t="s">
        <v>3271</v>
      </c>
      <c r="C105" s="394" t="s">
        <v>3193</v>
      </c>
      <c r="D105" s="395" t="s">
        <v>3272</v>
      </c>
      <c r="E105" s="411" t="s">
        <v>3273</v>
      </c>
      <c r="F105" s="396" t="s">
        <v>3181</v>
      </c>
      <c r="G105" s="396" t="s">
        <v>3182</v>
      </c>
      <c r="H105" s="397" t="s">
        <v>1340</v>
      </c>
      <c r="I105" s="899" t="s">
        <v>1340</v>
      </c>
      <c r="J105" s="353" t="s">
        <v>3188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3274</v>
      </c>
      <c r="B106" s="526" t="s">
        <v>3275</v>
      </c>
      <c r="C106" s="527">
        <v>4</v>
      </c>
      <c r="D106" s="528" t="s">
        <v>3276</v>
      </c>
      <c r="E106" s="426" t="s">
        <v>3277</v>
      </c>
      <c r="F106" s="529" t="s">
        <v>3181</v>
      </c>
      <c r="G106" s="529" t="s">
        <v>3182</v>
      </c>
      <c r="H106" s="530" t="s">
        <v>1345</v>
      </c>
      <c r="I106" s="384" t="s">
        <v>1345</v>
      </c>
      <c r="J106" s="353" t="s">
        <v>3183</v>
      </c>
      <c r="K106" s="354" t="s">
        <v>3184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3274</v>
      </c>
      <c r="B107" s="386" t="s">
        <v>3275</v>
      </c>
      <c r="C107" s="352" t="s">
        <v>3192</v>
      </c>
      <c r="D107" s="387" t="s">
        <v>3276</v>
      </c>
      <c r="E107" s="388" t="s">
        <v>3277</v>
      </c>
      <c r="F107" s="389" t="s">
        <v>3181</v>
      </c>
      <c r="G107" s="389" t="s">
        <v>3182</v>
      </c>
      <c r="H107" s="390" t="s">
        <v>1345</v>
      </c>
      <c r="I107" s="391" t="s">
        <v>1345</v>
      </c>
      <c r="J107" s="353" t="s">
        <v>3183</v>
      </c>
      <c r="K107" s="353" t="s">
        <v>3185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3274</v>
      </c>
      <c r="B108" s="386" t="s">
        <v>3275</v>
      </c>
      <c r="C108" s="392" t="s">
        <v>3192</v>
      </c>
      <c r="D108" s="387" t="s">
        <v>3276</v>
      </c>
      <c r="E108" s="388" t="s">
        <v>3277</v>
      </c>
      <c r="F108" s="389" t="s">
        <v>3181</v>
      </c>
      <c r="G108" s="389" t="s">
        <v>3182</v>
      </c>
      <c r="H108" s="390" t="s">
        <v>1345</v>
      </c>
      <c r="I108" s="391" t="s">
        <v>1345</v>
      </c>
      <c r="J108" s="353" t="s">
        <v>3183</v>
      </c>
      <c r="K108" s="355" t="s">
        <v>3186</v>
      </c>
      <c r="L108" s="400"/>
      <c r="M108" s="401"/>
      <c r="N108" s="400">
        <v>2</v>
      </c>
      <c r="O108" s="401"/>
      <c r="P108" s="400"/>
      <c r="Q108" s="401"/>
      <c r="R108" s="400"/>
      <c r="S108" s="401"/>
      <c r="T108" s="400"/>
      <c r="U108" s="401"/>
      <c r="V108" s="400"/>
      <c r="W108" s="401"/>
      <c r="X108" s="400">
        <v>2</v>
      </c>
      <c r="Y108" s="401"/>
      <c r="Z108" s="400"/>
      <c r="AA108" s="401"/>
      <c r="AB108" s="400">
        <v>2</v>
      </c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>
        <v>2</v>
      </c>
      <c r="AM108" s="401"/>
      <c r="AN108" s="400"/>
      <c r="AO108" s="401"/>
      <c r="AP108" s="400">
        <v>2</v>
      </c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>
        <v>2</v>
      </c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>
        <v>2</v>
      </c>
      <c r="BO108" s="401"/>
      <c r="BP108" s="400"/>
      <c r="BQ108" s="401"/>
      <c r="BR108" s="400">
        <v>2</v>
      </c>
      <c r="BS108" s="401"/>
      <c r="BT108" s="400"/>
      <c r="BU108" s="401"/>
      <c r="BV108" s="337">
        <f t="shared" si="43"/>
        <v>16</v>
      </c>
      <c r="BW108" s="337">
        <f t="shared" si="44"/>
        <v>0</v>
      </c>
    </row>
    <row r="109" spans="1:75" s="64" customFormat="1" ht="21.95" customHeight="1" x14ac:dyDescent="0.2">
      <c r="A109" s="385" t="s">
        <v>3274</v>
      </c>
      <c r="B109" s="386" t="s">
        <v>3275</v>
      </c>
      <c r="C109" s="392" t="s">
        <v>3192</v>
      </c>
      <c r="D109" s="387" t="s">
        <v>3276</v>
      </c>
      <c r="E109" s="388" t="s">
        <v>3277</v>
      </c>
      <c r="F109" s="389" t="s">
        <v>3181</v>
      </c>
      <c r="G109" s="389" t="s">
        <v>3182</v>
      </c>
      <c r="H109" s="390" t="s">
        <v>1345</v>
      </c>
      <c r="I109" s="391" t="s">
        <v>1345</v>
      </c>
      <c r="J109" s="353" t="s">
        <v>3183</v>
      </c>
      <c r="K109" s="356" t="s">
        <v>3187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3274</v>
      </c>
      <c r="B110" s="393" t="s">
        <v>3275</v>
      </c>
      <c r="C110" s="394" t="s">
        <v>3192</v>
      </c>
      <c r="D110" s="395" t="s">
        <v>3276</v>
      </c>
      <c r="E110" s="411" t="s">
        <v>3277</v>
      </c>
      <c r="F110" s="396" t="s">
        <v>3181</v>
      </c>
      <c r="G110" s="396" t="s">
        <v>3182</v>
      </c>
      <c r="H110" s="397" t="s">
        <v>1345</v>
      </c>
      <c r="I110" s="899" t="s">
        <v>1345</v>
      </c>
      <c r="J110" s="353" t="s">
        <v>3183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3278</v>
      </c>
      <c r="B111" s="526" t="s">
        <v>3279</v>
      </c>
      <c r="C111" s="527">
        <v>1</v>
      </c>
      <c r="D111" s="528" t="s">
        <v>3280</v>
      </c>
      <c r="E111" s="426" t="s">
        <v>3281</v>
      </c>
      <c r="F111" s="529" t="s">
        <v>3181</v>
      </c>
      <c r="G111" s="529" t="s">
        <v>3182</v>
      </c>
      <c r="H111" s="530" t="s">
        <v>1346</v>
      </c>
      <c r="I111" s="384" t="s">
        <v>1346</v>
      </c>
      <c r="J111" s="353" t="s">
        <v>3183</v>
      </c>
      <c r="K111" s="354" t="s">
        <v>3184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3278</v>
      </c>
      <c r="B112" s="386" t="s">
        <v>3279</v>
      </c>
      <c r="C112" s="352" t="s">
        <v>3191</v>
      </c>
      <c r="D112" s="387" t="s">
        <v>3280</v>
      </c>
      <c r="E112" s="388" t="s">
        <v>3281</v>
      </c>
      <c r="F112" s="389" t="s">
        <v>3181</v>
      </c>
      <c r="G112" s="389" t="s">
        <v>3182</v>
      </c>
      <c r="H112" s="390" t="s">
        <v>1346</v>
      </c>
      <c r="I112" s="391" t="s">
        <v>1346</v>
      </c>
      <c r="J112" s="353" t="s">
        <v>3183</v>
      </c>
      <c r="K112" s="353" t="s">
        <v>3185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3278</v>
      </c>
      <c r="B113" s="386" t="s">
        <v>3279</v>
      </c>
      <c r="C113" s="392" t="s">
        <v>3191</v>
      </c>
      <c r="D113" s="387" t="s">
        <v>3280</v>
      </c>
      <c r="E113" s="388" t="s">
        <v>3281</v>
      </c>
      <c r="F113" s="389" t="s">
        <v>3181</v>
      </c>
      <c r="G113" s="389" t="s">
        <v>3182</v>
      </c>
      <c r="H113" s="390" t="s">
        <v>1346</v>
      </c>
      <c r="I113" s="391" t="s">
        <v>1346</v>
      </c>
      <c r="J113" s="353" t="s">
        <v>3183</v>
      </c>
      <c r="K113" s="355" t="s">
        <v>3186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3278</v>
      </c>
      <c r="B114" s="386" t="s">
        <v>3279</v>
      </c>
      <c r="C114" s="392" t="s">
        <v>3191</v>
      </c>
      <c r="D114" s="387" t="s">
        <v>3280</v>
      </c>
      <c r="E114" s="388" t="s">
        <v>3281</v>
      </c>
      <c r="F114" s="389" t="s">
        <v>3181</v>
      </c>
      <c r="G114" s="389" t="s">
        <v>3182</v>
      </c>
      <c r="H114" s="390" t="s">
        <v>1346</v>
      </c>
      <c r="I114" s="391" t="s">
        <v>1346</v>
      </c>
      <c r="J114" s="353" t="s">
        <v>3183</v>
      </c>
      <c r="K114" s="356" t="s">
        <v>3187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3278</v>
      </c>
      <c r="B115" s="393" t="s">
        <v>3279</v>
      </c>
      <c r="C115" s="394" t="s">
        <v>3191</v>
      </c>
      <c r="D115" s="395" t="s">
        <v>3280</v>
      </c>
      <c r="E115" s="411" t="s">
        <v>3281</v>
      </c>
      <c r="F115" s="396" t="s">
        <v>3181</v>
      </c>
      <c r="G115" s="396" t="s">
        <v>3182</v>
      </c>
      <c r="H115" s="397" t="s">
        <v>1346</v>
      </c>
      <c r="I115" s="899" t="s">
        <v>1346</v>
      </c>
      <c r="J115" s="353" t="s">
        <v>3183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3282</v>
      </c>
      <c r="B116" s="526" t="s">
        <v>3283</v>
      </c>
      <c r="C116" s="527">
        <v>1</v>
      </c>
      <c r="D116" s="528" t="s">
        <v>3284</v>
      </c>
      <c r="E116" s="426" t="s">
        <v>3285</v>
      </c>
      <c r="F116" s="529" t="s">
        <v>3181</v>
      </c>
      <c r="G116" s="529" t="s">
        <v>3182</v>
      </c>
      <c r="H116" s="530" t="s">
        <v>1347</v>
      </c>
      <c r="I116" s="384" t="s">
        <v>1347</v>
      </c>
      <c r="J116" s="353" t="s">
        <v>3183</v>
      </c>
      <c r="K116" s="354" t="s">
        <v>3184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3282</v>
      </c>
      <c r="B117" s="386" t="s">
        <v>3283</v>
      </c>
      <c r="C117" s="352" t="s">
        <v>3191</v>
      </c>
      <c r="D117" s="387" t="s">
        <v>3284</v>
      </c>
      <c r="E117" s="388" t="s">
        <v>3285</v>
      </c>
      <c r="F117" s="389" t="s">
        <v>3181</v>
      </c>
      <c r="G117" s="389" t="s">
        <v>3182</v>
      </c>
      <c r="H117" s="390" t="s">
        <v>1347</v>
      </c>
      <c r="I117" s="391" t="s">
        <v>1347</v>
      </c>
      <c r="J117" s="353" t="s">
        <v>3183</v>
      </c>
      <c r="K117" s="353" t="s">
        <v>3185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>
        <v>2</v>
      </c>
      <c r="BM117" s="401"/>
      <c r="BN117" s="400">
        <v>1</v>
      </c>
      <c r="BO117" s="401"/>
      <c r="BP117" s="400">
        <v>2</v>
      </c>
      <c r="BQ117" s="401"/>
      <c r="BR117" s="400">
        <v>2</v>
      </c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7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3282</v>
      </c>
      <c r="B118" s="386" t="s">
        <v>3283</v>
      </c>
      <c r="C118" s="392" t="s">
        <v>3191</v>
      </c>
      <c r="D118" s="387" t="s">
        <v>3284</v>
      </c>
      <c r="E118" s="388" t="s">
        <v>3285</v>
      </c>
      <c r="F118" s="389" t="s">
        <v>3181</v>
      </c>
      <c r="G118" s="389" t="s">
        <v>3182</v>
      </c>
      <c r="H118" s="390" t="s">
        <v>1347</v>
      </c>
      <c r="I118" s="391" t="s">
        <v>1347</v>
      </c>
      <c r="J118" s="353" t="s">
        <v>3183</v>
      </c>
      <c r="K118" s="355" t="s">
        <v>3186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3282</v>
      </c>
      <c r="B119" s="386" t="s">
        <v>3283</v>
      </c>
      <c r="C119" s="392" t="s">
        <v>3191</v>
      </c>
      <c r="D119" s="387" t="s">
        <v>3284</v>
      </c>
      <c r="E119" s="388" t="s">
        <v>3285</v>
      </c>
      <c r="F119" s="389" t="s">
        <v>3181</v>
      </c>
      <c r="G119" s="389" t="s">
        <v>3182</v>
      </c>
      <c r="H119" s="390" t="s">
        <v>1347</v>
      </c>
      <c r="I119" s="391" t="s">
        <v>1347</v>
      </c>
      <c r="J119" s="353" t="s">
        <v>3183</v>
      </c>
      <c r="K119" s="356" t="s">
        <v>3187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3282</v>
      </c>
      <c r="B120" s="393" t="s">
        <v>3283</v>
      </c>
      <c r="C120" s="394" t="s">
        <v>3191</v>
      </c>
      <c r="D120" s="395" t="s">
        <v>3284</v>
      </c>
      <c r="E120" s="411" t="s">
        <v>3285</v>
      </c>
      <c r="F120" s="396" t="s">
        <v>3181</v>
      </c>
      <c r="G120" s="396" t="s">
        <v>3182</v>
      </c>
      <c r="H120" s="397" t="s">
        <v>1347</v>
      </c>
      <c r="I120" s="899" t="s">
        <v>1347</v>
      </c>
      <c r="J120" s="353" t="s">
        <v>3183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3286</v>
      </c>
      <c r="B121" s="526" t="s">
        <v>3287</v>
      </c>
      <c r="C121" s="527">
        <v>4</v>
      </c>
      <c r="D121" s="528" t="s">
        <v>3288</v>
      </c>
      <c r="E121" s="426" t="s">
        <v>3289</v>
      </c>
      <c r="F121" s="529" t="s">
        <v>3181</v>
      </c>
      <c r="G121" s="529" t="s">
        <v>3182</v>
      </c>
      <c r="H121" s="530" t="s">
        <v>1348</v>
      </c>
      <c r="I121" s="384" t="s">
        <v>1348</v>
      </c>
      <c r="J121" s="353" t="s">
        <v>3183</v>
      </c>
      <c r="K121" s="354" t="s">
        <v>3184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3286</v>
      </c>
      <c r="B122" s="386" t="s">
        <v>3287</v>
      </c>
      <c r="C122" s="352" t="s">
        <v>3192</v>
      </c>
      <c r="D122" s="387" t="s">
        <v>3288</v>
      </c>
      <c r="E122" s="388" t="s">
        <v>3289</v>
      </c>
      <c r="F122" s="389" t="s">
        <v>3181</v>
      </c>
      <c r="G122" s="389" t="s">
        <v>3182</v>
      </c>
      <c r="H122" s="390" t="s">
        <v>1348</v>
      </c>
      <c r="I122" s="391" t="s">
        <v>1348</v>
      </c>
      <c r="J122" s="353" t="s">
        <v>3183</v>
      </c>
      <c r="K122" s="353" t="s">
        <v>3185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3286</v>
      </c>
      <c r="B123" s="386" t="s">
        <v>3287</v>
      </c>
      <c r="C123" s="392" t="s">
        <v>3192</v>
      </c>
      <c r="D123" s="387" t="s">
        <v>3288</v>
      </c>
      <c r="E123" s="388" t="s">
        <v>3289</v>
      </c>
      <c r="F123" s="389" t="s">
        <v>3181</v>
      </c>
      <c r="G123" s="389" t="s">
        <v>3182</v>
      </c>
      <c r="H123" s="390" t="s">
        <v>1348</v>
      </c>
      <c r="I123" s="391" t="s">
        <v>1348</v>
      </c>
      <c r="J123" s="353" t="s">
        <v>3183</v>
      </c>
      <c r="K123" s="355" t="s">
        <v>3186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3286</v>
      </c>
      <c r="B124" s="386" t="s">
        <v>3287</v>
      </c>
      <c r="C124" s="392" t="s">
        <v>3192</v>
      </c>
      <c r="D124" s="387" t="s">
        <v>3288</v>
      </c>
      <c r="E124" s="388" t="s">
        <v>3289</v>
      </c>
      <c r="F124" s="389" t="s">
        <v>3181</v>
      </c>
      <c r="G124" s="389" t="s">
        <v>3182</v>
      </c>
      <c r="H124" s="390" t="s">
        <v>1348</v>
      </c>
      <c r="I124" s="391" t="s">
        <v>1348</v>
      </c>
      <c r="J124" s="353" t="s">
        <v>3183</v>
      </c>
      <c r="K124" s="356" t="s">
        <v>3187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3286</v>
      </c>
      <c r="B125" s="393" t="s">
        <v>3287</v>
      </c>
      <c r="C125" s="394" t="s">
        <v>3192</v>
      </c>
      <c r="D125" s="395" t="s">
        <v>3288</v>
      </c>
      <c r="E125" s="411" t="s">
        <v>3289</v>
      </c>
      <c r="F125" s="396" t="s">
        <v>3181</v>
      </c>
      <c r="G125" s="396" t="s">
        <v>3182</v>
      </c>
      <c r="H125" s="397" t="s">
        <v>1348</v>
      </c>
      <c r="I125" s="899" t="s">
        <v>1348</v>
      </c>
      <c r="J125" s="353" t="s">
        <v>3183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3290</v>
      </c>
      <c r="B126" s="526" t="s">
        <v>3291</v>
      </c>
      <c r="C126" s="527">
        <v>1</v>
      </c>
      <c r="D126" s="528" t="s">
        <v>3292</v>
      </c>
      <c r="E126" s="426" t="s">
        <v>3293</v>
      </c>
      <c r="F126" s="529" t="s">
        <v>3181</v>
      </c>
      <c r="G126" s="529" t="s">
        <v>3182</v>
      </c>
      <c r="H126" s="530" t="s">
        <v>1351</v>
      </c>
      <c r="I126" s="384" t="s">
        <v>1351</v>
      </c>
      <c r="J126" s="353" t="s">
        <v>3183</v>
      </c>
      <c r="K126" s="354" t="s">
        <v>3184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3290</v>
      </c>
      <c r="B127" s="386" t="s">
        <v>3291</v>
      </c>
      <c r="C127" s="352" t="s">
        <v>3191</v>
      </c>
      <c r="D127" s="387" t="s">
        <v>3292</v>
      </c>
      <c r="E127" s="388" t="s">
        <v>3293</v>
      </c>
      <c r="F127" s="389" t="s">
        <v>3181</v>
      </c>
      <c r="G127" s="389" t="s">
        <v>3182</v>
      </c>
      <c r="H127" s="390" t="s">
        <v>1351</v>
      </c>
      <c r="I127" s="391" t="s">
        <v>1351</v>
      </c>
      <c r="J127" s="353" t="s">
        <v>3183</v>
      </c>
      <c r="K127" s="353" t="s">
        <v>3185</v>
      </c>
      <c r="L127" s="400">
        <v>2</v>
      </c>
      <c r="M127" s="401"/>
      <c r="N127" s="400">
        <v>2</v>
      </c>
      <c r="O127" s="401"/>
      <c r="P127" s="400"/>
      <c r="Q127" s="401"/>
      <c r="R127" s="400"/>
      <c r="S127" s="401"/>
      <c r="T127" s="400"/>
      <c r="U127" s="401"/>
      <c r="V127" s="400">
        <v>1</v>
      </c>
      <c r="W127" s="401"/>
      <c r="X127" s="400">
        <v>3</v>
      </c>
      <c r="Y127" s="401"/>
      <c r="Z127" s="400">
        <v>2</v>
      </c>
      <c r="AA127" s="401"/>
      <c r="AB127" s="400">
        <v>2</v>
      </c>
      <c r="AC127" s="401"/>
      <c r="AD127" s="400">
        <v>3</v>
      </c>
      <c r="AE127" s="401"/>
      <c r="AF127" s="400"/>
      <c r="AG127" s="401"/>
      <c r="AH127" s="400"/>
      <c r="AI127" s="401"/>
      <c r="AJ127" s="400">
        <v>1</v>
      </c>
      <c r="AK127" s="401"/>
      <c r="AL127" s="400">
        <v>3</v>
      </c>
      <c r="AM127" s="401"/>
      <c r="AN127" s="400">
        <v>2</v>
      </c>
      <c r="AO127" s="401"/>
      <c r="AP127" s="400">
        <v>2</v>
      </c>
      <c r="AQ127" s="401"/>
      <c r="AR127" s="400">
        <v>3</v>
      </c>
      <c r="AS127" s="401"/>
      <c r="AT127" s="400"/>
      <c r="AU127" s="401"/>
      <c r="AV127" s="400"/>
      <c r="AW127" s="401"/>
      <c r="AX127" s="400">
        <v>1</v>
      </c>
      <c r="AY127" s="401"/>
      <c r="AZ127" s="400"/>
      <c r="BA127" s="401"/>
      <c r="BB127" s="400">
        <v>2</v>
      </c>
      <c r="BC127" s="401"/>
      <c r="BD127" s="400">
        <v>2</v>
      </c>
      <c r="BE127" s="401"/>
      <c r="BF127" s="400">
        <v>3</v>
      </c>
      <c r="BG127" s="401"/>
      <c r="BH127" s="400"/>
      <c r="BI127" s="401"/>
      <c r="BJ127" s="400"/>
      <c r="BK127" s="401"/>
      <c r="BL127" s="400">
        <v>1</v>
      </c>
      <c r="BM127" s="401"/>
      <c r="BN127" s="400">
        <v>3</v>
      </c>
      <c r="BO127" s="401"/>
      <c r="BP127" s="400">
        <v>2</v>
      </c>
      <c r="BQ127" s="401"/>
      <c r="BR127" s="400">
        <v>2</v>
      </c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42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3290</v>
      </c>
      <c r="B128" s="386" t="s">
        <v>3291</v>
      </c>
      <c r="C128" s="392" t="s">
        <v>3191</v>
      </c>
      <c r="D128" s="387" t="s">
        <v>3292</v>
      </c>
      <c r="E128" s="388" t="s">
        <v>3293</v>
      </c>
      <c r="F128" s="389" t="s">
        <v>3181</v>
      </c>
      <c r="G128" s="389" t="s">
        <v>3182</v>
      </c>
      <c r="H128" s="390" t="s">
        <v>1351</v>
      </c>
      <c r="I128" s="391" t="s">
        <v>1351</v>
      </c>
      <c r="J128" s="353" t="s">
        <v>3183</v>
      </c>
      <c r="K128" s="355" t="s">
        <v>3186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3290</v>
      </c>
      <c r="B129" s="386" t="s">
        <v>3291</v>
      </c>
      <c r="C129" s="392" t="s">
        <v>3191</v>
      </c>
      <c r="D129" s="387" t="s">
        <v>3292</v>
      </c>
      <c r="E129" s="388" t="s">
        <v>3293</v>
      </c>
      <c r="F129" s="389" t="s">
        <v>3181</v>
      </c>
      <c r="G129" s="389" t="s">
        <v>3182</v>
      </c>
      <c r="H129" s="390" t="s">
        <v>1351</v>
      </c>
      <c r="I129" s="391" t="s">
        <v>1351</v>
      </c>
      <c r="J129" s="353" t="s">
        <v>3183</v>
      </c>
      <c r="K129" s="356" t="s">
        <v>3187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3290</v>
      </c>
      <c r="B130" s="393" t="s">
        <v>3291</v>
      </c>
      <c r="C130" s="394" t="s">
        <v>3191</v>
      </c>
      <c r="D130" s="395" t="s">
        <v>3292</v>
      </c>
      <c r="E130" s="411" t="s">
        <v>3293</v>
      </c>
      <c r="F130" s="396" t="s">
        <v>3181</v>
      </c>
      <c r="G130" s="396" t="s">
        <v>3182</v>
      </c>
      <c r="H130" s="397" t="s">
        <v>1351</v>
      </c>
      <c r="I130" s="899" t="s">
        <v>1351</v>
      </c>
      <c r="J130" s="353" t="s">
        <v>3183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3294</v>
      </c>
      <c r="B131" s="526" t="s">
        <v>3295</v>
      </c>
      <c r="C131" s="527">
        <v>3</v>
      </c>
      <c r="D131" s="528" t="s">
        <v>3296</v>
      </c>
      <c r="E131" s="426" t="s">
        <v>3297</v>
      </c>
      <c r="F131" s="529" t="s">
        <v>3181</v>
      </c>
      <c r="G131" s="529" t="s">
        <v>3182</v>
      </c>
      <c r="H131" s="530" t="s">
        <v>1356</v>
      </c>
      <c r="I131" s="384" t="s">
        <v>1356</v>
      </c>
      <c r="J131" s="353" t="s">
        <v>3188</v>
      </c>
      <c r="K131" s="354" t="s">
        <v>3184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3294</v>
      </c>
      <c r="B132" s="386" t="s">
        <v>3295</v>
      </c>
      <c r="C132" s="352" t="s">
        <v>3193</v>
      </c>
      <c r="D132" s="387" t="s">
        <v>3296</v>
      </c>
      <c r="E132" s="388" t="s">
        <v>3297</v>
      </c>
      <c r="F132" s="389" t="s">
        <v>3181</v>
      </c>
      <c r="G132" s="389" t="s">
        <v>3182</v>
      </c>
      <c r="H132" s="390" t="s">
        <v>1356</v>
      </c>
      <c r="I132" s="391" t="s">
        <v>1356</v>
      </c>
      <c r="J132" s="353" t="s">
        <v>3188</v>
      </c>
      <c r="K132" s="353" t="s">
        <v>3185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3294</v>
      </c>
      <c r="B133" s="386" t="s">
        <v>3295</v>
      </c>
      <c r="C133" s="392" t="s">
        <v>3193</v>
      </c>
      <c r="D133" s="387" t="s">
        <v>3296</v>
      </c>
      <c r="E133" s="388" t="s">
        <v>3297</v>
      </c>
      <c r="F133" s="389" t="s">
        <v>3181</v>
      </c>
      <c r="G133" s="389" t="s">
        <v>3182</v>
      </c>
      <c r="H133" s="390" t="s">
        <v>1356</v>
      </c>
      <c r="I133" s="391" t="s">
        <v>1356</v>
      </c>
      <c r="J133" s="353" t="s">
        <v>3188</v>
      </c>
      <c r="K133" s="355" t="s">
        <v>3186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3294</v>
      </c>
      <c r="B134" s="386" t="s">
        <v>3295</v>
      </c>
      <c r="C134" s="392" t="s">
        <v>3193</v>
      </c>
      <c r="D134" s="387" t="s">
        <v>3296</v>
      </c>
      <c r="E134" s="388" t="s">
        <v>3297</v>
      </c>
      <c r="F134" s="389" t="s">
        <v>3181</v>
      </c>
      <c r="G134" s="389" t="s">
        <v>3182</v>
      </c>
      <c r="H134" s="390" t="s">
        <v>1356</v>
      </c>
      <c r="I134" s="391" t="s">
        <v>1356</v>
      </c>
      <c r="J134" s="353" t="s">
        <v>3188</v>
      </c>
      <c r="K134" s="356" t="s">
        <v>3187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3294</v>
      </c>
      <c r="B135" s="393" t="s">
        <v>3295</v>
      </c>
      <c r="C135" s="394" t="s">
        <v>3193</v>
      </c>
      <c r="D135" s="395" t="s">
        <v>3296</v>
      </c>
      <c r="E135" s="411" t="s">
        <v>3297</v>
      </c>
      <c r="F135" s="396" t="s">
        <v>3181</v>
      </c>
      <c r="G135" s="396" t="s">
        <v>3182</v>
      </c>
      <c r="H135" s="397" t="s">
        <v>1356</v>
      </c>
      <c r="I135" s="899" t="s">
        <v>1356</v>
      </c>
      <c r="J135" s="353" t="s">
        <v>3188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3298</v>
      </c>
      <c r="B136" s="526" t="s">
        <v>3299</v>
      </c>
      <c r="C136" s="527">
        <v>1</v>
      </c>
      <c r="D136" s="528" t="s">
        <v>3300</v>
      </c>
      <c r="E136" s="426" t="s">
        <v>3301</v>
      </c>
      <c r="F136" s="529" t="s">
        <v>3181</v>
      </c>
      <c r="G136" s="529" t="s">
        <v>3182</v>
      </c>
      <c r="H136" s="530" t="s">
        <v>1357</v>
      </c>
      <c r="I136" s="384" t="s">
        <v>1357</v>
      </c>
      <c r="J136" s="353" t="s">
        <v>3183</v>
      </c>
      <c r="K136" s="354" t="s">
        <v>3184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3298</v>
      </c>
      <c r="B137" s="386" t="s">
        <v>3299</v>
      </c>
      <c r="C137" s="352" t="s">
        <v>3191</v>
      </c>
      <c r="D137" s="387" t="s">
        <v>3300</v>
      </c>
      <c r="E137" s="388" t="s">
        <v>3301</v>
      </c>
      <c r="F137" s="389" t="s">
        <v>3181</v>
      </c>
      <c r="G137" s="389" t="s">
        <v>3182</v>
      </c>
      <c r="H137" s="390" t="s">
        <v>1357</v>
      </c>
      <c r="I137" s="391" t="s">
        <v>1357</v>
      </c>
      <c r="J137" s="353" t="s">
        <v>3183</v>
      </c>
      <c r="K137" s="353" t="s">
        <v>3185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3298</v>
      </c>
      <c r="B138" s="386" t="s">
        <v>3299</v>
      </c>
      <c r="C138" s="392" t="s">
        <v>3191</v>
      </c>
      <c r="D138" s="387" t="s">
        <v>3300</v>
      </c>
      <c r="E138" s="388" t="s">
        <v>3301</v>
      </c>
      <c r="F138" s="389" t="s">
        <v>3181</v>
      </c>
      <c r="G138" s="389" t="s">
        <v>3182</v>
      </c>
      <c r="H138" s="390" t="s">
        <v>1357</v>
      </c>
      <c r="I138" s="391" t="s">
        <v>1357</v>
      </c>
      <c r="J138" s="353" t="s">
        <v>3183</v>
      </c>
      <c r="K138" s="355" t="s">
        <v>3186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3298</v>
      </c>
      <c r="B139" s="386" t="s">
        <v>3299</v>
      </c>
      <c r="C139" s="392" t="s">
        <v>3191</v>
      </c>
      <c r="D139" s="387" t="s">
        <v>3300</v>
      </c>
      <c r="E139" s="388" t="s">
        <v>3301</v>
      </c>
      <c r="F139" s="389" t="s">
        <v>3181</v>
      </c>
      <c r="G139" s="389" t="s">
        <v>3182</v>
      </c>
      <c r="H139" s="390" t="s">
        <v>1357</v>
      </c>
      <c r="I139" s="391" t="s">
        <v>1357</v>
      </c>
      <c r="J139" s="353" t="s">
        <v>3183</v>
      </c>
      <c r="K139" s="356" t="s">
        <v>3187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3298</v>
      </c>
      <c r="B140" s="393" t="s">
        <v>3299</v>
      </c>
      <c r="C140" s="394" t="s">
        <v>3191</v>
      </c>
      <c r="D140" s="395" t="s">
        <v>3300</v>
      </c>
      <c r="E140" s="411" t="s">
        <v>3301</v>
      </c>
      <c r="F140" s="396" t="s">
        <v>3181</v>
      </c>
      <c r="G140" s="396" t="s">
        <v>3182</v>
      </c>
      <c r="H140" s="397" t="s">
        <v>1357</v>
      </c>
      <c r="I140" s="899" t="s">
        <v>1357</v>
      </c>
      <c r="J140" s="353" t="s">
        <v>3183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3302</v>
      </c>
      <c r="B141" s="526" t="s">
        <v>3303</v>
      </c>
      <c r="C141" s="527">
        <v>1</v>
      </c>
      <c r="D141" s="528" t="s">
        <v>3304</v>
      </c>
      <c r="E141" s="426" t="s">
        <v>3305</v>
      </c>
      <c r="F141" s="529" t="s">
        <v>3181</v>
      </c>
      <c r="G141" s="529" t="s">
        <v>3182</v>
      </c>
      <c r="H141" s="530" t="s">
        <v>1358</v>
      </c>
      <c r="I141" s="384" t="s">
        <v>1358</v>
      </c>
      <c r="J141" s="353" t="s">
        <v>3183</v>
      </c>
      <c r="K141" s="354" t="s">
        <v>3184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3302</v>
      </c>
      <c r="B142" s="386" t="s">
        <v>3303</v>
      </c>
      <c r="C142" s="352" t="s">
        <v>3191</v>
      </c>
      <c r="D142" s="387" t="s">
        <v>3304</v>
      </c>
      <c r="E142" s="388" t="s">
        <v>3305</v>
      </c>
      <c r="F142" s="389" t="s">
        <v>3181</v>
      </c>
      <c r="G142" s="389" t="s">
        <v>3182</v>
      </c>
      <c r="H142" s="390" t="s">
        <v>1358</v>
      </c>
      <c r="I142" s="391" t="s">
        <v>1358</v>
      </c>
      <c r="J142" s="353" t="s">
        <v>3183</v>
      </c>
      <c r="K142" s="353" t="s">
        <v>3185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3302</v>
      </c>
      <c r="B143" s="386" t="s">
        <v>3303</v>
      </c>
      <c r="C143" s="392" t="s">
        <v>3191</v>
      </c>
      <c r="D143" s="387" t="s">
        <v>3304</v>
      </c>
      <c r="E143" s="388" t="s">
        <v>3305</v>
      </c>
      <c r="F143" s="389" t="s">
        <v>3181</v>
      </c>
      <c r="G143" s="389" t="s">
        <v>3182</v>
      </c>
      <c r="H143" s="390" t="s">
        <v>1358</v>
      </c>
      <c r="I143" s="391" t="s">
        <v>1358</v>
      </c>
      <c r="J143" s="353" t="s">
        <v>3183</v>
      </c>
      <c r="K143" s="355" t="s">
        <v>3186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3302</v>
      </c>
      <c r="B144" s="386" t="s">
        <v>3303</v>
      </c>
      <c r="C144" s="392" t="s">
        <v>3191</v>
      </c>
      <c r="D144" s="387" t="s">
        <v>3304</v>
      </c>
      <c r="E144" s="388" t="s">
        <v>3305</v>
      </c>
      <c r="F144" s="389" t="s">
        <v>3181</v>
      </c>
      <c r="G144" s="389" t="s">
        <v>3182</v>
      </c>
      <c r="H144" s="390" t="s">
        <v>1358</v>
      </c>
      <c r="I144" s="391" t="s">
        <v>1358</v>
      </c>
      <c r="J144" s="353" t="s">
        <v>3183</v>
      </c>
      <c r="K144" s="356" t="s">
        <v>3187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3302</v>
      </c>
      <c r="B145" s="393" t="s">
        <v>3303</v>
      </c>
      <c r="C145" s="394" t="s">
        <v>3191</v>
      </c>
      <c r="D145" s="395" t="s">
        <v>3304</v>
      </c>
      <c r="E145" s="411" t="s">
        <v>3305</v>
      </c>
      <c r="F145" s="396" t="s">
        <v>3181</v>
      </c>
      <c r="G145" s="396" t="s">
        <v>3182</v>
      </c>
      <c r="H145" s="397" t="s">
        <v>1358</v>
      </c>
      <c r="I145" s="899" t="s">
        <v>1358</v>
      </c>
      <c r="J145" s="353" t="s">
        <v>3183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3306</v>
      </c>
      <c r="B146" s="526" t="s">
        <v>3307</v>
      </c>
      <c r="C146" s="527">
        <v>1</v>
      </c>
      <c r="D146" s="528" t="s">
        <v>3308</v>
      </c>
      <c r="E146" s="426" t="s">
        <v>3309</v>
      </c>
      <c r="F146" s="529" t="s">
        <v>3181</v>
      </c>
      <c r="G146" s="529" t="s">
        <v>3182</v>
      </c>
      <c r="H146" s="530" t="s">
        <v>1359</v>
      </c>
      <c r="I146" s="384" t="s">
        <v>1359</v>
      </c>
      <c r="J146" s="353" t="s">
        <v>3183</v>
      </c>
      <c r="K146" s="354" t="s">
        <v>3184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3306</v>
      </c>
      <c r="B147" s="386" t="s">
        <v>3307</v>
      </c>
      <c r="C147" s="352" t="s">
        <v>3191</v>
      </c>
      <c r="D147" s="387" t="s">
        <v>3308</v>
      </c>
      <c r="E147" s="388" t="s">
        <v>3309</v>
      </c>
      <c r="F147" s="389" t="s">
        <v>3181</v>
      </c>
      <c r="G147" s="389" t="s">
        <v>3182</v>
      </c>
      <c r="H147" s="390" t="s">
        <v>1359</v>
      </c>
      <c r="I147" s="391" t="s">
        <v>1359</v>
      </c>
      <c r="J147" s="353" t="s">
        <v>3183</v>
      </c>
      <c r="K147" s="353" t="s">
        <v>3185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3306</v>
      </c>
      <c r="B148" s="386" t="s">
        <v>3307</v>
      </c>
      <c r="C148" s="392" t="s">
        <v>3191</v>
      </c>
      <c r="D148" s="387" t="s">
        <v>3308</v>
      </c>
      <c r="E148" s="388" t="s">
        <v>3309</v>
      </c>
      <c r="F148" s="389" t="s">
        <v>3181</v>
      </c>
      <c r="G148" s="389" t="s">
        <v>3182</v>
      </c>
      <c r="H148" s="390" t="s">
        <v>1359</v>
      </c>
      <c r="I148" s="391" t="s">
        <v>1359</v>
      </c>
      <c r="J148" s="353" t="s">
        <v>3183</v>
      </c>
      <c r="K148" s="355" t="s">
        <v>3186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3306</v>
      </c>
      <c r="B149" s="386" t="s">
        <v>3307</v>
      </c>
      <c r="C149" s="392" t="s">
        <v>3191</v>
      </c>
      <c r="D149" s="387" t="s">
        <v>3308</v>
      </c>
      <c r="E149" s="388" t="s">
        <v>3309</v>
      </c>
      <c r="F149" s="389" t="s">
        <v>3181</v>
      </c>
      <c r="G149" s="389" t="s">
        <v>3182</v>
      </c>
      <c r="H149" s="390" t="s">
        <v>1359</v>
      </c>
      <c r="I149" s="391" t="s">
        <v>1359</v>
      </c>
      <c r="J149" s="353" t="s">
        <v>3183</v>
      </c>
      <c r="K149" s="356" t="s">
        <v>3187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3306</v>
      </c>
      <c r="B150" s="393" t="s">
        <v>3307</v>
      </c>
      <c r="C150" s="394" t="s">
        <v>3191</v>
      </c>
      <c r="D150" s="395" t="s">
        <v>3308</v>
      </c>
      <c r="E150" s="411" t="s">
        <v>3309</v>
      </c>
      <c r="F150" s="396" t="s">
        <v>3181</v>
      </c>
      <c r="G150" s="396" t="s">
        <v>3182</v>
      </c>
      <c r="H150" s="397" t="s">
        <v>1359</v>
      </c>
      <c r="I150" s="899" t="s">
        <v>1359</v>
      </c>
      <c r="J150" s="353" t="s">
        <v>3183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3310</v>
      </c>
      <c r="B151" s="526" t="s">
        <v>3311</v>
      </c>
      <c r="C151" s="527">
        <v>4</v>
      </c>
      <c r="D151" s="528" t="s">
        <v>3312</v>
      </c>
      <c r="E151" s="426" t="s">
        <v>3313</v>
      </c>
      <c r="F151" s="529" t="s">
        <v>3181</v>
      </c>
      <c r="G151" s="529" t="s">
        <v>3182</v>
      </c>
      <c r="H151" s="530" t="s">
        <v>1360</v>
      </c>
      <c r="I151" s="384" t="s">
        <v>1360</v>
      </c>
      <c r="J151" s="353" t="s">
        <v>3183</v>
      </c>
      <c r="K151" s="354" t="s">
        <v>3184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3310</v>
      </c>
      <c r="B152" s="386" t="s">
        <v>3311</v>
      </c>
      <c r="C152" s="352" t="s">
        <v>3192</v>
      </c>
      <c r="D152" s="387" t="s">
        <v>3312</v>
      </c>
      <c r="E152" s="388" t="s">
        <v>3313</v>
      </c>
      <c r="F152" s="389" t="s">
        <v>3181</v>
      </c>
      <c r="G152" s="389" t="s">
        <v>3182</v>
      </c>
      <c r="H152" s="390" t="s">
        <v>1360</v>
      </c>
      <c r="I152" s="391" t="s">
        <v>1360</v>
      </c>
      <c r="J152" s="353" t="s">
        <v>3183</v>
      </c>
      <c r="K152" s="353" t="s">
        <v>3185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3310</v>
      </c>
      <c r="B153" s="386" t="s">
        <v>3311</v>
      </c>
      <c r="C153" s="392" t="s">
        <v>3192</v>
      </c>
      <c r="D153" s="387" t="s">
        <v>3312</v>
      </c>
      <c r="E153" s="388" t="s">
        <v>3313</v>
      </c>
      <c r="F153" s="389" t="s">
        <v>3181</v>
      </c>
      <c r="G153" s="389" t="s">
        <v>3182</v>
      </c>
      <c r="H153" s="390" t="s">
        <v>1360</v>
      </c>
      <c r="I153" s="391" t="s">
        <v>1360</v>
      </c>
      <c r="J153" s="353" t="s">
        <v>3183</v>
      </c>
      <c r="K153" s="355" t="s">
        <v>3186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3310</v>
      </c>
      <c r="B154" s="386" t="s">
        <v>3311</v>
      </c>
      <c r="C154" s="392" t="s">
        <v>3192</v>
      </c>
      <c r="D154" s="387" t="s">
        <v>3312</v>
      </c>
      <c r="E154" s="388" t="s">
        <v>3313</v>
      </c>
      <c r="F154" s="389" t="s">
        <v>3181</v>
      </c>
      <c r="G154" s="389" t="s">
        <v>3182</v>
      </c>
      <c r="H154" s="390" t="s">
        <v>1360</v>
      </c>
      <c r="I154" s="391" t="s">
        <v>1360</v>
      </c>
      <c r="J154" s="353" t="s">
        <v>3183</v>
      </c>
      <c r="K154" s="356" t="s">
        <v>3187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3310</v>
      </c>
      <c r="B155" s="393" t="s">
        <v>3311</v>
      </c>
      <c r="C155" s="394" t="s">
        <v>3192</v>
      </c>
      <c r="D155" s="395" t="s">
        <v>3312</v>
      </c>
      <c r="E155" s="411" t="s">
        <v>3313</v>
      </c>
      <c r="F155" s="396" t="s">
        <v>3181</v>
      </c>
      <c r="G155" s="396" t="s">
        <v>3182</v>
      </c>
      <c r="H155" s="397" t="s">
        <v>1360</v>
      </c>
      <c r="I155" s="899" t="s">
        <v>1360</v>
      </c>
      <c r="J155" s="353" t="s">
        <v>3183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3314</v>
      </c>
      <c r="B156" s="526" t="s">
        <v>3315</v>
      </c>
      <c r="C156" s="527">
        <v>1</v>
      </c>
      <c r="D156" s="528" t="s">
        <v>3316</v>
      </c>
      <c r="E156" s="426" t="s">
        <v>3317</v>
      </c>
      <c r="F156" s="529" t="s">
        <v>3181</v>
      </c>
      <c r="G156" s="529" t="s">
        <v>3182</v>
      </c>
      <c r="H156" s="530" t="s">
        <v>1361</v>
      </c>
      <c r="I156" s="384" t="s">
        <v>1361</v>
      </c>
      <c r="J156" s="353" t="s">
        <v>3183</v>
      </c>
      <c r="K156" s="354" t="s">
        <v>3184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3314</v>
      </c>
      <c r="B157" s="386" t="s">
        <v>3315</v>
      </c>
      <c r="C157" s="352" t="s">
        <v>3191</v>
      </c>
      <c r="D157" s="387" t="s">
        <v>3316</v>
      </c>
      <c r="E157" s="388" t="s">
        <v>3317</v>
      </c>
      <c r="F157" s="389" t="s">
        <v>3181</v>
      </c>
      <c r="G157" s="389" t="s">
        <v>3182</v>
      </c>
      <c r="H157" s="390" t="s">
        <v>1361</v>
      </c>
      <c r="I157" s="391" t="s">
        <v>1361</v>
      </c>
      <c r="J157" s="353" t="s">
        <v>3183</v>
      </c>
      <c r="K157" s="353" t="s">
        <v>3185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3314</v>
      </c>
      <c r="B158" s="386" t="s">
        <v>3315</v>
      </c>
      <c r="C158" s="392" t="s">
        <v>3191</v>
      </c>
      <c r="D158" s="387" t="s">
        <v>3316</v>
      </c>
      <c r="E158" s="388" t="s">
        <v>3317</v>
      </c>
      <c r="F158" s="389" t="s">
        <v>3181</v>
      </c>
      <c r="G158" s="389" t="s">
        <v>3182</v>
      </c>
      <c r="H158" s="390" t="s">
        <v>1361</v>
      </c>
      <c r="I158" s="391" t="s">
        <v>1361</v>
      </c>
      <c r="J158" s="353" t="s">
        <v>3183</v>
      </c>
      <c r="K158" s="355" t="s">
        <v>3186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3314</v>
      </c>
      <c r="B159" s="386" t="s">
        <v>3315</v>
      </c>
      <c r="C159" s="392" t="s">
        <v>3191</v>
      </c>
      <c r="D159" s="387" t="s">
        <v>3316</v>
      </c>
      <c r="E159" s="388" t="s">
        <v>3317</v>
      </c>
      <c r="F159" s="389" t="s">
        <v>3181</v>
      </c>
      <c r="G159" s="389" t="s">
        <v>3182</v>
      </c>
      <c r="H159" s="390" t="s">
        <v>1361</v>
      </c>
      <c r="I159" s="391" t="s">
        <v>1361</v>
      </c>
      <c r="J159" s="353" t="s">
        <v>3183</v>
      </c>
      <c r="K159" s="356" t="s">
        <v>3187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3314</v>
      </c>
      <c r="B160" s="393" t="s">
        <v>3315</v>
      </c>
      <c r="C160" s="394" t="s">
        <v>3191</v>
      </c>
      <c r="D160" s="395" t="s">
        <v>3316</v>
      </c>
      <c r="E160" s="411" t="s">
        <v>3317</v>
      </c>
      <c r="F160" s="396" t="s">
        <v>3181</v>
      </c>
      <c r="G160" s="396" t="s">
        <v>3182</v>
      </c>
      <c r="H160" s="397" t="s">
        <v>1361</v>
      </c>
      <c r="I160" s="899" t="s">
        <v>1361</v>
      </c>
      <c r="J160" s="353" t="s">
        <v>3183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3318</v>
      </c>
      <c r="B161" s="526" t="s">
        <v>3319</v>
      </c>
      <c r="C161" s="527">
        <v>1</v>
      </c>
      <c r="D161" s="528" t="s">
        <v>3320</v>
      </c>
      <c r="E161" s="426" t="s">
        <v>3321</v>
      </c>
      <c r="F161" s="529" t="s">
        <v>3181</v>
      </c>
      <c r="G161" s="529" t="s">
        <v>3182</v>
      </c>
      <c r="H161" s="530" t="s">
        <v>1362</v>
      </c>
      <c r="I161" s="384" t="s">
        <v>1362</v>
      </c>
      <c r="J161" s="353" t="s">
        <v>3183</v>
      </c>
      <c r="K161" s="354" t="s">
        <v>3184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3318</v>
      </c>
      <c r="B162" s="386" t="s">
        <v>3319</v>
      </c>
      <c r="C162" s="352" t="s">
        <v>3191</v>
      </c>
      <c r="D162" s="387" t="s">
        <v>3320</v>
      </c>
      <c r="E162" s="388" t="s">
        <v>3321</v>
      </c>
      <c r="F162" s="389" t="s">
        <v>3181</v>
      </c>
      <c r="G162" s="389" t="s">
        <v>3182</v>
      </c>
      <c r="H162" s="390" t="s">
        <v>1362</v>
      </c>
      <c r="I162" s="391" t="s">
        <v>1362</v>
      </c>
      <c r="J162" s="353" t="s">
        <v>3183</v>
      </c>
      <c r="K162" s="353" t="s">
        <v>3185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3318</v>
      </c>
      <c r="B163" s="386" t="s">
        <v>3319</v>
      </c>
      <c r="C163" s="392" t="s">
        <v>3191</v>
      </c>
      <c r="D163" s="387" t="s">
        <v>3320</v>
      </c>
      <c r="E163" s="388" t="s">
        <v>3321</v>
      </c>
      <c r="F163" s="389" t="s">
        <v>3181</v>
      </c>
      <c r="G163" s="389" t="s">
        <v>3182</v>
      </c>
      <c r="H163" s="390" t="s">
        <v>1362</v>
      </c>
      <c r="I163" s="391" t="s">
        <v>1362</v>
      </c>
      <c r="J163" s="353" t="s">
        <v>3183</v>
      </c>
      <c r="K163" s="355" t="s">
        <v>3186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3318</v>
      </c>
      <c r="B164" s="386" t="s">
        <v>3319</v>
      </c>
      <c r="C164" s="392" t="s">
        <v>3191</v>
      </c>
      <c r="D164" s="387" t="s">
        <v>3320</v>
      </c>
      <c r="E164" s="388" t="s">
        <v>3321</v>
      </c>
      <c r="F164" s="389" t="s">
        <v>3181</v>
      </c>
      <c r="G164" s="389" t="s">
        <v>3182</v>
      </c>
      <c r="H164" s="390" t="s">
        <v>1362</v>
      </c>
      <c r="I164" s="391" t="s">
        <v>1362</v>
      </c>
      <c r="J164" s="353" t="s">
        <v>3183</v>
      </c>
      <c r="K164" s="356" t="s">
        <v>3187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3318</v>
      </c>
      <c r="B165" s="393" t="s">
        <v>3319</v>
      </c>
      <c r="C165" s="394" t="s">
        <v>3191</v>
      </c>
      <c r="D165" s="395" t="s">
        <v>3320</v>
      </c>
      <c r="E165" s="411" t="s">
        <v>3321</v>
      </c>
      <c r="F165" s="396" t="s">
        <v>3181</v>
      </c>
      <c r="G165" s="396" t="s">
        <v>3182</v>
      </c>
      <c r="H165" s="397" t="s">
        <v>1362</v>
      </c>
      <c r="I165" s="899" t="s">
        <v>1362</v>
      </c>
      <c r="J165" s="353" t="s">
        <v>3183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3322</v>
      </c>
      <c r="B166" s="526" t="s">
        <v>3323</v>
      </c>
      <c r="C166" s="527">
        <v>1</v>
      </c>
      <c r="D166" s="528" t="s">
        <v>3324</v>
      </c>
      <c r="E166" s="426" t="s">
        <v>3325</v>
      </c>
      <c r="F166" s="529" t="s">
        <v>3181</v>
      </c>
      <c r="G166" s="529" t="s">
        <v>3182</v>
      </c>
      <c r="H166" s="530" t="s">
        <v>1363</v>
      </c>
      <c r="I166" s="384" t="s">
        <v>1363</v>
      </c>
      <c r="J166" s="353" t="s">
        <v>3183</v>
      </c>
      <c r="K166" s="354" t="s">
        <v>3184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3322</v>
      </c>
      <c r="B167" s="386" t="s">
        <v>3323</v>
      </c>
      <c r="C167" s="352" t="s">
        <v>3191</v>
      </c>
      <c r="D167" s="387" t="s">
        <v>3324</v>
      </c>
      <c r="E167" s="388" t="s">
        <v>3325</v>
      </c>
      <c r="F167" s="389" t="s">
        <v>3181</v>
      </c>
      <c r="G167" s="389" t="s">
        <v>3182</v>
      </c>
      <c r="H167" s="390" t="s">
        <v>1363</v>
      </c>
      <c r="I167" s="391" t="s">
        <v>1363</v>
      </c>
      <c r="J167" s="353" t="s">
        <v>3183</v>
      </c>
      <c r="K167" s="353" t="s">
        <v>3185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3322</v>
      </c>
      <c r="B168" s="386" t="s">
        <v>3323</v>
      </c>
      <c r="C168" s="392" t="s">
        <v>3191</v>
      </c>
      <c r="D168" s="387" t="s">
        <v>3324</v>
      </c>
      <c r="E168" s="388" t="s">
        <v>3325</v>
      </c>
      <c r="F168" s="389" t="s">
        <v>3181</v>
      </c>
      <c r="G168" s="389" t="s">
        <v>3182</v>
      </c>
      <c r="H168" s="390" t="s">
        <v>1363</v>
      </c>
      <c r="I168" s="391" t="s">
        <v>1363</v>
      </c>
      <c r="J168" s="353" t="s">
        <v>3183</v>
      </c>
      <c r="K168" s="355" t="s">
        <v>3186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3322</v>
      </c>
      <c r="B169" s="386" t="s">
        <v>3323</v>
      </c>
      <c r="C169" s="392" t="s">
        <v>3191</v>
      </c>
      <c r="D169" s="387" t="s">
        <v>3324</v>
      </c>
      <c r="E169" s="388" t="s">
        <v>3325</v>
      </c>
      <c r="F169" s="389" t="s">
        <v>3181</v>
      </c>
      <c r="G169" s="389" t="s">
        <v>3182</v>
      </c>
      <c r="H169" s="390" t="s">
        <v>1363</v>
      </c>
      <c r="I169" s="391" t="s">
        <v>1363</v>
      </c>
      <c r="J169" s="353" t="s">
        <v>3183</v>
      </c>
      <c r="K169" s="356" t="s">
        <v>3187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x14ac:dyDescent="0.2">
      <c r="A170" s="898" t="s">
        <v>3322</v>
      </c>
      <c r="B170" s="393" t="s">
        <v>3323</v>
      </c>
      <c r="C170" s="394" t="s">
        <v>3191</v>
      </c>
      <c r="D170" s="395" t="s">
        <v>3324</v>
      </c>
      <c r="E170" s="411" t="s">
        <v>3325</v>
      </c>
      <c r="F170" s="396" t="s">
        <v>3181</v>
      </c>
      <c r="G170" s="396" t="s">
        <v>3182</v>
      </c>
      <c r="H170" s="397" t="s">
        <v>1363</v>
      </c>
      <c r="I170" s="899" t="s">
        <v>1363</v>
      </c>
      <c r="J170" s="353" t="s">
        <v>3183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">
      <c r="A171" s="5"/>
      <c r="B171" s="5"/>
      <c r="C171" s="6"/>
      <c r="D171" s="7"/>
      <c r="E171" s="7"/>
      <c r="F171" s="7"/>
      <c r="G171" s="6"/>
      <c r="H171" s="5"/>
      <c r="I171" s="79"/>
      <c r="J171" s="5"/>
      <c r="K171" s="5"/>
      <c r="L171" s="335"/>
      <c r="M171" s="336"/>
      <c r="N171" s="335"/>
      <c r="O171" s="336"/>
      <c r="P171" s="335"/>
      <c r="Q171" s="336"/>
      <c r="R171" s="335"/>
      <c r="S171" s="336"/>
      <c r="T171" s="335"/>
      <c r="U171" s="336"/>
      <c r="V171" s="335"/>
      <c r="W171" s="336"/>
      <c r="X171" s="335"/>
      <c r="Y171" s="336"/>
      <c r="Z171" s="335"/>
      <c r="AA171" s="336"/>
      <c r="AB171" s="335"/>
      <c r="AC171" s="336"/>
      <c r="AD171" s="335"/>
      <c r="AE171" s="336"/>
      <c r="AF171" s="335"/>
      <c r="AG171" s="336"/>
      <c r="AH171" s="335"/>
      <c r="AI171" s="336"/>
      <c r="AJ171" s="335"/>
      <c r="AK171" s="336"/>
      <c r="AL171" s="335"/>
      <c r="AM171" s="336"/>
      <c r="AN171" s="335"/>
      <c r="AO171" s="336"/>
      <c r="AP171" s="335"/>
      <c r="AQ171" s="336"/>
      <c r="AR171" s="335"/>
      <c r="AS171" s="336"/>
      <c r="AT171" s="335"/>
      <c r="AU171" s="336"/>
      <c r="AV171" s="335"/>
      <c r="AW171" s="336"/>
      <c r="AX171" s="335"/>
      <c r="AY171" s="336"/>
      <c r="AZ171" s="335"/>
      <c r="BA171" s="336"/>
      <c r="BB171" s="335"/>
      <c r="BC171" s="336"/>
      <c r="BD171" s="335"/>
      <c r="BE171" s="336"/>
      <c r="BF171" s="335"/>
      <c r="BG171" s="336"/>
      <c r="BH171" s="335"/>
      <c r="BI171" s="336"/>
      <c r="BJ171" s="335"/>
      <c r="BK171" s="336"/>
      <c r="BL171" s="335"/>
      <c r="BM171" s="336"/>
      <c r="BN171" s="335"/>
      <c r="BO171" s="336"/>
      <c r="BP171" s="335"/>
      <c r="BQ171" s="336"/>
      <c r="BR171" s="335"/>
      <c r="BS171" s="336"/>
      <c r="BT171" s="335"/>
      <c r="BU171" s="336"/>
      <c r="BV171" s="337"/>
      <c r="BW171" s="337"/>
    </row>
    <row r="172" spans="1:75" s="64" customFormat="1" ht="21.95" customHeight="1" x14ac:dyDescent="0.2">
      <c r="A172" s="5"/>
      <c r="B172" s="5"/>
      <c r="C172" s="6"/>
      <c r="D172" s="7"/>
      <c r="E172" s="7"/>
      <c r="F172" s="7"/>
      <c r="G172" s="6"/>
      <c r="H172" s="5"/>
      <c r="I172" s="79"/>
      <c r="J172" s="5"/>
      <c r="K172" s="5"/>
      <c r="L172" s="335">
        <f t="shared" ref="L172:BU172" si="69">SUM(L6:L171)</f>
        <v>3</v>
      </c>
      <c r="M172" s="335">
        <f t="shared" si="69"/>
        <v>0</v>
      </c>
      <c r="N172" s="335">
        <f t="shared" si="69"/>
        <v>8</v>
      </c>
      <c r="O172" s="335">
        <f t="shared" si="69"/>
        <v>0</v>
      </c>
      <c r="P172" s="335">
        <f t="shared" si="69"/>
        <v>0</v>
      </c>
      <c r="Q172" s="335">
        <f t="shared" si="69"/>
        <v>0</v>
      </c>
      <c r="R172" s="335">
        <f t="shared" si="69"/>
        <v>0</v>
      </c>
      <c r="S172" s="335">
        <f t="shared" si="69"/>
        <v>0</v>
      </c>
      <c r="T172" s="335">
        <f t="shared" si="69"/>
        <v>0</v>
      </c>
      <c r="U172" s="335">
        <f t="shared" si="69"/>
        <v>0</v>
      </c>
      <c r="V172" s="335">
        <f t="shared" si="69"/>
        <v>3</v>
      </c>
      <c r="W172" s="335">
        <f t="shared" si="69"/>
        <v>0</v>
      </c>
      <c r="X172" s="335">
        <f t="shared" si="69"/>
        <v>15</v>
      </c>
      <c r="Y172" s="335">
        <f t="shared" si="69"/>
        <v>0</v>
      </c>
      <c r="Z172" s="335">
        <f t="shared" si="69"/>
        <v>6</v>
      </c>
      <c r="AA172" s="335">
        <f t="shared" si="69"/>
        <v>0</v>
      </c>
      <c r="AB172" s="335">
        <f t="shared" si="69"/>
        <v>11</v>
      </c>
      <c r="AC172" s="335">
        <f t="shared" si="69"/>
        <v>0</v>
      </c>
      <c r="AD172" s="335">
        <f t="shared" si="69"/>
        <v>11</v>
      </c>
      <c r="AE172" s="335">
        <f t="shared" si="69"/>
        <v>0</v>
      </c>
      <c r="AF172" s="335">
        <f t="shared" si="69"/>
        <v>0</v>
      </c>
      <c r="AG172" s="335">
        <f t="shared" si="69"/>
        <v>0</v>
      </c>
      <c r="AH172" s="335">
        <f t="shared" si="69"/>
        <v>0</v>
      </c>
      <c r="AI172" s="335">
        <f t="shared" si="69"/>
        <v>0</v>
      </c>
      <c r="AJ172" s="335">
        <f t="shared" si="69"/>
        <v>6</v>
      </c>
      <c r="AK172" s="335">
        <f t="shared" si="69"/>
        <v>0</v>
      </c>
      <c r="AL172" s="335">
        <f t="shared" si="69"/>
        <v>15</v>
      </c>
      <c r="AM172" s="335">
        <f t="shared" si="69"/>
        <v>0</v>
      </c>
      <c r="AN172" s="335">
        <f t="shared" si="69"/>
        <v>8</v>
      </c>
      <c r="AO172" s="335">
        <f t="shared" si="69"/>
        <v>0</v>
      </c>
      <c r="AP172" s="335">
        <f t="shared" si="69"/>
        <v>12</v>
      </c>
      <c r="AQ172" s="335">
        <f t="shared" si="69"/>
        <v>0</v>
      </c>
      <c r="AR172" s="335">
        <f t="shared" si="69"/>
        <v>12</v>
      </c>
      <c r="AS172" s="335">
        <f t="shared" si="69"/>
        <v>0</v>
      </c>
      <c r="AT172" s="335">
        <f t="shared" si="69"/>
        <v>0</v>
      </c>
      <c r="AU172" s="335">
        <f t="shared" si="69"/>
        <v>0</v>
      </c>
      <c r="AV172" s="335">
        <f t="shared" si="69"/>
        <v>0</v>
      </c>
      <c r="AW172" s="335">
        <f t="shared" si="69"/>
        <v>0</v>
      </c>
      <c r="AX172" s="335">
        <f t="shared" si="69"/>
        <v>3</v>
      </c>
      <c r="AY172" s="335">
        <f t="shared" si="69"/>
        <v>0</v>
      </c>
      <c r="AZ172" s="335">
        <f t="shared" si="69"/>
        <v>4</v>
      </c>
      <c r="BA172" s="335">
        <f t="shared" si="69"/>
        <v>0</v>
      </c>
      <c r="BB172" s="335">
        <f t="shared" si="69"/>
        <v>8</v>
      </c>
      <c r="BC172" s="335">
        <f t="shared" si="69"/>
        <v>0</v>
      </c>
      <c r="BD172" s="335">
        <f t="shared" si="69"/>
        <v>13</v>
      </c>
      <c r="BE172" s="335">
        <f t="shared" si="69"/>
        <v>0</v>
      </c>
      <c r="BF172" s="335">
        <f t="shared" si="69"/>
        <v>12</v>
      </c>
      <c r="BG172" s="335">
        <f t="shared" si="69"/>
        <v>0</v>
      </c>
      <c r="BH172" s="335">
        <f t="shared" si="69"/>
        <v>0</v>
      </c>
      <c r="BI172" s="335">
        <f t="shared" si="69"/>
        <v>0</v>
      </c>
      <c r="BJ172" s="335">
        <f t="shared" si="69"/>
        <v>0</v>
      </c>
      <c r="BK172" s="335">
        <f t="shared" si="69"/>
        <v>0</v>
      </c>
      <c r="BL172" s="335">
        <f t="shared" si="69"/>
        <v>9</v>
      </c>
      <c r="BM172" s="335">
        <f t="shared" si="69"/>
        <v>0</v>
      </c>
      <c r="BN172" s="335">
        <f t="shared" si="69"/>
        <v>16</v>
      </c>
      <c r="BO172" s="335">
        <f t="shared" si="69"/>
        <v>0</v>
      </c>
      <c r="BP172" s="335">
        <f t="shared" si="69"/>
        <v>11</v>
      </c>
      <c r="BQ172" s="335">
        <f t="shared" si="69"/>
        <v>0</v>
      </c>
      <c r="BR172" s="335">
        <f t="shared" si="69"/>
        <v>15</v>
      </c>
      <c r="BS172" s="335">
        <f t="shared" si="69"/>
        <v>0</v>
      </c>
      <c r="BT172" s="335">
        <f t="shared" si="69"/>
        <v>0</v>
      </c>
      <c r="BU172" s="335">
        <f t="shared" si="69"/>
        <v>0</v>
      </c>
      <c r="BV172" s="335">
        <f>SUM(BV6:BV171)</f>
        <v>201</v>
      </c>
      <c r="BW172" s="335">
        <f>SUM(BW6:BW171)</f>
        <v>0</v>
      </c>
    </row>
    <row r="173" spans="1:75" ht="21.95" customHeight="1" x14ac:dyDescent="0.25">
      <c r="A173" s="332"/>
      <c r="L173" s="335"/>
      <c r="M173" s="336"/>
      <c r="N173" s="335"/>
      <c r="O173" s="336"/>
      <c r="P173" s="335"/>
      <c r="Q173" s="336"/>
      <c r="R173" s="335"/>
      <c r="S173" s="336"/>
      <c r="T173" s="335"/>
      <c r="U173" s="336"/>
      <c r="V173" s="335"/>
      <c r="W173" s="336"/>
      <c r="X173" s="335"/>
      <c r="Y173" s="336"/>
      <c r="Z173" s="335"/>
      <c r="AA173" s="336"/>
      <c r="AB173" s="335"/>
      <c r="AC173" s="336"/>
      <c r="AD173" s="335"/>
      <c r="AE173" s="336"/>
      <c r="AF173" s="335"/>
      <c r="AG173" s="336"/>
      <c r="AH173" s="335"/>
      <c r="AI173" s="336"/>
      <c r="AJ173" s="335"/>
      <c r="AK173" s="336"/>
      <c r="AL173" s="335"/>
      <c r="AM173" s="336"/>
      <c r="AN173" s="335"/>
      <c r="AO173" s="336"/>
      <c r="AP173" s="335"/>
      <c r="AQ173" s="336"/>
      <c r="AR173" s="335"/>
      <c r="AS173" s="336"/>
      <c r="AT173" s="335"/>
      <c r="AU173" s="336"/>
      <c r="AV173" s="335"/>
      <c r="AW173" s="336"/>
      <c r="AX173" s="335"/>
      <c r="AY173" s="336"/>
      <c r="AZ173" s="335"/>
      <c r="BA173" s="336"/>
      <c r="BB173" s="335"/>
      <c r="BC173" s="336"/>
      <c r="BD173" s="335"/>
      <c r="BE173" s="336"/>
      <c r="BF173" s="335"/>
      <c r="BG173" s="336"/>
      <c r="BH173" s="335"/>
      <c r="BI173" s="336"/>
      <c r="BJ173" s="335"/>
      <c r="BK173" s="336"/>
      <c r="BL173" s="335"/>
      <c r="BM173" s="336"/>
      <c r="BN173" s="335"/>
      <c r="BO173" s="336"/>
      <c r="BP173" s="335"/>
      <c r="BQ173" s="336"/>
      <c r="BR173" s="335"/>
      <c r="BS173" s="336"/>
      <c r="BT173" s="335"/>
      <c r="BU173" s="336"/>
      <c r="BV173" s="337"/>
      <c r="BW173" s="337"/>
    </row>
    <row r="174" spans="1:75" ht="21.95" customHeight="1" x14ac:dyDescent="0.2">
      <c r="A174" s="79"/>
      <c r="B174" s="79"/>
      <c r="C174" s="331"/>
      <c r="D174" s="333"/>
      <c r="E174" s="333"/>
      <c r="F174" s="333"/>
      <c r="G174" s="331"/>
      <c r="H174" s="79"/>
      <c r="J174" s="334"/>
      <c r="K174" s="79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  <c r="AA174" s="335"/>
      <c r="AB174" s="335"/>
      <c r="AC174" s="335"/>
      <c r="AD174" s="335"/>
      <c r="AE174" s="335"/>
      <c r="AF174" s="335"/>
      <c r="AG174" s="335"/>
      <c r="AH174" s="335"/>
      <c r="AI174" s="335"/>
      <c r="AJ174" s="335"/>
      <c r="AK174" s="335"/>
      <c r="AL174" s="335"/>
      <c r="AM174" s="335"/>
      <c r="AN174" s="335"/>
      <c r="AO174" s="335"/>
      <c r="AP174" s="335"/>
      <c r="AQ174" s="335"/>
      <c r="AR174" s="335"/>
      <c r="AS174" s="335"/>
      <c r="AT174" s="335"/>
      <c r="AU174" s="335"/>
      <c r="AV174" s="335"/>
      <c r="AW174" s="335"/>
      <c r="AX174" s="335"/>
      <c r="AY174" s="335"/>
      <c r="AZ174" s="335"/>
      <c r="BA174" s="335"/>
      <c r="BB174" s="335"/>
      <c r="BC174" s="335"/>
      <c r="BD174" s="335"/>
      <c r="BE174" s="335"/>
      <c r="BF174" s="335"/>
      <c r="BG174" s="335"/>
      <c r="BH174" s="335"/>
      <c r="BI174" s="335"/>
      <c r="BJ174" s="335"/>
      <c r="BK174" s="335"/>
      <c r="BL174" s="335"/>
      <c r="BM174" s="335"/>
      <c r="BN174" s="335"/>
      <c r="BO174" s="335"/>
      <c r="BP174" s="335"/>
      <c r="BQ174" s="335"/>
      <c r="BR174" s="335"/>
      <c r="BS174" s="335"/>
      <c r="BT174" s="335"/>
      <c r="BU17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171:I172">
    <cfRule type="expression" dxfId="413" priority="164405">
      <formula>C172="CSE"</formula>
    </cfRule>
    <cfRule type="expression" dxfId="412" priority="164406">
      <formula>C172="CSC"</formula>
    </cfRule>
    <cfRule type="expression" dxfId="411" priority="166201">
      <formula>C172="CSE"</formula>
    </cfRule>
    <cfRule type="expression" dxfId="410" priority="166202">
      <formula>C172="CSC"</formula>
    </cfRule>
  </conditionalFormatting>
  <conditionalFormatting sqref="I171:I172">
    <cfRule type="expression" dxfId="409" priority="164403">
      <formula>C171="CSE"</formula>
    </cfRule>
    <cfRule type="expression" dxfId="408" priority="164404">
      <formula>C171="CSC"</formula>
    </cfRule>
    <cfRule type="expression" dxfId="407" priority="166199">
      <formula>C171="CSE"</formula>
    </cfRule>
    <cfRule type="expression" dxfId="406" priority="166200">
      <formula>C171="CSC"</formula>
    </cfRule>
  </conditionalFormatting>
  <conditionalFormatting sqref="J171:J172">
    <cfRule type="cellIs" dxfId="405" priority="164365" operator="equal">
      <formula>"CRECHE"</formula>
    </cfRule>
    <cfRule type="cellIs" dxfId="404" priority="164366" operator="equal">
      <formula>"ADAPTADO"</formula>
    </cfRule>
    <cfRule type="cellIs" dxfId="403" priority="164393" operator="equal">
      <formula>"CRECHE"</formula>
    </cfRule>
    <cfRule type="cellIs" dxfId="402" priority="164394" operator="equal">
      <formula>"ADAPTADO"</formula>
    </cfRule>
  </conditionalFormatting>
  <conditionalFormatting sqref="J171:K172">
    <cfRule type="expression" dxfId="401" priority="164391" stopIfTrue="1">
      <formula>NOT(ISERROR(SEARCH("NORMAL",J171)))</formula>
    </cfRule>
    <cfRule type="expression" dxfId="400" priority="164392" stopIfTrue="1">
      <formula>NOT(ISERROR(SEARCH("ADAPTADO",J171)))</formula>
    </cfRule>
    <cfRule type="expression" dxfId="399" priority="166240" stopIfTrue="1">
      <formula>NOT(ISERROR(SEARCH("NORMAL",J171)))</formula>
    </cfRule>
    <cfRule type="expression" dxfId="398" priority="166241" stopIfTrue="1">
      <formula>NOT(ISERROR(SEARCH("ADAPTADO",J171)))</formula>
    </cfRule>
  </conditionalFormatting>
  <conditionalFormatting sqref="L171:BU171">
    <cfRule type="cellIs" dxfId="397" priority="164389" operator="lessThan">
      <formula>0</formula>
    </cfRule>
    <cfRule type="cellIs" dxfId="396" priority="164390" operator="greaterThan">
      <formula>0</formula>
    </cfRule>
  </conditionalFormatting>
  <conditionalFormatting sqref="I171:I172">
    <cfRule type="expression" dxfId="395" priority="164361">
      <formula>C172="CSE"</formula>
    </cfRule>
    <cfRule type="expression" dxfId="394" priority="164362">
      <formula>C172="CSC"</formula>
    </cfRule>
    <cfRule type="expression" dxfId="393" priority="164363">
      <formula>C172="CSE"</formula>
    </cfRule>
    <cfRule type="expression" dxfId="392" priority="164364">
      <formula>C172="CSC"</formula>
    </cfRule>
  </conditionalFormatting>
  <conditionalFormatting sqref="I171:I172">
    <cfRule type="expression" dxfId="391" priority="164357">
      <formula>C171="CSE"</formula>
    </cfRule>
    <cfRule type="expression" dxfId="390" priority="164358">
      <formula>C171="CSC"</formula>
    </cfRule>
    <cfRule type="expression" dxfId="389" priority="164359">
      <formula>C171="CSE"</formula>
    </cfRule>
    <cfRule type="expression" dxfId="388" priority="164360">
      <formula>C171="CSC"</formula>
    </cfRule>
  </conditionalFormatting>
  <conditionalFormatting sqref="J171:J172">
    <cfRule type="cellIs" dxfId="387" priority="164355" operator="equal">
      <formula>"CRECHE"</formula>
    </cfRule>
    <cfRule type="cellIs" dxfId="386" priority="164356" operator="equal">
      <formula>"ADAPTADO"</formula>
    </cfRule>
  </conditionalFormatting>
  <conditionalFormatting sqref="J171:J172">
    <cfRule type="cellIs" dxfId="385" priority="164351" operator="equal">
      <formula>"CRECHE"</formula>
    </cfRule>
    <cfRule type="cellIs" dxfId="384" priority="164352" operator="equal">
      <formula>"ADAPTADO"</formula>
    </cfRule>
    <cfRule type="cellIs" dxfId="383" priority="164353" operator="equal">
      <formula>"CRECHE"</formula>
    </cfRule>
    <cfRule type="cellIs" dxfId="382" priority="164354" operator="equal">
      <formula>"ADAPTADO"</formula>
    </cfRule>
  </conditionalFormatting>
  <conditionalFormatting sqref="J171:K172">
    <cfRule type="expression" dxfId="381" priority="164347">
      <formula>NOT(ISERROR(SEARCH("NORMAL",J171)))</formula>
    </cfRule>
    <cfRule type="expression" dxfId="380" priority="164348">
      <formula>NOT(ISERROR(SEARCH("ADAPTADO",J171)))</formula>
    </cfRule>
    <cfRule type="expression" dxfId="379" priority="164349">
      <formula>NOT(ISERROR(SEARCH("NORMAL",J171)))</formula>
    </cfRule>
    <cfRule type="expression" dxfId="378" priority="164350">
      <formula>NOT(ISERROR(SEARCH("ADAPTADO",J171)))</formula>
    </cfRule>
  </conditionalFormatting>
  <conditionalFormatting sqref="I171:I172">
    <cfRule type="expression" dxfId="377" priority="120502">
      <formula>C172="CSC"</formula>
    </cfRule>
  </conditionalFormatting>
  <conditionalFormatting sqref="I171:I172">
    <cfRule type="expression" dxfId="376" priority="120501">
      <formula>C172="CSE"</formula>
    </cfRule>
  </conditionalFormatting>
  <conditionalFormatting sqref="I171:I172">
    <cfRule type="expression" dxfId="375" priority="120500">
      <formula>C171="CSC"</formula>
    </cfRule>
  </conditionalFormatting>
  <conditionalFormatting sqref="I171:I172">
    <cfRule type="expression" dxfId="374" priority="120479">
      <formula>C171="CSE"</formula>
    </cfRule>
  </conditionalFormatting>
  <conditionalFormatting sqref="J171:J172">
    <cfRule type="cellIs" dxfId="373" priority="120477" operator="equal">
      <formula>"CRECHE"</formula>
    </cfRule>
    <cfRule type="cellIs" dxfId="372" priority="120478" operator="equal">
      <formula>"ADAPTADO"</formula>
    </cfRule>
  </conditionalFormatting>
  <conditionalFormatting sqref="J171:K172">
    <cfRule type="expression" dxfId="371" priority="120471" stopIfTrue="1">
      <formula>NOT(ISERROR(SEARCH("NORMAL",J171)))</formula>
    </cfRule>
    <cfRule type="expression" dxfId="370" priority="120472" stopIfTrue="1">
      <formula>NOT(ISERROR(SEARCH("ADAPTADO",J171)))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0">
    <cfRule type="cellIs" dxfId="369" priority="59063" operator="lessThan">
      <formula>0</formula>
    </cfRule>
    <cfRule type="cellIs" dxfId="368" priority="59064" operator="greaterThan">
      <formula>0</formula>
    </cfRule>
  </conditionalFormatting>
  <conditionalFormatting sqref="I6:I170">
    <cfRule type="expression" dxfId="367" priority="341">
      <formula>C7="CSE"</formula>
    </cfRule>
    <cfRule type="expression" dxfId="366" priority="342">
      <formula>C7="CSC"</formula>
    </cfRule>
    <cfRule type="expression" dxfId="365" priority="343">
      <formula>C7="CSE"</formula>
    </cfRule>
    <cfRule type="expression" dxfId="364" priority="344">
      <formula>C7="CSC"</formula>
    </cfRule>
  </conditionalFormatting>
  <conditionalFormatting sqref="I10">
    <cfRule type="expression" dxfId="363" priority="333">
      <formula>C10="CSE"</formula>
    </cfRule>
    <cfRule type="expression" dxfId="362" priority="334">
      <formula>C10="CSC"</formula>
    </cfRule>
    <cfRule type="expression" dxfId="361" priority="335">
      <formula>C10="CSE"</formula>
    </cfRule>
    <cfRule type="expression" dxfId="360" priority="336">
      <formula>C10="CSC"</formula>
    </cfRule>
    <cfRule type="expression" dxfId="359" priority="337">
      <formula>C10="CSE"</formula>
    </cfRule>
    <cfRule type="expression" dxfId="358" priority="338">
      <formula>C10="CSC"</formula>
    </cfRule>
    <cfRule type="expression" dxfId="357" priority="339">
      <formula>C10="CSE"</formula>
    </cfRule>
    <cfRule type="expression" dxfId="356" priority="340">
      <formula>C10="CSC"</formula>
    </cfRule>
  </conditionalFormatting>
  <conditionalFormatting sqref="I15">
    <cfRule type="expression" dxfId="355" priority="325">
      <formula>C15="CSE"</formula>
    </cfRule>
    <cfRule type="expression" dxfId="354" priority="326">
      <formula>C15="CSC"</formula>
    </cfRule>
    <cfRule type="expression" dxfId="353" priority="327">
      <formula>C15="CSE"</formula>
    </cfRule>
    <cfRule type="expression" dxfId="352" priority="328">
      <formula>C15="CSC"</formula>
    </cfRule>
    <cfRule type="expression" dxfId="351" priority="329">
      <formula>C15="CSE"</formula>
    </cfRule>
    <cfRule type="expression" dxfId="350" priority="330">
      <formula>C15="CSC"</formula>
    </cfRule>
    <cfRule type="expression" dxfId="349" priority="331">
      <formula>C15="CSE"</formula>
    </cfRule>
    <cfRule type="expression" dxfId="348" priority="332">
      <formula>C15="CSC"</formula>
    </cfRule>
  </conditionalFormatting>
  <conditionalFormatting sqref="I20">
    <cfRule type="expression" dxfId="347" priority="317">
      <formula>C20="CSE"</formula>
    </cfRule>
    <cfRule type="expression" dxfId="346" priority="318">
      <formula>C20="CSC"</formula>
    </cfRule>
    <cfRule type="expression" dxfId="345" priority="319">
      <formula>C20="CSE"</formula>
    </cfRule>
    <cfRule type="expression" dxfId="344" priority="320">
      <formula>C20="CSC"</formula>
    </cfRule>
    <cfRule type="expression" dxfId="343" priority="321">
      <formula>C20="CSE"</formula>
    </cfRule>
    <cfRule type="expression" dxfId="342" priority="322">
      <formula>C20="CSC"</formula>
    </cfRule>
    <cfRule type="expression" dxfId="341" priority="323">
      <formula>C20="CSE"</formula>
    </cfRule>
    <cfRule type="expression" dxfId="340" priority="324">
      <formula>C20="CSC"</formula>
    </cfRule>
  </conditionalFormatting>
  <conditionalFormatting sqref="I25">
    <cfRule type="expression" dxfId="339" priority="309">
      <formula>C25="CSE"</formula>
    </cfRule>
    <cfRule type="expression" dxfId="338" priority="310">
      <formula>C25="CSC"</formula>
    </cfRule>
    <cfRule type="expression" dxfId="337" priority="311">
      <formula>C25="CSE"</formula>
    </cfRule>
    <cfRule type="expression" dxfId="336" priority="312">
      <formula>C25="CSC"</formula>
    </cfRule>
    <cfRule type="expression" dxfId="335" priority="313">
      <formula>C25="CSE"</formula>
    </cfRule>
    <cfRule type="expression" dxfId="334" priority="314">
      <formula>C25="CSC"</formula>
    </cfRule>
    <cfRule type="expression" dxfId="333" priority="315">
      <formula>C25="CSE"</formula>
    </cfRule>
    <cfRule type="expression" dxfId="332" priority="316">
      <formula>C25="CSC"</formula>
    </cfRule>
  </conditionalFormatting>
  <conditionalFormatting sqref="I30">
    <cfRule type="expression" dxfId="331" priority="301">
      <formula>C30="CSE"</formula>
    </cfRule>
    <cfRule type="expression" dxfId="330" priority="302">
      <formula>C30="CSC"</formula>
    </cfRule>
    <cfRule type="expression" dxfId="329" priority="303">
      <formula>C30="CSE"</formula>
    </cfRule>
    <cfRule type="expression" dxfId="328" priority="304">
      <formula>C30="CSC"</formula>
    </cfRule>
    <cfRule type="expression" dxfId="327" priority="305">
      <formula>C30="CSE"</formula>
    </cfRule>
    <cfRule type="expression" dxfId="326" priority="306">
      <formula>C30="CSC"</formula>
    </cfRule>
    <cfRule type="expression" dxfId="325" priority="307">
      <formula>C30="CSE"</formula>
    </cfRule>
    <cfRule type="expression" dxfId="324" priority="308">
      <formula>C30="CSC"</formula>
    </cfRule>
  </conditionalFormatting>
  <conditionalFormatting sqref="I35">
    <cfRule type="expression" dxfId="323" priority="293">
      <formula>C35="CSE"</formula>
    </cfRule>
    <cfRule type="expression" dxfId="322" priority="294">
      <formula>C35="CSC"</formula>
    </cfRule>
    <cfRule type="expression" dxfId="321" priority="295">
      <formula>C35="CSE"</formula>
    </cfRule>
    <cfRule type="expression" dxfId="320" priority="296">
      <formula>C35="CSC"</formula>
    </cfRule>
    <cfRule type="expression" dxfId="319" priority="297">
      <formula>C35="CSE"</formula>
    </cfRule>
    <cfRule type="expression" dxfId="318" priority="298">
      <formula>C35="CSC"</formula>
    </cfRule>
    <cfRule type="expression" dxfId="317" priority="299">
      <formula>C35="CSE"</formula>
    </cfRule>
    <cfRule type="expression" dxfId="316" priority="300">
      <formula>C35="CSC"</formula>
    </cfRule>
  </conditionalFormatting>
  <conditionalFormatting sqref="I40">
    <cfRule type="expression" dxfId="315" priority="285">
      <formula>C40="CSE"</formula>
    </cfRule>
    <cfRule type="expression" dxfId="314" priority="286">
      <formula>C40="CSC"</formula>
    </cfRule>
    <cfRule type="expression" dxfId="313" priority="287">
      <formula>C40="CSE"</formula>
    </cfRule>
    <cfRule type="expression" dxfId="312" priority="288">
      <formula>C40="CSC"</formula>
    </cfRule>
    <cfRule type="expression" dxfId="311" priority="289">
      <formula>C40="CSE"</formula>
    </cfRule>
    <cfRule type="expression" dxfId="310" priority="290">
      <formula>C40="CSC"</formula>
    </cfRule>
    <cfRule type="expression" dxfId="309" priority="291">
      <formula>C40="CSE"</formula>
    </cfRule>
    <cfRule type="expression" dxfId="308" priority="292">
      <formula>C40="CSC"</formula>
    </cfRule>
  </conditionalFormatting>
  <conditionalFormatting sqref="I45">
    <cfRule type="expression" dxfId="307" priority="277">
      <formula>C45="CSE"</formula>
    </cfRule>
    <cfRule type="expression" dxfId="306" priority="278">
      <formula>C45="CSC"</formula>
    </cfRule>
    <cfRule type="expression" dxfId="305" priority="279">
      <formula>C45="CSE"</formula>
    </cfRule>
    <cfRule type="expression" dxfId="304" priority="280">
      <formula>C45="CSC"</formula>
    </cfRule>
    <cfRule type="expression" dxfId="303" priority="281">
      <formula>C45="CSE"</formula>
    </cfRule>
    <cfRule type="expression" dxfId="302" priority="282">
      <formula>C45="CSC"</formula>
    </cfRule>
    <cfRule type="expression" dxfId="301" priority="283">
      <formula>C45="CSE"</formula>
    </cfRule>
    <cfRule type="expression" dxfId="300" priority="284">
      <formula>C45="CSC"</formula>
    </cfRule>
  </conditionalFormatting>
  <conditionalFormatting sqref="I50">
    <cfRule type="expression" dxfId="299" priority="269">
      <formula>C50="CSE"</formula>
    </cfRule>
    <cfRule type="expression" dxfId="298" priority="270">
      <formula>C50="CSC"</formula>
    </cfRule>
    <cfRule type="expression" dxfId="297" priority="271">
      <formula>C50="CSE"</formula>
    </cfRule>
    <cfRule type="expression" dxfId="296" priority="272">
      <formula>C50="CSC"</formula>
    </cfRule>
    <cfRule type="expression" dxfId="295" priority="273">
      <formula>C50="CSE"</formula>
    </cfRule>
    <cfRule type="expression" dxfId="294" priority="274">
      <formula>C50="CSC"</formula>
    </cfRule>
    <cfRule type="expression" dxfId="293" priority="275">
      <formula>C50="CSE"</formula>
    </cfRule>
    <cfRule type="expression" dxfId="292" priority="276">
      <formula>C50="CSC"</formula>
    </cfRule>
  </conditionalFormatting>
  <conditionalFormatting sqref="I55">
    <cfRule type="expression" dxfId="291" priority="261">
      <formula>C55="CSE"</formula>
    </cfRule>
    <cfRule type="expression" dxfId="290" priority="262">
      <formula>C55="CSC"</formula>
    </cfRule>
    <cfRule type="expression" dxfId="289" priority="263">
      <formula>C55="CSE"</formula>
    </cfRule>
    <cfRule type="expression" dxfId="288" priority="264">
      <formula>C55="CSC"</formula>
    </cfRule>
    <cfRule type="expression" dxfId="287" priority="265">
      <formula>C55="CSE"</formula>
    </cfRule>
    <cfRule type="expression" dxfId="286" priority="266">
      <formula>C55="CSC"</formula>
    </cfRule>
    <cfRule type="expression" dxfId="285" priority="267">
      <formula>C55="CSE"</formula>
    </cfRule>
    <cfRule type="expression" dxfId="284" priority="268">
      <formula>C55="CSC"</formula>
    </cfRule>
  </conditionalFormatting>
  <conditionalFormatting sqref="I60">
    <cfRule type="expression" dxfId="283" priority="253">
      <formula>C60="CSE"</formula>
    </cfRule>
    <cfRule type="expression" dxfId="282" priority="254">
      <formula>C60="CSC"</formula>
    </cfRule>
    <cfRule type="expression" dxfId="281" priority="255">
      <formula>C60="CSE"</formula>
    </cfRule>
    <cfRule type="expression" dxfId="280" priority="256">
      <formula>C60="CSC"</formula>
    </cfRule>
    <cfRule type="expression" dxfId="279" priority="257">
      <formula>C60="CSE"</formula>
    </cfRule>
    <cfRule type="expression" dxfId="278" priority="258">
      <formula>C60="CSC"</formula>
    </cfRule>
    <cfRule type="expression" dxfId="277" priority="259">
      <formula>C60="CSE"</formula>
    </cfRule>
    <cfRule type="expression" dxfId="276" priority="260">
      <formula>C60="CSC"</formula>
    </cfRule>
  </conditionalFormatting>
  <conditionalFormatting sqref="I65">
    <cfRule type="expression" dxfId="275" priority="245">
      <formula>C65="CSE"</formula>
    </cfRule>
    <cfRule type="expression" dxfId="274" priority="246">
      <formula>C65="CSC"</formula>
    </cfRule>
    <cfRule type="expression" dxfId="273" priority="247">
      <formula>C65="CSE"</formula>
    </cfRule>
    <cfRule type="expression" dxfId="272" priority="248">
      <formula>C65="CSC"</formula>
    </cfRule>
    <cfRule type="expression" dxfId="271" priority="249">
      <formula>C65="CSE"</formula>
    </cfRule>
    <cfRule type="expression" dxfId="270" priority="250">
      <formula>C65="CSC"</formula>
    </cfRule>
    <cfRule type="expression" dxfId="269" priority="251">
      <formula>C65="CSE"</formula>
    </cfRule>
    <cfRule type="expression" dxfId="268" priority="252">
      <formula>C65="CSC"</formula>
    </cfRule>
  </conditionalFormatting>
  <conditionalFormatting sqref="I70">
    <cfRule type="expression" dxfId="267" priority="237">
      <formula>C70="CSE"</formula>
    </cfRule>
    <cfRule type="expression" dxfId="266" priority="238">
      <formula>C70="CSC"</formula>
    </cfRule>
    <cfRule type="expression" dxfId="265" priority="239">
      <formula>C70="CSE"</formula>
    </cfRule>
    <cfRule type="expression" dxfId="264" priority="240">
      <formula>C70="CSC"</formula>
    </cfRule>
    <cfRule type="expression" dxfId="263" priority="241">
      <formula>C70="CSE"</formula>
    </cfRule>
    <cfRule type="expression" dxfId="262" priority="242">
      <formula>C70="CSC"</formula>
    </cfRule>
    <cfRule type="expression" dxfId="261" priority="243">
      <formula>C70="CSE"</formula>
    </cfRule>
    <cfRule type="expression" dxfId="260" priority="244">
      <formula>C70="CSC"</formula>
    </cfRule>
  </conditionalFormatting>
  <conditionalFormatting sqref="I75">
    <cfRule type="expression" dxfId="259" priority="229">
      <formula>C75="CSE"</formula>
    </cfRule>
    <cfRule type="expression" dxfId="258" priority="230">
      <formula>C75="CSC"</formula>
    </cfRule>
    <cfRule type="expression" dxfId="257" priority="231">
      <formula>C75="CSE"</formula>
    </cfRule>
    <cfRule type="expression" dxfId="256" priority="232">
      <formula>C75="CSC"</formula>
    </cfRule>
    <cfRule type="expression" dxfId="255" priority="233">
      <formula>C75="CSE"</formula>
    </cfRule>
    <cfRule type="expression" dxfId="254" priority="234">
      <formula>C75="CSC"</formula>
    </cfRule>
    <cfRule type="expression" dxfId="253" priority="235">
      <formula>C75="CSE"</formula>
    </cfRule>
    <cfRule type="expression" dxfId="252" priority="236">
      <formula>C75="CSC"</formula>
    </cfRule>
  </conditionalFormatting>
  <conditionalFormatting sqref="I80">
    <cfRule type="expression" dxfId="251" priority="221">
      <formula>C80="CSE"</formula>
    </cfRule>
    <cfRule type="expression" dxfId="250" priority="222">
      <formula>C80="CSC"</formula>
    </cfRule>
    <cfRule type="expression" dxfId="249" priority="223">
      <formula>C80="CSE"</formula>
    </cfRule>
    <cfRule type="expression" dxfId="248" priority="224">
      <formula>C80="CSC"</formula>
    </cfRule>
    <cfRule type="expression" dxfId="247" priority="225">
      <formula>C80="CSE"</formula>
    </cfRule>
    <cfRule type="expression" dxfId="246" priority="226">
      <formula>C80="CSC"</formula>
    </cfRule>
    <cfRule type="expression" dxfId="245" priority="227">
      <formula>C80="CSE"</formula>
    </cfRule>
    <cfRule type="expression" dxfId="244" priority="228">
      <formula>C80="CSC"</formula>
    </cfRule>
  </conditionalFormatting>
  <conditionalFormatting sqref="I85">
    <cfRule type="expression" dxfId="243" priority="213">
      <formula>C85="CSE"</formula>
    </cfRule>
    <cfRule type="expression" dxfId="242" priority="214">
      <formula>C85="CSC"</formula>
    </cfRule>
    <cfRule type="expression" dxfId="241" priority="215">
      <formula>C85="CSE"</formula>
    </cfRule>
    <cfRule type="expression" dxfId="240" priority="216">
      <formula>C85="CSC"</formula>
    </cfRule>
    <cfRule type="expression" dxfId="239" priority="217">
      <formula>C85="CSE"</formula>
    </cfRule>
    <cfRule type="expression" dxfId="238" priority="218">
      <formula>C85="CSC"</formula>
    </cfRule>
    <cfRule type="expression" dxfId="237" priority="219">
      <formula>C85="CSE"</formula>
    </cfRule>
    <cfRule type="expression" dxfId="236" priority="220">
      <formula>C85="CSC"</formula>
    </cfRule>
  </conditionalFormatting>
  <conditionalFormatting sqref="I90">
    <cfRule type="expression" dxfId="235" priority="205">
      <formula>C90="CSE"</formula>
    </cfRule>
    <cfRule type="expression" dxfId="234" priority="206">
      <formula>C90="CSC"</formula>
    </cfRule>
    <cfRule type="expression" dxfId="233" priority="207">
      <formula>C90="CSE"</formula>
    </cfRule>
    <cfRule type="expression" dxfId="232" priority="208">
      <formula>C90="CSC"</formula>
    </cfRule>
    <cfRule type="expression" dxfId="231" priority="209">
      <formula>C90="CSE"</formula>
    </cfRule>
    <cfRule type="expression" dxfId="230" priority="210">
      <formula>C90="CSC"</formula>
    </cfRule>
    <cfRule type="expression" dxfId="229" priority="211">
      <formula>C90="CSE"</formula>
    </cfRule>
    <cfRule type="expression" dxfId="228" priority="212">
      <formula>C90="CSC"</formula>
    </cfRule>
  </conditionalFormatting>
  <conditionalFormatting sqref="I95">
    <cfRule type="expression" dxfId="227" priority="197">
      <formula>C95="CSE"</formula>
    </cfRule>
    <cfRule type="expression" dxfId="226" priority="198">
      <formula>C95="CSC"</formula>
    </cfRule>
    <cfRule type="expression" dxfId="225" priority="199">
      <formula>C95="CSE"</formula>
    </cfRule>
    <cfRule type="expression" dxfId="224" priority="200">
      <formula>C95="CSC"</formula>
    </cfRule>
    <cfRule type="expression" dxfId="223" priority="201">
      <formula>C95="CSE"</formula>
    </cfRule>
    <cfRule type="expression" dxfId="222" priority="202">
      <formula>C95="CSC"</formula>
    </cfRule>
    <cfRule type="expression" dxfId="221" priority="203">
      <formula>C95="CSE"</formula>
    </cfRule>
    <cfRule type="expression" dxfId="220" priority="204">
      <formula>C95="CSC"</formula>
    </cfRule>
  </conditionalFormatting>
  <conditionalFormatting sqref="I100">
    <cfRule type="expression" dxfId="219" priority="189">
      <formula>C100="CSE"</formula>
    </cfRule>
    <cfRule type="expression" dxfId="218" priority="190">
      <formula>C100="CSC"</formula>
    </cfRule>
    <cfRule type="expression" dxfId="217" priority="191">
      <formula>C100="CSE"</formula>
    </cfRule>
    <cfRule type="expression" dxfId="216" priority="192">
      <formula>C100="CSC"</formula>
    </cfRule>
    <cfRule type="expression" dxfId="215" priority="193">
      <formula>C100="CSE"</formula>
    </cfRule>
    <cfRule type="expression" dxfId="214" priority="194">
      <formula>C100="CSC"</formula>
    </cfRule>
    <cfRule type="expression" dxfId="213" priority="195">
      <formula>C100="CSE"</formula>
    </cfRule>
    <cfRule type="expression" dxfId="212" priority="196">
      <formula>C100="CSC"</formula>
    </cfRule>
  </conditionalFormatting>
  <conditionalFormatting sqref="I105">
    <cfRule type="expression" dxfId="211" priority="181">
      <formula>C105="CSE"</formula>
    </cfRule>
    <cfRule type="expression" dxfId="210" priority="182">
      <formula>C105="CSC"</formula>
    </cfRule>
    <cfRule type="expression" dxfId="209" priority="183">
      <formula>C105="CSE"</formula>
    </cfRule>
    <cfRule type="expression" dxfId="208" priority="184">
      <formula>C105="CSC"</formula>
    </cfRule>
    <cfRule type="expression" dxfId="207" priority="185">
      <formula>C105="CSE"</formula>
    </cfRule>
    <cfRule type="expression" dxfId="206" priority="186">
      <formula>C105="CSC"</formula>
    </cfRule>
    <cfRule type="expression" dxfId="205" priority="187">
      <formula>C105="CSE"</formula>
    </cfRule>
    <cfRule type="expression" dxfId="204" priority="188">
      <formula>C105="CSC"</formula>
    </cfRule>
  </conditionalFormatting>
  <conditionalFormatting sqref="I110">
    <cfRule type="expression" dxfId="203" priority="173">
      <formula>C110="CSE"</formula>
    </cfRule>
    <cfRule type="expression" dxfId="202" priority="174">
      <formula>C110="CSC"</formula>
    </cfRule>
    <cfRule type="expression" dxfId="201" priority="175">
      <formula>C110="CSE"</formula>
    </cfRule>
    <cfRule type="expression" dxfId="200" priority="176">
      <formula>C110="CSC"</formula>
    </cfRule>
    <cfRule type="expression" dxfId="199" priority="177">
      <formula>C110="CSE"</formula>
    </cfRule>
    <cfRule type="expression" dxfId="198" priority="178">
      <formula>C110="CSC"</formula>
    </cfRule>
    <cfRule type="expression" dxfId="197" priority="179">
      <formula>C110="CSE"</formula>
    </cfRule>
    <cfRule type="expression" dxfId="196" priority="180">
      <formula>C110="CSC"</formula>
    </cfRule>
  </conditionalFormatting>
  <conditionalFormatting sqref="I115">
    <cfRule type="expression" dxfId="195" priority="165">
      <formula>C115="CSE"</formula>
    </cfRule>
    <cfRule type="expression" dxfId="194" priority="166">
      <formula>C115="CSC"</formula>
    </cfRule>
    <cfRule type="expression" dxfId="193" priority="167">
      <formula>C115="CSE"</formula>
    </cfRule>
    <cfRule type="expression" dxfId="192" priority="168">
      <formula>C115="CSC"</formula>
    </cfRule>
    <cfRule type="expression" dxfId="191" priority="169">
      <formula>C115="CSE"</formula>
    </cfRule>
    <cfRule type="expression" dxfId="190" priority="170">
      <formula>C115="CSC"</formula>
    </cfRule>
    <cfRule type="expression" dxfId="189" priority="171">
      <formula>C115="CSE"</formula>
    </cfRule>
    <cfRule type="expression" dxfId="188" priority="172">
      <formula>C115="CSC"</formula>
    </cfRule>
  </conditionalFormatting>
  <conditionalFormatting sqref="I120">
    <cfRule type="expression" dxfId="187" priority="157">
      <formula>C120="CSE"</formula>
    </cfRule>
    <cfRule type="expression" dxfId="186" priority="158">
      <formula>C120="CSC"</formula>
    </cfRule>
    <cfRule type="expression" dxfId="185" priority="159">
      <formula>C120="CSE"</formula>
    </cfRule>
    <cfRule type="expression" dxfId="184" priority="160">
      <formula>C120="CSC"</formula>
    </cfRule>
    <cfRule type="expression" dxfId="183" priority="161">
      <formula>C120="CSE"</formula>
    </cfRule>
    <cfRule type="expression" dxfId="182" priority="162">
      <formula>C120="CSC"</formula>
    </cfRule>
    <cfRule type="expression" dxfId="181" priority="163">
      <formula>C120="CSE"</formula>
    </cfRule>
    <cfRule type="expression" dxfId="180" priority="164">
      <formula>C120="CSC"</formula>
    </cfRule>
  </conditionalFormatting>
  <conditionalFormatting sqref="I125">
    <cfRule type="expression" dxfId="179" priority="149">
      <formula>C125="CSE"</formula>
    </cfRule>
    <cfRule type="expression" dxfId="178" priority="150">
      <formula>C125="CSC"</formula>
    </cfRule>
    <cfRule type="expression" dxfId="177" priority="151">
      <formula>C125="CSE"</formula>
    </cfRule>
    <cfRule type="expression" dxfId="176" priority="152">
      <formula>C125="CSC"</formula>
    </cfRule>
    <cfRule type="expression" dxfId="175" priority="153">
      <formula>C125="CSE"</formula>
    </cfRule>
    <cfRule type="expression" dxfId="174" priority="154">
      <formula>C125="CSC"</formula>
    </cfRule>
    <cfRule type="expression" dxfId="173" priority="155">
      <formula>C125="CSE"</formula>
    </cfRule>
    <cfRule type="expression" dxfId="172" priority="156">
      <formula>C125="CSC"</formula>
    </cfRule>
  </conditionalFormatting>
  <conditionalFormatting sqref="I130">
    <cfRule type="expression" dxfId="171" priority="141">
      <formula>C130="CSE"</formula>
    </cfRule>
    <cfRule type="expression" dxfId="170" priority="142">
      <formula>C130="CSC"</formula>
    </cfRule>
    <cfRule type="expression" dxfId="169" priority="143">
      <formula>C130="CSE"</formula>
    </cfRule>
    <cfRule type="expression" dxfId="168" priority="144">
      <formula>C130="CSC"</formula>
    </cfRule>
    <cfRule type="expression" dxfId="167" priority="145">
      <formula>C130="CSE"</formula>
    </cfRule>
    <cfRule type="expression" dxfId="166" priority="146">
      <formula>C130="CSC"</formula>
    </cfRule>
    <cfRule type="expression" dxfId="165" priority="147">
      <formula>C130="CSE"</formula>
    </cfRule>
    <cfRule type="expression" dxfId="164" priority="148">
      <formula>C130="CSC"</formula>
    </cfRule>
  </conditionalFormatting>
  <conditionalFormatting sqref="I135">
    <cfRule type="expression" dxfId="163" priority="133">
      <formula>C135="CSE"</formula>
    </cfRule>
    <cfRule type="expression" dxfId="162" priority="134">
      <formula>C135="CSC"</formula>
    </cfRule>
    <cfRule type="expression" dxfId="161" priority="135">
      <formula>C135="CSE"</formula>
    </cfRule>
    <cfRule type="expression" dxfId="160" priority="136">
      <formula>C135="CSC"</formula>
    </cfRule>
    <cfRule type="expression" dxfId="159" priority="137">
      <formula>C135="CSE"</formula>
    </cfRule>
    <cfRule type="expression" dxfId="158" priority="138">
      <formula>C135="CSC"</formula>
    </cfRule>
    <cfRule type="expression" dxfId="157" priority="139">
      <formula>C135="CSE"</formula>
    </cfRule>
    <cfRule type="expression" dxfId="156" priority="140">
      <formula>C135="CSC"</formula>
    </cfRule>
  </conditionalFormatting>
  <conditionalFormatting sqref="I140">
    <cfRule type="expression" dxfId="155" priority="125">
      <formula>C140="CSE"</formula>
    </cfRule>
    <cfRule type="expression" dxfId="154" priority="126">
      <formula>C140="CSC"</formula>
    </cfRule>
    <cfRule type="expression" dxfId="153" priority="127">
      <formula>C140="CSE"</formula>
    </cfRule>
    <cfRule type="expression" dxfId="152" priority="128">
      <formula>C140="CSC"</formula>
    </cfRule>
    <cfRule type="expression" dxfId="151" priority="129">
      <formula>C140="CSE"</formula>
    </cfRule>
    <cfRule type="expression" dxfId="150" priority="130">
      <formula>C140="CSC"</formula>
    </cfRule>
    <cfRule type="expression" dxfId="149" priority="131">
      <formula>C140="CSE"</formula>
    </cfRule>
    <cfRule type="expression" dxfId="148" priority="132">
      <formula>C140="CSC"</formula>
    </cfRule>
  </conditionalFormatting>
  <conditionalFormatting sqref="I145">
    <cfRule type="expression" dxfId="147" priority="117">
      <formula>C145="CSE"</formula>
    </cfRule>
    <cfRule type="expression" dxfId="146" priority="118">
      <formula>C145="CSC"</formula>
    </cfRule>
    <cfRule type="expression" dxfId="145" priority="119">
      <formula>C145="CSE"</formula>
    </cfRule>
    <cfRule type="expression" dxfId="144" priority="120">
      <formula>C145="CSC"</formula>
    </cfRule>
    <cfRule type="expression" dxfId="143" priority="121">
      <formula>C145="CSE"</formula>
    </cfRule>
    <cfRule type="expression" dxfId="142" priority="122">
      <formula>C145="CSC"</formula>
    </cfRule>
    <cfRule type="expression" dxfId="141" priority="123">
      <formula>C145="CSE"</formula>
    </cfRule>
    <cfRule type="expression" dxfId="140" priority="124">
      <formula>C145="CSC"</formula>
    </cfRule>
  </conditionalFormatting>
  <conditionalFormatting sqref="I150">
    <cfRule type="expression" dxfId="139" priority="109">
      <formula>C150="CSE"</formula>
    </cfRule>
    <cfRule type="expression" dxfId="138" priority="110">
      <formula>C150="CSC"</formula>
    </cfRule>
    <cfRule type="expression" dxfId="137" priority="111">
      <formula>C150="CSE"</formula>
    </cfRule>
    <cfRule type="expression" dxfId="136" priority="112">
      <formula>C150="CSC"</formula>
    </cfRule>
    <cfRule type="expression" dxfId="135" priority="113">
      <formula>C150="CSE"</formula>
    </cfRule>
    <cfRule type="expression" dxfId="134" priority="114">
      <formula>C150="CSC"</formula>
    </cfRule>
    <cfRule type="expression" dxfId="133" priority="115">
      <formula>C150="CSE"</formula>
    </cfRule>
    <cfRule type="expression" dxfId="132" priority="116">
      <formula>C150="CSC"</formula>
    </cfRule>
  </conditionalFormatting>
  <conditionalFormatting sqref="I155">
    <cfRule type="expression" dxfId="131" priority="101">
      <formula>C155="CSE"</formula>
    </cfRule>
    <cfRule type="expression" dxfId="130" priority="102">
      <formula>C155="CSC"</formula>
    </cfRule>
    <cfRule type="expression" dxfId="129" priority="103">
      <formula>C155="CSE"</formula>
    </cfRule>
    <cfRule type="expression" dxfId="128" priority="104">
      <formula>C155="CSC"</formula>
    </cfRule>
    <cfRule type="expression" dxfId="127" priority="105">
      <formula>C155="CSE"</formula>
    </cfRule>
    <cfRule type="expression" dxfId="126" priority="106">
      <formula>C155="CSC"</formula>
    </cfRule>
    <cfRule type="expression" dxfId="125" priority="107">
      <formula>C155="CSE"</formula>
    </cfRule>
    <cfRule type="expression" dxfId="124" priority="108">
      <formula>C155="CSC"</formula>
    </cfRule>
  </conditionalFormatting>
  <conditionalFormatting sqref="I160">
    <cfRule type="expression" dxfId="123" priority="93">
      <formula>C160="CSE"</formula>
    </cfRule>
    <cfRule type="expression" dxfId="122" priority="94">
      <formula>C160="CSC"</formula>
    </cfRule>
    <cfRule type="expression" dxfId="121" priority="95">
      <formula>C160="CSE"</formula>
    </cfRule>
    <cfRule type="expression" dxfId="120" priority="96">
      <formula>C160="CSC"</formula>
    </cfRule>
    <cfRule type="expression" dxfId="119" priority="97">
      <formula>C160="CSE"</formula>
    </cfRule>
    <cfRule type="expression" dxfId="118" priority="98">
      <formula>C160="CSC"</formula>
    </cfRule>
    <cfRule type="expression" dxfId="117" priority="99">
      <formula>C160="CSE"</formula>
    </cfRule>
    <cfRule type="expression" dxfId="116" priority="100">
      <formula>C160="CSC"</formula>
    </cfRule>
  </conditionalFormatting>
  <conditionalFormatting sqref="I165">
    <cfRule type="expression" dxfId="115" priority="85">
      <formula>C165="CSE"</formula>
    </cfRule>
    <cfRule type="expression" dxfId="114" priority="86">
      <formula>C165="CSC"</formula>
    </cfRule>
    <cfRule type="expression" dxfId="113" priority="87">
      <formula>C165="CSE"</formula>
    </cfRule>
    <cfRule type="expression" dxfId="112" priority="88">
      <formula>C165="CSC"</formula>
    </cfRule>
    <cfRule type="expression" dxfId="111" priority="89">
      <formula>C165="CSE"</formula>
    </cfRule>
    <cfRule type="expression" dxfId="110" priority="90">
      <formula>C165="CSC"</formula>
    </cfRule>
    <cfRule type="expression" dxfId="109" priority="91">
      <formula>C165="CSE"</formula>
    </cfRule>
    <cfRule type="expression" dxfId="108" priority="92">
      <formula>C165="CSC"</formula>
    </cfRule>
  </conditionalFormatting>
  <conditionalFormatting sqref="I170">
    <cfRule type="expression" dxfId="107" priority="77">
      <formula>C170="CSE"</formula>
    </cfRule>
    <cfRule type="expression" dxfId="106" priority="78">
      <formula>C170="CSC"</formula>
    </cfRule>
    <cfRule type="expression" dxfId="105" priority="79">
      <formula>C170="CSE"</formula>
    </cfRule>
    <cfRule type="expression" dxfId="104" priority="80">
      <formula>C170="CSC"</formula>
    </cfRule>
    <cfRule type="expression" dxfId="103" priority="81">
      <formula>C170="CSE"</formula>
    </cfRule>
    <cfRule type="expression" dxfId="102" priority="82">
      <formula>C170="CSC"</formula>
    </cfRule>
    <cfRule type="expression" dxfId="101" priority="83">
      <formula>C170="CSE"</formula>
    </cfRule>
    <cfRule type="expression" dxfId="100" priority="84">
      <formula>C170="CSC"</formula>
    </cfRule>
  </conditionalFormatting>
  <conditionalFormatting sqref="J6:J170">
    <cfRule type="cellIs" dxfId="99" priority="71" operator="equal">
      <formula>"CRECHE"</formula>
    </cfRule>
    <cfRule type="cellIs" dxfId="98" priority="72" operator="equal">
      <formula>"ADAPTADO"</formula>
    </cfRule>
    <cfRule type="cellIs" dxfId="97" priority="73" operator="equal">
      <formula>"CRECHE"</formula>
    </cfRule>
    <cfRule type="cellIs" dxfId="96" priority="74" operator="equal">
      <formula>"ADAPTADO"</formula>
    </cfRule>
    <cfRule type="cellIs" dxfId="95" priority="75" operator="equal">
      <formula>"CRECHE"</formula>
    </cfRule>
    <cfRule type="cellIs" dxfId="94" priority="76" operator="equal">
      <formula>"ADAPTADO"</formula>
    </cfRule>
  </conditionalFormatting>
  <conditionalFormatting sqref="J6:K10">
    <cfRule type="expression" dxfId="93" priority="67">
      <formula>NOT(ISERROR(SEARCH("NORMAL",J6)))</formula>
    </cfRule>
    <cfRule type="expression" dxfId="92" priority="68">
      <formula>NOT(ISERROR(SEARCH("ADAPTADO",J6)))</formula>
    </cfRule>
    <cfRule type="expression" dxfId="91" priority="69">
      <formula>NOT(ISERROR(SEARCH("NORMAL",J6)))</formula>
    </cfRule>
    <cfRule type="expression" dxfId="90" priority="70">
      <formula>NOT(ISERROR(SEARCH("ADAPTADO",J6)))</formula>
    </cfRule>
  </conditionalFormatting>
  <conditionalFormatting sqref="J11:K15">
    <cfRule type="expression" dxfId="89" priority="65">
      <formula>NOT(ISERROR(SEARCH("NORMAL",J11)))</formula>
    </cfRule>
    <cfRule type="expression" dxfId="88" priority="66">
      <formula>NOT(ISERROR(SEARCH("ADAPTADO",J11)))</formula>
    </cfRule>
  </conditionalFormatting>
  <conditionalFormatting sqref="J11:K20">
    <cfRule type="expression" dxfId="87" priority="63">
      <formula>NOT(ISERROR(SEARCH("NORMAL",J11)))</formula>
    </cfRule>
    <cfRule type="expression" dxfId="86" priority="64">
      <formula>NOT(ISERROR(SEARCH("ADAPTADO",J11)))</formula>
    </cfRule>
  </conditionalFormatting>
  <conditionalFormatting sqref="J16:K25">
    <cfRule type="expression" dxfId="85" priority="61">
      <formula>NOT(ISERROR(SEARCH("NORMAL",J16)))</formula>
    </cfRule>
    <cfRule type="expression" dxfId="84" priority="62">
      <formula>NOT(ISERROR(SEARCH("ADAPTADO",J16)))</formula>
    </cfRule>
  </conditionalFormatting>
  <conditionalFormatting sqref="J21:K30">
    <cfRule type="expression" dxfId="83" priority="59">
      <formula>NOT(ISERROR(SEARCH("NORMAL",J21)))</formula>
    </cfRule>
    <cfRule type="expression" dxfId="82" priority="60">
      <formula>NOT(ISERROR(SEARCH("ADAPTADO",J21)))</formula>
    </cfRule>
  </conditionalFormatting>
  <conditionalFormatting sqref="J26:K35">
    <cfRule type="expression" dxfId="81" priority="57">
      <formula>NOT(ISERROR(SEARCH("NORMAL",J26)))</formula>
    </cfRule>
    <cfRule type="expression" dxfId="80" priority="58">
      <formula>NOT(ISERROR(SEARCH("ADAPTADO",J26)))</formula>
    </cfRule>
  </conditionalFormatting>
  <conditionalFormatting sqref="J31:K40">
    <cfRule type="expression" dxfId="79" priority="55">
      <formula>NOT(ISERROR(SEARCH("NORMAL",J31)))</formula>
    </cfRule>
    <cfRule type="expression" dxfId="78" priority="56">
      <formula>NOT(ISERROR(SEARCH("ADAPTADO",J31)))</formula>
    </cfRule>
  </conditionalFormatting>
  <conditionalFormatting sqref="J36:K45">
    <cfRule type="expression" dxfId="77" priority="53">
      <formula>NOT(ISERROR(SEARCH("NORMAL",J36)))</formula>
    </cfRule>
    <cfRule type="expression" dxfId="76" priority="54">
      <formula>NOT(ISERROR(SEARCH("ADAPTADO",J36)))</formula>
    </cfRule>
  </conditionalFormatting>
  <conditionalFormatting sqref="J41:K50">
    <cfRule type="expression" dxfId="75" priority="51">
      <formula>NOT(ISERROR(SEARCH("NORMAL",J41)))</formula>
    </cfRule>
    <cfRule type="expression" dxfId="74" priority="52">
      <formula>NOT(ISERROR(SEARCH("ADAPTADO",J41)))</formula>
    </cfRule>
  </conditionalFormatting>
  <conditionalFormatting sqref="J46:K55">
    <cfRule type="expression" dxfId="73" priority="49">
      <formula>NOT(ISERROR(SEARCH("NORMAL",J46)))</formula>
    </cfRule>
    <cfRule type="expression" dxfId="72" priority="50">
      <formula>NOT(ISERROR(SEARCH("ADAPTADO",J46)))</formula>
    </cfRule>
  </conditionalFormatting>
  <conditionalFormatting sqref="J51:K60">
    <cfRule type="expression" dxfId="71" priority="47">
      <formula>NOT(ISERROR(SEARCH("NORMAL",J51)))</formula>
    </cfRule>
    <cfRule type="expression" dxfId="70" priority="48">
      <formula>NOT(ISERROR(SEARCH("ADAPTADO",J51)))</formula>
    </cfRule>
  </conditionalFormatting>
  <conditionalFormatting sqref="J56:K65">
    <cfRule type="expression" dxfId="69" priority="45">
      <formula>NOT(ISERROR(SEARCH("NORMAL",J56)))</formula>
    </cfRule>
    <cfRule type="expression" dxfId="68" priority="46">
      <formula>NOT(ISERROR(SEARCH("ADAPTADO",J56)))</formula>
    </cfRule>
  </conditionalFormatting>
  <conditionalFormatting sqref="J61:K70">
    <cfRule type="expression" dxfId="67" priority="43">
      <formula>NOT(ISERROR(SEARCH("NORMAL",J61)))</formula>
    </cfRule>
    <cfRule type="expression" dxfId="66" priority="44">
      <formula>NOT(ISERROR(SEARCH("ADAPTADO",J61)))</formula>
    </cfRule>
  </conditionalFormatting>
  <conditionalFormatting sqref="J66:K75">
    <cfRule type="expression" dxfId="65" priority="41">
      <formula>NOT(ISERROR(SEARCH("NORMAL",J66)))</formula>
    </cfRule>
    <cfRule type="expression" dxfId="64" priority="42">
      <formula>NOT(ISERROR(SEARCH("ADAPTADO",J66)))</formula>
    </cfRule>
  </conditionalFormatting>
  <conditionalFormatting sqref="J71:K80">
    <cfRule type="expression" dxfId="63" priority="39">
      <formula>NOT(ISERROR(SEARCH("NORMAL",J71)))</formula>
    </cfRule>
    <cfRule type="expression" dxfId="62" priority="40">
      <formula>NOT(ISERROR(SEARCH("ADAPTADO",J71)))</formula>
    </cfRule>
  </conditionalFormatting>
  <conditionalFormatting sqref="J76:K85">
    <cfRule type="expression" dxfId="61" priority="37">
      <formula>NOT(ISERROR(SEARCH("NORMAL",J76)))</formula>
    </cfRule>
    <cfRule type="expression" dxfId="60" priority="38">
      <formula>NOT(ISERROR(SEARCH("ADAPTADO",J76)))</formula>
    </cfRule>
  </conditionalFormatting>
  <conditionalFormatting sqref="J81:K90">
    <cfRule type="expression" dxfId="59" priority="35">
      <formula>NOT(ISERROR(SEARCH("NORMAL",J81)))</formula>
    </cfRule>
    <cfRule type="expression" dxfId="58" priority="36">
      <formula>NOT(ISERROR(SEARCH("ADAPTADO",J81)))</formula>
    </cfRule>
  </conditionalFormatting>
  <conditionalFormatting sqref="J86:K95">
    <cfRule type="expression" dxfId="57" priority="33">
      <formula>NOT(ISERROR(SEARCH("NORMAL",J86)))</formula>
    </cfRule>
    <cfRule type="expression" dxfId="56" priority="34">
      <formula>NOT(ISERROR(SEARCH("ADAPTADO",J86)))</formula>
    </cfRule>
  </conditionalFormatting>
  <conditionalFormatting sqref="J91:K100">
    <cfRule type="expression" dxfId="55" priority="31">
      <formula>NOT(ISERROR(SEARCH("NORMAL",J91)))</formula>
    </cfRule>
    <cfRule type="expression" dxfId="54" priority="32">
      <formula>NOT(ISERROR(SEARCH("ADAPTADO",J91)))</formula>
    </cfRule>
  </conditionalFormatting>
  <conditionalFormatting sqref="J96:K105">
    <cfRule type="expression" dxfId="53" priority="29">
      <formula>NOT(ISERROR(SEARCH("NORMAL",J96)))</formula>
    </cfRule>
    <cfRule type="expression" dxfId="52" priority="30">
      <formula>NOT(ISERROR(SEARCH("ADAPTADO",J96)))</formula>
    </cfRule>
  </conditionalFormatting>
  <conditionalFormatting sqref="J101:K110">
    <cfRule type="expression" dxfId="51" priority="27">
      <formula>NOT(ISERROR(SEARCH("NORMAL",J101)))</formula>
    </cfRule>
    <cfRule type="expression" dxfId="50" priority="28">
      <formula>NOT(ISERROR(SEARCH("ADAPTADO",J101)))</formula>
    </cfRule>
  </conditionalFormatting>
  <conditionalFormatting sqref="J106:K115">
    <cfRule type="expression" dxfId="49" priority="25">
      <formula>NOT(ISERROR(SEARCH("NORMAL",J106)))</formula>
    </cfRule>
    <cfRule type="expression" dxfId="48" priority="26">
      <formula>NOT(ISERROR(SEARCH("ADAPTADO",J106)))</formula>
    </cfRule>
  </conditionalFormatting>
  <conditionalFormatting sqref="J111:K120">
    <cfRule type="expression" dxfId="47" priority="23">
      <formula>NOT(ISERROR(SEARCH("NORMAL",J111)))</formula>
    </cfRule>
    <cfRule type="expression" dxfId="46" priority="24">
      <formula>NOT(ISERROR(SEARCH("ADAPTADO",J111)))</formula>
    </cfRule>
  </conditionalFormatting>
  <conditionalFormatting sqref="J116:K125">
    <cfRule type="expression" dxfId="45" priority="21">
      <formula>NOT(ISERROR(SEARCH("NORMAL",J116)))</formula>
    </cfRule>
    <cfRule type="expression" dxfId="44" priority="22">
      <formula>NOT(ISERROR(SEARCH("ADAPTADO",J116)))</formula>
    </cfRule>
  </conditionalFormatting>
  <conditionalFormatting sqref="J121:K130">
    <cfRule type="expression" dxfId="43" priority="19">
      <formula>NOT(ISERROR(SEARCH("NORMAL",J121)))</formula>
    </cfRule>
    <cfRule type="expression" dxfId="42" priority="20">
      <formula>NOT(ISERROR(SEARCH("ADAPTADO",J121)))</formula>
    </cfRule>
  </conditionalFormatting>
  <conditionalFormatting sqref="J126:K135">
    <cfRule type="expression" dxfId="41" priority="17">
      <formula>NOT(ISERROR(SEARCH("NORMAL",J126)))</formula>
    </cfRule>
    <cfRule type="expression" dxfId="40" priority="18">
      <formula>NOT(ISERROR(SEARCH("ADAPTADO",J126)))</formula>
    </cfRule>
  </conditionalFormatting>
  <conditionalFormatting sqref="J131:K140">
    <cfRule type="expression" dxfId="39" priority="15">
      <formula>NOT(ISERROR(SEARCH("NORMAL",J131)))</formula>
    </cfRule>
    <cfRule type="expression" dxfId="38" priority="16">
      <formula>NOT(ISERROR(SEARCH("ADAPTADO",J131)))</formula>
    </cfRule>
  </conditionalFormatting>
  <conditionalFormatting sqref="J136:K145">
    <cfRule type="expression" dxfId="37" priority="13">
      <formula>NOT(ISERROR(SEARCH("NORMAL",J136)))</formula>
    </cfRule>
    <cfRule type="expression" dxfId="36" priority="14">
      <formula>NOT(ISERROR(SEARCH("ADAPTADO",J136)))</formula>
    </cfRule>
  </conditionalFormatting>
  <conditionalFormatting sqref="J141:K150">
    <cfRule type="expression" dxfId="35" priority="11">
      <formula>NOT(ISERROR(SEARCH("NORMAL",J141)))</formula>
    </cfRule>
    <cfRule type="expression" dxfId="34" priority="12">
      <formula>NOT(ISERROR(SEARCH("ADAPTADO",J141)))</formula>
    </cfRule>
  </conditionalFormatting>
  <conditionalFormatting sqref="J146:K155">
    <cfRule type="expression" dxfId="33" priority="9">
      <formula>NOT(ISERROR(SEARCH("NORMAL",J146)))</formula>
    </cfRule>
    <cfRule type="expression" dxfId="32" priority="10">
      <formula>NOT(ISERROR(SEARCH("ADAPTADO",J146)))</formula>
    </cfRule>
  </conditionalFormatting>
  <conditionalFormatting sqref="J151:K160">
    <cfRule type="expression" dxfId="31" priority="7">
      <formula>NOT(ISERROR(SEARCH("NORMAL",J151)))</formula>
    </cfRule>
    <cfRule type="expression" dxfId="30" priority="8">
      <formula>NOT(ISERROR(SEARCH("ADAPTADO",J151)))</formula>
    </cfRule>
  </conditionalFormatting>
  <conditionalFormatting sqref="J156:K165">
    <cfRule type="expression" dxfId="29" priority="5">
      <formula>NOT(ISERROR(SEARCH("NORMAL",J156)))</formula>
    </cfRule>
    <cfRule type="expression" dxfId="28" priority="6">
      <formula>NOT(ISERROR(SEARCH("ADAPTADO",J156)))</formula>
    </cfRule>
  </conditionalFormatting>
  <conditionalFormatting sqref="J161:K170">
    <cfRule type="expression" dxfId="27" priority="3">
      <formula>NOT(ISERROR(SEARCH("NORMAL",J161)))</formula>
    </cfRule>
    <cfRule type="expression" dxfId="26" priority="4">
      <formula>NOT(ISERROR(SEARCH("ADAPTADO",J161)))</formula>
    </cfRule>
  </conditionalFormatting>
  <conditionalFormatting sqref="J166:K170">
    <cfRule type="expression" dxfId="25" priority="1">
      <formula>NOT(ISERROR(SEARCH("NORMAL",J166)))</formula>
    </cfRule>
    <cfRule type="expression" dxfId="24" priority="2">
      <formula>NOT(ISERROR(SEARCH("ADAPTADO",J166)))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MARLI PEREIRA DA SILVA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FB</v>
      </c>
      <c r="D2" s="682" t="str">
        <f>UPPER('APONTAMENTO CREDENCIAMENTO'!A1)</f>
        <v>FREGUESIA / BRASILÂNDIA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3272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MARLI PEREIRA DA SILVA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3270</v>
      </c>
      <c r="D10" s="299" t="str">
        <f>VLOOKUP($C10,'APONTAMENTO CREDENCIAMENTO'!$A:$J,8,0)</f>
        <v>MARLI PEREIRA DA SILVA</v>
      </c>
      <c r="E10" s="299" t="str">
        <f>VLOOKUP($C10,'APONTAMENTO CREDENCIAMENTO'!$A:$J,9,0)</f>
        <v>MARLI PEREIRA DA SILVA</v>
      </c>
      <c r="F10" s="300" t="str">
        <f>VLOOKUP($C10,'APONTAMENTO CREDENCIAMENTO'!$A:$P,15,0)</f>
        <v>6020.2024/0058937-5</v>
      </c>
      <c r="G10" s="301" t="str">
        <f>VLOOKUP($C10,'APONTAMENTO CREDENCIAMENTO'!$A:$P,4,0)</f>
        <v>2024/0058937</v>
      </c>
      <c r="H10" s="301" t="str">
        <f>VLOOKUP($C10,'APONTAMENTO CREDENCIAMENTO'!$A:$P,5,0)</f>
        <v>ELQ7434</v>
      </c>
      <c r="I10" s="301" t="str">
        <f>IF(VLOOKUP($C10,'APONTAMENTO CREDENCIAMENTO'!$A:$J,10,0)="NORMAL","NORMAL","ADAPTADO")</f>
        <v>ADAPTADO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MAR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2024/0058937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24</v>
      </c>
      <c r="H11" s="185" t="str">
        <f>'BASE C'!E4</f>
        <v>ABRIL</v>
      </c>
      <c r="I11" s="186" t="str">
        <f>'BASE C'!D2</f>
        <v>FREGUESIA / BRASILÂNDIA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MARLI PEREIRA DA SILVA</v>
      </c>
      <c r="B13" s="748"/>
      <c r="C13" s="748"/>
      <c r="D13" s="748"/>
      <c r="E13" s="749"/>
      <c r="F13" s="756" t="str">
        <f>VLOOKUP(A11,ProcRel1!E2:G5000,3,FALSE)</f>
        <v>809.179.258-15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CREDENCIAMENTO'!D1:EL4052,12,FALSE)</f>
        <v>6020.2024/0058937-5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16188.48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16188.48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16188.48</v>
      </c>
      <c r="I34" s="729"/>
    </row>
    <row r="35" spans="1:12" s="12" customFormat="1" x14ac:dyDescent="0.2">
      <c r="A35" s="716" t="s">
        <v>106</v>
      </c>
      <c r="B35" s="717">
        <f>VLOOKUP(A11,'APONTAMENTO CREDENCIAMENTO'!D1:EL4052,138,FALSE)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CREDENCIAMENTO'!D1:EL4052,139,FALSE)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20"/>
  <sheetViews>
    <sheetView showGridLines="0" zoomScale="80" zoomScaleNormal="80" workbookViewId="0">
      <selection activeCell="C4" sqref="C4:C36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3196</v>
      </c>
      <c r="B4" s="413" t="s">
        <v>3326</v>
      </c>
      <c r="C4" s="432" t="s">
        <v>3359</v>
      </c>
      <c r="D4" s="430">
        <f>SUMIF('APONTAMENTO CREDENCIAMENTO'!$D$5:$D$4054,$A4,'APONTAMENTO CREDENCIAMENTO'!$FE$5:$FE$4054)</f>
        <v>24057.41</v>
      </c>
      <c r="E4" s="431">
        <f>IF(D4=0,0,IF(D4*0.2*0.11&gt;607.2,607.2,IF(D4&lt;42377.92,D4*0.2*0.11,IF(D4*0.2*0.11&gt;932.31,932.31))))</f>
        <v>529.26301999999998</v>
      </c>
      <c r="F4" s="431">
        <f>$D4*'VALORES TABELA'!$B$45*'VALORES TABELA'!$B$46</f>
        <v>120.28705000000001</v>
      </c>
      <c r="G4" s="431">
        <f t="shared" ref="G4" si="0">D4*60%</f>
        <v>14434.446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3060.74</v>
      </c>
      <c r="I4" s="431">
        <f>IF($C4=$C3,($D4+$D3)*'VALORES TABELA'!$B$50-$E3,$D4*'VALORES TABELA'!$B$50)</f>
        <v>14434.446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2915.1953195000001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2915.1953195000001</v>
      </c>
    </row>
    <row r="5" spans="1:16" ht="20.25" customHeight="1" x14ac:dyDescent="0.2">
      <c r="A5" t="s">
        <v>3200</v>
      </c>
      <c r="B5" t="s">
        <v>3327</v>
      </c>
      <c r="C5" t="s">
        <v>3360</v>
      </c>
      <c r="D5" s="430">
        <f>SUMIF('APONTAMENTO CREDENCIAMENTO'!$D$5:$D$4054,$A5,'APONTAMENTO CREDENCIAMENTO'!$FE$5:$FE$4054)</f>
        <v>12852.68</v>
      </c>
      <c r="E5" s="431">
        <f t="shared" ref="E5:E36" si="1">IF(D5=0,0,IF(D5*0.2*0.11&gt;607.2,607.2,IF(D5&lt;42377.92,D5*0.2*0.11,IF(D5*0.2*0.11&gt;932.31,932.31))))</f>
        <v>282.75896</v>
      </c>
      <c r="F5" s="431">
        <f>$D5*'VALORES TABELA'!$B$45*'VALORES TABELA'!$B$46</f>
        <v>64.263400000000004</v>
      </c>
      <c r="G5" s="431">
        <f t="shared" ref="G5:G36" si="2">D5*60%</f>
        <v>7711.6080000000002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1211.96</v>
      </c>
      <c r="I5" s="431">
        <f>IF($C5=$C4,($D5+$D4)*'VALORES TABELA'!$B$50-$E4,$D5*'VALORES TABELA'!$B$50)</f>
        <v>7711.6080000000002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1134.2034860000001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-1780.9918335</v>
      </c>
    </row>
    <row r="6" spans="1:16" ht="20.25" customHeight="1" x14ac:dyDescent="0.2">
      <c r="A6" t="s">
        <v>3204</v>
      </c>
      <c r="B6" t="s">
        <v>3328</v>
      </c>
      <c r="C6" t="s">
        <v>3361</v>
      </c>
      <c r="D6" s="430">
        <f>SUMIF('APONTAMENTO CREDENCIAMENTO'!$D$5:$D$4054,$A6,'APONTAMENTO CREDENCIAMENTO'!$FE$5:$FE$4054)</f>
        <v>17518.214</v>
      </c>
      <c r="E6" s="431">
        <f t="shared" si="1"/>
        <v>385.40070800000001</v>
      </c>
      <c r="F6" s="431">
        <f>$D6*'VALORES TABELA'!$B$45*'VALORES TABELA'!$B$46</f>
        <v>87.591070000000002</v>
      </c>
      <c r="G6" s="431">
        <f t="shared" si="2"/>
        <v>10510.928399999999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1981.77</v>
      </c>
      <c r="I6" s="431">
        <f>IF($C6=$C5,($D6+$D5)*'VALORES TABELA'!$B$50-$E5,$D6*'VALORES TABELA'!$B$50)</f>
        <v>10510.928399999999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1875.7901153000003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741.58662930000014</v>
      </c>
    </row>
    <row r="7" spans="1:16" ht="20.25" customHeight="1" x14ac:dyDescent="0.2">
      <c r="A7" t="s">
        <v>3208</v>
      </c>
      <c r="B7" t="s">
        <v>3329</v>
      </c>
      <c r="C7" t="s">
        <v>3362</v>
      </c>
      <c r="D7" s="430">
        <f>SUMIF('APONTAMENTO CREDENCIAMENTO'!$D$5:$D$4054,$A7,'APONTAMENTO CREDENCIAMENTO'!$FE$5:$FE$4054)</f>
        <v>11850.859999999999</v>
      </c>
      <c r="E7" s="431">
        <f t="shared" si="1"/>
        <v>260.71892000000003</v>
      </c>
      <c r="F7" s="431">
        <f>$D7*'VALORES TABELA'!$B$45*'VALORES TABELA'!$B$46</f>
        <v>59.254300000000001</v>
      </c>
      <c r="G7" s="431">
        <f t="shared" si="2"/>
        <v>7110.5159999999987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1046.6600000000001</v>
      </c>
      <c r="I7" s="431">
        <f>IF($C7=$C6,($D7+$D6)*'VALORES TABELA'!$B$50-$E6,$D7*'VALORES TABELA'!$B$50)</f>
        <v>7110.5159999999987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974.96419699999979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-900.82591830000047</v>
      </c>
    </row>
    <row r="8" spans="1:16" ht="20.25" customHeight="1" x14ac:dyDescent="0.2">
      <c r="A8" t="s">
        <v>3212</v>
      </c>
      <c r="B8" t="s">
        <v>3330</v>
      </c>
      <c r="C8" t="s">
        <v>3363</v>
      </c>
      <c r="D8" s="430">
        <f>SUMIF('APONTAMENTO CREDENCIAMENTO'!$D$5:$D$4054,$A8,'APONTAMENTO CREDENCIAMENTO'!$FE$5:$FE$4054)</f>
        <v>16257.039000000001</v>
      </c>
      <c r="E8" s="431">
        <f t="shared" si="1"/>
        <v>357.65485800000005</v>
      </c>
      <c r="F8" s="431">
        <f>$D8*'VALORES TABELA'!$B$45*'VALORES TABELA'!$B$46</f>
        <v>81.285195000000016</v>
      </c>
      <c r="G8" s="431">
        <f t="shared" si="2"/>
        <v>9754.2234000000008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1773.68</v>
      </c>
      <c r="I8" s="431">
        <f>IF($C8=$C7,($D8+$D7)*'VALORES TABELA'!$B$50-$E7,$D8*'VALORES TABELA'!$B$50)</f>
        <v>9754.2234000000008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1675.3263490500003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700.36215205000053</v>
      </c>
    </row>
    <row r="9" spans="1:16" ht="20.25" customHeight="1" x14ac:dyDescent="0.2">
      <c r="A9" t="s">
        <v>3216</v>
      </c>
      <c r="B9" t="s">
        <v>3331</v>
      </c>
      <c r="C9" t="s">
        <v>3364</v>
      </c>
      <c r="D9" s="430">
        <f>SUMIF('APONTAMENTO CREDENCIAMENTO'!$D$5:$D$4054,$A9,'APONTAMENTO CREDENCIAMENTO'!$FE$5:$FE$4054)</f>
        <v>14393.93</v>
      </c>
      <c r="E9" s="431">
        <f t="shared" si="1"/>
        <v>316.66646000000003</v>
      </c>
      <c r="F9" s="431">
        <f>$D9*'VALORES TABELA'!$B$45*'VALORES TABELA'!$B$46</f>
        <v>71.969650000000001</v>
      </c>
      <c r="G9" s="431">
        <f t="shared" si="2"/>
        <v>8636.3580000000002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1466.26</v>
      </c>
      <c r="I9" s="431">
        <f>IF($C9=$C8,($D9+$D8)*'VALORES TABELA'!$B$50-$E8,$D9*'VALORES TABELA'!$B$50)</f>
        <v>8636.3580000000002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1379.1851735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-296.1411755500003</v>
      </c>
    </row>
    <row r="10" spans="1:16" ht="20.25" customHeight="1" x14ac:dyDescent="0.2">
      <c r="A10" t="s">
        <v>3220</v>
      </c>
      <c r="B10" t="s">
        <v>3332</v>
      </c>
      <c r="C10" t="s">
        <v>3365</v>
      </c>
      <c r="D10" s="430">
        <f>SUMIF('APONTAMENTO CREDENCIAMENTO'!$D$5:$D$4054,$A10,'APONTAMENTO CREDENCIAMENTO'!$FE$5:$FE$4054)</f>
        <v>11742.891000000001</v>
      </c>
      <c r="E10" s="431">
        <f t="shared" si="1"/>
        <v>258.34360200000003</v>
      </c>
      <c r="F10" s="431">
        <f>$D10*'VALORES TABELA'!$B$45*'VALORES TABELA'!$B$46</f>
        <v>58.714455000000015</v>
      </c>
      <c r="G10" s="431">
        <f t="shared" si="2"/>
        <v>7045.7346000000007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1022.72</v>
      </c>
      <c r="I10" s="431">
        <f>IF($C10=$C9,($D10+$D9)*'VALORES TABELA'!$B$50-$E9,$D10*'VALORES TABELA'!$B$50)</f>
        <v>7045.7346000000007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957.80252445000042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-421.3826490499996</v>
      </c>
    </row>
    <row r="11" spans="1:16" ht="20.25" customHeight="1" x14ac:dyDescent="0.2">
      <c r="A11" t="s">
        <v>3224</v>
      </c>
      <c r="B11" t="s">
        <v>3333</v>
      </c>
      <c r="C11" t="s">
        <v>3366</v>
      </c>
      <c r="D11" s="430">
        <f>SUMIF('APONTAMENTO CREDENCIAMENTO'!$D$5:$D$4054,$A11,'APONTAMENTO CREDENCIAMENTO'!$FE$5:$FE$4054)</f>
        <v>17460.485000000001</v>
      </c>
      <c r="E11" s="431">
        <f t="shared" si="1"/>
        <v>384.13067000000001</v>
      </c>
      <c r="F11" s="431">
        <f>$D11*'VALORES TABELA'!$B$45*'VALORES TABELA'!$B$46</f>
        <v>87.302425000000014</v>
      </c>
      <c r="G11" s="431">
        <f t="shared" si="2"/>
        <v>10476.290999999999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1972.25</v>
      </c>
      <c r="I11" s="431">
        <f>IF($C11=$C10,($D11+$D10)*'VALORES TABELA'!$B$50-$E10,$D11*'VALORES TABELA'!$B$50)</f>
        <v>10476.290999999999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1866.6140907499998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908.81156629999941</v>
      </c>
    </row>
    <row r="12" spans="1:16" ht="20.25" customHeight="1" x14ac:dyDescent="0.2">
      <c r="A12" t="s">
        <v>3228</v>
      </c>
      <c r="B12" t="s">
        <v>3334</v>
      </c>
      <c r="C12" t="s">
        <v>3367</v>
      </c>
      <c r="D12" s="430">
        <f>SUMIF('APONTAMENTO CREDENCIAMENTO'!$D$5:$D$4054,$A12,'APONTAMENTO CREDENCIAMENTO'!$FE$5:$FE$4054)</f>
        <v>23672.18</v>
      </c>
      <c r="E12" s="431">
        <f t="shared" si="1"/>
        <v>520.78796000000011</v>
      </c>
      <c r="F12" s="431">
        <f>$D12*'VALORES TABELA'!$B$45*'VALORES TABELA'!$B$46</f>
        <v>118.36090000000002</v>
      </c>
      <c r="G12" s="431">
        <f t="shared" si="2"/>
        <v>14203.307999999999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2997.17</v>
      </c>
      <c r="I12" s="431">
        <f>IF($C12=$C11,($D12+$D11)*'VALORES TABELA'!$B$50-$E11,$D12*'VALORES TABELA'!$B$50)</f>
        <v>14203.307999999999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2853.9630110000003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987.34892025000045</v>
      </c>
    </row>
    <row r="13" spans="1:16" ht="20.25" customHeight="1" x14ac:dyDescent="0.2">
      <c r="A13" t="s">
        <v>3232</v>
      </c>
      <c r="B13" t="s">
        <v>3335</v>
      </c>
      <c r="C13" t="s">
        <v>3368</v>
      </c>
      <c r="D13" s="430">
        <f>SUMIF('APONTAMENTO CREDENCIAMENTO'!$D$5:$D$4054,$A13,'APONTAMENTO CREDENCIAMENTO'!$FE$5:$FE$4054)</f>
        <v>19482.828000000001</v>
      </c>
      <c r="E13" s="431">
        <f t="shared" si="1"/>
        <v>428.62221600000004</v>
      </c>
      <c r="F13" s="431">
        <f>$D13*'VALORES TABELA'!$B$45*'VALORES TABELA'!$B$46</f>
        <v>97.414140000000017</v>
      </c>
      <c r="G13" s="431">
        <f t="shared" si="2"/>
        <v>11689.6968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2305.9299999999998</v>
      </c>
      <c r="I13" s="431">
        <f>IF($C13=$C12,($D13+$D12)*'VALORES TABELA'!$B$50-$E12,$D13*'VALORES TABELA'!$B$50)</f>
        <v>11689.6968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2188.0655106000004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-665.8975003999999</v>
      </c>
    </row>
    <row r="14" spans="1:16" ht="20.25" customHeight="1" x14ac:dyDescent="0.2">
      <c r="A14" t="s">
        <v>3236</v>
      </c>
      <c r="B14" t="s">
        <v>3336</v>
      </c>
      <c r="C14" t="s">
        <v>3369</v>
      </c>
      <c r="D14" s="430">
        <f>SUMIF('APONTAMENTO CREDENCIAMENTO'!$D$5:$D$4054,$A14,'APONTAMENTO CREDENCIAMENTO'!$FE$5:$FE$4054)</f>
        <v>14982.098</v>
      </c>
      <c r="E14" s="431">
        <f t="shared" si="1"/>
        <v>329.606156</v>
      </c>
      <c r="F14" s="431">
        <f>$D14*'VALORES TABELA'!$B$45*'VALORES TABELA'!$B$46</f>
        <v>74.91049000000001</v>
      </c>
      <c r="G14" s="431">
        <f t="shared" si="2"/>
        <v>8989.2587999999996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1563.31</v>
      </c>
      <c r="I14" s="431">
        <f>IF($C14=$C13,($D14+$D13)*'VALORES TABELA'!$B$50-$E13,$D14*'VALORES TABELA'!$B$50)</f>
        <v>8989.2587999999996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1472.6744771000003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-715.39103350000005</v>
      </c>
    </row>
    <row r="15" spans="1:16" ht="20.25" customHeight="1" x14ac:dyDescent="0.2">
      <c r="A15" t="s">
        <v>3240</v>
      </c>
      <c r="B15" t="s">
        <v>3337</v>
      </c>
      <c r="C15" t="s">
        <v>3370</v>
      </c>
      <c r="D15" s="430">
        <f>SUMIF('APONTAMENTO CREDENCIAMENTO'!$D$5:$D$4054,$A15,'APONTAMENTO CREDENCIAMENTO'!$FE$5:$FE$4054)</f>
        <v>20076.7</v>
      </c>
      <c r="E15" s="431">
        <f t="shared" si="1"/>
        <v>441.68740000000003</v>
      </c>
      <c r="F15" s="431">
        <f>$D15*'VALORES TABELA'!$B$45*'VALORES TABELA'!$B$46</f>
        <v>100.38350000000001</v>
      </c>
      <c r="G15" s="431">
        <f t="shared" si="2"/>
        <v>12046.02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2403.92</v>
      </c>
      <c r="I15" s="431">
        <f>IF($C15=$C14,($D15+$D14)*'VALORES TABELA'!$B$50-$E14,$D15*'VALORES TABELA'!$B$50)</f>
        <v>12046.02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2282.4614650000003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809.78698789999999</v>
      </c>
    </row>
    <row r="16" spans="1:16" ht="20.25" customHeight="1" x14ac:dyDescent="0.2">
      <c r="A16" t="s">
        <v>3244</v>
      </c>
      <c r="B16" t="s">
        <v>3338</v>
      </c>
      <c r="C16" t="s">
        <v>3371</v>
      </c>
      <c r="D16" s="430">
        <f>SUMIF('APONTAMENTO CREDENCIAMENTO'!$D$5:$D$4054,$A16,'APONTAMENTO CREDENCIAMENTO'!$FE$5:$FE$4054)</f>
        <v>14932.699999999999</v>
      </c>
      <c r="E16" s="431">
        <f t="shared" si="1"/>
        <v>328.51940000000002</v>
      </c>
      <c r="F16" s="431">
        <f>$D16*'VALORES TABELA'!$B$45*'VALORES TABELA'!$B$46</f>
        <v>74.663499999999999</v>
      </c>
      <c r="G16" s="431">
        <f t="shared" si="2"/>
        <v>8959.619999999999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1555.16</v>
      </c>
      <c r="I16" s="431">
        <f>IF($C16=$C15,($D16+$D15)*'VALORES TABELA'!$B$50-$E15,$D16*'VALORES TABELA'!$B$50)</f>
        <v>8959.619999999999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1464.8226650000001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-817.63880000000017</v>
      </c>
    </row>
    <row r="17" spans="1:11" ht="20.25" customHeight="1" x14ac:dyDescent="0.2">
      <c r="A17" t="s">
        <v>3248</v>
      </c>
      <c r="B17" t="s">
        <v>3339</v>
      </c>
      <c r="C17" t="s">
        <v>3372</v>
      </c>
      <c r="D17" s="430">
        <f>SUMIF('APONTAMENTO CREDENCIAMENTO'!$D$5:$D$4054,$A17,'APONTAMENTO CREDENCIAMENTO'!$FE$5:$FE$4054)</f>
        <v>17941.930000000004</v>
      </c>
      <c r="E17" s="431">
        <f t="shared" si="1"/>
        <v>394.72246000000013</v>
      </c>
      <c r="F17" s="431">
        <f>$D17*'VALORES TABELA'!$B$45*'VALORES TABELA'!$B$46</f>
        <v>89.709650000000025</v>
      </c>
      <c r="G17" s="431">
        <f t="shared" si="2"/>
        <v>10765.158000000001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2051.6799999999998</v>
      </c>
      <c r="I17" s="431">
        <f>IF($C17=$C16,($D17+$D16)*'VALORES TABELA'!$B$50-$E16,$D17*'VALORES TABELA'!$B$50)</f>
        <v>10765.158000000001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1943.1397735000005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478.31710850000036</v>
      </c>
    </row>
    <row r="18" spans="1:11" ht="20.25" customHeight="1" x14ac:dyDescent="0.2">
      <c r="A18" t="s">
        <v>3252</v>
      </c>
      <c r="B18" t="s">
        <v>3340</v>
      </c>
      <c r="C18" t="s">
        <v>3373</v>
      </c>
      <c r="D18" s="430">
        <f>SUMIF('APONTAMENTO CREDENCIAMENTO'!$D$5:$D$4054,$A18,'APONTAMENTO CREDENCIAMENTO'!$FE$5:$FE$4054)</f>
        <v>13995.306999999999</v>
      </c>
      <c r="E18" s="431">
        <f t="shared" si="1"/>
        <v>307.89675399999999</v>
      </c>
      <c r="F18" s="431">
        <f>$D18*'VALORES TABELA'!$B$45*'VALORES TABELA'!$B$46</f>
        <v>69.976534999999998</v>
      </c>
      <c r="G18" s="431">
        <f t="shared" si="2"/>
        <v>8397.1841999999997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1400.49</v>
      </c>
      <c r="I18" s="431">
        <f>IF($C18=$C17,($D18+$D17)*'VALORES TABELA'!$B$50-$E17,$D18*'VALORES TABELA'!$B$50)</f>
        <v>8397.1841999999997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1315.82404765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-627.31572585000049</v>
      </c>
    </row>
    <row r="19" spans="1:11" ht="20.25" customHeight="1" x14ac:dyDescent="0.2">
      <c r="A19" t="s">
        <v>3256</v>
      </c>
      <c r="B19" t="s">
        <v>3341</v>
      </c>
      <c r="C19" t="s">
        <v>3374</v>
      </c>
      <c r="D19" s="430">
        <f>SUMIF('APONTAMENTO CREDENCIAMENTO'!$D$5:$D$4054,$A19,'APONTAMENTO CREDENCIAMENTO'!$FE$5:$FE$4054)</f>
        <v>19152.148000000001</v>
      </c>
      <c r="E19" s="431">
        <f t="shared" si="1"/>
        <v>421.34725600000007</v>
      </c>
      <c r="F19" s="431">
        <f>$D19*'VALORES TABELA'!$B$45*'VALORES TABELA'!$B$46</f>
        <v>95.760740000000013</v>
      </c>
      <c r="G19" s="431">
        <f t="shared" si="2"/>
        <v>11491.2888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2251.37</v>
      </c>
      <c r="I19" s="431">
        <f>IF($C19=$C18,($D19+$D18)*'VALORES TABELA'!$B$50-$E18,$D19*'VALORES TABELA'!$B$50)</f>
        <v>11491.2888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2135.5039246000001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819.67987695000011</v>
      </c>
    </row>
    <row r="20" spans="1:11" ht="20.25" customHeight="1" x14ac:dyDescent="0.2">
      <c r="A20" t="s">
        <v>3260</v>
      </c>
      <c r="B20" t="s">
        <v>3342</v>
      </c>
      <c r="C20" t="s">
        <v>3375</v>
      </c>
      <c r="D20" s="430">
        <f>SUMIF('APONTAMENTO CREDENCIAMENTO'!$D$5:$D$4054,$A20,'APONTAMENTO CREDENCIAMENTO'!$FE$5:$FE$4054)</f>
        <v>19948.29</v>
      </c>
      <c r="E20" s="431">
        <f t="shared" si="1"/>
        <v>438.86238000000003</v>
      </c>
      <c r="F20" s="431">
        <f>$D20*'VALORES TABELA'!$B$45*'VALORES TABELA'!$B$46</f>
        <v>99.741450000000015</v>
      </c>
      <c r="G20" s="431">
        <f t="shared" si="2"/>
        <v>11968.974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2382.73</v>
      </c>
      <c r="I20" s="431">
        <f>IF($C20=$C19,($D20+$D19)*'VALORES TABELA'!$B$50-$E19,$D20*'VALORES TABELA'!$B$50)</f>
        <v>11968.974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2262.0506955000001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126.54677089999996</v>
      </c>
    </row>
    <row r="21" spans="1:11" ht="20.25" customHeight="1" x14ac:dyDescent="0.2">
      <c r="A21" t="s">
        <v>3264</v>
      </c>
      <c r="B21" t="s">
        <v>3343</v>
      </c>
      <c r="C21" t="s">
        <v>3376</v>
      </c>
      <c r="D21" s="430">
        <f>SUMIF('APONTAMENTO CREDENCIAMENTO'!$D$5:$D$4054,$A21,'APONTAMENTO CREDENCIAMENTO'!$FE$5:$FE$4054)</f>
        <v>26157.08</v>
      </c>
      <c r="E21" s="431">
        <f t="shared" si="1"/>
        <v>575.45576000000017</v>
      </c>
      <c r="F21" s="431">
        <f>$D21*'VALORES TABELA'!$B$45*'VALORES TABELA'!$B$46</f>
        <v>130.78540000000004</v>
      </c>
      <c r="G21" s="431">
        <f t="shared" si="2"/>
        <v>15694.248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3407.18</v>
      </c>
      <c r="I21" s="431">
        <f>IF($C21=$C20,($D21+$D20)*'VALORES TABELA'!$B$50-$E20,$D21*'VALORES TABELA'!$B$50)</f>
        <v>15694.248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3248.9378659999998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986.88717049999968</v>
      </c>
    </row>
    <row r="22" spans="1:11" ht="20.25" customHeight="1" x14ac:dyDescent="0.2">
      <c r="A22" t="s">
        <v>3268</v>
      </c>
      <c r="B22" t="s">
        <v>3344</v>
      </c>
      <c r="C22" t="s">
        <v>3377</v>
      </c>
      <c r="D22" s="430">
        <f>SUMIF('APONTAMENTO CREDENCIAMENTO'!$D$5:$D$4054,$A22,'APONTAMENTO CREDENCIAMENTO'!$FE$5:$FE$4054)</f>
        <v>12051.075000000001</v>
      </c>
      <c r="E22" s="431">
        <f t="shared" si="1"/>
        <v>265.12365</v>
      </c>
      <c r="F22" s="431">
        <f>$D22*'VALORES TABELA'!$B$45*'VALORES TABELA'!$B$46</f>
        <v>60.255375000000008</v>
      </c>
      <c r="G22" s="431">
        <f t="shared" si="2"/>
        <v>7230.6450000000004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1079.69</v>
      </c>
      <c r="I22" s="431">
        <f>IF($C22=$C21,($D22+$D21)*'VALORES TABELA'!$B$50-$E21,$D22*'VALORES TABELA'!$B$50)</f>
        <v>7230.6450000000004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1006.7883712500004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-2242.1494947499996</v>
      </c>
    </row>
    <row r="23" spans="1:11" ht="20.25" customHeight="1" x14ac:dyDescent="0.2">
      <c r="A23" t="s">
        <v>3272</v>
      </c>
      <c r="B23" t="s">
        <v>3345</v>
      </c>
      <c r="C23" t="s">
        <v>3378</v>
      </c>
      <c r="D23" s="430">
        <f>SUMIF('APONTAMENTO CREDENCIAMENTO'!$D$5:$D$4054,$A23,'APONTAMENTO CREDENCIAMENTO'!$FE$5:$FE$4054)</f>
        <v>16188.48</v>
      </c>
      <c r="E23" s="431">
        <f t="shared" si="1"/>
        <v>356.14655999999997</v>
      </c>
      <c r="F23" s="431">
        <f>$D23*'VALORES TABELA'!$B$45*'VALORES TABELA'!$B$46</f>
        <v>80.942400000000006</v>
      </c>
      <c r="G23" s="431">
        <f t="shared" si="2"/>
        <v>9713.0879999999997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23" s="431">
        <f>IF($C23=$C22,($D23+$D22)*'VALORES TABELA'!$B$50-$E22,$D23*'VALORES TABELA'!$B$50)</f>
        <v>9713.0879999999997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1664.4288960000003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657.64052474999994</v>
      </c>
    </row>
    <row r="24" spans="1:11" ht="20.25" customHeight="1" x14ac:dyDescent="0.2">
      <c r="A24" t="s">
        <v>3276</v>
      </c>
      <c r="B24" t="s">
        <v>3346</v>
      </c>
      <c r="C24" t="s">
        <v>3379</v>
      </c>
      <c r="D24" s="430">
        <f>SUMIF('APONTAMENTO CREDENCIAMENTO'!$D$5:$D$4054,$A24,'APONTAMENTO CREDENCIAMENTO'!$FE$5:$FE$4054)</f>
        <v>12390.33</v>
      </c>
      <c r="E24" s="431">
        <f t="shared" si="1"/>
        <v>272.58726000000001</v>
      </c>
      <c r="F24" s="431">
        <f>$D24*'VALORES TABELA'!$B$45*'VALORES TABELA'!$B$46</f>
        <v>61.951650000000008</v>
      </c>
      <c r="G24" s="431">
        <f t="shared" si="2"/>
        <v>7434.1979999999994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1135.67</v>
      </c>
      <c r="I24" s="431">
        <f>IF($C24=$C23,($D24+$D23)*'VALORES TABELA'!$B$50-$E23,$D24*'VALORES TABELA'!$B$50)</f>
        <v>7434.1979999999994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1060.7129534999999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-603.71594250000044</v>
      </c>
    </row>
    <row r="25" spans="1:11" ht="20.25" customHeight="1" x14ac:dyDescent="0.2">
      <c r="A25" t="s">
        <v>3280</v>
      </c>
      <c r="B25" t="s">
        <v>3347</v>
      </c>
      <c r="C25" t="s">
        <v>3380</v>
      </c>
      <c r="D25" s="430">
        <f>SUMIF('APONTAMENTO CREDENCIAMENTO'!$D$5:$D$4054,$A25,'APONTAMENTO CREDENCIAMENTO'!$FE$5:$FE$4054)</f>
        <v>11447.548000000001</v>
      </c>
      <c r="E25" s="431">
        <f t="shared" si="1"/>
        <v>251.84605600000003</v>
      </c>
      <c r="F25" s="431">
        <f>$D25*'VALORES TABELA'!$B$45*'VALORES TABELA'!$B$46</f>
        <v>57.237740000000009</v>
      </c>
      <c r="G25" s="431">
        <f t="shared" si="2"/>
        <v>6868.5288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949.53</v>
      </c>
      <c r="I25" s="431">
        <f>IF($C25=$C24,($D25+$D24)*'VALORES TABELA'!$B$50-$E24,$D25*'VALORES TABELA'!$B$50)</f>
        <v>6868.5288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910.85775460000013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-149.85519889999978</v>
      </c>
    </row>
    <row r="26" spans="1:11" ht="20.25" customHeight="1" x14ac:dyDescent="0.2">
      <c r="A26" t="s">
        <v>3284</v>
      </c>
      <c r="B26" t="s">
        <v>3348</v>
      </c>
      <c r="C26" t="s">
        <v>3381</v>
      </c>
      <c r="D26" s="430">
        <f>SUMIF('APONTAMENTO CREDENCIAMENTO'!$D$5:$D$4054,$A26,'APONTAMENTO CREDENCIAMENTO'!$FE$5:$FE$4054)</f>
        <v>12465.262000000001</v>
      </c>
      <c r="E26" s="431">
        <f t="shared" si="1"/>
        <v>274.23576400000007</v>
      </c>
      <c r="F26" s="431">
        <f>$D26*'VALORES TABELA'!$B$45*'VALORES TABELA'!$B$46</f>
        <v>62.326310000000014</v>
      </c>
      <c r="G26" s="431">
        <f t="shared" si="2"/>
        <v>7479.1571999999996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1148.03</v>
      </c>
      <c r="I26" s="431">
        <f>IF($C26=$C25,($D26+$D25)*'VALORES TABELA'!$B$50-$E25,$D26*'VALORES TABELA'!$B$50)</f>
        <v>7479.1571999999996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1072.6233949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161.76564029999986</v>
      </c>
    </row>
    <row r="27" spans="1:11" ht="20.25" customHeight="1" x14ac:dyDescent="0.2">
      <c r="A27" t="s">
        <v>3288</v>
      </c>
      <c r="B27" t="s">
        <v>3349</v>
      </c>
      <c r="C27" t="s">
        <v>3382</v>
      </c>
      <c r="D27" s="430">
        <f>SUMIF('APONTAMENTO CREDENCIAMENTO'!$D$5:$D$4054,$A27,'APONTAMENTO CREDENCIAMENTO'!$FE$5:$FE$4054)</f>
        <v>15844.411</v>
      </c>
      <c r="E27" s="431">
        <f t="shared" si="1"/>
        <v>348.57704200000001</v>
      </c>
      <c r="F27" s="431">
        <f>$D27*'VALORES TABELA'!$B$45*'VALORES TABELA'!$B$46</f>
        <v>79.222055000000012</v>
      </c>
      <c r="G27" s="431">
        <f t="shared" si="2"/>
        <v>9506.6466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1705.59</v>
      </c>
      <c r="I27" s="431">
        <f>IF($C27=$C26,($D27+$D26)*'VALORES TABELA'!$B$50-$E26,$D27*'VALORES TABELA'!$B$50)</f>
        <v>9506.6466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1609.73912845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537.11573354999996</v>
      </c>
    </row>
    <row r="28" spans="1:11" ht="20.25" customHeight="1" x14ac:dyDescent="0.2">
      <c r="A28" t="s">
        <v>3292</v>
      </c>
      <c r="B28" t="s">
        <v>3350</v>
      </c>
      <c r="C28" t="s">
        <v>3383</v>
      </c>
      <c r="D28" s="430">
        <f>SUMIF('APONTAMENTO CREDENCIAMENTO'!$D$5:$D$4054,$A28,'APONTAMENTO CREDENCIAMENTO'!$FE$5:$FE$4054)</f>
        <v>27595.494000000002</v>
      </c>
      <c r="E28" s="431">
        <f t="shared" si="1"/>
        <v>607.1008680000001</v>
      </c>
      <c r="F28" s="431">
        <f>$D28*'VALORES TABELA'!$B$45*'VALORES TABELA'!$B$46</f>
        <v>137.97747000000001</v>
      </c>
      <c r="G28" s="431">
        <f t="shared" si="2"/>
        <v>16557.296399999999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3644.52</v>
      </c>
      <c r="I28" s="431">
        <f>IF($C28=$C27,($D28+$D27)*'VALORES TABELA'!$B$50-$E27,$D28*'VALORES TABELA'!$B$50)</f>
        <v>16557.296399999999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3477.5737713000003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1867.8346428500004</v>
      </c>
    </row>
    <row r="29" spans="1:11" ht="20.25" customHeight="1" x14ac:dyDescent="0.2">
      <c r="A29" t="s">
        <v>3296</v>
      </c>
      <c r="B29" t="s">
        <v>3351</v>
      </c>
      <c r="C29" t="s">
        <v>3384</v>
      </c>
      <c r="D29" s="430">
        <f>SUMIF('APONTAMENTO CREDENCIAMENTO'!$D$5:$D$4054,$A29,'APONTAMENTO CREDENCIAMENTO'!$FE$5:$FE$4054)</f>
        <v>16271.298666666666</v>
      </c>
      <c r="E29" s="431">
        <f t="shared" si="1"/>
        <v>357.96857066666666</v>
      </c>
      <c r="F29" s="431">
        <f>$D29*'VALORES TABELA'!$B$45*'VALORES TABELA'!$B$46</f>
        <v>81.356493333333333</v>
      </c>
      <c r="G29" s="431">
        <f t="shared" si="2"/>
        <v>9762.779199999999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1776.03</v>
      </c>
      <c r="I29" s="431">
        <f>IF($C29=$C28,($D29+$D28)*'VALORES TABELA'!$B$50-$E28,$D29*'VALORES TABELA'!$B$50)</f>
        <v>9762.779199999999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1677.5929230666666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-1799.9808482333337</v>
      </c>
    </row>
    <row r="30" spans="1:11" ht="20.25" customHeight="1" x14ac:dyDescent="0.2">
      <c r="A30" t="s">
        <v>3300</v>
      </c>
      <c r="B30" t="s">
        <v>3352</v>
      </c>
      <c r="C30" t="s">
        <v>3385</v>
      </c>
      <c r="D30" s="430">
        <f>SUMIF('APONTAMENTO CREDENCIAMENTO'!$D$5:$D$4054,$A30,'APONTAMENTO CREDENCIAMENTO'!$FE$5:$FE$4054)</f>
        <v>13579.154000000002</v>
      </c>
      <c r="E30" s="431">
        <f t="shared" si="1"/>
        <v>298.74138800000009</v>
      </c>
      <c r="F30" s="431">
        <f>$D30*'VALORES TABELA'!$B$45*'VALORES TABELA'!$B$46</f>
        <v>67.895770000000013</v>
      </c>
      <c r="G30" s="431">
        <f t="shared" si="2"/>
        <v>8147.492400000001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1331.83</v>
      </c>
      <c r="I30" s="431">
        <f>IF($C30=$C29,($D30+$D29)*'VALORES TABELA'!$B$50-$E29,$D30*'VALORES TABELA'!$B$50)</f>
        <v>8147.492400000001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1249.6765283000004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-427.91639476666614</v>
      </c>
    </row>
    <row r="31" spans="1:11" ht="20.25" customHeight="1" x14ac:dyDescent="0.2">
      <c r="A31" t="s">
        <v>3304</v>
      </c>
      <c r="B31" t="s">
        <v>3353</v>
      </c>
      <c r="C31" t="s">
        <v>3386</v>
      </c>
      <c r="D31" s="430">
        <f>SUMIF('APONTAMENTO CREDENCIAMENTO'!$D$5:$D$4054,$A31,'APONTAMENTO CREDENCIAMENTO'!$FE$5:$FE$4054)</f>
        <v>15582.35</v>
      </c>
      <c r="E31" s="431">
        <f t="shared" si="1"/>
        <v>342.81170000000003</v>
      </c>
      <c r="F31" s="431">
        <f>$D31*'VALORES TABELA'!$B$45*'VALORES TABELA'!$B$46</f>
        <v>77.911750000000012</v>
      </c>
      <c r="G31" s="431">
        <f t="shared" si="2"/>
        <v>9349.41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1662.35</v>
      </c>
      <c r="I31" s="431">
        <f>IF($C31=$C30,($D31+$D30)*'VALORES TABELA'!$B$50-$E30,$D31*'VALORES TABELA'!$B$50)</f>
        <v>9349.41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1568.0845325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318.4080041999996</v>
      </c>
    </row>
    <row r="32" spans="1:11" ht="20.25" customHeight="1" x14ac:dyDescent="0.2">
      <c r="A32" t="s">
        <v>3308</v>
      </c>
      <c r="B32" t="s">
        <v>3354</v>
      </c>
      <c r="C32" t="s">
        <v>3387</v>
      </c>
      <c r="D32" s="430">
        <f>SUMIF('APONTAMENTO CREDENCIAMENTO'!$D$5:$D$4054,$A32,'APONTAMENTO CREDENCIAMENTO'!$FE$5:$FE$4054)</f>
        <v>14670.639000000003</v>
      </c>
      <c r="E32" s="431">
        <f t="shared" si="1"/>
        <v>322.7540580000001</v>
      </c>
      <c r="F32" s="431">
        <f>$D32*'VALORES TABELA'!$B$45*'VALORES TABELA'!$B$46</f>
        <v>73.353195000000014</v>
      </c>
      <c r="G32" s="431">
        <f t="shared" si="2"/>
        <v>8802.3834000000006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1511.92</v>
      </c>
      <c r="I32" s="431">
        <f>IF($C32=$C31,($D32+$D31)*'VALORES TABELA'!$B$50-$E31,$D32*'VALORES TABELA'!$B$50)</f>
        <v>8802.3834000000006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1423.1680690500002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-144.91646344999981</v>
      </c>
    </row>
    <row r="33" spans="1:11" ht="20.25" customHeight="1" x14ac:dyDescent="0.2">
      <c r="A33" t="s">
        <v>3312</v>
      </c>
      <c r="B33" t="s">
        <v>3355</v>
      </c>
      <c r="C33" t="s">
        <v>3388</v>
      </c>
      <c r="D33" s="430">
        <f>SUMIF('APONTAMENTO CREDENCIAMENTO'!$D$5:$D$4054,$A33,'APONTAMENTO CREDENCIAMENTO'!$FE$5:$FE$4054)</f>
        <v>16858.849999999999</v>
      </c>
      <c r="E33" s="431">
        <f t="shared" si="1"/>
        <v>370.8947</v>
      </c>
      <c r="F33" s="431">
        <f>$D33*'VALORES TABELA'!$B$45*'VALORES TABELA'!$B$46</f>
        <v>84.294250000000005</v>
      </c>
      <c r="G33" s="431">
        <f t="shared" si="2"/>
        <v>10115.31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1872.98</v>
      </c>
      <c r="I33" s="431">
        <f>IF($C33=$C32,($D33+$D32)*'VALORES TABELA'!$B$50-$E32,$D33*'VALORES TABELA'!$B$50)</f>
        <v>10115.31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1770.9842074999997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347.81613844999947</v>
      </c>
    </row>
    <row r="34" spans="1:11" ht="20.25" customHeight="1" x14ac:dyDescent="0.2">
      <c r="A34" t="s">
        <v>3316</v>
      </c>
      <c r="B34" t="s">
        <v>3356</v>
      </c>
      <c r="C34" t="s">
        <v>3389</v>
      </c>
      <c r="D34" s="430">
        <f>SUMIF('APONTAMENTO CREDENCIAMENTO'!$D$5:$D$4054,$A34,'APONTAMENTO CREDENCIAMENTO'!$FE$5:$FE$4054)</f>
        <v>16352.810000000001</v>
      </c>
      <c r="E34" s="431">
        <f t="shared" si="1"/>
        <v>359.76182000000006</v>
      </c>
      <c r="F34" s="431">
        <f>$D34*'VALORES TABELA'!$B$45*'VALORES TABELA'!$B$46</f>
        <v>81.764050000000012</v>
      </c>
      <c r="G34" s="431">
        <f t="shared" si="2"/>
        <v>9811.6859999999997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1789.48</v>
      </c>
      <c r="I34" s="431">
        <f>IF($C34=$C33,($D34+$D33)*'VALORES TABELA'!$B$50-$E33,$D34*'VALORES TABELA'!$B$50)</f>
        <v>9811.6859999999997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1690.5491495000001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-80.435057999999572</v>
      </c>
    </row>
    <row r="35" spans="1:11" ht="20.25" customHeight="1" x14ac:dyDescent="0.2">
      <c r="A35" t="s">
        <v>3320</v>
      </c>
      <c r="B35" t="s">
        <v>3357</v>
      </c>
      <c r="C35" t="s">
        <v>3390</v>
      </c>
      <c r="D35" s="430">
        <f>SUMIF('APONTAMENTO CREDENCIAMENTO'!$D$5:$D$4054,$A35,'APONTAMENTO CREDENCIAMENTO'!$FE$5:$FE$4054)</f>
        <v>12179.485000000001</v>
      </c>
      <c r="E35" s="431">
        <f t="shared" si="1"/>
        <v>267.94867000000005</v>
      </c>
      <c r="F35" s="431">
        <f>$D35*'VALORES TABELA'!$B$45*'VALORES TABELA'!$B$46</f>
        <v>60.897425000000013</v>
      </c>
      <c r="G35" s="431">
        <f t="shared" si="2"/>
        <v>7307.6909999999998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1100.8800000000001</v>
      </c>
      <c r="I35" s="431">
        <f>IF($C35=$C34,($D35+$D34)*'VALORES TABELA'!$B$50-$E34,$D35*'VALORES TABELA'!$B$50)</f>
        <v>7307.6909999999998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1027.1991407500002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-663.35000874999992</v>
      </c>
    </row>
    <row r="36" spans="1:11" ht="20.25" customHeight="1" x14ac:dyDescent="0.2">
      <c r="A36" t="s">
        <v>3324</v>
      </c>
      <c r="B36" t="s">
        <v>3358</v>
      </c>
      <c r="C36" t="s">
        <v>3391</v>
      </c>
      <c r="D36" s="430">
        <f>SUMIF('APONTAMENTO CREDENCIAMENTO'!$D$5:$D$4054,$A36,'APONTAMENTO CREDENCIAMENTO'!$FE$5:$FE$4054)</f>
        <v>12795.853000000001</v>
      </c>
      <c r="E36" s="431">
        <f t="shared" si="1"/>
        <v>281.50876600000004</v>
      </c>
      <c r="F36" s="431">
        <f>$D36*'VALORES TABELA'!$B$45*'VALORES TABELA'!$B$46</f>
        <v>63.979265000000012</v>
      </c>
      <c r="G36" s="431">
        <f t="shared" si="2"/>
        <v>7677.5118000000002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1202.58</v>
      </c>
      <c r="I36" s="431">
        <f>IF($C36=$C35,($D36+$D35)*'VALORES TABELA'!$B$50-$E35,$D36*'VALORES TABELA'!$B$50)</f>
        <v>7677.5118000000002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1125.1708343500002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97.971693599999981</v>
      </c>
    </row>
    <row r="37" spans="1:11" ht="20.25" customHeight="1" x14ac:dyDescent="0.2">
      <c r="A37"/>
      <c r="B37"/>
      <c r="C37"/>
    </row>
    <row r="38" spans="1:11" ht="20.25" customHeight="1" x14ac:dyDescent="0.2">
      <c r="A38"/>
      <c r="B38"/>
      <c r="C38"/>
    </row>
    <row r="39" spans="1:11" ht="20.25" customHeight="1" x14ac:dyDescent="0.2">
      <c r="A39"/>
      <c r="B39"/>
      <c r="C39"/>
    </row>
    <row r="40" spans="1:11" ht="20.25" customHeight="1" x14ac:dyDescent="0.2">
      <c r="A40"/>
      <c r="B40"/>
      <c r="C40"/>
    </row>
    <row r="41" spans="1:11" ht="20.25" customHeight="1" x14ac:dyDescent="0.2">
      <c r="A41"/>
      <c r="B41"/>
      <c r="C41"/>
    </row>
    <row r="42" spans="1:11" ht="20.25" customHeight="1" x14ac:dyDescent="0.2">
      <c r="A42"/>
      <c r="B42"/>
      <c r="C42"/>
    </row>
    <row r="43" spans="1:11" ht="20.25" customHeight="1" x14ac:dyDescent="0.2">
      <c r="A43"/>
      <c r="B43"/>
      <c r="C43"/>
    </row>
    <row r="44" spans="1:11" ht="20.25" customHeight="1" x14ac:dyDescent="0.2">
      <c r="A44"/>
      <c r="B44"/>
      <c r="C44"/>
    </row>
    <row r="45" spans="1:11" ht="20.25" customHeight="1" x14ac:dyDescent="0.2">
      <c r="A45"/>
      <c r="B45"/>
      <c r="C45"/>
    </row>
    <row r="46" spans="1:11" ht="20.25" customHeight="1" x14ac:dyDescent="0.2">
      <c r="A46"/>
      <c r="B46"/>
      <c r="C46"/>
    </row>
    <row r="47" spans="1:11" ht="20.25" customHeight="1" x14ac:dyDescent="0.2">
      <c r="A47"/>
      <c r="B47"/>
      <c r="C47"/>
    </row>
    <row r="48" spans="1:11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2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2024/0058937</v>
      </c>
      <c r="B11" s="459"/>
      <c r="C11" s="460" t="str">
        <f>VLOOKUP(A11,ProcRel!A1:C5000,3,0)</f>
        <v>007.659-00</v>
      </c>
      <c r="D11" s="768" t="str">
        <f>VLOOKUP(A11,'APONTAMENTO CREDENCIAMENTO'!$D$6:$D$4054,1,FALSE)</f>
        <v>2024/0058937</v>
      </c>
      <c r="E11" s="768"/>
      <c r="F11" s="461">
        <f>SUMIF('APONTAMENTO CREDENCIAMENTO'!D$5:D$5157,A11,'APONTAMENTO CREDENCIAMENTO'!N$5:N$5157)</f>
        <v>0</v>
      </c>
      <c r="G11" s="462">
        <f>'EMPRESA C'!H16+'EMPRESA C'!I16+'EMPRESA C'!J16+'EMPRESA C'!K16+'EMPRESA C'!L16+'EMPRESA C'!M16</f>
        <v>24</v>
      </c>
      <c r="H11" s="463" t="str">
        <f>'BASE C'!E4</f>
        <v>ABRIL</v>
      </c>
      <c r="I11" s="464" t="str">
        <f>'BASE C'!D2</f>
        <v>FREGUESIA / BRASILÂNDIA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CREDENCIAMENTO'!D1:J5157,6,FALSE)</f>
        <v>MARLI PEREIRA DA SILVA</v>
      </c>
      <c r="B13" s="774"/>
      <c r="C13" s="774"/>
      <c r="D13" s="774"/>
      <c r="E13" s="775"/>
      <c r="F13" s="781" t="str">
        <f>VLOOKUP(A11,ProcRel1!E2:G5000,3,FALSE)</f>
        <v>809.179.258-15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CREDENCIAMENTO'!D1:O4052,12,FALSE)</f>
        <v>6020.2024/0058937-5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CREDENCIAMENTO'!$D$6:$EW$4054,150,FALSE)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CREDENCIAMENTO'!D$5:D$5157,A11,'APONTAMENTO CREDENCIAMENTO'!EX$5:EX$5157)</f>
        <v>16188.48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CREDENCIAMENTO'!D5:D5157,A11,'APONTAMENTO CREDENCIAMENTO'!FB5:FB5157)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CREDENCIAMENTO'!D5:D5157,A11,'APONTAMENTO CREDENCIAMENTO'!EZ5:EZ5157)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CREDENCIAMENTO'!D5:D5157,A11,'APONTAMENTO CREDENCIAMENTO'!FA5:FA5157)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CREDENCIAMENTO'!D5:D5157,A11,'APONTAMENTO CREDENCIAMENTO'!FC5:FC5157)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CREDENCIAMENTO'!D5:IA5157,230,0)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CREDENCIAMENTO'!D5:IA5157,231,0)*-1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CREDENCIAMENTO'!D5:IA5157,232,0)*-1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CREDENCIAMENTO'!D5:D5157,A11,'APONTAMENTO CREDENCIAMENTO'!L5:L5157)</f>
        <v>0</v>
      </c>
      <c r="F29" s="506" t="s">
        <v>318</v>
      </c>
      <c r="G29" s="507">
        <f>SUMIF('APONTAMENTO CREDENCIAMENTO'!D5:D5157,A11,'APONTAMENTO CREDENCIAMENTO'!M5:M5157)</f>
        <v>0</v>
      </c>
      <c r="H29" s="504" t="s">
        <v>150</v>
      </c>
      <c r="I29" s="495">
        <f>SUMIF('APONTAMENTO CREDENCIAMENTO'!D5:D5157,A11,'APONTAMENTO CREDENCIAMENTO'!EY5:EY5157)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CREDENCIAMENTO'!D5:D5157,A11,'APONTAMENTO CREDENCIAMENTO'!FD5:FD5157)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16188.48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VLOOKUP(A11,'ATESTE-LIQ-FIS'!A4:K3878,5,0)*-1</f>
        <v>-356.14655999999997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VLOOKUP(A11,'ATESTE-LIQ-FIS'!A4:K3878,6,0)*-1</f>
        <v>-80.942400000000006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-1595.38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14156.011040000001</v>
      </c>
    </row>
    <row r="37" spans="1:12" s="12" customFormat="1" x14ac:dyDescent="0.2">
      <c r="A37" s="793" t="s">
        <v>106</v>
      </c>
      <c r="B37" s="794">
        <f>VLOOKUP(A11,'APONTAMENTO CREDENCIAMENTO'!D1:EL4052,138,FALSE)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CREDENCIAMENTO'!D1:EL4052,139,FALSE)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CREDENCIAMENTO'!D5:D5157,A11,'APONTAMENTO CREDENCIAMENTO'!EP5:EP5157)</f>
        <v>24</v>
      </c>
      <c r="B45" s="483"/>
      <c r="C45" s="484">
        <f>SUMIF('APONTAMENTO CREDENCIAMENTO'!D5:D5157,A11,'APONTAMENTO CREDENCIAMENTO'!ER5:ER5157)</f>
        <v>0</v>
      </c>
      <c r="D45" s="484"/>
      <c r="E45" s="484">
        <f>SUMIF('APONTAMENTO CREDENCIAMENTO'!D5:D5157,A11,'APONTAMENTO CREDENCIAMENTO'!ES5:ES5157)</f>
        <v>0</v>
      </c>
      <c r="F45" s="484"/>
      <c r="G45" s="484">
        <f>SUMIF('APONTAMENTO CREDENCIAMENTO'!D5:D5157,A11,'APONTAMENTO CREDENCIAMENTO'!EU5:EU5157)</f>
        <v>0</v>
      </c>
      <c r="H45" s="484"/>
      <c r="I45" s="485">
        <f>SUM(A45:H45)</f>
        <v>24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MARLI PEREIRA DA SILVA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2024/0058937</v>
      </c>
      <c r="G9" s="30" t="s">
        <v>122</v>
      </c>
      <c r="H9" s="30" t="str">
        <f>'APONTAMENTO CREDENCIAMENTO'!A1</f>
        <v>Freguesia / Brasilândia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MARLI PEREIRA DA SILVA</v>
      </c>
      <c r="B14" s="207" t="str">
        <f>VLOOKUP(D14,'APONTAMENTO CREDENCIAMENTO'!$A$6:$F$4055,6,0)</f>
        <v>01/04/2026</v>
      </c>
      <c r="C14" s="207" t="str">
        <f>VLOOKUP(D14,'APONTAMENTO CREDENCIAMENTO'!$A$6:$G$4055,7,0)</f>
        <v>30/04/2026</v>
      </c>
      <c r="D14" s="208" t="str">
        <f>'BASE C'!C10</f>
        <v>007.659-00</v>
      </c>
      <c r="E14" s="809" t="str">
        <f>'BASE C'!H10</f>
        <v>ELQ7434</v>
      </c>
      <c r="F14" s="810"/>
      <c r="G14" s="208">
        <f>SUMIF('APONTAMENTO CREDENCIAMENTO'!$A$6:$A$4055,'EMPRESA C'!D14,'APONTAMENTO CREDENCIAMENTO'!$N$6:$N$4055)</f>
        <v>0</v>
      </c>
      <c r="H14" s="208">
        <f>SUMIF('APONTAMENTO CREDENCIAMENTO'!$A$6:$A$4055,'EMPRESA C'!D14,'APONTAMENTO CREDENCIAMENTO'!$EP$6:$EP$4055)</f>
        <v>24</v>
      </c>
      <c r="I14" s="208">
        <f>SUMIF('APONTAMENTO CREDENCIAMENTO'!$A$6:$A$4055,'EMPRESA C'!D14,'APONTAMENTO CREDENCIAMENTO'!$EQ$6:$EQ$4055)</f>
        <v>0</v>
      </c>
      <c r="J14" s="208">
        <f>SUMIF('APONTAMENTO CREDENCIAMENTO'!$A$6:$A$4055,'EMPRESA C'!D14,'APONTAMENTO CREDENCIAMENTO'!$ER$6:$ER$4055)</f>
        <v>0</v>
      </c>
      <c r="K14" s="208">
        <f>SUMIF('APONTAMENTO CREDENCIAMENTO'!$A$6:$A$4055,'EMPRESA C'!D14,'APONTAMENTO CREDENCIAMENTO'!$ES$6:$ES$4055)</f>
        <v>0</v>
      </c>
      <c r="L14" s="208">
        <f>SUMIF('APONTAMENTO CREDENCIAMENTO'!$A$6:$A$4055,'EMPRESA C'!D14,'APONTAMENTO CREDENCIAMENTO'!$ET$6:$ET$4055)</f>
        <v>0</v>
      </c>
      <c r="M14" s="208">
        <f>SUMIF('APONTAMENTO CREDENCIAMENTO'!$A$6:$A$4055,'EMPRESA C'!D14,'APONTAMENTO CREDENCIAMENTO'!$EU$6:$EU$4055)</f>
        <v>0</v>
      </c>
      <c r="N14" s="209">
        <f>SUMIF('APONTAMENTO CREDENCIAMENTO'!$A$6:$A$4055,'EMPRESA C'!D14,'APONTAMENTO CREDENCIAMENTO'!$EW$6:$EW$4055)</f>
        <v>0</v>
      </c>
      <c r="O14" s="209">
        <f>SUMIF('APONTAMENTO CREDENCIAMENTO'!$A$6:$A$4055,'EMPRESA C'!D14,'APONTAMENTO CREDENCIAMENTO'!$EX$6:$EX$4055)</f>
        <v>16188.48</v>
      </c>
      <c r="P14" s="209">
        <f>SUMIF('APONTAMENTO CREDENCIAMENTO'!$A$5:$A$4055,'EMPRESA C'!D14,'APONTAMENTO CREDENCIAMENTO'!$EY$5:$EY$4055)</f>
        <v>0</v>
      </c>
      <c r="Q14" s="209">
        <f>SUMIF('APONTAMENTO CREDENCIAMENTO'!$A$5:$A$4055,'EMPRESA C'!D14,'APONTAMENTO CREDENCIAMENTO'!$EZ$5:$EZ$4055)</f>
        <v>0</v>
      </c>
      <c r="R14" s="209">
        <f>SUMIF('APONTAMENTO CREDENCIAMENTO'!$A$5:$A$4055,'EMPRESA C'!D14,'APONTAMENTO CREDENCIAMENTO'!$FA$5:$FA$4055)</f>
        <v>0</v>
      </c>
      <c r="S14" s="209">
        <f>SUMIF('APONTAMENTO CREDENCIAMENTO'!$A$5:$A$4055,'EMPRESA C'!D14,'APONTAMENTO CREDENCIAMENTO'!$FB$5:$FB$4055)</f>
        <v>0</v>
      </c>
      <c r="T14" s="209">
        <f>SUMIF('APONTAMENTO CREDENCIAMENTO'!$A$5:$A$4055,'EMPRESA C'!D14,'APONTAMENTO CREDENCIAMENTO'!$FC$5:$FC$4055)</f>
        <v>0</v>
      </c>
      <c r="U14" s="209">
        <f>SUMIF('APONTAMENTO CREDENCIAMENTO'!$A$5:$A$4055,'EMPRESA C'!D14,'APONTAMENTO CREDENCIAMENTO'!$HY$5:$HY$4055)</f>
        <v>0</v>
      </c>
      <c r="V14" s="209">
        <f>SUMIF('APONTAMENTO CREDENCIAMENTO'!$A$5:$A$4055,'EMPRESA C'!D14,'APONTAMENTO CREDENCIAMENTO'!$HZ$5:$HZ$4055)*-1</f>
        <v>0</v>
      </c>
      <c r="W14" s="209">
        <f>SUMIF('APONTAMENTO CREDENCIAMENTO'!$A$5:$A$4055,'EMPRESA C'!D14,'APONTAMENTO CREDENCIAMENTO'!$IA$5:$IA$4055)*-1</f>
        <v>0</v>
      </c>
      <c r="X14" s="209">
        <f>SUMIF('APONTAMENTO CREDENCIAMENTO'!$A$5:$A$4055,'EMPRESA C'!D14,'APONTAMENTO CREDENCIAMENTO'!$FD$5:$FD$4055)</f>
        <v>0</v>
      </c>
      <c r="Y14" s="209">
        <f>SUMIF('APONTAMENTO CREDENCIAMENTO'!$A$5:$A$4055,'EMPRESA C'!D14,'APONTAMENTO CREDENCIAMENTO'!$GK$5:$GK$4055)*-1</f>
        <v>0</v>
      </c>
      <c r="Z14" s="209">
        <f>(N14+O14+P14+Q14+R14+S14+T14+U14+V14+W14+X14+Y14)</f>
        <v>16188.48</v>
      </c>
      <c r="AA14" s="209">
        <f t="shared" ref="AA14" si="0">Z14</f>
        <v>16188.48</v>
      </c>
      <c r="AB14" s="209">
        <f>AA14*'BASE C'!B$7</f>
        <v>0</v>
      </c>
      <c r="AC14" s="209">
        <f t="shared" ref="AC14" si="1">AA14-AB14</f>
        <v>16188.48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24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16188.48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16188.48</v>
      </c>
      <c r="AA16" s="326">
        <f>SUM(AA14:AA15)</f>
        <v>16188.48</v>
      </c>
      <c r="AB16" s="326">
        <f>SUM(AB14:AB15)</f>
        <v>0</v>
      </c>
      <c r="AC16" s="326">
        <f>SUM(AC14:AC15)</f>
        <v>16188.48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2024/0058937</v>
      </c>
      <c r="B14" s="217" t="str">
        <f>'BASE C'!D4</f>
        <v>MARLI PEREIRA DA SILVA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FB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MARLI PEREIRA DA SILVA</v>
      </c>
      <c r="B18" s="231" t="str">
        <f>'BASE C'!C10</f>
        <v>007.659-00</v>
      </c>
      <c r="C18" s="231" t="str">
        <f>'BASE C'!H10</f>
        <v>ELQ7434</v>
      </c>
      <c r="D18" s="208">
        <f>SUMIF('APONTAMENTO CREDENCIAMENTO'!$A$6:$A$4055,'ATESTADO C'!B18,'APONTAMENTO CREDENCIAMENTO'!$N$6:$N$4055)</f>
        <v>0</v>
      </c>
      <c r="E18" s="208">
        <f>SUMIF('APONTAMENTO CREDENCIAMENTO'!$A$6:$A$4055,'ATESTADO C'!B18,'APONTAMENTO CREDENCIAMENTO'!$EP$6:$EP$4055)</f>
        <v>24</v>
      </c>
      <c r="F18" s="208">
        <f>SUMIF('APONTAMENTO CREDENCIAMENTO'!$A$6:$A$4055,'ATESTADO C'!B18,'APONTAMENTO CREDENCIAMENTO'!$EQ$6:$EQ$4055)</f>
        <v>0</v>
      </c>
      <c r="G18" s="208">
        <f>SUMIF('APONTAMENTO CREDENCIAMENTO'!$A$6:$A$4055,'ATESTADO C'!B18,'APONTAMENTO CREDENCIAMENTO'!$ER$6:$ER$4055)</f>
        <v>0</v>
      </c>
      <c r="H18" s="208">
        <f>SUMIF('APONTAMENTO CREDENCIAMENTO'!$A$6:$A$4055,'ATESTADO C'!B18,'APONTAMENTO CREDENCIAMENTO'!$ES$6:$ES$4055)</f>
        <v>0</v>
      </c>
      <c r="I18" s="208">
        <f>SUMIF('APONTAMENTO CREDENCIAMENTO'!$A$6:$A$4055,'ATESTADO C'!B18,'APONTAMENTO CREDENCIAMENTO'!$ET$6:$ET$4055)</f>
        <v>0</v>
      </c>
      <c r="J18" s="208">
        <f>SUMIF('APONTAMENTO CREDENCIAMENTO'!$A$6:$A$4055,'ATESTADO C'!B18,'APONTAMENTO CREDENCIAMENTO'!$EU$6:$EU$4055)</f>
        <v>0</v>
      </c>
      <c r="K18" s="232">
        <f t="shared" ref="K18" si="0">E18+F18+H18+I18+G18+J18</f>
        <v>24</v>
      </c>
      <c r="L18" s="827" t="str">
        <f>CONCATENATE(VLOOKUP(B18,'APONTAMENTO CREDENCIAMENTO'!$A$6:$EK$4055,141,0)," - ",VLOOKUP(B18,'APONTAMENTO CREDENCIAMENTO'!$A$6:$EL$4055,142,0))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33"/>
  <sheetViews>
    <sheetView topLeftCell="A243" workbookViewId="0">
      <selection activeCell="A2" sqref="A2:C16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3196</v>
      </c>
      <c r="B1" t="s">
        <v>1284</v>
      </c>
      <c r="C1" t="s">
        <v>3194</v>
      </c>
    </row>
    <row r="2" spans="1:3" x14ac:dyDescent="0.2">
      <c r="A2" t="s">
        <v>3256</v>
      </c>
      <c r="B2" t="s">
        <v>1327</v>
      </c>
      <c r="C2" t="s">
        <v>3254</v>
      </c>
    </row>
    <row r="3" spans="1:3" x14ac:dyDescent="0.2">
      <c r="A3" t="s">
        <v>3308</v>
      </c>
      <c r="B3" t="s">
        <v>1359</v>
      </c>
      <c r="C3" t="s">
        <v>3306</v>
      </c>
    </row>
    <row r="4" spans="1:3" x14ac:dyDescent="0.2">
      <c r="A4" t="s">
        <v>3212</v>
      </c>
      <c r="B4" t="s">
        <v>1290</v>
      </c>
      <c r="C4" t="s">
        <v>3210</v>
      </c>
    </row>
    <row r="5" spans="1:3" x14ac:dyDescent="0.2">
      <c r="A5" t="s">
        <v>3224</v>
      </c>
      <c r="B5" t="s">
        <v>1304</v>
      </c>
      <c r="C5" t="s">
        <v>3222</v>
      </c>
    </row>
    <row r="6" spans="1:3" x14ac:dyDescent="0.2">
      <c r="A6" t="s">
        <v>3208</v>
      </c>
      <c r="B6" t="s">
        <v>1289</v>
      </c>
      <c r="C6" t="s">
        <v>3206</v>
      </c>
    </row>
    <row r="7" spans="1:3" x14ac:dyDescent="0.2">
      <c r="A7" t="s">
        <v>3304</v>
      </c>
      <c r="B7" t="s">
        <v>1358</v>
      </c>
      <c r="C7" t="s">
        <v>3302</v>
      </c>
    </row>
    <row r="8" spans="1:3" x14ac:dyDescent="0.2">
      <c r="A8" t="s">
        <v>3248</v>
      </c>
      <c r="B8" t="s">
        <v>1324</v>
      </c>
      <c r="C8" t="s">
        <v>3246</v>
      </c>
    </row>
    <row r="9" spans="1:3" x14ac:dyDescent="0.2">
      <c r="A9" t="s">
        <v>3200</v>
      </c>
      <c r="B9" t="s">
        <v>1287</v>
      </c>
      <c r="C9" t="s">
        <v>3198</v>
      </c>
    </row>
    <row r="10" spans="1:3" x14ac:dyDescent="0.2">
      <c r="A10" t="s">
        <v>3288</v>
      </c>
      <c r="B10" t="s">
        <v>1348</v>
      </c>
      <c r="C10" t="s">
        <v>3286</v>
      </c>
    </row>
    <row r="11" spans="1:3" x14ac:dyDescent="0.2">
      <c r="A11" t="s">
        <v>3216</v>
      </c>
      <c r="B11" t="s">
        <v>1294</v>
      </c>
      <c r="C11" t="s">
        <v>3214</v>
      </c>
    </row>
    <row r="12" spans="1:3" x14ac:dyDescent="0.2">
      <c r="A12" t="s">
        <v>3260</v>
      </c>
      <c r="B12" t="s">
        <v>1328</v>
      </c>
      <c r="C12" t="s">
        <v>3258</v>
      </c>
    </row>
    <row r="13" spans="1:3" x14ac:dyDescent="0.2">
      <c r="A13" t="s">
        <v>3268</v>
      </c>
      <c r="B13" t="s">
        <v>1339</v>
      </c>
      <c r="C13" t="s">
        <v>3266</v>
      </c>
    </row>
    <row r="14" spans="1:3" x14ac:dyDescent="0.2">
      <c r="A14" t="s">
        <v>3324</v>
      </c>
      <c r="B14" t="s">
        <v>1363</v>
      </c>
      <c r="C14" t="s">
        <v>3322</v>
      </c>
    </row>
    <row r="15" spans="1:3" x14ac:dyDescent="0.2">
      <c r="A15" t="s">
        <v>3280</v>
      </c>
      <c r="B15" t="s">
        <v>1346</v>
      </c>
      <c r="C15" t="s">
        <v>3278</v>
      </c>
    </row>
    <row r="16" spans="1:3" x14ac:dyDescent="0.2">
      <c r="A16" t="s">
        <v>3244</v>
      </c>
      <c r="B16" t="s">
        <v>1320</v>
      </c>
      <c r="C16" t="s">
        <v>3242</v>
      </c>
    </row>
    <row r="17" spans="1:3" x14ac:dyDescent="0.2">
      <c r="A17" t="s">
        <v>3228</v>
      </c>
      <c r="B17" t="s">
        <v>1306</v>
      </c>
      <c r="C17" t="s">
        <v>3226</v>
      </c>
    </row>
    <row r="18" spans="1:3" x14ac:dyDescent="0.2">
      <c r="A18" t="s">
        <v>3316</v>
      </c>
      <c r="B18" t="s">
        <v>1361</v>
      </c>
      <c r="C18" t="s">
        <v>3314</v>
      </c>
    </row>
    <row r="19" spans="1:3" x14ac:dyDescent="0.2">
      <c r="A19" t="s">
        <v>3220</v>
      </c>
      <c r="B19" t="s">
        <v>1301</v>
      </c>
      <c r="C19" t="s">
        <v>3218</v>
      </c>
    </row>
    <row r="20" spans="1:3" x14ac:dyDescent="0.2">
      <c r="A20" t="s">
        <v>3240</v>
      </c>
      <c r="B20" t="s">
        <v>1318</v>
      </c>
      <c r="C20" t="s">
        <v>3238</v>
      </c>
    </row>
    <row r="21" spans="1:3" x14ac:dyDescent="0.2">
      <c r="A21" t="s">
        <v>3276</v>
      </c>
      <c r="B21" t="s">
        <v>1345</v>
      </c>
      <c r="C21" t="s">
        <v>3274</v>
      </c>
    </row>
    <row r="22" spans="1:3" x14ac:dyDescent="0.2">
      <c r="A22" t="s">
        <v>3204</v>
      </c>
      <c r="B22" t="s">
        <v>1288</v>
      </c>
      <c r="C22" t="s">
        <v>3202</v>
      </c>
    </row>
    <row r="23" spans="1:3" x14ac:dyDescent="0.2">
      <c r="A23" t="s">
        <v>3232</v>
      </c>
      <c r="B23" t="s">
        <v>1312</v>
      </c>
      <c r="C23" t="s">
        <v>3230</v>
      </c>
    </row>
    <row r="24" spans="1:3" x14ac:dyDescent="0.2">
      <c r="A24" t="s">
        <v>3252</v>
      </c>
      <c r="B24" t="s">
        <v>1326</v>
      </c>
      <c r="C24" t="s">
        <v>3250</v>
      </c>
    </row>
    <row r="25" spans="1:3" x14ac:dyDescent="0.2">
      <c r="A25" t="s">
        <v>3312</v>
      </c>
      <c r="B25" t="s">
        <v>1360</v>
      </c>
      <c r="C25" t="s">
        <v>3310</v>
      </c>
    </row>
    <row r="26" spans="1:3" x14ac:dyDescent="0.2">
      <c r="A26" t="s">
        <v>3292</v>
      </c>
      <c r="B26" t="s">
        <v>1351</v>
      </c>
      <c r="C26" t="s">
        <v>3290</v>
      </c>
    </row>
    <row r="27" spans="1:3" x14ac:dyDescent="0.2">
      <c r="A27" t="s">
        <v>3296</v>
      </c>
      <c r="B27" t="s">
        <v>1356</v>
      </c>
      <c r="C27" t="s">
        <v>3294</v>
      </c>
    </row>
    <row r="28" spans="1:3" x14ac:dyDescent="0.2">
      <c r="A28" t="s">
        <v>3284</v>
      </c>
      <c r="B28" t="s">
        <v>1347</v>
      </c>
      <c r="C28" t="s">
        <v>3282</v>
      </c>
    </row>
    <row r="29" spans="1:3" x14ac:dyDescent="0.2">
      <c r="A29" t="s">
        <v>3320</v>
      </c>
      <c r="B29" t="s">
        <v>1362</v>
      </c>
      <c r="C29" t="s">
        <v>3318</v>
      </c>
    </row>
    <row r="30" spans="1:3" x14ac:dyDescent="0.2">
      <c r="A30" t="s">
        <v>3300</v>
      </c>
      <c r="B30" t="s">
        <v>1357</v>
      </c>
      <c r="C30" t="s">
        <v>3298</v>
      </c>
    </row>
    <row r="31" spans="1:3" x14ac:dyDescent="0.2">
      <c r="A31" t="s">
        <v>3236</v>
      </c>
      <c r="B31" t="s">
        <v>1317</v>
      </c>
      <c r="C31" t="s">
        <v>3234</v>
      </c>
    </row>
    <row r="32" spans="1:3" x14ac:dyDescent="0.2">
      <c r="A32" t="s">
        <v>3264</v>
      </c>
      <c r="B32" t="s">
        <v>1330</v>
      </c>
      <c r="C32" t="s">
        <v>3262</v>
      </c>
    </row>
    <row r="33" spans="1:3" x14ac:dyDescent="0.2">
      <c r="A33" t="s">
        <v>3272</v>
      </c>
      <c r="B33" t="s">
        <v>1340</v>
      </c>
      <c r="C33" t="s">
        <v>3270</v>
      </c>
    </row>
  </sheetData>
  <sortState xmlns:xlrd2="http://schemas.microsoft.com/office/spreadsheetml/2017/richdata2" ref="A2:C165">
    <sortCondition ref="A1:A165"/>
    <sortCondition ref="B1:B165"/>
    <sortCondition ref="C1:C16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34"/>
  <sheetViews>
    <sheetView workbookViewId="0">
      <selection activeCell="G1" sqref="G1:G34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3196</v>
      </c>
      <c r="F2" t="s">
        <v>3326</v>
      </c>
      <c r="G2" t="s">
        <v>3359</v>
      </c>
    </row>
    <row r="3" spans="5:7" x14ac:dyDescent="0.2">
      <c r="E3" t="s">
        <v>3200</v>
      </c>
      <c r="F3" t="s">
        <v>3327</v>
      </c>
      <c r="G3" t="s">
        <v>3360</v>
      </c>
    </row>
    <row r="4" spans="5:7" x14ac:dyDescent="0.2">
      <c r="E4" t="s">
        <v>3204</v>
      </c>
      <c r="F4" t="s">
        <v>3328</v>
      </c>
      <c r="G4" t="s">
        <v>3361</v>
      </c>
    </row>
    <row r="5" spans="5:7" x14ac:dyDescent="0.2">
      <c r="E5" t="s">
        <v>3208</v>
      </c>
      <c r="F5" t="s">
        <v>3329</v>
      </c>
      <c r="G5" t="s">
        <v>3362</v>
      </c>
    </row>
    <row r="6" spans="5:7" x14ac:dyDescent="0.2">
      <c r="E6" t="s">
        <v>3212</v>
      </c>
      <c r="F6" t="s">
        <v>3330</v>
      </c>
      <c r="G6" t="s">
        <v>3363</v>
      </c>
    </row>
    <row r="7" spans="5:7" x14ac:dyDescent="0.2">
      <c r="E7" t="s">
        <v>3216</v>
      </c>
      <c r="F7" t="s">
        <v>3331</v>
      </c>
      <c r="G7" t="s">
        <v>3364</v>
      </c>
    </row>
    <row r="8" spans="5:7" x14ac:dyDescent="0.2">
      <c r="E8" t="s">
        <v>3220</v>
      </c>
      <c r="F8" t="s">
        <v>3332</v>
      </c>
      <c r="G8" t="s">
        <v>3365</v>
      </c>
    </row>
    <row r="9" spans="5:7" x14ac:dyDescent="0.2">
      <c r="E9" t="s">
        <v>3224</v>
      </c>
      <c r="F9" t="s">
        <v>3333</v>
      </c>
      <c r="G9" t="s">
        <v>3366</v>
      </c>
    </row>
    <row r="10" spans="5:7" x14ac:dyDescent="0.2">
      <c r="E10" t="s">
        <v>3228</v>
      </c>
      <c r="F10" t="s">
        <v>3334</v>
      </c>
      <c r="G10" t="s">
        <v>3367</v>
      </c>
    </row>
    <row r="11" spans="5:7" x14ac:dyDescent="0.2">
      <c r="E11" t="s">
        <v>3232</v>
      </c>
      <c r="F11" t="s">
        <v>3335</v>
      </c>
      <c r="G11" t="s">
        <v>3368</v>
      </c>
    </row>
    <row r="12" spans="5:7" x14ac:dyDescent="0.2">
      <c r="E12" t="s">
        <v>3236</v>
      </c>
      <c r="F12" t="s">
        <v>3336</v>
      </c>
      <c r="G12" t="s">
        <v>3369</v>
      </c>
    </row>
    <row r="13" spans="5:7" x14ac:dyDescent="0.2">
      <c r="E13" t="s">
        <v>3240</v>
      </c>
      <c r="F13" t="s">
        <v>3337</v>
      </c>
      <c r="G13" t="s">
        <v>3370</v>
      </c>
    </row>
    <row r="14" spans="5:7" x14ac:dyDescent="0.2">
      <c r="E14" t="s">
        <v>3244</v>
      </c>
      <c r="F14" t="s">
        <v>3338</v>
      </c>
      <c r="G14" t="s">
        <v>3371</v>
      </c>
    </row>
    <row r="15" spans="5:7" x14ac:dyDescent="0.2">
      <c r="E15" t="s">
        <v>3248</v>
      </c>
      <c r="F15" t="s">
        <v>3339</v>
      </c>
      <c r="G15" t="s">
        <v>3372</v>
      </c>
    </row>
    <row r="16" spans="5:7" x14ac:dyDescent="0.2">
      <c r="E16" t="s">
        <v>3252</v>
      </c>
      <c r="F16" t="s">
        <v>3340</v>
      </c>
      <c r="G16" t="s">
        <v>3373</v>
      </c>
    </row>
    <row r="17" spans="5:7" x14ac:dyDescent="0.2">
      <c r="E17" t="s">
        <v>3256</v>
      </c>
      <c r="F17" t="s">
        <v>3341</v>
      </c>
      <c r="G17" t="s">
        <v>3374</v>
      </c>
    </row>
    <row r="18" spans="5:7" x14ac:dyDescent="0.2">
      <c r="E18" t="s">
        <v>3260</v>
      </c>
      <c r="F18" t="s">
        <v>3342</v>
      </c>
      <c r="G18" t="s">
        <v>3375</v>
      </c>
    </row>
    <row r="19" spans="5:7" x14ac:dyDescent="0.2">
      <c r="E19" t="s">
        <v>3264</v>
      </c>
      <c r="F19" t="s">
        <v>3343</v>
      </c>
      <c r="G19" t="s">
        <v>3376</v>
      </c>
    </row>
    <row r="20" spans="5:7" x14ac:dyDescent="0.2">
      <c r="E20" t="s">
        <v>3268</v>
      </c>
      <c r="F20" t="s">
        <v>3344</v>
      </c>
      <c r="G20" t="s">
        <v>3377</v>
      </c>
    </row>
    <row r="21" spans="5:7" x14ac:dyDescent="0.2">
      <c r="E21" t="s">
        <v>3272</v>
      </c>
      <c r="F21" t="s">
        <v>3345</v>
      </c>
      <c r="G21" t="s">
        <v>3378</v>
      </c>
    </row>
    <row r="22" spans="5:7" x14ac:dyDescent="0.2">
      <c r="E22" t="s">
        <v>3276</v>
      </c>
      <c r="F22" t="s">
        <v>3346</v>
      </c>
      <c r="G22" t="s">
        <v>3379</v>
      </c>
    </row>
    <row r="23" spans="5:7" x14ac:dyDescent="0.2">
      <c r="E23" t="s">
        <v>3280</v>
      </c>
      <c r="F23" t="s">
        <v>3347</v>
      </c>
      <c r="G23" t="s">
        <v>3380</v>
      </c>
    </row>
    <row r="24" spans="5:7" x14ac:dyDescent="0.2">
      <c r="E24" t="s">
        <v>3284</v>
      </c>
      <c r="F24" t="s">
        <v>3348</v>
      </c>
      <c r="G24" t="s">
        <v>3381</v>
      </c>
    </row>
    <row r="25" spans="5:7" x14ac:dyDescent="0.2">
      <c r="E25" t="s">
        <v>3288</v>
      </c>
      <c r="F25" t="s">
        <v>3349</v>
      </c>
      <c r="G25" t="s">
        <v>3382</v>
      </c>
    </row>
    <row r="26" spans="5:7" x14ac:dyDescent="0.2">
      <c r="E26" t="s">
        <v>3292</v>
      </c>
      <c r="F26" t="s">
        <v>3350</v>
      </c>
      <c r="G26" t="s">
        <v>3383</v>
      </c>
    </row>
    <row r="27" spans="5:7" x14ac:dyDescent="0.2">
      <c r="E27" t="s">
        <v>3296</v>
      </c>
      <c r="F27" t="s">
        <v>3351</v>
      </c>
      <c r="G27" t="s">
        <v>3384</v>
      </c>
    </row>
    <row r="28" spans="5:7" x14ac:dyDescent="0.2">
      <c r="E28" t="s">
        <v>3300</v>
      </c>
      <c r="F28" t="s">
        <v>3352</v>
      </c>
      <c r="G28" t="s">
        <v>3385</v>
      </c>
    </row>
    <row r="29" spans="5:7" x14ac:dyDescent="0.2">
      <c r="E29" t="s">
        <v>3304</v>
      </c>
      <c r="F29" t="s">
        <v>3353</v>
      </c>
      <c r="G29" t="s">
        <v>3386</v>
      </c>
    </row>
    <row r="30" spans="5:7" x14ac:dyDescent="0.2">
      <c r="E30" t="s">
        <v>3308</v>
      </c>
      <c r="F30" t="s">
        <v>3354</v>
      </c>
      <c r="G30" t="s">
        <v>3387</v>
      </c>
    </row>
    <row r="31" spans="5:7" x14ac:dyDescent="0.2">
      <c r="E31" t="s">
        <v>3312</v>
      </c>
      <c r="F31" t="s">
        <v>3355</v>
      </c>
      <c r="G31" t="s">
        <v>3388</v>
      </c>
    </row>
    <row r="32" spans="5:7" x14ac:dyDescent="0.2">
      <c r="E32" t="s">
        <v>3316</v>
      </c>
      <c r="F32" t="s">
        <v>3356</v>
      </c>
      <c r="G32" t="s">
        <v>3389</v>
      </c>
    </row>
    <row r="33" spans="5:7" x14ac:dyDescent="0.2">
      <c r="E33" t="s">
        <v>3320</v>
      </c>
      <c r="F33" t="s">
        <v>3357</v>
      </c>
      <c r="G33" t="s">
        <v>3390</v>
      </c>
    </row>
    <row r="34" spans="5:7" x14ac:dyDescent="0.2">
      <c r="E34" t="s">
        <v>3324</v>
      </c>
      <c r="F34" t="s">
        <v>3358</v>
      </c>
      <c r="G34" t="s">
        <v>3391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55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34" sqref="B34:AD34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3196</v>
      </c>
      <c r="B2" s="130"/>
      <c r="C2" s="131">
        <f t="shared" ref="C2" si="0">W2</f>
        <v>0</v>
      </c>
      <c r="D2" s="132" t="str">
        <f>VLOOKUP(A2,'APONTAMENTO CREDENCIAMENTO'!$D$6:$P$3028,12,0)</f>
        <v>6020.2022/0026670-0</v>
      </c>
      <c r="E2" s="133"/>
      <c r="F2" s="134">
        <f>SUMIF('APONTAMENTO CREDENCIAMENTO'!$D$6:$D$3028,'ATESTE-LIQ'!A2,'APONTAMENTO CREDENCIAMENTO'!$FE$6:$FE$3028)</f>
        <v>24057.41</v>
      </c>
      <c r="G2" s="328" t="str">
        <f>VLOOKUP(A2,'APONTAMENTO CREDENCIAMENTO'!$D$6:$G$3028,3,0)</f>
        <v>01/04/2026</v>
      </c>
      <c r="H2" s="328" t="str">
        <f>VLOOKUP(A2,'APONTAMENTO CREDENCIAMENTO'!$D$6:$G$3028,4,0)</f>
        <v>30/04/2026</v>
      </c>
      <c r="I2" s="135" t="str">
        <f t="shared" ref="I2" si="1">CONCATENATE("PE - Pagto. Doc(s): ",E2," - Contrato nº ",A2)</f>
        <v>PE - Pagto. Doc(s):  - Contrato nº 2022/0026670</v>
      </c>
      <c r="J2" s="136">
        <f t="shared" ref="J2" si="2">F2</f>
        <v>24057.41</v>
      </c>
      <c r="K2" s="136">
        <v>0</v>
      </c>
      <c r="L2" s="137" t="str">
        <f>VLOOKUP(A2,'APONTAMENTO CREDENCIAMENTO'!$D$6:$P$3028,5,0)</f>
        <v>ADILSON TOLEDO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6020.2022/0026670-0</v>
      </c>
      <c r="U2" s="144">
        <f t="shared" ref="U2" si="4">F2</f>
        <v>24057.41</v>
      </c>
      <c r="V2" s="145">
        <f t="shared" ref="V2" si="5">U2</f>
        <v>24057.41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2022/0026670 - DRE - FB</v>
      </c>
      <c r="AB2" s="238" t="str">
        <f t="shared" ref="AB2" si="6">L2</f>
        <v>ADILSON TOLEDO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3256</v>
      </c>
      <c r="B3" s="130"/>
      <c r="C3" s="131">
        <f t="shared" ref="C3:C34" si="7">W3</f>
        <v>0</v>
      </c>
      <c r="D3" s="132" t="str">
        <f>VLOOKUP(A3,'APONTAMENTO CREDENCIAMENTO'!$D$6:$P$3028,12,0)</f>
        <v>6020.2022/0025123-0</v>
      </c>
      <c r="E3" s="133"/>
      <c r="F3" s="134">
        <f>SUMIF('APONTAMENTO CREDENCIAMENTO'!$D$6:$D$3028,'ATESTE-LIQ'!A3,'APONTAMENTO CREDENCIAMENTO'!$FE$6:$FE$3028)</f>
        <v>19152.148000000001</v>
      </c>
      <c r="G3" s="328" t="str">
        <f>VLOOKUP(A3,'APONTAMENTO CREDENCIAMENTO'!$D$6:$G$3028,3,0)</f>
        <v>01/04/2026</v>
      </c>
      <c r="H3" s="328" t="str">
        <f>VLOOKUP(A3,'APONTAMENTO CREDENCIAMENTO'!$D$6:$G$3028,4,0)</f>
        <v>30/04/2026</v>
      </c>
      <c r="I3" s="135" t="str">
        <f t="shared" ref="I3:I34" si="8">CONCATENATE("PE - Pagto. Doc(s): ",E3," - Contrato nº ",A3)</f>
        <v>PE - Pagto. Doc(s):  - Contrato nº 2022/0025123</v>
      </c>
      <c r="J3" s="136">
        <f t="shared" ref="J3:J34" si="9">F3</f>
        <v>19152.148000000001</v>
      </c>
      <c r="K3" s="136">
        <v>0</v>
      </c>
      <c r="L3" s="137" t="str">
        <f>VLOOKUP(A3,'APONTAMENTO CREDENCIAMENTO'!$D$6:$P$3028,5,0)</f>
        <v>LENILDO MANOEL DO NASCIMENTO</v>
      </c>
      <c r="M3" s="138"/>
      <c r="N3" s="139"/>
      <c r="O3" s="140"/>
      <c r="P3" s="141"/>
      <c r="Q3" s="141"/>
      <c r="R3" s="141"/>
      <c r="S3" s="142"/>
      <c r="T3" s="143" t="str">
        <f t="shared" ref="T3:T34" si="10">D3</f>
        <v>6020.2022/0025123-0</v>
      </c>
      <c r="U3" s="144">
        <f t="shared" ref="U3:U34" si="11">F3</f>
        <v>19152.148000000001</v>
      </c>
      <c r="V3" s="145">
        <f t="shared" ref="V3:V34" si="12">U3</f>
        <v>19152.148000000001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2022/0025123 - DRE - FB</v>
      </c>
      <c r="AB3" s="238" t="str">
        <f t="shared" ref="AB3:AB34" si="13">L3</f>
        <v>LENILDO MANOEL DO NASCIMENTO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3308</v>
      </c>
      <c r="B4" s="130"/>
      <c r="C4" s="131">
        <f t="shared" si="7"/>
        <v>0</v>
      </c>
      <c r="D4" s="132" t="str">
        <f>VLOOKUP(A4,'APONTAMENTO CREDENCIAMENTO'!$D$6:$P$3028,12,0)</f>
        <v>6020.2022/0025591-0</v>
      </c>
      <c r="E4" s="133"/>
      <c r="F4" s="134">
        <f>SUMIF('APONTAMENTO CREDENCIAMENTO'!$D$6:$D$3028,'ATESTE-LIQ'!A4,'APONTAMENTO CREDENCIAMENTO'!$FE$6:$FE$3028)</f>
        <v>14670.639000000003</v>
      </c>
      <c r="G4" s="328" t="str">
        <f>VLOOKUP(A4,'APONTAMENTO CREDENCIAMENTO'!$D$6:$G$3028,3,0)</f>
        <v>01/04/2026</v>
      </c>
      <c r="H4" s="328" t="str">
        <f>VLOOKUP(A4,'APONTAMENTO CREDENCIAMENTO'!$D$6:$G$3028,4,0)</f>
        <v>30/04/2026</v>
      </c>
      <c r="I4" s="135" t="str">
        <f t="shared" si="8"/>
        <v>PE - Pagto. Doc(s):  - Contrato nº 2022/0025591</v>
      </c>
      <c r="J4" s="136">
        <f t="shared" si="9"/>
        <v>14670.639000000003</v>
      </c>
      <c r="K4" s="136">
        <v>0</v>
      </c>
      <c r="L4" s="137" t="str">
        <f>VLOOKUP(A4,'APONTAMENTO CREDENCIAMENTO'!$D$6:$P$3028,5,0)</f>
        <v>VALTER DOS SANTOS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6020.2022/0025591-0</v>
      </c>
      <c r="U4" s="144">
        <f t="shared" si="11"/>
        <v>14670.639000000003</v>
      </c>
      <c r="V4" s="145">
        <f t="shared" si="12"/>
        <v>14670.639000000003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2022/0025591 - DRE - FB</v>
      </c>
      <c r="AB4" s="238" t="str">
        <f t="shared" si="13"/>
        <v>VALTER DOS SANTOS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3212</v>
      </c>
      <c r="B5" s="130"/>
      <c r="C5" s="131">
        <f t="shared" si="7"/>
        <v>0</v>
      </c>
      <c r="D5" s="132" t="str">
        <f>VLOOKUP(A5,'APONTAMENTO CREDENCIAMENTO'!$D$6:$P$3028,12,0)</f>
        <v>6020.2022/0026000-0</v>
      </c>
      <c r="E5" s="133"/>
      <c r="F5" s="134">
        <f>SUMIF('APONTAMENTO CREDENCIAMENTO'!$D$6:$D$3028,'ATESTE-LIQ'!A5,'APONTAMENTO CREDENCIAMENTO'!$FE$6:$FE$3028)</f>
        <v>16257.039000000001</v>
      </c>
      <c r="G5" s="328" t="str">
        <f>VLOOKUP(A5,'APONTAMENTO CREDENCIAMENTO'!$D$6:$G$3028,3,0)</f>
        <v>01/04/2026</v>
      </c>
      <c r="H5" s="328" t="str">
        <f>VLOOKUP(A5,'APONTAMENTO CREDENCIAMENTO'!$D$6:$G$3028,4,0)</f>
        <v>30/04/2026</v>
      </c>
      <c r="I5" s="135" t="str">
        <f t="shared" si="8"/>
        <v>PE - Pagto. Doc(s):  - Contrato nº 2022/0026000</v>
      </c>
      <c r="J5" s="136">
        <f t="shared" si="9"/>
        <v>16257.039000000001</v>
      </c>
      <c r="K5" s="136">
        <v>0</v>
      </c>
      <c r="L5" s="137" t="str">
        <f>VLOOKUP(A5,'APONTAMENTO CREDENCIAMENTO'!$D$6:$P$3028,5,0)</f>
        <v>ANTONIO CARLOS GOMES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6020.2022/0026000-0</v>
      </c>
      <c r="U5" s="144">
        <f t="shared" si="11"/>
        <v>16257.039000000001</v>
      </c>
      <c r="V5" s="145">
        <f t="shared" si="12"/>
        <v>16257.039000000001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2022/0026000 - DRE - FB</v>
      </c>
      <c r="AB5" s="238" t="str">
        <f t="shared" si="13"/>
        <v>ANTONIO CARLOS GOMES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3224</v>
      </c>
      <c r="B6" s="130"/>
      <c r="C6" s="131">
        <f t="shared" si="7"/>
        <v>0</v>
      </c>
      <c r="D6" s="132" t="str">
        <f>VLOOKUP(A6,'APONTAMENTO CREDENCIAMENTO'!$D$6:$P$3028,12,0)</f>
        <v>6020.2022/0026174-0</v>
      </c>
      <c r="E6" s="133"/>
      <c r="F6" s="134">
        <f>SUMIF('APONTAMENTO CREDENCIAMENTO'!$D$6:$D$3028,'ATESTE-LIQ'!A6,'APONTAMENTO CREDENCIAMENTO'!$FE$6:$FE$3028)</f>
        <v>17460.485000000001</v>
      </c>
      <c r="G6" s="328" t="str">
        <f>VLOOKUP(A6,'APONTAMENTO CREDENCIAMENTO'!$D$6:$G$3028,3,0)</f>
        <v>01/04/2026</v>
      </c>
      <c r="H6" s="328" t="str">
        <f>VLOOKUP(A6,'APONTAMENTO CREDENCIAMENTO'!$D$6:$G$3028,4,0)</f>
        <v>30/04/2026</v>
      </c>
      <c r="I6" s="135" t="str">
        <f t="shared" si="8"/>
        <v>PE - Pagto. Doc(s):  - Contrato nº 2022/0026174</v>
      </c>
      <c r="J6" s="136">
        <f t="shared" si="9"/>
        <v>17460.485000000001</v>
      </c>
      <c r="K6" s="136">
        <v>0</v>
      </c>
      <c r="L6" s="137" t="str">
        <f>VLOOKUP(A6,'APONTAMENTO CREDENCIAMENTO'!$D$6:$P$3028,5,0)</f>
        <v>DIONISIO SCARPONE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6020.2022/0026174-0</v>
      </c>
      <c r="U6" s="144">
        <f t="shared" si="11"/>
        <v>17460.485000000001</v>
      </c>
      <c r="V6" s="145">
        <f t="shared" si="12"/>
        <v>17460.485000000001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2022/0026174 - DRE - FB</v>
      </c>
      <c r="AB6" s="238" t="str">
        <f t="shared" si="13"/>
        <v>DIONISIO SCARPONE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3208</v>
      </c>
      <c r="B7" s="130"/>
      <c r="C7" s="131">
        <f t="shared" si="7"/>
        <v>0</v>
      </c>
      <c r="D7" s="132" t="str">
        <f>VLOOKUP(A7,'APONTAMENTO CREDENCIAMENTO'!$D$6:$P$3028,12,0)</f>
        <v>6020.2022/0027355-2</v>
      </c>
      <c r="E7" s="133"/>
      <c r="F7" s="134">
        <f>SUMIF('APONTAMENTO CREDENCIAMENTO'!$D$6:$D$3028,'ATESTE-LIQ'!A7,'APONTAMENTO CREDENCIAMENTO'!$FE$6:$FE$3028)</f>
        <v>11850.859999999999</v>
      </c>
      <c r="G7" s="328" t="str">
        <f>VLOOKUP(A7,'APONTAMENTO CREDENCIAMENTO'!$D$6:$G$3028,3,0)</f>
        <v>01/04/2026</v>
      </c>
      <c r="H7" s="328" t="str">
        <f>VLOOKUP(A7,'APONTAMENTO CREDENCIAMENTO'!$D$6:$G$3028,4,0)</f>
        <v>30/04/2026</v>
      </c>
      <c r="I7" s="135" t="str">
        <f t="shared" si="8"/>
        <v>PE - Pagto. Doc(s):  - Contrato nº 2022/0027355</v>
      </c>
      <c r="J7" s="136">
        <f t="shared" si="9"/>
        <v>11850.859999999999</v>
      </c>
      <c r="K7" s="136">
        <v>0</v>
      </c>
      <c r="L7" s="137" t="str">
        <f>VLOOKUP(A7,'APONTAMENTO CREDENCIAMENTO'!$D$6:$P$3028,5,0)</f>
        <v>ANDREIA NOEMIA PEREIRA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6020.2022/0027355-2</v>
      </c>
      <c r="U7" s="144">
        <f t="shared" si="11"/>
        <v>11850.859999999999</v>
      </c>
      <c r="V7" s="145">
        <f t="shared" si="12"/>
        <v>11850.859999999999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2022/0027355 - DRE - FB</v>
      </c>
      <c r="AB7" s="238" t="str">
        <f t="shared" si="13"/>
        <v>ANDREIA NOEMIA PEREIRA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3304</v>
      </c>
      <c r="B8" s="130"/>
      <c r="C8" s="131">
        <f t="shared" si="7"/>
        <v>0</v>
      </c>
      <c r="D8" s="132" t="str">
        <f>VLOOKUP(A8,'APONTAMENTO CREDENCIAMENTO'!$D$6:$P$3028,12,0)</f>
        <v>6020.2022/0027626-8</v>
      </c>
      <c r="E8" s="133"/>
      <c r="F8" s="134">
        <f>SUMIF('APONTAMENTO CREDENCIAMENTO'!$D$6:$D$3028,'ATESTE-LIQ'!A8,'APONTAMENTO CREDENCIAMENTO'!$FE$6:$FE$3028)</f>
        <v>15582.35</v>
      </c>
      <c r="G8" s="328" t="str">
        <f>VLOOKUP(A8,'APONTAMENTO CREDENCIAMENTO'!$D$6:$G$3028,3,0)</f>
        <v>01/04/2026</v>
      </c>
      <c r="H8" s="328" t="str">
        <f>VLOOKUP(A8,'APONTAMENTO CREDENCIAMENTO'!$D$6:$G$3028,4,0)</f>
        <v>30/04/2026</v>
      </c>
      <c r="I8" s="135" t="str">
        <f t="shared" si="8"/>
        <v>PE - Pagto. Doc(s):  - Contrato nº 2022/0027626</v>
      </c>
      <c r="J8" s="136">
        <f t="shared" si="9"/>
        <v>15582.35</v>
      </c>
      <c r="K8" s="136">
        <v>0</v>
      </c>
      <c r="L8" s="137" t="str">
        <f>VLOOKUP(A8,'APONTAMENTO CREDENCIAMENTO'!$D$6:$P$3028,5,0)</f>
        <v>VALDEMIR DO NASCIMENTO SILVA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6020.2022/0027626-8</v>
      </c>
      <c r="U8" s="144">
        <f t="shared" si="11"/>
        <v>15582.35</v>
      </c>
      <c r="V8" s="145">
        <f t="shared" si="12"/>
        <v>15582.35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2022/0027626 - DRE - FB</v>
      </c>
      <c r="AB8" s="238" t="str">
        <f t="shared" si="13"/>
        <v>VALDEMIR DO NASCIMENTO SILVA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3248</v>
      </c>
      <c r="B9" s="130"/>
      <c r="C9" s="131">
        <f t="shared" si="7"/>
        <v>0</v>
      </c>
      <c r="D9" s="132" t="str">
        <f>VLOOKUP(A9,'APONTAMENTO CREDENCIAMENTO'!$D$6:$P$3028,12,0)</f>
        <v>6020.2022/0027707-8</v>
      </c>
      <c r="E9" s="133"/>
      <c r="F9" s="134">
        <f>SUMIF('APONTAMENTO CREDENCIAMENTO'!$D$6:$D$3028,'ATESTE-LIQ'!A9,'APONTAMENTO CREDENCIAMENTO'!$FE$6:$FE$3028)</f>
        <v>17941.930000000004</v>
      </c>
      <c r="G9" s="328" t="str">
        <f>VLOOKUP(A9,'APONTAMENTO CREDENCIAMENTO'!$D$6:$G$3028,3,0)</f>
        <v>01/04/2026</v>
      </c>
      <c r="H9" s="328" t="str">
        <f>VLOOKUP(A9,'APONTAMENTO CREDENCIAMENTO'!$D$6:$G$3028,4,0)</f>
        <v>30/04/2026</v>
      </c>
      <c r="I9" s="135" t="str">
        <f t="shared" si="8"/>
        <v>PE - Pagto. Doc(s):  - Contrato nº 2022/0027707</v>
      </c>
      <c r="J9" s="136">
        <f t="shared" si="9"/>
        <v>17941.930000000004</v>
      </c>
      <c r="K9" s="136">
        <v>0</v>
      </c>
      <c r="L9" s="137" t="str">
        <f>VLOOKUP(A9,'APONTAMENTO CREDENCIAMENTO'!$D$6:$P$3028,5,0)</f>
        <v>JOSE RICARDO FERREIRA DOS SANTOS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6020.2022/0027707-8</v>
      </c>
      <c r="U9" s="144">
        <f t="shared" si="11"/>
        <v>17941.930000000004</v>
      </c>
      <c r="V9" s="145">
        <f t="shared" si="12"/>
        <v>17941.930000000004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2022/0027707 - DRE - FB</v>
      </c>
      <c r="AB9" s="238" t="str">
        <f t="shared" si="13"/>
        <v>JOSE RICARDO FERREIRA DOS SANTOS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3200</v>
      </c>
      <c r="B10" s="130"/>
      <c r="C10" s="131">
        <f t="shared" si="7"/>
        <v>0</v>
      </c>
      <c r="D10" s="132" t="str">
        <f>VLOOKUP(A10,'APONTAMENTO CREDENCIAMENTO'!$D$6:$P$3028,12,0)</f>
        <v>6020.2022/0027713-2</v>
      </c>
      <c r="E10" s="133"/>
      <c r="F10" s="134">
        <f>SUMIF('APONTAMENTO CREDENCIAMENTO'!$D$6:$D$3028,'ATESTE-LIQ'!A10,'APONTAMENTO CREDENCIAMENTO'!$FE$6:$FE$3028)</f>
        <v>12852.68</v>
      </c>
      <c r="G10" s="328" t="str">
        <f>VLOOKUP(A10,'APONTAMENTO CREDENCIAMENTO'!$D$6:$G$3028,3,0)</f>
        <v>01/04/2026</v>
      </c>
      <c r="H10" s="328" t="str">
        <f>VLOOKUP(A10,'APONTAMENTO CREDENCIAMENTO'!$D$6:$G$3028,4,0)</f>
        <v>30/04/2026</v>
      </c>
      <c r="I10" s="135" t="str">
        <f t="shared" si="8"/>
        <v>PE - Pagto. Doc(s):  - Contrato nº 2022/0027713</v>
      </c>
      <c r="J10" s="136">
        <f t="shared" si="9"/>
        <v>12852.68</v>
      </c>
      <c r="K10" s="136">
        <v>0</v>
      </c>
      <c r="L10" s="137" t="str">
        <f>VLOOKUP(A10,'APONTAMENTO CREDENCIAMENTO'!$D$6:$P$3028,5,0)</f>
        <v>ALEXANDRO CIRINO VIEIRA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6020.2022/0027713-2</v>
      </c>
      <c r="U10" s="144">
        <f t="shared" si="11"/>
        <v>12852.68</v>
      </c>
      <c r="V10" s="145">
        <f t="shared" si="12"/>
        <v>12852.68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2022/0027713 - DRE - FB</v>
      </c>
      <c r="AB10" s="238" t="str">
        <f t="shared" si="13"/>
        <v>ALEXANDRO CIRINO VIEIRA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3288</v>
      </c>
      <c r="B11" s="130"/>
      <c r="C11" s="131">
        <f t="shared" si="7"/>
        <v>0</v>
      </c>
      <c r="D11" s="132" t="str">
        <f>VLOOKUP(A11,'APONTAMENTO CREDENCIAMENTO'!$D$6:$P$3028,12,0)</f>
        <v>6020.2022/0028422-8</v>
      </c>
      <c r="E11" s="133"/>
      <c r="F11" s="134">
        <f>SUMIF('APONTAMENTO CREDENCIAMENTO'!$D$6:$D$3028,'ATESTE-LIQ'!A11,'APONTAMENTO CREDENCIAMENTO'!$FE$6:$FE$3028)</f>
        <v>15844.411</v>
      </c>
      <c r="G11" s="328" t="str">
        <f>VLOOKUP(A11,'APONTAMENTO CREDENCIAMENTO'!$D$6:$G$3028,3,0)</f>
        <v>01/04/2026</v>
      </c>
      <c r="H11" s="328" t="str">
        <f>VLOOKUP(A11,'APONTAMENTO CREDENCIAMENTO'!$D$6:$G$3028,4,0)</f>
        <v>30/04/2026</v>
      </c>
      <c r="I11" s="135" t="str">
        <f t="shared" si="8"/>
        <v>PE - Pagto. Doc(s):  - Contrato nº 2022/0028422</v>
      </c>
      <c r="J11" s="136">
        <f t="shared" si="9"/>
        <v>15844.411</v>
      </c>
      <c r="K11" s="136">
        <v>0</v>
      </c>
      <c r="L11" s="137" t="str">
        <f>VLOOKUP(A11,'APONTAMENTO CREDENCIAMENTO'!$D$6:$P$3028,5,0)</f>
        <v>REGIVALDO DE SOUZA VASCONCELOS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6020.2022/0028422-8</v>
      </c>
      <c r="U11" s="144">
        <f t="shared" si="11"/>
        <v>15844.411</v>
      </c>
      <c r="V11" s="145">
        <f t="shared" si="12"/>
        <v>15844.411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2022/0028422 - DRE - FB</v>
      </c>
      <c r="AB11" s="238" t="str">
        <f t="shared" si="13"/>
        <v>REGIVALDO DE SOUZA VASCONCELOS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3216</v>
      </c>
      <c r="B12" s="130"/>
      <c r="C12" s="131">
        <f t="shared" si="7"/>
        <v>0</v>
      </c>
      <c r="D12" s="132" t="str">
        <f>VLOOKUP(A12,'APONTAMENTO CREDENCIAMENTO'!$D$6:$P$3028,12,0)</f>
        <v>6020.2022/0028814-2</v>
      </c>
      <c r="E12" s="133"/>
      <c r="F12" s="134">
        <f>SUMIF('APONTAMENTO CREDENCIAMENTO'!$D$6:$D$3028,'ATESTE-LIQ'!A12,'APONTAMENTO CREDENCIAMENTO'!$FE$6:$FE$3028)</f>
        <v>14393.93</v>
      </c>
      <c r="G12" s="328" t="str">
        <f>VLOOKUP(A12,'APONTAMENTO CREDENCIAMENTO'!$D$6:$G$3028,3,0)</f>
        <v>01/04/2026</v>
      </c>
      <c r="H12" s="328" t="str">
        <f>VLOOKUP(A12,'APONTAMENTO CREDENCIAMENTO'!$D$6:$G$3028,4,0)</f>
        <v>30/04/2026</v>
      </c>
      <c r="I12" s="135" t="str">
        <f t="shared" si="8"/>
        <v>PE - Pagto. Doc(s):  - Contrato nº 2022/0028814</v>
      </c>
      <c r="J12" s="136">
        <f t="shared" si="9"/>
        <v>14393.93</v>
      </c>
      <c r="K12" s="136">
        <v>0</v>
      </c>
      <c r="L12" s="137" t="str">
        <f>VLOOKUP(A12,'APONTAMENTO CREDENCIAMENTO'!$D$6:$P$3028,5,0)</f>
        <v>CARLOS OMAR ALVES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6020.2022/0028814-2</v>
      </c>
      <c r="U12" s="144">
        <f t="shared" si="11"/>
        <v>14393.93</v>
      </c>
      <c r="V12" s="145">
        <f t="shared" si="12"/>
        <v>14393.93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2022/0028814 - DRE - FB</v>
      </c>
      <c r="AB12" s="238" t="str">
        <f t="shared" si="13"/>
        <v>CARLOS OMAR ALVES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3260</v>
      </c>
      <c r="B13" s="130"/>
      <c r="C13" s="131">
        <f t="shared" si="7"/>
        <v>0</v>
      </c>
      <c r="D13" s="132" t="str">
        <f>VLOOKUP(A13,'APONTAMENTO CREDENCIAMENTO'!$D$6:$P$3028,12,0)</f>
        <v>6020.2022/0028906-8</v>
      </c>
      <c r="E13" s="133"/>
      <c r="F13" s="134">
        <f>SUMIF('APONTAMENTO CREDENCIAMENTO'!$D$6:$D$3028,'ATESTE-LIQ'!A13,'APONTAMENTO CREDENCIAMENTO'!$FE$6:$FE$3028)</f>
        <v>19948.29</v>
      </c>
      <c r="G13" s="328" t="str">
        <f>VLOOKUP(A13,'APONTAMENTO CREDENCIAMENTO'!$D$6:$G$3028,3,0)</f>
        <v>01/04/2026</v>
      </c>
      <c r="H13" s="328" t="str">
        <f>VLOOKUP(A13,'APONTAMENTO CREDENCIAMENTO'!$D$6:$G$3028,4,0)</f>
        <v>30/04/2026</v>
      </c>
      <c r="I13" s="135" t="str">
        <f t="shared" si="8"/>
        <v>PE - Pagto. Doc(s):  - Contrato nº 2022/0028906</v>
      </c>
      <c r="J13" s="136">
        <f t="shared" si="9"/>
        <v>19948.29</v>
      </c>
      <c r="K13" s="136">
        <v>0</v>
      </c>
      <c r="L13" s="137" t="str">
        <f>VLOOKUP(A13,'APONTAMENTO CREDENCIAMENTO'!$D$6:$P$3028,5,0)</f>
        <v>LUCIA MARIZ RAMOS CONTELI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6020.2022/0028906-8</v>
      </c>
      <c r="U13" s="144">
        <f t="shared" si="11"/>
        <v>19948.29</v>
      </c>
      <c r="V13" s="145">
        <f t="shared" si="12"/>
        <v>19948.29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2022/0028906 - DRE - FB</v>
      </c>
      <c r="AB13" s="238" t="str">
        <f t="shared" si="13"/>
        <v>LUCIA MARIZ RAMOS CONTELI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3268</v>
      </c>
      <c r="B14" s="130"/>
      <c r="C14" s="131">
        <f t="shared" si="7"/>
        <v>0</v>
      </c>
      <c r="D14" s="132" t="str">
        <f>VLOOKUP(A14,'APONTAMENTO CREDENCIAMENTO'!$D$6:$P$3028,12,0)</f>
        <v>6020.2022/0029312-0</v>
      </c>
      <c r="E14" s="133"/>
      <c r="F14" s="134">
        <f>SUMIF('APONTAMENTO CREDENCIAMENTO'!$D$6:$D$3028,'ATESTE-LIQ'!A14,'APONTAMENTO CREDENCIAMENTO'!$FE$6:$FE$3028)</f>
        <v>12051.075000000001</v>
      </c>
      <c r="G14" s="328" t="str">
        <f>VLOOKUP(A14,'APONTAMENTO CREDENCIAMENTO'!$D$6:$G$3028,3,0)</f>
        <v>01/04/2026</v>
      </c>
      <c r="H14" s="328" t="str">
        <f>VLOOKUP(A14,'APONTAMENTO CREDENCIAMENTO'!$D$6:$G$3028,4,0)</f>
        <v>30/04/2026</v>
      </c>
      <c r="I14" s="135" t="str">
        <f t="shared" si="8"/>
        <v>PE - Pagto. Doc(s):  - Contrato nº 2022/0029312</v>
      </c>
      <c r="J14" s="136">
        <f t="shared" si="9"/>
        <v>12051.075000000001</v>
      </c>
      <c r="K14" s="136">
        <v>0</v>
      </c>
      <c r="L14" s="137" t="str">
        <f>VLOOKUP(A14,'APONTAMENTO CREDENCIAMENTO'!$D$6:$P$3028,5,0)</f>
        <v>MARIO MORENO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6020.2022/0029312-0</v>
      </c>
      <c r="U14" s="144">
        <f t="shared" si="11"/>
        <v>12051.075000000001</v>
      </c>
      <c r="V14" s="145">
        <f t="shared" si="12"/>
        <v>12051.075000000001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2022/0029312 - DRE - FB</v>
      </c>
      <c r="AB14" s="238" t="str">
        <f t="shared" si="13"/>
        <v>MARIO MORENO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3324</v>
      </c>
      <c r="B15" s="130"/>
      <c r="C15" s="131">
        <f t="shared" si="7"/>
        <v>0</v>
      </c>
      <c r="D15" s="132" t="str">
        <f>VLOOKUP(A15,'APONTAMENTO CREDENCIAMENTO'!$D$6:$P$3028,12,0)</f>
        <v>6020.2022/0029526-2</v>
      </c>
      <c r="E15" s="133"/>
      <c r="F15" s="134">
        <f>SUMIF('APONTAMENTO CREDENCIAMENTO'!$D$6:$D$3028,'ATESTE-LIQ'!A15,'APONTAMENTO CREDENCIAMENTO'!$FE$6:$FE$3028)</f>
        <v>12795.853000000001</v>
      </c>
      <c r="G15" s="328" t="str">
        <f>VLOOKUP(A15,'APONTAMENTO CREDENCIAMENTO'!$D$6:$G$3028,3,0)</f>
        <v>01/04/2026</v>
      </c>
      <c r="H15" s="328" t="str">
        <f>VLOOKUP(A15,'APONTAMENTO CREDENCIAMENTO'!$D$6:$G$3028,4,0)</f>
        <v>30/04/2026</v>
      </c>
      <c r="I15" s="135" t="str">
        <f t="shared" si="8"/>
        <v>PE - Pagto. Doc(s):  - Contrato nº 2022/0029526</v>
      </c>
      <c r="J15" s="136">
        <f t="shared" si="9"/>
        <v>12795.853000000001</v>
      </c>
      <c r="K15" s="136">
        <v>0</v>
      </c>
      <c r="L15" s="137" t="str">
        <f>VLOOKUP(A15,'APONTAMENTO CREDENCIAMENTO'!$D$6:$P$3028,5,0)</f>
        <v>WALTER WILLIAM COBO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6020.2022/0029526-2</v>
      </c>
      <c r="U15" s="144">
        <f t="shared" si="11"/>
        <v>12795.853000000001</v>
      </c>
      <c r="V15" s="145">
        <f t="shared" si="12"/>
        <v>12795.853000000001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2022/0029526 - DRE - FB</v>
      </c>
      <c r="AB15" s="238" t="str">
        <f t="shared" si="13"/>
        <v>WALTER WILLIAM COBO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3280</v>
      </c>
      <c r="B16" s="130"/>
      <c r="C16" s="131">
        <f t="shared" si="7"/>
        <v>0</v>
      </c>
      <c r="D16" s="132" t="str">
        <f>VLOOKUP(A16,'APONTAMENTO CREDENCIAMENTO'!$D$6:$P$3028,12,0)</f>
        <v>6020.2022/0030526-8</v>
      </c>
      <c r="E16" s="133"/>
      <c r="F16" s="134">
        <f>SUMIF('APONTAMENTO CREDENCIAMENTO'!$D$6:$D$3028,'ATESTE-LIQ'!A16,'APONTAMENTO CREDENCIAMENTO'!$FE$6:$FE$3028)</f>
        <v>11447.548000000001</v>
      </c>
      <c r="G16" s="328" t="str">
        <f>VLOOKUP(A16,'APONTAMENTO CREDENCIAMENTO'!$D$6:$G$3028,3,0)</f>
        <v>01/04/2026</v>
      </c>
      <c r="H16" s="328" t="str">
        <f>VLOOKUP(A16,'APONTAMENTO CREDENCIAMENTO'!$D$6:$G$3028,4,0)</f>
        <v>30/04/2026</v>
      </c>
      <c r="I16" s="135" t="str">
        <f t="shared" si="8"/>
        <v>PE - Pagto. Doc(s):  - Contrato nº 2022/0030526</v>
      </c>
      <c r="J16" s="136">
        <f t="shared" si="9"/>
        <v>11447.548000000001</v>
      </c>
      <c r="K16" s="136">
        <v>0</v>
      </c>
      <c r="L16" s="137" t="str">
        <f>VLOOKUP(A16,'APONTAMENTO CREDENCIAMENTO'!$D$6:$P$3028,5,0)</f>
        <v>REGINALDO DOS SANTOS FREITAS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6020.2022/0030526-8</v>
      </c>
      <c r="U16" s="144">
        <f t="shared" si="11"/>
        <v>11447.548000000001</v>
      </c>
      <c r="V16" s="145">
        <f t="shared" si="12"/>
        <v>11447.548000000001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2022/0030526 - DRE - FB</v>
      </c>
      <c r="AB16" s="238" t="str">
        <f t="shared" si="13"/>
        <v>REGINALDO DOS SANTOS FREITAS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3244</v>
      </c>
      <c r="B17" s="130"/>
      <c r="C17" s="131">
        <f t="shared" si="7"/>
        <v>0</v>
      </c>
      <c r="D17" s="132" t="str">
        <f>VLOOKUP(A17,'APONTAMENTO CREDENCIAMENTO'!$D$6:$P$3028,12,0)</f>
        <v>6020.2022/0030845-3</v>
      </c>
      <c r="E17" s="133"/>
      <c r="F17" s="134">
        <f>SUMIF('APONTAMENTO CREDENCIAMENTO'!$D$6:$D$3028,'ATESTE-LIQ'!A17,'APONTAMENTO CREDENCIAMENTO'!$FE$6:$FE$3028)</f>
        <v>14932.699999999999</v>
      </c>
      <c r="G17" s="328" t="str">
        <f>VLOOKUP(A17,'APONTAMENTO CREDENCIAMENTO'!$D$6:$G$3028,3,0)</f>
        <v>01/04/2026</v>
      </c>
      <c r="H17" s="328" t="str">
        <f>VLOOKUP(A17,'APONTAMENTO CREDENCIAMENTO'!$D$6:$G$3028,4,0)</f>
        <v>30/04/2026</v>
      </c>
      <c r="I17" s="135" t="str">
        <f t="shared" si="8"/>
        <v>PE - Pagto. Doc(s):  - Contrato nº 2022/0030845</v>
      </c>
      <c r="J17" s="136">
        <f t="shared" si="9"/>
        <v>14932.699999999999</v>
      </c>
      <c r="K17" s="136">
        <v>0</v>
      </c>
      <c r="L17" s="137" t="str">
        <f>VLOOKUP(A17,'APONTAMENTO CREDENCIAMENTO'!$D$6:$P$3028,5,0)</f>
        <v>JOSE FIRMINO BATISTA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6020.2022/0030845-3</v>
      </c>
      <c r="U17" s="144">
        <f t="shared" si="11"/>
        <v>14932.699999999999</v>
      </c>
      <c r="V17" s="145">
        <f t="shared" si="12"/>
        <v>14932.699999999999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2022/0030845 - DRE - FB</v>
      </c>
      <c r="AB17" s="238" t="str">
        <f t="shared" si="13"/>
        <v>JOSE FIRMINO BATISTA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3228</v>
      </c>
      <c r="B18" s="130"/>
      <c r="C18" s="131">
        <f t="shared" si="7"/>
        <v>0</v>
      </c>
      <c r="D18" s="132" t="str">
        <f>VLOOKUP(A18,'APONTAMENTO CREDENCIAMENTO'!$D$6:$P$3028,12,0)</f>
        <v>6020.2022/0031239-6</v>
      </c>
      <c r="E18" s="133"/>
      <c r="F18" s="134">
        <f>SUMIF('APONTAMENTO CREDENCIAMENTO'!$D$6:$D$3028,'ATESTE-LIQ'!A18,'APONTAMENTO CREDENCIAMENTO'!$FE$6:$FE$3028)</f>
        <v>23672.18</v>
      </c>
      <c r="G18" s="328" t="str">
        <f>VLOOKUP(A18,'APONTAMENTO CREDENCIAMENTO'!$D$6:$G$3028,3,0)</f>
        <v>01/04/2026</v>
      </c>
      <c r="H18" s="328" t="str">
        <f>VLOOKUP(A18,'APONTAMENTO CREDENCIAMENTO'!$D$6:$G$3028,4,0)</f>
        <v>30/04/2026</v>
      </c>
      <c r="I18" s="135" t="str">
        <f t="shared" si="8"/>
        <v>PE - Pagto. Doc(s):  - Contrato nº 2022/0031239</v>
      </c>
      <c r="J18" s="136">
        <f t="shared" si="9"/>
        <v>23672.18</v>
      </c>
      <c r="K18" s="136">
        <v>0</v>
      </c>
      <c r="L18" s="137" t="str">
        <f>VLOOKUP(A18,'APONTAMENTO CREDENCIAMENTO'!$D$6:$P$3028,5,0)</f>
        <v>EDILAINE APARECIDA DOS SANTOS PIMENTEL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6020.2022/0031239-6</v>
      </c>
      <c r="U18" s="144">
        <f t="shared" si="11"/>
        <v>23672.18</v>
      </c>
      <c r="V18" s="145">
        <f t="shared" si="12"/>
        <v>23672.18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2022/0031239 - DRE - FB</v>
      </c>
      <c r="AB18" s="238" t="str">
        <f t="shared" si="13"/>
        <v>EDILAINE APARECIDA DOS SANTOS PIMENTEL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3316</v>
      </c>
      <c r="B19" s="130"/>
      <c r="C19" s="131">
        <f t="shared" si="7"/>
        <v>0</v>
      </c>
      <c r="D19" s="132" t="str">
        <f>VLOOKUP(A19,'APONTAMENTO CREDENCIAMENTO'!$D$6:$P$3028,12,0)</f>
        <v>6020.2022/0031275-2</v>
      </c>
      <c r="E19" s="133"/>
      <c r="F19" s="134">
        <f>SUMIF('APONTAMENTO CREDENCIAMENTO'!$D$6:$D$3028,'ATESTE-LIQ'!A19,'APONTAMENTO CREDENCIAMENTO'!$FE$6:$FE$3028)</f>
        <v>16352.810000000001</v>
      </c>
      <c r="G19" s="328" t="str">
        <f>VLOOKUP(A19,'APONTAMENTO CREDENCIAMENTO'!$D$6:$G$3028,3,0)</f>
        <v>01/04/2026</v>
      </c>
      <c r="H19" s="328" t="str">
        <f>VLOOKUP(A19,'APONTAMENTO CREDENCIAMENTO'!$D$6:$G$3028,4,0)</f>
        <v>30/04/2026</v>
      </c>
      <c r="I19" s="135" t="str">
        <f t="shared" si="8"/>
        <v>PE - Pagto. Doc(s):  - Contrato nº 2022/0031275</v>
      </c>
      <c r="J19" s="136">
        <f t="shared" si="9"/>
        <v>16352.810000000001</v>
      </c>
      <c r="K19" s="136">
        <v>0</v>
      </c>
      <c r="L19" s="137" t="str">
        <f>VLOOKUP(A19,'APONTAMENTO CREDENCIAMENTO'!$D$6:$P$3028,5,0)</f>
        <v>VIVIANE SANTANA DA SILVA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6020.2022/0031275-2</v>
      </c>
      <c r="U19" s="144">
        <f t="shared" si="11"/>
        <v>16352.810000000001</v>
      </c>
      <c r="V19" s="145">
        <f t="shared" si="12"/>
        <v>16352.810000000001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2022/0031275 - DRE - FB</v>
      </c>
      <c r="AB19" s="238" t="str">
        <f t="shared" si="13"/>
        <v>VIVIANE SANTANA DA SILVA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3220</v>
      </c>
      <c r="B20" s="130"/>
      <c r="C20" s="131">
        <f t="shared" si="7"/>
        <v>0</v>
      </c>
      <c r="D20" s="132" t="str">
        <f>VLOOKUP(A20,'APONTAMENTO CREDENCIAMENTO'!$D$6:$P$3028,12,0)</f>
        <v>6020.2022/0031991-9</v>
      </c>
      <c r="E20" s="133"/>
      <c r="F20" s="134">
        <f>SUMIF('APONTAMENTO CREDENCIAMENTO'!$D$6:$D$3028,'ATESTE-LIQ'!A20,'APONTAMENTO CREDENCIAMENTO'!$FE$6:$FE$3028)</f>
        <v>11742.891000000001</v>
      </c>
      <c r="G20" s="328" t="str">
        <f>VLOOKUP(A20,'APONTAMENTO CREDENCIAMENTO'!$D$6:$G$3028,3,0)</f>
        <v>01/04/2026</v>
      </c>
      <c r="H20" s="328" t="str">
        <f>VLOOKUP(A20,'APONTAMENTO CREDENCIAMENTO'!$D$6:$G$3028,4,0)</f>
        <v>30/04/2026</v>
      </c>
      <c r="I20" s="135" t="str">
        <f t="shared" si="8"/>
        <v>PE - Pagto. Doc(s):  - Contrato nº 2022/0031991</v>
      </c>
      <c r="J20" s="136">
        <f t="shared" si="9"/>
        <v>11742.891000000001</v>
      </c>
      <c r="K20" s="136">
        <v>0</v>
      </c>
      <c r="L20" s="137" t="str">
        <f>VLOOKUP(A20,'APONTAMENTO CREDENCIAMENTO'!$D$6:$P$3028,5,0)</f>
        <v>CRISTIANE ROSIMEIRE DIAS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6020.2022/0031991-9</v>
      </c>
      <c r="U20" s="144">
        <f t="shared" si="11"/>
        <v>11742.891000000001</v>
      </c>
      <c r="V20" s="145">
        <f t="shared" si="12"/>
        <v>11742.891000000001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2022/0031991 - DRE - FB</v>
      </c>
      <c r="AB20" s="238" t="str">
        <f t="shared" si="13"/>
        <v>CRISTIANE ROSIMEIRE DIAS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3240</v>
      </c>
      <c r="B21" s="130"/>
      <c r="C21" s="131">
        <f t="shared" si="7"/>
        <v>0</v>
      </c>
      <c r="D21" s="132" t="str">
        <f>VLOOKUP(A21,'APONTAMENTO CREDENCIAMENTO'!$D$6:$P$3028,12,0)</f>
        <v>6020.2022/0032145-0</v>
      </c>
      <c r="E21" s="133"/>
      <c r="F21" s="134">
        <f>SUMIF('APONTAMENTO CREDENCIAMENTO'!$D$6:$D$3028,'ATESTE-LIQ'!A21,'APONTAMENTO CREDENCIAMENTO'!$FE$6:$FE$3028)</f>
        <v>20076.7</v>
      </c>
      <c r="G21" s="328" t="str">
        <f>VLOOKUP(A21,'APONTAMENTO CREDENCIAMENTO'!$D$6:$G$3028,3,0)</f>
        <v>01/04/2026</v>
      </c>
      <c r="H21" s="328" t="str">
        <f>VLOOKUP(A21,'APONTAMENTO CREDENCIAMENTO'!$D$6:$G$3028,4,0)</f>
        <v>30/04/2026</v>
      </c>
      <c r="I21" s="135" t="str">
        <f t="shared" si="8"/>
        <v>PE - Pagto. Doc(s):  - Contrato nº 2022/0032145</v>
      </c>
      <c r="J21" s="136">
        <f t="shared" si="9"/>
        <v>20076.7</v>
      </c>
      <c r="K21" s="136">
        <v>0</v>
      </c>
      <c r="L21" s="137" t="str">
        <f>VLOOKUP(A21,'APONTAMENTO CREDENCIAMENTO'!$D$6:$P$3028,5,0)</f>
        <v>JOSE ANTONIO DA SILVA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6020.2022/0032145-0</v>
      </c>
      <c r="U21" s="144">
        <f t="shared" si="11"/>
        <v>20076.7</v>
      </c>
      <c r="V21" s="145">
        <f t="shared" si="12"/>
        <v>20076.7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2022/0032145 - DRE - FB</v>
      </c>
      <c r="AB21" s="238" t="str">
        <f t="shared" si="13"/>
        <v>JOSE ANTONIO DA SILVA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3276</v>
      </c>
      <c r="B22" s="130"/>
      <c r="C22" s="131">
        <f t="shared" si="7"/>
        <v>0</v>
      </c>
      <c r="D22" s="132" t="str">
        <f>VLOOKUP(A22,'APONTAMENTO CREDENCIAMENTO'!$D$6:$P$3028,12,0)</f>
        <v>6020.2022/0033653-8</v>
      </c>
      <c r="E22" s="133"/>
      <c r="F22" s="134">
        <f>SUMIF('APONTAMENTO CREDENCIAMENTO'!$D$6:$D$3028,'ATESTE-LIQ'!A22,'APONTAMENTO CREDENCIAMENTO'!$FE$6:$FE$3028)</f>
        <v>12390.33</v>
      </c>
      <c r="G22" s="328" t="str">
        <f>VLOOKUP(A22,'APONTAMENTO CREDENCIAMENTO'!$D$6:$G$3028,3,0)</f>
        <v>01/04/2026</v>
      </c>
      <c r="H22" s="328" t="str">
        <f>VLOOKUP(A22,'APONTAMENTO CREDENCIAMENTO'!$D$6:$G$3028,4,0)</f>
        <v>30/04/2026</v>
      </c>
      <c r="I22" s="135" t="str">
        <f t="shared" si="8"/>
        <v>PE - Pagto. Doc(s):  - Contrato nº 2022/0033653</v>
      </c>
      <c r="J22" s="136">
        <f t="shared" si="9"/>
        <v>12390.33</v>
      </c>
      <c r="K22" s="136">
        <v>0</v>
      </c>
      <c r="L22" s="137" t="str">
        <f>VLOOKUP(A22,'APONTAMENTO CREDENCIAMENTO'!$D$6:$P$3028,5,0)</f>
        <v>OSMAR BISPO DOS SANTOS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6020.2022/0033653-8</v>
      </c>
      <c r="U22" s="144">
        <f t="shared" si="11"/>
        <v>12390.33</v>
      </c>
      <c r="V22" s="145">
        <f t="shared" si="12"/>
        <v>12390.33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2022/0033653 - DRE - FB</v>
      </c>
      <c r="AB22" s="238" t="str">
        <f t="shared" si="13"/>
        <v>OSMAR BISPO DOS SANTOS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3204</v>
      </c>
      <c r="B23" s="130"/>
      <c r="C23" s="131">
        <f t="shared" si="7"/>
        <v>0</v>
      </c>
      <c r="D23" s="132" t="str">
        <f>VLOOKUP(A23,'APONTAMENTO CREDENCIAMENTO'!$D$6:$P$3028,12,0)</f>
        <v>6020.2022/0033780-1</v>
      </c>
      <c r="E23" s="133"/>
      <c r="F23" s="134">
        <f>SUMIF('APONTAMENTO CREDENCIAMENTO'!$D$6:$D$3028,'ATESTE-LIQ'!A23,'APONTAMENTO CREDENCIAMENTO'!$FE$6:$FE$3028)</f>
        <v>17518.214</v>
      </c>
      <c r="G23" s="328" t="str">
        <f>VLOOKUP(A23,'APONTAMENTO CREDENCIAMENTO'!$D$6:$G$3028,3,0)</f>
        <v>01/04/2026</v>
      </c>
      <c r="H23" s="328" t="str">
        <f>VLOOKUP(A23,'APONTAMENTO CREDENCIAMENTO'!$D$6:$G$3028,4,0)</f>
        <v>30/04/2026</v>
      </c>
      <c r="I23" s="135" t="str">
        <f t="shared" si="8"/>
        <v>PE - Pagto. Doc(s):  - Contrato nº 2022/0033780</v>
      </c>
      <c r="J23" s="136">
        <f t="shared" si="9"/>
        <v>17518.214</v>
      </c>
      <c r="K23" s="136">
        <v>0</v>
      </c>
      <c r="L23" s="137" t="str">
        <f>VLOOKUP(A23,'APONTAMENTO CREDENCIAMENTO'!$D$6:$P$3028,5,0)</f>
        <v>ANA CRISTINA FABRI DE LIMA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6020.2022/0033780-1</v>
      </c>
      <c r="U23" s="144">
        <f t="shared" si="11"/>
        <v>17518.214</v>
      </c>
      <c r="V23" s="145">
        <f t="shared" si="12"/>
        <v>17518.214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2022/0033780 - DRE - FB</v>
      </c>
      <c r="AB23" s="238" t="str">
        <f t="shared" si="13"/>
        <v>ANA CRISTINA FABRI DE LIMA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3232</v>
      </c>
      <c r="B24" s="130"/>
      <c r="C24" s="131">
        <f t="shared" si="7"/>
        <v>0</v>
      </c>
      <c r="D24" s="132" t="str">
        <f>VLOOKUP(A24,'APONTAMENTO CREDENCIAMENTO'!$D$6:$P$3028,12,0)</f>
        <v>6020.2022/0033816-6</v>
      </c>
      <c r="E24" s="133"/>
      <c r="F24" s="134">
        <f>SUMIF('APONTAMENTO CREDENCIAMENTO'!$D$6:$D$3028,'ATESTE-LIQ'!A24,'APONTAMENTO CREDENCIAMENTO'!$FE$6:$FE$3028)</f>
        <v>19482.828000000001</v>
      </c>
      <c r="G24" s="328" t="str">
        <f>VLOOKUP(A24,'APONTAMENTO CREDENCIAMENTO'!$D$6:$G$3028,3,0)</f>
        <v>01/04/2026</v>
      </c>
      <c r="H24" s="328" t="str">
        <f>VLOOKUP(A24,'APONTAMENTO CREDENCIAMENTO'!$D$6:$G$3028,4,0)</f>
        <v>30/04/2026</v>
      </c>
      <c r="I24" s="135" t="str">
        <f t="shared" si="8"/>
        <v>PE - Pagto. Doc(s):  - Contrato nº 2022/0033816</v>
      </c>
      <c r="J24" s="136">
        <f t="shared" si="9"/>
        <v>19482.828000000001</v>
      </c>
      <c r="K24" s="136">
        <v>0</v>
      </c>
      <c r="L24" s="137" t="str">
        <f>VLOOKUP(A24,'APONTAMENTO CREDENCIAMENTO'!$D$6:$P$3028,5,0)</f>
        <v>GABRIEL ANTONIO ALMEIDA SOUZA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6020.2022/0033816-6</v>
      </c>
      <c r="U24" s="144">
        <f t="shared" si="11"/>
        <v>19482.828000000001</v>
      </c>
      <c r="V24" s="145">
        <f t="shared" si="12"/>
        <v>19482.828000000001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2022/0033816 - DRE - FB</v>
      </c>
      <c r="AB24" s="238" t="str">
        <f t="shared" si="13"/>
        <v>GABRIEL ANTONIO ALMEIDA SOUZA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3252</v>
      </c>
      <c r="B25" s="130"/>
      <c r="C25" s="131">
        <f t="shared" si="7"/>
        <v>0</v>
      </c>
      <c r="D25" s="132" t="str">
        <f>VLOOKUP(A25,'APONTAMENTO CREDENCIAMENTO'!$D$6:$P$3028,12,0)</f>
        <v>6020.2022/0034092-6</v>
      </c>
      <c r="E25" s="133"/>
      <c r="F25" s="134">
        <f>SUMIF('APONTAMENTO CREDENCIAMENTO'!$D$6:$D$3028,'ATESTE-LIQ'!A25,'APONTAMENTO CREDENCIAMENTO'!$FE$6:$FE$3028)</f>
        <v>13995.306999999999</v>
      </c>
      <c r="G25" s="328" t="str">
        <f>VLOOKUP(A25,'APONTAMENTO CREDENCIAMENTO'!$D$6:$G$3028,3,0)</f>
        <v>01/04/2026</v>
      </c>
      <c r="H25" s="328" t="str">
        <f>VLOOKUP(A25,'APONTAMENTO CREDENCIAMENTO'!$D$6:$G$3028,4,0)</f>
        <v>30/04/2026</v>
      </c>
      <c r="I25" s="135" t="str">
        <f t="shared" si="8"/>
        <v>PE - Pagto. Doc(s):  - Contrato nº 2022/0034092</v>
      </c>
      <c r="J25" s="136">
        <f t="shared" si="9"/>
        <v>13995.306999999999</v>
      </c>
      <c r="K25" s="136">
        <v>0</v>
      </c>
      <c r="L25" s="137" t="str">
        <f>VLOOKUP(A25,'APONTAMENTO CREDENCIAMENTO'!$D$6:$P$3028,5,0)</f>
        <v>JUCINEIDE MOSSIN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6020.2022/0034092-6</v>
      </c>
      <c r="U25" s="144">
        <f t="shared" si="11"/>
        <v>13995.306999999999</v>
      </c>
      <c r="V25" s="145">
        <f t="shared" si="12"/>
        <v>13995.306999999999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2022/0034092 - DRE - FB</v>
      </c>
      <c r="AB25" s="238" t="str">
        <f t="shared" si="13"/>
        <v>JUCINEIDE MOSSIN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3312</v>
      </c>
      <c r="B26" s="130"/>
      <c r="C26" s="131">
        <f t="shared" si="7"/>
        <v>0</v>
      </c>
      <c r="D26" s="132" t="str">
        <f>VLOOKUP(A26,'APONTAMENTO CREDENCIAMENTO'!$D$6:$P$3028,12,0)</f>
        <v>6020.2022/0035206-1</v>
      </c>
      <c r="E26" s="133"/>
      <c r="F26" s="134">
        <f>SUMIF('APONTAMENTO CREDENCIAMENTO'!$D$6:$D$3028,'ATESTE-LIQ'!A26,'APONTAMENTO CREDENCIAMENTO'!$FE$6:$FE$3028)</f>
        <v>16858.849999999999</v>
      </c>
      <c r="G26" s="328" t="str">
        <f>VLOOKUP(A26,'APONTAMENTO CREDENCIAMENTO'!$D$6:$G$3028,3,0)</f>
        <v>01/04/2026</v>
      </c>
      <c r="H26" s="328" t="str">
        <f>VLOOKUP(A26,'APONTAMENTO CREDENCIAMENTO'!$D$6:$G$3028,4,0)</f>
        <v>30/04/2026</v>
      </c>
      <c r="I26" s="135" t="str">
        <f t="shared" si="8"/>
        <v>PE - Pagto. Doc(s):  - Contrato nº 2022/0035206</v>
      </c>
      <c r="J26" s="136">
        <f t="shared" si="9"/>
        <v>16858.849999999999</v>
      </c>
      <c r="K26" s="136">
        <v>0</v>
      </c>
      <c r="L26" s="137" t="str">
        <f>VLOOKUP(A26,'APONTAMENTO CREDENCIAMENTO'!$D$6:$P$3028,5,0)</f>
        <v>VIVIANE GOBBER DOS SANTOS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6020.2022/0035206-1</v>
      </c>
      <c r="U26" s="144">
        <f t="shared" si="11"/>
        <v>16858.849999999999</v>
      </c>
      <c r="V26" s="145">
        <f t="shared" si="12"/>
        <v>16858.849999999999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2022/0035206 - DRE - FB</v>
      </c>
      <c r="AB26" s="238" t="str">
        <f t="shared" si="13"/>
        <v>VIVIANE GOBBER DOS SANTOS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3292</v>
      </c>
      <c r="B27" s="130"/>
      <c r="C27" s="131">
        <f t="shared" si="7"/>
        <v>0</v>
      </c>
      <c r="D27" s="132" t="str">
        <f>VLOOKUP(A27,'APONTAMENTO CREDENCIAMENTO'!$D$6:$P$3028,12,0)</f>
        <v>6020.2022/0036090-0</v>
      </c>
      <c r="E27" s="133"/>
      <c r="F27" s="134">
        <f>SUMIF('APONTAMENTO CREDENCIAMENTO'!$D$6:$D$3028,'ATESTE-LIQ'!A27,'APONTAMENTO CREDENCIAMENTO'!$FE$6:$FE$3028)</f>
        <v>27595.494000000002</v>
      </c>
      <c r="G27" s="328" t="str">
        <f>VLOOKUP(A27,'APONTAMENTO CREDENCIAMENTO'!$D$6:$G$3028,3,0)</f>
        <v>01/04/2026</v>
      </c>
      <c r="H27" s="328" t="str">
        <f>VLOOKUP(A27,'APONTAMENTO CREDENCIAMENTO'!$D$6:$G$3028,4,0)</f>
        <v>30/04/2026</v>
      </c>
      <c r="I27" s="135" t="str">
        <f t="shared" si="8"/>
        <v>PE - Pagto. Doc(s):  - Contrato nº 2022/0036090</v>
      </c>
      <c r="J27" s="136">
        <f t="shared" si="9"/>
        <v>27595.494000000002</v>
      </c>
      <c r="K27" s="136">
        <v>0</v>
      </c>
      <c r="L27" s="137" t="str">
        <f>VLOOKUP(A27,'APONTAMENTO CREDENCIAMENTO'!$D$6:$P$3028,5,0)</f>
        <v>ROMULO ALKMIN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6020.2022/0036090-0</v>
      </c>
      <c r="U27" s="144">
        <f t="shared" si="11"/>
        <v>27595.494000000002</v>
      </c>
      <c r="V27" s="145">
        <f t="shared" si="12"/>
        <v>27595.494000000002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2022/0036090 - DRE - FB</v>
      </c>
      <c r="AB27" s="238" t="str">
        <f t="shared" si="13"/>
        <v>ROMULO ALKMIN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3296</v>
      </c>
      <c r="B28" s="130"/>
      <c r="C28" s="131">
        <f t="shared" si="7"/>
        <v>0</v>
      </c>
      <c r="D28" s="132" t="str">
        <f>VLOOKUP(A28,'APONTAMENTO CREDENCIAMENTO'!$D$6:$P$3028,12,0)</f>
        <v>6020.2023/0012714-0</v>
      </c>
      <c r="E28" s="133"/>
      <c r="F28" s="134">
        <f>SUMIF('APONTAMENTO CREDENCIAMENTO'!$D$6:$D$3028,'ATESTE-LIQ'!A28,'APONTAMENTO CREDENCIAMENTO'!$FE$6:$FE$3028)</f>
        <v>16271.298666666666</v>
      </c>
      <c r="G28" s="328" t="str">
        <f>VLOOKUP(A28,'APONTAMENTO CREDENCIAMENTO'!$D$6:$G$3028,3,0)</f>
        <v>01/04/2026</v>
      </c>
      <c r="H28" s="328" t="str">
        <f>VLOOKUP(A28,'APONTAMENTO CREDENCIAMENTO'!$D$6:$G$3028,4,0)</f>
        <v>30/04/2026</v>
      </c>
      <c r="I28" s="135" t="str">
        <f t="shared" si="8"/>
        <v>PE - Pagto. Doc(s):  - Contrato nº 2023/0012714</v>
      </c>
      <c r="J28" s="136">
        <f t="shared" si="9"/>
        <v>16271.298666666666</v>
      </c>
      <c r="K28" s="136">
        <v>0</v>
      </c>
      <c r="L28" s="137" t="str">
        <f>VLOOKUP(A28,'APONTAMENTO CREDENCIAMENTO'!$D$6:$P$3028,5,0)</f>
        <v>SILVIA DE OLIVEIRA DOS SANTOS SILVA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6020.2023/0012714-0</v>
      </c>
      <c r="U28" s="144">
        <f t="shared" si="11"/>
        <v>16271.298666666666</v>
      </c>
      <c r="V28" s="145">
        <f t="shared" si="12"/>
        <v>16271.298666666666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2023/0012714 - DRE - FB</v>
      </c>
      <c r="AB28" s="238" t="str">
        <f t="shared" si="13"/>
        <v>SILVIA DE OLIVEIRA DOS SANTOS SILVA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3284</v>
      </c>
      <c r="B29" s="130"/>
      <c r="C29" s="131">
        <f t="shared" si="7"/>
        <v>0</v>
      </c>
      <c r="D29" s="132" t="str">
        <f>VLOOKUP(A29,'APONTAMENTO CREDENCIAMENTO'!$D$6:$P$3028,12,0)</f>
        <v>6020.2023/0020998-8</v>
      </c>
      <c r="E29" s="133"/>
      <c r="F29" s="134">
        <f>SUMIF('APONTAMENTO CREDENCIAMENTO'!$D$6:$D$3028,'ATESTE-LIQ'!A29,'APONTAMENTO CREDENCIAMENTO'!$FE$6:$FE$3028)</f>
        <v>12465.262000000001</v>
      </c>
      <c r="G29" s="328" t="str">
        <f>VLOOKUP(A29,'APONTAMENTO CREDENCIAMENTO'!$D$6:$G$3028,3,0)</f>
        <v>01/04/2026</v>
      </c>
      <c r="H29" s="328" t="str">
        <f>VLOOKUP(A29,'APONTAMENTO CREDENCIAMENTO'!$D$6:$G$3028,4,0)</f>
        <v>30/04/2026</v>
      </c>
      <c r="I29" s="135" t="str">
        <f t="shared" si="8"/>
        <v>PE - Pagto. Doc(s):  - Contrato nº 2023/0020998</v>
      </c>
      <c r="J29" s="136">
        <f t="shared" si="9"/>
        <v>12465.262000000001</v>
      </c>
      <c r="K29" s="136">
        <v>0</v>
      </c>
      <c r="L29" s="137" t="str">
        <f>VLOOKUP(A29,'APONTAMENTO CREDENCIAMENTO'!$D$6:$P$3028,5,0)</f>
        <v>REGIS TADEU FOGACA BATISTA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6020.2023/0020998-8</v>
      </c>
      <c r="U29" s="144">
        <f t="shared" si="11"/>
        <v>12465.262000000001</v>
      </c>
      <c r="V29" s="145">
        <f t="shared" si="12"/>
        <v>12465.262000000001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2023/0020998 - DRE - FB</v>
      </c>
      <c r="AB29" s="238" t="str">
        <f t="shared" si="13"/>
        <v>REGIS TADEU FOGACA BATISTA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3320</v>
      </c>
      <c r="B30" s="130"/>
      <c r="C30" s="131">
        <f t="shared" si="7"/>
        <v>0</v>
      </c>
      <c r="D30" s="132" t="str">
        <f>VLOOKUP(A30,'APONTAMENTO CREDENCIAMENTO'!$D$6:$P$3028,12,0)</f>
        <v>6020.2023/0021897-9</v>
      </c>
      <c r="E30" s="133"/>
      <c r="F30" s="134">
        <f>SUMIF('APONTAMENTO CREDENCIAMENTO'!$D$6:$D$3028,'ATESTE-LIQ'!A30,'APONTAMENTO CREDENCIAMENTO'!$FE$6:$FE$3028)</f>
        <v>12179.485000000001</v>
      </c>
      <c r="G30" s="328" t="str">
        <f>VLOOKUP(A30,'APONTAMENTO CREDENCIAMENTO'!$D$6:$G$3028,3,0)</f>
        <v>01/04/2026</v>
      </c>
      <c r="H30" s="328" t="str">
        <f>VLOOKUP(A30,'APONTAMENTO CREDENCIAMENTO'!$D$6:$G$3028,4,0)</f>
        <v>30/04/2026</v>
      </c>
      <c r="I30" s="135" t="str">
        <f t="shared" si="8"/>
        <v>PE - Pagto. Doc(s):  - Contrato nº 2023/0021897</v>
      </c>
      <c r="J30" s="136">
        <f t="shared" si="9"/>
        <v>12179.485000000001</v>
      </c>
      <c r="K30" s="136">
        <v>0</v>
      </c>
      <c r="L30" s="137" t="str">
        <f>VLOOKUP(A30,'APONTAMENTO CREDENCIAMENTO'!$D$6:$P$3028,5,0)</f>
        <v>WALMIR PEREIRA DE FREITAS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6020.2023/0021897-9</v>
      </c>
      <c r="U30" s="144">
        <f t="shared" si="11"/>
        <v>12179.485000000001</v>
      </c>
      <c r="V30" s="145">
        <f t="shared" si="12"/>
        <v>12179.485000000001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2023/0021897 - DRE - FB</v>
      </c>
      <c r="AB30" s="238" t="str">
        <f t="shared" si="13"/>
        <v>WALMIR PEREIRA DE FREITAS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3300</v>
      </c>
      <c r="B31" s="130"/>
      <c r="C31" s="131">
        <f t="shared" si="7"/>
        <v>0</v>
      </c>
      <c r="D31" s="132" t="str">
        <f>VLOOKUP(A31,'APONTAMENTO CREDENCIAMENTO'!$D$6:$P$3028,12,0)</f>
        <v>6020.2023/0029267-2</v>
      </c>
      <c r="E31" s="133"/>
      <c r="F31" s="134">
        <f>SUMIF('APONTAMENTO CREDENCIAMENTO'!$D$6:$D$3028,'ATESTE-LIQ'!A31,'APONTAMENTO CREDENCIAMENTO'!$FE$6:$FE$3028)</f>
        <v>13579.154000000002</v>
      </c>
      <c r="G31" s="328" t="str">
        <f>VLOOKUP(A31,'APONTAMENTO CREDENCIAMENTO'!$D$6:$G$3028,3,0)</f>
        <v>01/04/2026</v>
      </c>
      <c r="H31" s="328" t="str">
        <f>VLOOKUP(A31,'APONTAMENTO CREDENCIAMENTO'!$D$6:$G$3028,4,0)</f>
        <v>30/04/2026</v>
      </c>
      <c r="I31" s="135" t="str">
        <f t="shared" si="8"/>
        <v>PE - Pagto. Doc(s):  - Contrato nº 2023/0029267</v>
      </c>
      <c r="J31" s="136">
        <f t="shared" si="9"/>
        <v>13579.154000000002</v>
      </c>
      <c r="K31" s="136">
        <v>0</v>
      </c>
      <c r="L31" s="137" t="str">
        <f>VLOOKUP(A31,'APONTAMENTO CREDENCIAMENTO'!$D$6:$P$3028,5,0)</f>
        <v>SOLANGE ALVES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6020.2023/0029267-2</v>
      </c>
      <c r="U31" s="144">
        <f t="shared" si="11"/>
        <v>13579.154000000002</v>
      </c>
      <c r="V31" s="145">
        <f t="shared" si="12"/>
        <v>13579.154000000002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2023/0029267 - DRE - FB</v>
      </c>
      <c r="AB31" s="238" t="str">
        <f t="shared" si="13"/>
        <v>SOLANGE ALVES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3236</v>
      </c>
      <c r="B32" s="130"/>
      <c r="C32" s="131">
        <f t="shared" si="7"/>
        <v>0</v>
      </c>
      <c r="D32" s="132" t="str">
        <f>VLOOKUP(A32,'APONTAMENTO CREDENCIAMENTO'!$D$6:$P$3028,12,0)</f>
        <v>6020.2023/0039607-9</v>
      </c>
      <c r="E32" s="133"/>
      <c r="F32" s="134">
        <f>SUMIF('APONTAMENTO CREDENCIAMENTO'!$D$6:$D$3028,'ATESTE-LIQ'!A32,'APONTAMENTO CREDENCIAMENTO'!$FE$6:$FE$3028)</f>
        <v>14982.098</v>
      </c>
      <c r="G32" s="328" t="str">
        <f>VLOOKUP(A32,'APONTAMENTO CREDENCIAMENTO'!$D$6:$G$3028,3,0)</f>
        <v>01/04/2026</v>
      </c>
      <c r="H32" s="328" t="str">
        <f>VLOOKUP(A32,'APONTAMENTO CREDENCIAMENTO'!$D$6:$G$3028,4,0)</f>
        <v>30/04/2026</v>
      </c>
      <c r="I32" s="135" t="str">
        <f t="shared" si="8"/>
        <v>PE - Pagto. Doc(s):  - Contrato nº 2023/0039607</v>
      </c>
      <c r="J32" s="136">
        <f t="shared" si="9"/>
        <v>14982.098</v>
      </c>
      <c r="K32" s="136">
        <v>0</v>
      </c>
      <c r="L32" s="137" t="str">
        <f>VLOOKUP(A32,'APONTAMENTO CREDENCIAMENTO'!$D$6:$P$3028,5,0)</f>
        <v>JACO FELISARDO DE SOUZA FILHO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6020.2023/0039607-9</v>
      </c>
      <c r="U32" s="144">
        <f t="shared" si="11"/>
        <v>14982.098</v>
      </c>
      <c r="V32" s="145">
        <f t="shared" si="12"/>
        <v>14982.098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2023/0039607 - DRE - FB</v>
      </c>
      <c r="AB32" s="238" t="str">
        <f t="shared" si="13"/>
        <v>JACO FELISARDO DE SOUZA FILHO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3264</v>
      </c>
      <c r="B33" s="130"/>
      <c r="C33" s="131">
        <f t="shared" si="7"/>
        <v>0</v>
      </c>
      <c r="D33" s="132" t="str">
        <f>VLOOKUP(A33,'APONTAMENTO CREDENCIAMENTO'!$D$6:$P$3028,12,0)</f>
        <v>6020.2024/0016319-0</v>
      </c>
      <c r="E33" s="133"/>
      <c r="F33" s="134">
        <f>SUMIF('APONTAMENTO CREDENCIAMENTO'!$D$6:$D$3028,'ATESTE-LIQ'!A33,'APONTAMENTO CREDENCIAMENTO'!$FE$6:$FE$3028)</f>
        <v>26157.08</v>
      </c>
      <c r="G33" s="328" t="str">
        <f>VLOOKUP(A33,'APONTAMENTO CREDENCIAMENTO'!$D$6:$G$3028,3,0)</f>
        <v>01/04/2026</v>
      </c>
      <c r="H33" s="328" t="str">
        <f>VLOOKUP(A33,'APONTAMENTO CREDENCIAMENTO'!$D$6:$G$3028,4,0)</f>
        <v>30/04/2026</v>
      </c>
      <c r="I33" s="135" t="str">
        <f t="shared" si="8"/>
        <v>PE - Pagto. Doc(s):  - Contrato nº 2024/0016319</v>
      </c>
      <c r="J33" s="136">
        <f t="shared" si="9"/>
        <v>26157.08</v>
      </c>
      <c r="K33" s="136">
        <v>0</v>
      </c>
      <c r="L33" s="137" t="str">
        <f>VLOOKUP(A33,'APONTAMENTO CREDENCIAMENTO'!$D$6:$P$3028,5,0)</f>
        <v>LUCIANA ALINE SILVEIRA PAIVA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6020.2024/0016319-0</v>
      </c>
      <c r="U33" s="144">
        <f t="shared" si="11"/>
        <v>26157.08</v>
      </c>
      <c r="V33" s="145">
        <f t="shared" si="12"/>
        <v>26157.08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2024/0016319 - DRE - FB</v>
      </c>
      <c r="AB33" s="238" t="str">
        <f t="shared" si="13"/>
        <v>LUCIANA ALINE SILVEIRA PAIVA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3272</v>
      </c>
      <c r="B34" s="130"/>
      <c r="C34" s="131">
        <f t="shared" si="7"/>
        <v>0</v>
      </c>
      <c r="D34" s="132" t="str">
        <f>VLOOKUP(A34,'APONTAMENTO CREDENCIAMENTO'!$D$6:$P$3028,12,0)</f>
        <v>6020.2024/0058937-5</v>
      </c>
      <c r="E34" s="133"/>
      <c r="F34" s="134">
        <f>SUMIF('APONTAMENTO CREDENCIAMENTO'!$D$6:$D$3028,'ATESTE-LIQ'!A34,'APONTAMENTO CREDENCIAMENTO'!$FE$6:$FE$3028)</f>
        <v>16188.48</v>
      </c>
      <c r="G34" s="328" t="str">
        <f>VLOOKUP(A34,'APONTAMENTO CREDENCIAMENTO'!$D$6:$G$3028,3,0)</f>
        <v>01/04/2026</v>
      </c>
      <c r="H34" s="328" t="str">
        <f>VLOOKUP(A34,'APONTAMENTO CREDENCIAMENTO'!$D$6:$G$3028,4,0)</f>
        <v>30/04/2026</v>
      </c>
      <c r="I34" s="135" t="str">
        <f t="shared" si="8"/>
        <v>PE - Pagto. Doc(s):  - Contrato nº 2024/0058937</v>
      </c>
      <c r="J34" s="136">
        <f t="shared" si="9"/>
        <v>16188.48</v>
      </c>
      <c r="K34" s="136">
        <v>0</v>
      </c>
      <c r="L34" s="137" t="str">
        <f>VLOOKUP(A34,'APONTAMENTO CREDENCIAMENTO'!$D$6:$P$3028,5,0)</f>
        <v>MARLI PEREIRA DA SILVA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6020.2024/0058937-5</v>
      </c>
      <c r="U34" s="144">
        <f t="shared" si="11"/>
        <v>16188.48</v>
      </c>
      <c r="V34" s="145">
        <f t="shared" si="12"/>
        <v>16188.48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2024/0058937 - DRE - FB</v>
      </c>
      <c r="AB34" s="238" t="str">
        <f t="shared" si="13"/>
        <v>MARLI PEREIRA DA SILVA</v>
      </c>
      <c r="AC34" s="239"/>
      <c r="AD34" s="240"/>
      <c r="AE34" s="242"/>
      <c r="AF34" s="102"/>
    </row>
    <row r="36" spans="1:32" ht="20.25" customHeight="1" x14ac:dyDescent="0.2">
      <c r="A36" s="237"/>
      <c r="F36" s="60">
        <f>SUM(F2:F35)</f>
        <v>542747.80966666655</v>
      </c>
      <c r="J36" s="60">
        <f>SUM(J2:J35)</f>
        <v>542747.80966666655</v>
      </c>
    </row>
    <row r="37" spans="1:32" ht="20.25" customHeight="1" x14ac:dyDescent="0.2">
      <c r="A37" s="237"/>
    </row>
    <row r="38" spans="1:32" ht="20.25" customHeight="1" x14ac:dyDescent="0.2">
      <c r="A38" s="237"/>
    </row>
    <row r="39" spans="1:32" ht="20.25" customHeight="1" x14ac:dyDescent="0.2">
      <c r="A39" s="237"/>
    </row>
    <row r="40" spans="1:32" ht="20.25" customHeight="1" x14ac:dyDescent="0.2">
      <c r="A40" s="237"/>
    </row>
    <row r="41" spans="1:32" ht="20.25" customHeight="1" x14ac:dyDescent="0.2">
      <c r="A41" s="237"/>
    </row>
    <row r="42" spans="1:32" ht="20.25" customHeight="1" x14ac:dyDescent="0.2">
      <c r="A42" s="237"/>
    </row>
    <row r="43" spans="1:32" ht="20.25" customHeight="1" x14ac:dyDescent="0.2">
      <c r="A43" s="237"/>
    </row>
    <row r="44" spans="1:32" ht="20.25" customHeight="1" x14ac:dyDescent="0.2">
      <c r="A44" s="237"/>
    </row>
    <row r="45" spans="1:32" ht="20.25" customHeight="1" x14ac:dyDescent="0.2">
      <c r="A45" s="237"/>
    </row>
    <row r="46" spans="1:32" ht="20.25" customHeight="1" x14ac:dyDescent="0.2">
      <c r="A46" s="237"/>
    </row>
    <row r="47" spans="1:32" ht="20.25" customHeight="1" x14ac:dyDescent="0.2">
      <c r="A47" s="237"/>
    </row>
    <row r="48" spans="1:32" ht="20.25" customHeight="1" x14ac:dyDescent="0.2">
      <c r="A48" s="237"/>
    </row>
    <row r="49" spans="1:1" ht="20.25" customHeight="1" x14ac:dyDescent="0.2">
      <c r="A49" s="237"/>
    </row>
    <row r="50" spans="1:1" ht="20.25" customHeight="1" x14ac:dyDescent="0.2">
      <c r="A50" s="237"/>
    </row>
    <row r="51" spans="1:1" ht="20.25" customHeight="1" x14ac:dyDescent="0.2">
      <c r="A51" s="237"/>
    </row>
    <row r="52" spans="1:1" ht="20.25" customHeight="1" x14ac:dyDescent="0.2">
      <c r="A52" s="237"/>
    </row>
    <row r="53" spans="1:1" ht="20.25" customHeight="1" x14ac:dyDescent="0.2">
      <c r="A53" s="237"/>
    </row>
    <row r="54" spans="1:1" ht="20.25" customHeight="1" x14ac:dyDescent="0.2">
      <c r="A54" s="237"/>
    </row>
    <row r="55" spans="1:1" ht="20.25" customHeight="1" x14ac:dyDescent="0.2">
      <c r="A55" s="237"/>
    </row>
  </sheetData>
  <sheetProtection formatCells="0" formatColumns="0" formatRows="0" selectLockedCells="1"/>
  <sortState xmlns:xlrd2="http://schemas.microsoft.com/office/spreadsheetml/2017/richdata2" ref="B35:B67">
    <sortCondition ref="B35:B67"/>
  </sortState>
  <conditionalFormatting sqref="C1 E1:AE1">
    <cfRule type="duplicateValues" dxfId="16" priority="48"/>
  </conditionalFormatting>
  <conditionalFormatting sqref="D2:D34">
    <cfRule type="expression" dxfId="15" priority="143" stopIfTrue="1">
      <formula>AND(COUNTIF($D:$D,D2)&gt;1,NOT(ISBLANK(D2)))</formula>
    </cfRule>
  </conditionalFormatting>
  <conditionalFormatting sqref="S2:S34">
    <cfRule type="expression" dxfId="14" priority="2499" stopIfTrue="1">
      <formula>AND(COUNTIF($S$2:$S$2,S2)&gt;1,NOT(ISBLANK(S2)))</formula>
    </cfRule>
  </conditionalFormatting>
  <conditionalFormatting sqref="S36:S1048576 S2:S34">
    <cfRule type="duplicateValues" dxfId="13" priority="2503"/>
  </conditionalFormatting>
  <conditionalFormatting sqref="A1:A34">
    <cfRule type="duplicateValues" dxfId="12" priority="166244"/>
  </conditionalFormatting>
  <conditionalFormatting sqref="B2:B34">
    <cfRule type="duplicateValues" dxfId="11" priority="166245"/>
    <cfRule type="duplicateValues" dxfId="10" priority="166246"/>
    <cfRule type="duplicateValues" dxfId="9" priority="166247"/>
    <cfRule type="duplicateValues" dxfId="8" priority="166248"/>
    <cfRule type="duplicateValues" dxfId="7" priority="166249"/>
  </conditionalFormatting>
  <conditionalFormatting sqref="C2:C34">
    <cfRule type="duplicateValues" dxfId="6" priority="166250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2024/0058937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9713.0879999999997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9713.0879999999997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356.14655999999997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1664.42</v>
      </c>
      <c r="E32" s="572" t="s">
        <v>3120</v>
      </c>
      <c r="F32" s="573">
        <f>'IR Desc. Simplificado-Maio.2025'!F30</f>
        <v>1595.38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1664.42</v>
      </c>
      <c r="E33" s="572" t="s">
        <v>3121</v>
      </c>
      <c r="F33" s="573">
        <f>F32-D18</f>
        <v>1595.38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1595.38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1595.38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9713.0879999999997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356.14655999999997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356.14655999999997</v>
      </c>
    </row>
    <row r="16" spans="2:9" x14ac:dyDescent="0.25">
      <c r="B16" s="875" t="s">
        <v>3151</v>
      </c>
      <c r="C16" s="875"/>
      <c r="D16" s="875"/>
      <c r="E16" s="879">
        <f>B3-I17-I18-F10-(E14*E15)</f>
        <v>9356.9414400000005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1664.42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1664.42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1664.42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1664.42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1664.42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1664.42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1664.42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9713.0879999999997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356.14655999999997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9713.0879999999997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9105.887999999999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1595.38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1595.38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1595.38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1595.38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1595.38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9713.0879999999997</v>
      </c>
      <c r="D39" s="622">
        <v>0.13314500000000001</v>
      </c>
      <c r="E39" s="655">
        <f>TRUNC($B$39-($C$39*$D$39),2)</f>
        <v>-314.62</v>
      </c>
    </row>
    <row r="42" spans="2:6" ht="30" x14ac:dyDescent="0.25">
      <c r="B42" s="641" t="s">
        <v>3170</v>
      </c>
      <c r="C42" s="642">
        <f>$F$24</f>
        <v>1595.38</v>
      </c>
    </row>
    <row r="43" spans="2:6" ht="30" x14ac:dyDescent="0.25">
      <c r="B43" s="641" t="s">
        <v>3171</v>
      </c>
      <c r="C43" s="643">
        <f>$E$39</f>
        <v>-314.62</v>
      </c>
    </row>
    <row r="44" spans="2:6" ht="60" x14ac:dyDescent="0.25">
      <c r="B44" s="644" t="s">
        <v>3172</v>
      </c>
      <c r="C44" s="645">
        <f>$C$42-$C$43</f>
        <v>1910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2026-05-11T14:51:49Z</cp:lastPrinted>
  <dcterms:created xsi:type="dcterms:W3CDTF">2019-02-08T16:49:11Z</dcterms:created>
  <dcterms:modified xsi:type="dcterms:W3CDTF">2026-05-11T14:51:59Z</dcterms:modified>
</cp:coreProperties>
</file>