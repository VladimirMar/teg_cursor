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financ\pgtos\"/>
    </mc:Choice>
  </mc:AlternateContent>
  <xr:revisionPtr revIDLastSave="0" documentId="13_ncr:1_{20726D85-F19F-4340-A5E9-E431430766B1}" xr6:coauthVersionLast="47" xr6:coauthVersionMax="47" xr10:uidLastSave="{00000000-0000-0000-0000-000000000000}"/>
  <bookViews>
    <workbookView xWindow="32820" yWindow="3105" windowWidth="16080" windowHeight="11295" xr2:uid="{00000000-000D-0000-FFFF-FFFF00000000}"/>
  </bookViews>
  <sheets>
    <sheet name="APONTAMENTO CREDENCIAMENTO" sheetId="64" r:id="rId1"/>
    <sheet name="APELIDOS" sheetId="88" state="hidden" r:id="rId2"/>
    <sheet name="VALORES TABELA" sheetId="74" r:id="rId3"/>
    <sheet name="CONTINUA" sheetId="59" r:id="rId4"/>
    <sheet name="BASE C" sheetId="6" r:id="rId5"/>
    <sheet name="DEMO C" sheetId="68" r:id="rId6"/>
    <sheet name="ATESTE-LIQ-FIS" sheetId="87" r:id="rId7"/>
    <sheet name="DEMO FIS" sheetId="86" r:id="rId8"/>
    <sheet name="EMPRESA C" sheetId="66" r:id="rId9"/>
    <sheet name="ATESTADO C" sheetId="67" r:id="rId10"/>
    <sheet name="Planilha1" sheetId="83" r:id="rId11"/>
    <sheet name="ProcRel" sheetId="79" state="hidden" r:id="rId12"/>
    <sheet name="ProcRel1" sheetId="81" state="hidden" r:id="rId13"/>
    <sheet name="ATESTE-LIQ" sheetId="13" state="hidden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6">#REF!</definedName>
    <definedName name="\a">#REF!</definedName>
    <definedName name="\p" localSheetId="6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CREDENCIAMENTO'!$A$5:$IF$10</definedName>
    <definedName name="_xlnm._FilterDatabase" localSheetId="9" hidden="1">'ATESTADO C'!$A$17:$Z$17</definedName>
    <definedName name="_xlnm._FilterDatabase" localSheetId="13" hidden="1">'ATESTE-LIQ'!$A$1:$AT$96</definedName>
    <definedName name="_xlnm._FilterDatabase" localSheetId="3" hidden="1">CONTINUA!$A$5:$BW$10</definedName>
    <definedName name="_xlnm._FilterDatabase" localSheetId="8" hidden="1">'EMPRESA C'!$A$12:$AC$16</definedName>
    <definedName name="_xlnm._FilterDatabase" localSheetId="11" hidden="1">ProcRel!$D$1:$E$174</definedName>
    <definedName name="_xlnm._FilterDatabase" localSheetId="12" hidden="1">ProcRel1!$E$1:$G$223</definedName>
    <definedName name="_xlnm._FilterDatabase">#REF!</definedName>
    <definedName name="_TAB3688" localSheetId="6">#REF!</definedName>
    <definedName name="_TAB3688">#REF!</definedName>
    <definedName name="a">#REF!</definedName>
    <definedName name="abr" localSheetId="6">#REF!</definedName>
    <definedName name="abr">#REF!</definedName>
    <definedName name="abril">#REF!</definedName>
    <definedName name="ACRESCENTAR">#REF!</definedName>
    <definedName name="ADAPTADO" localSheetId="6">'[1]APONTAMENTO CREDENCIAMENTO'!#REF!</definedName>
    <definedName name="ADAPTADO">'APONTAMENTO CREDENCIAMENTO'!$FH$7:$GM$7</definedName>
    <definedName name="AGOSTO">#REF!</definedName>
    <definedName name="AI" localSheetId="6">#REF!</definedName>
    <definedName name="AI">#REF!</definedName>
    <definedName name="AII" localSheetId="6">#REF!</definedName>
    <definedName name="AII">#REF!</definedName>
    <definedName name="AK" localSheetId="6">#REF!</definedName>
    <definedName name="AK">#REF!</definedName>
    <definedName name="AL" localSheetId="6">#REF!</definedName>
    <definedName name="AL">#REF!</definedName>
    <definedName name="AMPLIAR" localSheetId="6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CREDENCIAMENTO'!$Q$6:$EL$2822</definedName>
    <definedName name="ApagaDadosC">CONTINUA!$L$6:$BU$2883</definedName>
    <definedName name="ApagarDadosDigitados">#REF!</definedName>
    <definedName name="ApagaRegistroA">'APONTAMENTO CREDENCIAMENTO'!$A$6:$K$2822</definedName>
    <definedName name="ApagaRegistroC">CONTINUA!$A$6:$K$2883</definedName>
    <definedName name="APONT">#REF!</definedName>
    <definedName name="_xlnm.Print_Area" localSheetId="0">'APONTAMENTO CREDENCIAMENTO'!$D$1:$J$4</definedName>
    <definedName name="_xlnm.Print_Area" localSheetId="9">'ATESTADO C'!$A$1:$M$25</definedName>
    <definedName name="_xlnm.Print_Area" localSheetId="6">'ATESTE-LIQ-FIS'!#REF!</definedName>
    <definedName name="_xlnm.Print_Area" localSheetId="16">'Cálculo IRRF -Jan.2026'!$B$1:$G$60</definedName>
    <definedName name="_xlnm.Print_Area" localSheetId="3">CONTINUA!$D$1:$J$4</definedName>
    <definedName name="_xlnm.Print_Area" localSheetId="5">'DEMO C'!$A$2:$I$60</definedName>
    <definedName name="_xlnm.Print_Area" localSheetId="7">'DEMO FIS'!$A$3:$I$63</definedName>
    <definedName name="ATESTE">#REF!</definedName>
    <definedName name="ATNF" localSheetId="6">#REF!</definedName>
    <definedName name="ATNF">#REF!</definedName>
    <definedName name="baseCalculo">'APONTAMENTO CREDENCIAMENTO'!$EP$6:$IE$10</definedName>
    <definedName name="BDADOS" localSheetId="6">#REF!</definedName>
    <definedName name="BDADOS">#REF!</definedName>
    <definedName name="bianca" localSheetId="6">#REF!</definedName>
    <definedName name="bianca">#REF!</definedName>
    <definedName name="BP">#REF!</definedName>
    <definedName name="Cadeirante" localSheetId="6">'[1]VALORES TABELA'!$B$4</definedName>
    <definedName name="Cadeirante">'VALORES TABELA'!$B$4</definedName>
    <definedName name="Cadeirantee" localSheetId="6">'[1]VALORES TABELA'!$B$9</definedName>
    <definedName name="Cadeirantee">'VALORES TABELA'!$B$9</definedName>
    <definedName name="CALC">#REF!</definedName>
    <definedName name="calc10" localSheetId="6">#REF!</definedName>
    <definedName name="calc10">#REF!</definedName>
    <definedName name="CALCDEZ" localSheetId="6">'ATESTE-LIQ-FIS'!#REF!</definedName>
    <definedName name="CALCDEZ">#REF!</definedName>
    <definedName name="CALCULO">#REF!</definedName>
    <definedName name="Cálculos">#REF!</definedName>
    <definedName name="CAPS" localSheetId="6">#REF!</definedName>
    <definedName name="CAPS">#REF!</definedName>
    <definedName name="capso" localSheetId="6">#REF!</definedName>
    <definedName name="capso">#REF!</definedName>
    <definedName name="carla">#REF!</definedName>
    <definedName name="CINT" localSheetId="6">#REF!</definedName>
    <definedName name="CINT">#REF!</definedName>
    <definedName name="CLIM" localSheetId="6">#REF!</definedName>
    <definedName name="CLIM">#REF!</definedName>
    <definedName name="clout" localSheetId="6">#REF!</definedName>
    <definedName name="clout">#REF!</definedName>
    <definedName name="CLSET" localSheetId="6">#REF!</definedName>
    <definedName name="CLSET">#REF!</definedName>
    <definedName name="CLSETE" localSheetId="6">#REF!</definedName>
    <definedName name="CLSETE">#REF!</definedName>
    <definedName name="cocertar2015">#REF!</definedName>
    <definedName name="cont2015">#REF!</definedName>
    <definedName name="CONTN2" localSheetId="6">#REF!</definedName>
    <definedName name="CONTN2">#REF!</definedName>
    <definedName name="contno" localSheetId="6">#REF!</definedName>
    <definedName name="contno">#REF!</definedName>
    <definedName name="contra" localSheetId="6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CREDENCIAMENTO'!$EP$6:$IF$10</definedName>
    <definedName name="CopiaFormulaA">'APONTAMENTO CREDENCIAMENTO'!$EP$6:$IF$10</definedName>
    <definedName name="CopiaFormulaA1">'APONTAMENTO CREDENCIAMENTO'!$L$6:$M$10</definedName>
    <definedName name="CopiaFormulaC">CONTINUA!$BV$6:$BW$10</definedName>
    <definedName name="CopiaSomaA" localSheetId="6">'[1]APONTAMENTO CREDENCIAMENTO'!#REF!</definedName>
    <definedName name="CopiaSomaA">'APONTAMENTO CREDENCIAMENTO'!#REF!</definedName>
    <definedName name="CopiaSomaC" localSheetId="6">[1]CONTINUA!#REF!</definedName>
    <definedName name="CopiaSomaC">CONTINUA!#REF!</definedName>
    <definedName name="CPF" localSheetId="6">#REF!</definedName>
    <definedName name="CPF">#REF!</definedName>
    <definedName name="CRECHE" localSheetId="6">'[1]APONTAMENTO CREDENCIAMENTO'!#REF!</definedName>
    <definedName name="CRECHE">'APONTAMENTO CREDENCIAMENTO'!$FH$8:$GM$8</definedName>
    <definedName name="Crechee" localSheetId="6">'[1]VALORES TABELA'!$B$5</definedName>
    <definedName name="Crechee">'VALORES TABELA'!$B$5</definedName>
    <definedName name="CRIANCA_KM">#REF!</definedName>
    <definedName name="CTRN" localSheetId="6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CREDENCIAMENTO'!$DY$4:$EJ$3077</definedName>
    <definedName name="DiasMes">'APONTAMENTO CREDENCIAMENTO'!$DX:$EJ</definedName>
    <definedName name="DiasMesC">CONTINUA!$BP:$BU</definedName>
    <definedName name="DIFER" localSheetId="6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6">#REF!</definedName>
    <definedName name="dres">#REF!</definedName>
    <definedName name="DRET">#REF!</definedName>
    <definedName name="emp" localSheetId="6">#REF!</definedName>
    <definedName name="emp">#REF!</definedName>
    <definedName name="EMPE" localSheetId="6">#REF!</definedName>
    <definedName name="EMPE">#REF!</definedName>
    <definedName name="empen" localSheetId="6">#REF!</definedName>
    <definedName name="empen">#REF!</definedName>
    <definedName name="EMPENHO" localSheetId="6">#REF!</definedName>
    <definedName name="EMPENHO">#REF!</definedName>
    <definedName name="empenho15">#REF!</definedName>
    <definedName name="eom" localSheetId="6">#REF!</definedName>
    <definedName name="eom">#REF!</definedName>
    <definedName name="ESPECIAL" localSheetId="6">'[1]APONTAMENTO CREDENCIAMENTO'!#REF!</definedName>
    <definedName name="ESPECIAL">'APONTAMENTO CREDENCIAMENTO'!$FH$9:$GM$9</definedName>
    <definedName name="Especiall" localSheetId="6">'[1]VALORES TABELA'!$B$6</definedName>
    <definedName name="Especiall">'VALORES TABELA'!$B$6</definedName>
    <definedName name="ETH">#REF!</definedName>
    <definedName name="Excel_BuiltIn__FilterDatabase" localSheetId="13">'ATESTE-LIQ'!$A$1:$M$2</definedName>
    <definedName name="Excel_BuiltIn__FilterDatabase">#REF!</definedName>
    <definedName name="Excel_BuiltIn_Print_Titles">NA()</definedName>
    <definedName name="fegue" localSheetId="6">#REF!</definedName>
    <definedName name="fegue">#REF!</definedName>
    <definedName name="fer" localSheetId="6">#REF!</definedName>
    <definedName name="fer">#REF!</definedName>
    <definedName name="FEVEREIRO">#REF!</definedName>
    <definedName name="FIN" localSheetId="6">#REF!</definedName>
    <definedName name="FIN">#REF!</definedName>
    <definedName name="Fixo" localSheetId="6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6">#REF!</definedName>
    <definedName name="iniab">#REF!</definedName>
    <definedName name="IRRENDA" localSheetId="6">#REF!</definedName>
    <definedName name="IRRENDA">#REF!</definedName>
    <definedName name="ITAQ" localSheetId="6">#REF!</definedName>
    <definedName name="ITAQ">#REF!</definedName>
    <definedName name="ITAQUERA">#REF!</definedName>
    <definedName name="JURI" localSheetId="6">#REF!</definedName>
    <definedName name="JURI">#REF!</definedName>
    <definedName name="juridica">#REF!</definedName>
    <definedName name="km" localSheetId="6">'[1]VALORES TABELA'!$B$7</definedName>
    <definedName name="km">'VALORES TABELA'!$B$7</definedName>
    <definedName name="LIQUID" localSheetId="6">#REF!</definedName>
    <definedName name="LIQUID">#REF!</definedName>
    <definedName name="LIQUIDA" localSheetId="6">#REF!</definedName>
    <definedName name="LIQUIDA">#REF!</definedName>
    <definedName name="LIQUIDAÇÃO" localSheetId="6">#REF!</definedName>
    <definedName name="LIQUIDAÇÃO">#REF!</definedName>
    <definedName name="LIST" localSheetId="6">#REF!</definedName>
    <definedName name="LIST">#REF!</definedName>
    <definedName name="LISTA">#REF!</definedName>
    <definedName name="marc" localSheetId="6">#REF!</definedName>
    <definedName name="marc">#REF!</definedName>
    <definedName name="MARÇO">#REF!</definedName>
    <definedName name="MINUTA">#REF!</definedName>
    <definedName name="na">#REF!</definedName>
    <definedName name="nfis" localSheetId="6">#REF!</definedName>
    <definedName name="nfis">#REF!</definedName>
    <definedName name="nfisc" localSheetId="6">#REF!</definedName>
    <definedName name="nfisc">#REF!</definedName>
    <definedName name="NLIQ" localSheetId="6">#REF!</definedName>
    <definedName name="NLIQ">#REF!</definedName>
    <definedName name="NomeDRE">'APONTAMENTO CREDENCIAMENTO'!$A$1</definedName>
    <definedName name="NORMAL" localSheetId="6">'[1]APONTAMENTO CREDENCIAMENTO'!#REF!</definedName>
    <definedName name="NORMAL">'APONTAMENTO CREDENCIAMENTO'!$FH$6:$GM$6</definedName>
    <definedName name="NOV" localSheetId="6">#REF!</definedName>
    <definedName name="NOV">#REF!</definedName>
    <definedName name="novaju">#REF!</definedName>
    <definedName name="NOVEMBRO">#REF!</definedName>
    <definedName name="novo" localSheetId="6">#REF!</definedName>
    <definedName name="novo">#REF!</definedName>
    <definedName name="novos" localSheetId="6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6">#REF!</definedName>
    <definedName name="OPERA">#REF!</definedName>
    <definedName name="OUT">#REF!</definedName>
    <definedName name="OUTUBRO">#REF!</definedName>
    <definedName name="P" localSheetId="6">#REF!</definedName>
    <definedName name="P">#REF!</definedName>
    <definedName name="PadraoApontamento">'[1]APONTAMENTO CREDENCIAMENTO'!#REF!</definedName>
    <definedName name="PAGTO" localSheetId="6">#REF!</definedName>
    <definedName name="PAGTO">#REF!</definedName>
    <definedName name="PARA">#REF!</definedName>
    <definedName name="PAVALOR" localSheetId="6">#REF!</definedName>
    <definedName name="PAVALOR">#REF!</definedName>
    <definedName name="Percapita" localSheetId="6">'[1]VALORES TABELA'!$B$2</definedName>
    <definedName name="Percapita">'VALORES TABELA'!$B$2</definedName>
    <definedName name="pjota" localSheetId="6">#REF!</definedName>
    <definedName name="pjota">#REF!</definedName>
    <definedName name="pju" localSheetId="6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6">#REF!</definedName>
    <definedName name="QUADRO1">#REF!</definedName>
    <definedName name="QUADRO2" localSheetId="6">#REF!</definedName>
    <definedName name="QUADRO2">#REF!</definedName>
    <definedName name="QUADRO3" localSheetId="6">#REF!</definedName>
    <definedName name="QUADRO3">#REF!</definedName>
    <definedName name="REF" localSheetId="6">#REF!</definedName>
    <definedName name="REF">#REF!</definedName>
    <definedName name="regular" localSheetId="6">'[1]VALORES TABELA'!$B$8</definedName>
    <definedName name="regular">'VALORES TABELA'!$B$8</definedName>
    <definedName name="reno" localSheetId="6">#REF!</definedName>
    <definedName name="reno">#REF!</definedName>
    <definedName name="RENOVA" localSheetId="6">#REF!</definedName>
    <definedName name="RENOVA">#REF!</definedName>
    <definedName name="RENOVÇ">#REF!</definedName>
    <definedName name="reser" localSheetId="6">#REF!</definedName>
    <definedName name="reser">#REF!</definedName>
    <definedName name="RESERVA">#REF!</definedName>
    <definedName name="rmar" localSheetId="6">#REF!</definedName>
    <definedName name="rmar">#REF!</definedName>
    <definedName name="S">#REF!</definedName>
    <definedName name="SALDOSOF" localSheetId="6">#REF!</definedName>
    <definedName name="SALDOSOF">#REF!</definedName>
    <definedName name="sam" localSheetId="6">#REF!</definedName>
    <definedName name="sam">#REF!</definedName>
    <definedName name="SET_OUT_NOV">#REF!</definedName>
    <definedName name="SETEMBRO">#REF!</definedName>
    <definedName name="TABC4826" localSheetId="6">#REF!</definedName>
    <definedName name="TABC4826">#REF!</definedName>
    <definedName name="TABVEIC" localSheetId="6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6">#REF!</definedName>
    <definedName name="VAEMP">#REF!</definedName>
    <definedName name="valor" localSheetId="6">#REF!</definedName>
    <definedName name="valor">#REF!</definedName>
    <definedName name="VALTER">#REF!</definedName>
    <definedName name="Z_011B120B_8244_4B35_8253_076E86B9088C_.wvu.Cols" localSheetId="6" hidden="1">'ATESTE-LIQ-FIS'!#REF!,'ATESTE-LIQ-FIS'!#REF!,'ATESTE-LIQ-FIS'!#REF!</definedName>
    <definedName name="Z_011B120B_8244_4B35_8253_076E86B9088C_.wvu.FilterData" localSheetId="6" hidden="1">'ATESTE-LIQ-FIS'!#REF!</definedName>
    <definedName name="Z_011B120B_8244_4B35_8253_076E86B9088C_.wvu.PrintArea" localSheetId="6" hidden="1">'ATESTE-LIQ-FIS'!#REF!</definedName>
    <definedName name="Z_011B120B_8244_4B35_8253_076E86B9088C_.wvu.PrintTitles" localSheetId="6" hidden="1">'ATESTE-LIQ-FIS'!#REF!</definedName>
    <definedName name="Z_0D231017_AD66_4D4F_B5A5_8354A60A50E6_.wvu.FilterData" localSheetId="6" hidden="1">'ATESTE-LIQ-FIS'!#REF!</definedName>
    <definedName name="Z_1D837C81_0159_4256_A026_71C371D54E44_.wvu.FilterData" localSheetId="6" hidden="1">'ATESTE-LIQ-FIS'!#REF!</definedName>
    <definedName name="Z_313D368F_AFFC_4E5E_8868_BD079C98C4D7_.wvu.FilterData" localSheetId="6" hidden="1">'ATESTE-LIQ-FIS'!#REF!</definedName>
    <definedName name="Z_3C9C7BFA_895A_4C5E_9547_3495A82BA3E1_.wvu.FilterData" localSheetId="6" hidden="1">'ATESTE-LIQ-FIS'!#REF!</definedName>
    <definedName name="Z_41922B57_5DC9_4A9B_8F25_1E4BA682F541_.wvu.FilterData" localSheetId="6" hidden="1">'ATESTE-LIQ-FIS'!#REF!</definedName>
    <definedName name="Z_61E3CF03_F5F9_4064_B280_64CB82257AFC_.wvu.FilterData" localSheetId="6" hidden="1">'ATESTE-LIQ-FIS'!#REF!</definedName>
    <definedName name="Z_63127EC2_DBBC_45FA_8174_EEBF58329133_.wvu.Cols" localSheetId="6" hidden="1">'ATESTE-LIQ-FIS'!#REF!,'ATESTE-LIQ-FIS'!#REF!</definedName>
    <definedName name="Z_63127EC2_DBBC_45FA_8174_EEBF58329133_.wvu.FilterData" localSheetId="6" hidden="1">'ATESTE-LIQ-FIS'!#REF!</definedName>
    <definedName name="Z_63127EC2_DBBC_45FA_8174_EEBF58329133_.wvu.PrintArea" localSheetId="6" hidden="1">'ATESTE-LIQ-FIS'!#REF!</definedName>
    <definedName name="Z_63127EC2_DBBC_45FA_8174_EEBF58329133_.wvu.PrintTitles" localSheetId="6" hidden="1">'ATESTE-LIQ-FIS'!#REF!</definedName>
    <definedName name="Z_6E8B9F76_6586_4A3A_B639_4D31F1AB034E_.wvu.FilterData" localSheetId="6" hidden="1">'ATESTE-LIQ-FIS'!#REF!</definedName>
    <definedName name="Z_77DA50AA_D079_4D33_A506_198857BC8104_.wvu.FilterData" localSheetId="6" hidden="1">'ATESTE-LIQ-FIS'!#REF!</definedName>
    <definedName name="Z_8B2670C0_B1DB_4F7D_845E_F2C8F3D88645_.wvu.FilterData" localSheetId="6" hidden="1">'ATESTE-LIQ-FIS'!#REF!</definedName>
    <definedName name="Z_95EB0056_9129_4778_9CF5_B2A8E8EACA38_.wvu.FilterData" localSheetId="6" hidden="1">'ATESTE-LIQ-FIS'!#REF!</definedName>
    <definedName name="Z_A132BFA3_32B6_4FCE_AE53_4F6CA7DF5DB2_.wvu.FilterData" localSheetId="6" hidden="1">'ATESTE-LIQ-FIS'!#REF!</definedName>
    <definedName name="Z_B3FF3ACF_84F9_4953_9A1E_387165B9DDC0_.wvu.FilterData" localSheetId="6" hidden="1">'ATESTE-LIQ-FIS'!#REF!</definedName>
    <definedName name="Z_C037A31A_2755_4C10_A3AE_DBB589431E79_.wvu.FilterData" localSheetId="6" hidden="1">'ATESTE-LIQ-FIS'!#REF!</definedName>
    <definedName name="Z_C9548E60_79BD_4094_A4C6_01B332AFD72C_.wvu.FilterData" localSheetId="6" hidden="1">'ATESTE-LIQ-FIS'!#REF!</definedName>
    <definedName name="Z_D3736991_F6CE_4ABF_8DDD_61D3526ACD63_.wvu.FilterData" localSheetId="6" hidden="1">'ATESTE-LIQ-FIS'!#REF!</definedName>
    <definedName name="Z_EF429097_D4EF_4B88_BBEF_58DF4E3BB1E4_.wvu.Cols" localSheetId="6" hidden="1">'ATESTE-LIQ-FIS'!#REF!</definedName>
    <definedName name="Z_EF429097_D4EF_4B88_BBEF_58DF4E3BB1E4_.wvu.FilterData" localSheetId="6" hidden="1">'ATESTE-LIQ-FIS'!#REF!</definedName>
    <definedName name="Z_EF429097_D4EF_4B88_BBEF_58DF4E3BB1E4_.wvu.PrintArea" localSheetId="6" hidden="1">'ATESTE-LIQ-FIS'!#REF!</definedName>
    <definedName name="Z_EF429097_D4EF_4B88_BBEF_58DF4E3BB1E4_.wvu.PrintTitles" localSheetId="6" hidden="1">'ATESTE-LIQ-FIS'!#REF!</definedName>
    <definedName name="Z_F9B7ACFC_8967_4F1D_A7F9_B4BD1AD90914_.wvu.FilterData" localSheetId="6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64" l="1"/>
  <c r="K94" i="64" s="1"/>
  <c r="J23" i="64"/>
  <c r="J94" i="64" s="1"/>
  <c r="J22" i="64"/>
  <c r="L87" i="64" s="1"/>
  <c r="L94" i="64" l="1"/>
  <c r="I75" i="64"/>
  <c r="L6" i="64"/>
  <c r="L7" i="64"/>
  <c r="J13" i="64"/>
  <c r="J14" i="64"/>
  <c r="J15" i="64"/>
  <c r="J16" i="64"/>
  <c r="J30" i="64"/>
  <c r="J29" i="64"/>
  <c r="J28" i="64"/>
  <c r="FN48" i="64"/>
  <c r="J27" i="64"/>
  <c r="K39" i="64" s="1"/>
  <c r="J17" i="64"/>
  <c r="J53" i="64" s="1"/>
  <c r="J19" i="64"/>
  <c r="J18" i="64"/>
  <c r="L94" i="13"/>
  <c r="AB94" i="13" s="1"/>
  <c r="I94" i="13"/>
  <c r="H94" i="13"/>
  <c r="G94" i="13"/>
  <c r="F94" i="13"/>
  <c r="J94" i="13" s="1"/>
  <c r="D94" i="13"/>
  <c r="T94" i="13" s="1"/>
  <c r="C94" i="13"/>
  <c r="L93" i="13"/>
  <c r="AB93" i="13" s="1"/>
  <c r="I93" i="13"/>
  <c r="H93" i="13"/>
  <c r="G93" i="13"/>
  <c r="F93" i="13"/>
  <c r="J93" i="13" s="1"/>
  <c r="D93" i="13"/>
  <c r="T93" i="13" s="1"/>
  <c r="C93" i="13"/>
  <c r="L92" i="13"/>
  <c r="AB92" i="13" s="1"/>
  <c r="I92" i="13"/>
  <c r="H92" i="13"/>
  <c r="G92" i="13"/>
  <c r="F92" i="13"/>
  <c r="J92" i="13" s="1"/>
  <c r="D92" i="13"/>
  <c r="T92" i="13" s="1"/>
  <c r="C92" i="13"/>
  <c r="L91" i="13"/>
  <c r="AB91" i="13" s="1"/>
  <c r="I91" i="13"/>
  <c r="H91" i="13"/>
  <c r="G91" i="13"/>
  <c r="F91" i="13"/>
  <c r="J91" i="13" s="1"/>
  <c r="D91" i="13"/>
  <c r="T91" i="13" s="1"/>
  <c r="C91" i="13"/>
  <c r="L90" i="13"/>
  <c r="AB90" i="13" s="1"/>
  <c r="I90" i="13"/>
  <c r="H90" i="13"/>
  <c r="G90" i="13"/>
  <c r="F90" i="13"/>
  <c r="U90" i="13" s="1"/>
  <c r="V90" i="13" s="1"/>
  <c r="D90" i="13"/>
  <c r="T90" i="13" s="1"/>
  <c r="C90" i="13"/>
  <c r="L89" i="13"/>
  <c r="AB89" i="13" s="1"/>
  <c r="I89" i="13"/>
  <c r="H89" i="13"/>
  <c r="G89" i="13"/>
  <c r="F89" i="13"/>
  <c r="J89" i="13" s="1"/>
  <c r="D89" i="13"/>
  <c r="T89" i="13" s="1"/>
  <c r="C89" i="13"/>
  <c r="L88" i="13"/>
  <c r="AB88" i="13" s="1"/>
  <c r="I88" i="13"/>
  <c r="H88" i="13"/>
  <c r="G88" i="13"/>
  <c r="F88" i="13"/>
  <c r="J88" i="13" s="1"/>
  <c r="D88" i="13"/>
  <c r="T88" i="13" s="1"/>
  <c r="C88" i="13"/>
  <c r="L87" i="13"/>
  <c r="AB87" i="13" s="1"/>
  <c r="I87" i="13"/>
  <c r="H87" i="13"/>
  <c r="G87" i="13"/>
  <c r="F87" i="13"/>
  <c r="J87" i="13" s="1"/>
  <c r="D87" i="13"/>
  <c r="T87" i="13" s="1"/>
  <c r="C87" i="13"/>
  <c r="L86" i="13"/>
  <c r="AB86" i="13" s="1"/>
  <c r="I86" i="13"/>
  <c r="H86" i="13"/>
  <c r="G86" i="13"/>
  <c r="F86" i="13"/>
  <c r="J86" i="13" s="1"/>
  <c r="D86" i="13"/>
  <c r="T86" i="13" s="1"/>
  <c r="C86" i="13"/>
  <c r="L85" i="13"/>
  <c r="AB85" i="13" s="1"/>
  <c r="I85" i="13"/>
  <c r="H85" i="13"/>
  <c r="G85" i="13"/>
  <c r="F85" i="13"/>
  <c r="J85" i="13" s="1"/>
  <c r="D85" i="13"/>
  <c r="T85" i="13" s="1"/>
  <c r="C85" i="13"/>
  <c r="L84" i="13"/>
  <c r="AB84" i="13" s="1"/>
  <c r="I84" i="13"/>
  <c r="H84" i="13"/>
  <c r="G84" i="13"/>
  <c r="F84" i="13"/>
  <c r="J84" i="13" s="1"/>
  <c r="D84" i="13"/>
  <c r="T84" i="13" s="1"/>
  <c r="C84" i="13"/>
  <c r="L83" i="13"/>
  <c r="AB83" i="13" s="1"/>
  <c r="I83" i="13"/>
  <c r="H83" i="13"/>
  <c r="G83" i="13"/>
  <c r="F83" i="13"/>
  <c r="J83" i="13" s="1"/>
  <c r="D83" i="13"/>
  <c r="T83" i="13" s="1"/>
  <c r="C83" i="13"/>
  <c r="L82" i="13"/>
  <c r="AB82" i="13" s="1"/>
  <c r="I82" i="13"/>
  <c r="H82" i="13"/>
  <c r="G82" i="13"/>
  <c r="F82" i="13"/>
  <c r="J82" i="13" s="1"/>
  <c r="D82" i="13"/>
  <c r="T82" i="13" s="1"/>
  <c r="C82" i="13"/>
  <c r="L81" i="13"/>
  <c r="AB81" i="13" s="1"/>
  <c r="I81" i="13"/>
  <c r="H81" i="13"/>
  <c r="G81" i="13"/>
  <c r="F81" i="13"/>
  <c r="J81" i="13" s="1"/>
  <c r="D81" i="13"/>
  <c r="T81" i="13" s="1"/>
  <c r="C81" i="13"/>
  <c r="L80" i="13"/>
  <c r="AB80" i="13" s="1"/>
  <c r="I80" i="13"/>
  <c r="H80" i="13"/>
  <c r="G80" i="13"/>
  <c r="F80" i="13"/>
  <c r="U80" i="13" s="1"/>
  <c r="V80" i="13" s="1"/>
  <c r="D80" i="13"/>
  <c r="T80" i="13" s="1"/>
  <c r="C80" i="13"/>
  <c r="L79" i="13"/>
  <c r="AB79" i="13" s="1"/>
  <c r="I79" i="13"/>
  <c r="H79" i="13"/>
  <c r="G79" i="13"/>
  <c r="F79" i="13"/>
  <c r="U79" i="13" s="1"/>
  <c r="V79" i="13" s="1"/>
  <c r="D79" i="13"/>
  <c r="T79" i="13" s="1"/>
  <c r="C79" i="13"/>
  <c r="L78" i="13"/>
  <c r="AB78" i="13" s="1"/>
  <c r="I78" i="13"/>
  <c r="H78" i="13"/>
  <c r="G78" i="13"/>
  <c r="F78" i="13"/>
  <c r="U78" i="13" s="1"/>
  <c r="V78" i="13" s="1"/>
  <c r="D78" i="13"/>
  <c r="T78" i="13" s="1"/>
  <c r="C78" i="13"/>
  <c r="L77" i="13"/>
  <c r="AB77" i="13" s="1"/>
  <c r="I77" i="13"/>
  <c r="H77" i="13"/>
  <c r="G77" i="13"/>
  <c r="F77" i="13"/>
  <c r="J77" i="13" s="1"/>
  <c r="D77" i="13"/>
  <c r="T77" i="13" s="1"/>
  <c r="C77" i="13"/>
  <c r="L76" i="13"/>
  <c r="AB76" i="13" s="1"/>
  <c r="I76" i="13"/>
  <c r="H76" i="13"/>
  <c r="G76" i="13"/>
  <c r="F76" i="13"/>
  <c r="J76" i="13" s="1"/>
  <c r="D76" i="13"/>
  <c r="T76" i="13" s="1"/>
  <c r="C76" i="13"/>
  <c r="L75" i="13"/>
  <c r="AB75" i="13" s="1"/>
  <c r="I75" i="13"/>
  <c r="H75" i="13"/>
  <c r="G75" i="13"/>
  <c r="F75" i="13"/>
  <c r="U75" i="13" s="1"/>
  <c r="V75" i="13" s="1"/>
  <c r="D75" i="13"/>
  <c r="T75" i="13" s="1"/>
  <c r="C75" i="13"/>
  <c r="L74" i="13"/>
  <c r="AB74" i="13" s="1"/>
  <c r="I74" i="13"/>
  <c r="H74" i="13"/>
  <c r="G74" i="13"/>
  <c r="F74" i="13"/>
  <c r="U74" i="13" s="1"/>
  <c r="V74" i="13" s="1"/>
  <c r="D74" i="13"/>
  <c r="T74" i="13" s="1"/>
  <c r="C74" i="13"/>
  <c r="L73" i="13"/>
  <c r="AB73" i="13" s="1"/>
  <c r="I73" i="13"/>
  <c r="H73" i="13"/>
  <c r="G73" i="13"/>
  <c r="F73" i="13"/>
  <c r="U73" i="13" s="1"/>
  <c r="V73" i="13" s="1"/>
  <c r="D73" i="13"/>
  <c r="T73" i="13" s="1"/>
  <c r="C73" i="13"/>
  <c r="L72" i="13"/>
  <c r="AB72" i="13" s="1"/>
  <c r="I72" i="13"/>
  <c r="H72" i="13"/>
  <c r="G72" i="13"/>
  <c r="F72" i="13"/>
  <c r="U72" i="13" s="1"/>
  <c r="V72" i="13" s="1"/>
  <c r="D72" i="13"/>
  <c r="T72" i="13" s="1"/>
  <c r="C72" i="13"/>
  <c r="L71" i="13"/>
  <c r="AB71" i="13" s="1"/>
  <c r="I71" i="13"/>
  <c r="H71" i="13"/>
  <c r="G71" i="13"/>
  <c r="F71" i="13"/>
  <c r="J71" i="13" s="1"/>
  <c r="D71" i="13"/>
  <c r="T71" i="13" s="1"/>
  <c r="C71" i="13"/>
  <c r="L70" i="13"/>
  <c r="AB70" i="13" s="1"/>
  <c r="I70" i="13"/>
  <c r="H70" i="13"/>
  <c r="G70" i="13"/>
  <c r="F70" i="13"/>
  <c r="J70" i="13" s="1"/>
  <c r="D70" i="13"/>
  <c r="T70" i="13" s="1"/>
  <c r="C70" i="13"/>
  <c r="L69" i="13"/>
  <c r="AB69" i="13" s="1"/>
  <c r="I69" i="13"/>
  <c r="H69" i="13"/>
  <c r="G69" i="13"/>
  <c r="F69" i="13"/>
  <c r="J69" i="13" s="1"/>
  <c r="D69" i="13"/>
  <c r="T69" i="13" s="1"/>
  <c r="C69" i="13"/>
  <c r="L68" i="13"/>
  <c r="AB68" i="13" s="1"/>
  <c r="I68" i="13"/>
  <c r="H68" i="13"/>
  <c r="G68" i="13"/>
  <c r="F68" i="13"/>
  <c r="J68" i="13" s="1"/>
  <c r="D68" i="13"/>
  <c r="T68" i="13" s="1"/>
  <c r="C68" i="13"/>
  <c r="L67" i="13"/>
  <c r="AB67" i="13" s="1"/>
  <c r="I67" i="13"/>
  <c r="H67" i="13"/>
  <c r="G67" i="13"/>
  <c r="F67" i="13"/>
  <c r="J67" i="13" s="1"/>
  <c r="D67" i="13"/>
  <c r="T67" i="13" s="1"/>
  <c r="C67" i="13"/>
  <c r="L66" i="13"/>
  <c r="AB66" i="13" s="1"/>
  <c r="I66" i="13"/>
  <c r="H66" i="13"/>
  <c r="G66" i="13"/>
  <c r="F66" i="13"/>
  <c r="U66" i="13" s="1"/>
  <c r="V66" i="13" s="1"/>
  <c r="D66" i="13"/>
  <c r="T66" i="13" s="1"/>
  <c r="C66" i="13"/>
  <c r="L65" i="13"/>
  <c r="AB65" i="13" s="1"/>
  <c r="I65" i="13"/>
  <c r="H65" i="13"/>
  <c r="G65" i="13"/>
  <c r="F65" i="13"/>
  <c r="J65" i="13" s="1"/>
  <c r="D65" i="13"/>
  <c r="T65" i="13" s="1"/>
  <c r="C65" i="13"/>
  <c r="L64" i="13"/>
  <c r="AB64" i="13" s="1"/>
  <c r="I64" i="13"/>
  <c r="H64" i="13"/>
  <c r="G64" i="13"/>
  <c r="F64" i="13"/>
  <c r="J64" i="13" s="1"/>
  <c r="D64" i="13"/>
  <c r="T64" i="13" s="1"/>
  <c r="C64" i="13"/>
  <c r="L63" i="13"/>
  <c r="AB63" i="13" s="1"/>
  <c r="I63" i="13"/>
  <c r="H63" i="13"/>
  <c r="G63" i="13"/>
  <c r="F63" i="13"/>
  <c r="J63" i="13" s="1"/>
  <c r="D63" i="13"/>
  <c r="T63" i="13" s="1"/>
  <c r="C63" i="13"/>
  <c r="L62" i="13"/>
  <c r="AB62" i="13" s="1"/>
  <c r="I62" i="13"/>
  <c r="H62" i="13"/>
  <c r="G62" i="13"/>
  <c r="F62" i="13"/>
  <c r="U62" i="13" s="1"/>
  <c r="V62" i="13" s="1"/>
  <c r="D62" i="13"/>
  <c r="T62" i="13" s="1"/>
  <c r="C62" i="13"/>
  <c r="L61" i="13"/>
  <c r="AB61" i="13" s="1"/>
  <c r="I61" i="13"/>
  <c r="H61" i="13"/>
  <c r="G61" i="13"/>
  <c r="F61" i="13"/>
  <c r="J61" i="13" s="1"/>
  <c r="D61" i="13"/>
  <c r="T61" i="13" s="1"/>
  <c r="C61" i="13"/>
  <c r="L60" i="13"/>
  <c r="AB60" i="13" s="1"/>
  <c r="I60" i="13"/>
  <c r="H60" i="13"/>
  <c r="G60" i="13"/>
  <c r="F60" i="13"/>
  <c r="J60" i="13" s="1"/>
  <c r="D60" i="13"/>
  <c r="T60" i="13" s="1"/>
  <c r="C60" i="13"/>
  <c r="L59" i="13"/>
  <c r="AB59" i="13" s="1"/>
  <c r="I59" i="13"/>
  <c r="H59" i="13"/>
  <c r="G59" i="13"/>
  <c r="F59" i="13"/>
  <c r="U59" i="13" s="1"/>
  <c r="V59" i="13" s="1"/>
  <c r="D59" i="13"/>
  <c r="T59" i="13" s="1"/>
  <c r="C59" i="13"/>
  <c r="L58" i="13"/>
  <c r="AB58" i="13" s="1"/>
  <c r="I58" i="13"/>
  <c r="H58" i="13"/>
  <c r="G58" i="13"/>
  <c r="F58" i="13"/>
  <c r="J58" i="13" s="1"/>
  <c r="D58" i="13"/>
  <c r="T58" i="13" s="1"/>
  <c r="C58" i="13"/>
  <c r="L57" i="13"/>
  <c r="AB57" i="13" s="1"/>
  <c r="I57" i="13"/>
  <c r="H57" i="13"/>
  <c r="G57" i="13"/>
  <c r="F57" i="13"/>
  <c r="U57" i="13" s="1"/>
  <c r="V57" i="13" s="1"/>
  <c r="D57" i="13"/>
  <c r="T57" i="13" s="1"/>
  <c r="C57" i="13"/>
  <c r="L56" i="13"/>
  <c r="AB56" i="13" s="1"/>
  <c r="I56" i="13"/>
  <c r="H56" i="13"/>
  <c r="G56" i="13"/>
  <c r="F56" i="13"/>
  <c r="J56" i="13" s="1"/>
  <c r="D56" i="13"/>
  <c r="T56" i="13" s="1"/>
  <c r="C56" i="13"/>
  <c r="L55" i="13"/>
  <c r="AB55" i="13" s="1"/>
  <c r="I55" i="13"/>
  <c r="H55" i="13"/>
  <c r="G55" i="13"/>
  <c r="F55" i="13"/>
  <c r="J55" i="13" s="1"/>
  <c r="D55" i="13"/>
  <c r="T55" i="13" s="1"/>
  <c r="C55" i="13"/>
  <c r="L54" i="13"/>
  <c r="AB54" i="13" s="1"/>
  <c r="I54" i="13"/>
  <c r="H54" i="13"/>
  <c r="G54" i="13"/>
  <c r="F54" i="13"/>
  <c r="J54" i="13" s="1"/>
  <c r="D54" i="13"/>
  <c r="T54" i="13" s="1"/>
  <c r="C54" i="13"/>
  <c r="L53" i="13"/>
  <c r="AB53" i="13" s="1"/>
  <c r="I53" i="13"/>
  <c r="H53" i="13"/>
  <c r="G53" i="13"/>
  <c r="F53" i="13"/>
  <c r="J53" i="13" s="1"/>
  <c r="D53" i="13"/>
  <c r="T53" i="13" s="1"/>
  <c r="C53" i="13"/>
  <c r="L52" i="13"/>
  <c r="AB52" i="13" s="1"/>
  <c r="I52" i="13"/>
  <c r="H52" i="13"/>
  <c r="G52" i="13"/>
  <c r="F52" i="13"/>
  <c r="U52" i="13" s="1"/>
  <c r="V52" i="13" s="1"/>
  <c r="D52" i="13"/>
  <c r="T52" i="13" s="1"/>
  <c r="C52" i="13"/>
  <c r="L51" i="13"/>
  <c r="AB51" i="13" s="1"/>
  <c r="I51" i="13"/>
  <c r="H51" i="13"/>
  <c r="G51" i="13"/>
  <c r="F51" i="13"/>
  <c r="J51" i="13" s="1"/>
  <c r="D51" i="13"/>
  <c r="T51" i="13" s="1"/>
  <c r="C51" i="13"/>
  <c r="L50" i="13"/>
  <c r="AB50" i="13" s="1"/>
  <c r="I50" i="13"/>
  <c r="H50" i="13"/>
  <c r="G50" i="13"/>
  <c r="F50" i="13"/>
  <c r="U50" i="13" s="1"/>
  <c r="V50" i="13" s="1"/>
  <c r="D50" i="13"/>
  <c r="T50" i="13" s="1"/>
  <c r="C50" i="13"/>
  <c r="L49" i="13"/>
  <c r="AB49" i="13" s="1"/>
  <c r="I49" i="13"/>
  <c r="H49" i="13"/>
  <c r="G49" i="13"/>
  <c r="F49" i="13"/>
  <c r="J49" i="13" s="1"/>
  <c r="D49" i="13"/>
  <c r="T49" i="13" s="1"/>
  <c r="C49" i="13"/>
  <c r="L48" i="13"/>
  <c r="AB48" i="13" s="1"/>
  <c r="I48" i="13"/>
  <c r="H48" i="13"/>
  <c r="G48" i="13"/>
  <c r="F48" i="13"/>
  <c r="J48" i="13" s="1"/>
  <c r="D48" i="13"/>
  <c r="T48" i="13" s="1"/>
  <c r="C48" i="13"/>
  <c r="L47" i="13"/>
  <c r="AB47" i="13" s="1"/>
  <c r="I47" i="13"/>
  <c r="H47" i="13"/>
  <c r="G47" i="13"/>
  <c r="F47" i="13"/>
  <c r="J47" i="13" s="1"/>
  <c r="D47" i="13"/>
  <c r="T47" i="13" s="1"/>
  <c r="C47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L45" i="13"/>
  <c r="AB45" i="13" s="1"/>
  <c r="I45" i="13"/>
  <c r="H45" i="13"/>
  <c r="G45" i="13"/>
  <c r="F45" i="13"/>
  <c r="U45" i="13" s="1"/>
  <c r="V45" i="13" s="1"/>
  <c r="D45" i="13"/>
  <c r="T45" i="13" s="1"/>
  <c r="C45" i="13"/>
  <c r="L44" i="13"/>
  <c r="AB44" i="13" s="1"/>
  <c r="I44" i="13"/>
  <c r="H44" i="13"/>
  <c r="G44" i="13"/>
  <c r="F44" i="13"/>
  <c r="J44" i="13" s="1"/>
  <c r="D44" i="13"/>
  <c r="T44" i="13" s="1"/>
  <c r="C44" i="13"/>
  <c r="L43" i="13"/>
  <c r="AB43" i="13" s="1"/>
  <c r="I43" i="13"/>
  <c r="H43" i="13"/>
  <c r="G43" i="13"/>
  <c r="F43" i="13"/>
  <c r="U43" i="13" s="1"/>
  <c r="V43" i="13" s="1"/>
  <c r="D43" i="13"/>
  <c r="T43" i="13" s="1"/>
  <c r="C43" i="13"/>
  <c r="L42" i="13"/>
  <c r="AB42" i="13" s="1"/>
  <c r="I42" i="13"/>
  <c r="H42" i="13"/>
  <c r="G42" i="13"/>
  <c r="F42" i="13"/>
  <c r="J42" i="13" s="1"/>
  <c r="D42" i="13"/>
  <c r="T42" i="13" s="1"/>
  <c r="C42" i="13"/>
  <c r="L41" i="13"/>
  <c r="AB41" i="13" s="1"/>
  <c r="I41" i="13"/>
  <c r="H41" i="13"/>
  <c r="G41" i="13"/>
  <c r="F41" i="13"/>
  <c r="J41" i="13" s="1"/>
  <c r="D41" i="13"/>
  <c r="T41" i="13" s="1"/>
  <c r="C41" i="13"/>
  <c r="L40" i="13"/>
  <c r="AB40" i="13" s="1"/>
  <c r="I40" i="13"/>
  <c r="H40" i="13"/>
  <c r="G40" i="13"/>
  <c r="F40" i="13"/>
  <c r="J40" i="13" s="1"/>
  <c r="D40" i="13"/>
  <c r="T40" i="13" s="1"/>
  <c r="C40" i="13"/>
  <c r="L39" i="13"/>
  <c r="AB39" i="13" s="1"/>
  <c r="I39" i="13"/>
  <c r="H39" i="13"/>
  <c r="G39" i="13"/>
  <c r="F39" i="13"/>
  <c r="U39" i="13" s="1"/>
  <c r="V39" i="13" s="1"/>
  <c r="D39" i="13"/>
  <c r="T39" i="13" s="1"/>
  <c r="C39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L36" i="13"/>
  <c r="AB36" i="13" s="1"/>
  <c r="I36" i="13"/>
  <c r="H36" i="13"/>
  <c r="G36" i="13"/>
  <c r="F36" i="13"/>
  <c r="J36" i="13" s="1"/>
  <c r="D36" i="13"/>
  <c r="T36" i="13" s="1"/>
  <c r="C36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L32" i="13"/>
  <c r="AB32" i="13" s="1"/>
  <c r="I32" i="13"/>
  <c r="H32" i="13"/>
  <c r="G32" i="13"/>
  <c r="F32" i="13"/>
  <c r="U32" i="13" s="1"/>
  <c r="V32" i="13" s="1"/>
  <c r="D32" i="13"/>
  <c r="T32" i="13" s="1"/>
  <c r="C32" i="13"/>
  <c r="L31" i="13"/>
  <c r="AB31" i="13" s="1"/>
  <c r="I31" i="13"/>
  <c r="H31" i="13"/>
  <c r="G31" i="13"/>
  <c r="F31" i="13"/>
  <c r="J31" i="13" s="1"/>
  <c r="D31" i="13"/>
  <c r="T31" i="13" s="1"/>
  <c r="C31" i="13"/>
  <c r="L30" i="13"/>
  <c r="AB30" i="13" s="1"/>
  <c r="I30" i="13"/>
  <c r="H30" i="13"/>
  <c r="G30" i="13"/>
  <c r="F30" i="13"/>
  <c r="J30" i="13" s="1"/>
  <c r="D30" i="13"/>
  <c r="T30" i="13" s="1"/>
  <c r="C30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L27" i="13"/>
  <c r="AB27" i="13" s="1"/>
  <c r="I27" i="13"/>
  <c r="H27" i="13"/>
  <c r="G27" i="13"/>
  <c r="F27" i="13"/>
  <c r="U27" i="13" s="1"/>
  <c r="V27" i="13" s="1"/>
  <c r="D27" i="13"/>
  <c r="T27" i="13" s="1"/>
  <c r="C27" i="13"/>
  <c r="L26" i="13"/>
  <c r="AB26" i="13" s="1"/>
  <c r="I26" i="13"/>
  <c r="H26" i="13"/>
  <c r="G26" i="13"/>
  <c r="F26" i="13"/>
  <c r="J26" i="13" s="1"/>
  <c r="D26" i="13"/>
  <c r="T26" i="13" s="1"/>
  <c r="C26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L24" i="13"/>
  <c r="AB24" i="13" s="1"/>
  <c r="I24" i="13"/>
  <c r="H24" i="13"/>
  <c r="G24" i="13"/>
  <c r="F24" i="13"/>
  <c r="J24" i="13" s="1"/>
  <c r="D24" i="13"/>
  <c r="T24" i="13" s="1"/>
  <c r="C24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L21" i="13"/>
  <c r="AB21" i="13" s="1"/>
  <c r="I21" i="13"/>
  <c r="H21" i="13"/>
  <c r="G21" i="13"/>
  <c r="F21" i="13"/>
  <c r="J21" i="13" s="1"/>
  <c r="D21" i="13"/>
  <c r="T21" i="13" s="1"/>
  <c r="C21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L16" i="13"/>
  <c r="AB16" i="13" s="1"/>
  <c r="I16" i="13"/>
  <c r="H16" i="13"/>
  <c r="G16" i="13"/>
  <c r="F16" i="13"/>
  <c r="J16" i="13" s="1"/>
  <c r="D16" i="13"/>
  <c r="T16" i="13" s="1"/>
  <c r="C16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L13" i="13"/>
  <c r="AB13" i="13" s="1"/>
  <c r="I13" i="13"/>
  <c r="H13" i="13"/>
  <c r="G13" i="13"/>
  <c r="F13" i="13"/>
  <c r="J13" i="13" s="1"/>
  <c r="D13" i="13"/>
  <c r="T13" i="13" s="1"/>
  <c r="C13" i="13"/>
  <c r="L12" i="13"/>
  <c r="AB12" i="13" s="1"/>
  <c r="I12" i="13"/>
  <c r="H12" i="13"/>
  <c r="G12" i="13"/>
  <c r="F12" i="13"/>
  <c r="J12" i="13" s="1"/>
  <c r="D12" i="13"/>
  <c r="T12" i="13" s="1"/>
  <c r="C12" i="13"/>
  <c r="L11" i="13"/>
  <c r="AB11" i="13" s="1"/>
  <c r="I11" i="13"/>
  <c r="H11" i="13"/>
  <c r="G11" i="13"/>
  <c r="F11" i="13"/>
  <c r="J11" i="13" s="1"/>
  <c r="D11" i="13"/>
  <c r="T11" i="13" s="1"/>
  <c r="C11" i="13"/>
  <c r="L10" i="13"/>
  <c r="AB10" i="13" s="1"/>
  <c r="I10" i="13"/>
  <c r="H10" i="13"/>
  <c r="G10" i="13"/>
  <c r="F10" i="13"/>
  <c r="J10" i="13" s="1"/>
  <c r="D10" i="13"/>
  <c r="T10" i="13" s="1"/>
  <c r="C10" i="13"/>
  <c r="L9" i="13"/>
  <c r="AB9" i="13" s="1"/>
  <c r="I9" i="13"/>
  <c r="H9" i="13"/>
  <c r="G9" i="13"/>
  <c r="F9" i="13"/>
  <c r="J9" i="13" s="1"/>
  <c r="D9" i="13"/>
  <c r="T9" i="13" s="1"/>
  <c r="C9" i="13"/>
  <c r="L8" i="13"/>
  <c r="AB8" i="13" s="1"/>
  <c r="I8" i="13"/>
  <c r="H8" i="13"/>
  <c r="G8" i="13"/>
  <c r="F8" i="13"/>
  <c r="J8" i="13" s="1"/>
  <c r="D8" i="13"/>
  <c r="T8" i="13" s="1"/>
  <c r="C8" i="13"/>
  <c r="L7" i="13"/>
  <c r="AB7" i="13" s="1"/>
  <c r="I7" i="13"/>
  <c r="H7" i="13"/>
  <c r="G7" i="13"/>
  <c r="F7" i="13"/>
  <c r="U7" i="13" s="1"/>
  <c r="V7" i="13" s="1"/>
  <c r="D7" i="13"/>
  <c r="T7" i="13" s="1"/>
  <c r="C7" i="13"/>
  <c r="L6" i="13"/>
  <c r="AB6" i="13" s="1"/>
  <c r="I6" i="13"/>
  <c r="H6" i="13"/>
  <c r="G6" i="13"/>
  <c r="F6" i="13"/>
  <c r="J6" i="13" s="1"/>
  <c r="D6" i="13"/>
  <c r="T6" i="13" s="1"/>
  <c r="C6" i="13"/>
  <c r="L5" i="13"/>
  <c r="AB5" i="13" s="1"/>
  <c r="I5" i="13"/>
  <c r="H5" i="13"/>
  <c r="G5" i="13"/>
  <c r="F5" i="13"/>
  <c r="J5" i="13" s="1"/>
  <c r="D5" i="13"/>
  <c r="T5" i="13" s="1"/>
  <c r="C5" i="13"/>
  <c r="L4" i="13"/>
  <c r="AB4" i="13" s="1"/>
  <c r="I4" i="13"/>
  <c r="H4" i="13"/>
  <c r="G4" i="13"/>
  <c r="F4" i="13"/>
  <c r="J4" i="13" s="1"/>
  <c r="D4" i="13"/>
  <c r="T4" i="13" s="1"/>
  <c r="C4" i="13"/>
  <c r="L3" i="13"/>
  <c r="AB3" i="13" s="1"/>
  <c r="I3" i="13"/>
  <c r="H3" i="13"/>
  <c r="G3" i="13"/>
  <c r="F3" i="13"/>
  <c r="J3" i="13" s="1"/>
  <c r="D3" i="13"/>
  <c r="T3" i="13" s="1"/>
  <c r="C3" i="13"/>
  <c r="J63" i="64" l="1"/>
  <c r="K78" i="64"/>
  <c r="K63" i="64"/>
  <c r="J78" i="64"/>
  <c r="I78" i="64"/>
  <c r="L49" i="64"/>
  <c r="K75" i="64"/>
  <c r="L63" i="64"/>
  <c r="J65" i="64"/>
  <c r="J67" i="64"/>
  <c r="K66" i="64"/>
  <c r="L62" i="64"/>
  <c r="J61" i="64"/>
  <c r="L61" i="64" s="1"/>
  <c r="K54" i="64"/>
  <c r="J50" i="64"/>
  <c r="K49" i="64" s="1"/>
  <c r="L48" i="64" s="1"/>
  <c r="L50" i="64"/>
  <c r="J55" i="64"/>
  <c r="J21" i="64"/>
  <c r="J75" i="64" s="1"/>
  <c r="J20" i="64"/>
  <c r="U94" i="13"/>
  <c r="V94" i="13" s="1"/>
  <c r="U93" i="13"/>
  <c r="V93" i="13" s="1"/>
  <c r="U92" i="13"/>
  <c r="V92" i="13" s="1"/>
  <c r="U91" i="13"/>
  <c r="V91" i="13" s="1"/>
  <c r="J90" i="13"/>
  <c r="U89" i="13"/>
  <c r="V89" i="13" s="1"/>
  <c r="U88" i="13"/>
  <c r="V88" i="13" s="1"/>
  <c r="U87" i="13"/>
  <c r="V87" i="13" s="1"/>
  <c r="U86" i="13"/>
  <c r="V86" i="13" s="1"/>
  <c r="U85" i="13"/>
  <c r="V85" i="13" s="1"/>
  <c r="U84" i="13"/>
  <c r="V84" i="13" s="1"/>
  <c r="U83" i="13"/>
  <c r="V83" i="13" s="1"/>
  <c r="U82" i="13"/>
  <c r="V82" i="13" s="1"/>
  <c r="U81" i="13"/>
  <c r="V81" i="13" s="1"/>
  <c r="J80" i="13"/>
  <c r="J79" i="13"/>
  <c r="J78" i="13"/>
  <c r="U77" i="13"/>
  <c r="V77" i="13" s="1"/>
  <c r="U76" i="13"/>
  <c r="V76" i="13" s="1"/>
  <c r="J75" i="13"/>
  <c r="J74" i="13"/>
  <c r="J73" i="13"/>
  <c r="J72" i="13"/>
  <c r="U71" i="13"/>
  <c r="V71" i="13" s="1"/>
  <c r="U70" i="13"/>
  <c r="V70" i="13" s="1"/>
  <c r="U69" i="13"/>
  <c r="V69" i="13" s="1"/>
  <c r="U68" i="13"/>
  <c r="V68" i="13" s="1"/>
  <c r="U67" i="13"/>
  <c r="V67" i="13" s="1"/>
  <c r="J66" i="13"/>
  <c r="U65" i="13"/>
  <c r="V65" i="13" s="1"/>
  <c r="U64" i="13"/>
  <c r="V64" i="13" s="1"/>
  <c r="U63" i="13"/>
  <c r="V63" i="13" s="1"/>
  <c r="J62" i="13"/>
  <c r="U61" i="13"/>
  <c r="V61" i="13" s="1"/>
  <c r="U60" i="13"/>
  <c r="V60" i="13" s="1"/>
  <c r="J59" i="13"/>
  <c r="U58" i="13"/>
  <c r="V58" i="13" s="1"/>
  <c r="J57" i="13"/>
  <c r="U56" i="13"/>
  <c r="V56" i="13" s="1"/>
  <c r="U55" i="13"/>
  <c r="V55" i="13" s="1"/>
  <c r="U54" i="13"/>
  <c r="V54" i="13" s="1"/>
  <c r="U53" i="13"/>
  <c r="V53" i="13" s="1"/>
  <c r="J52" i="13"/>
  <c r="U51" i="13"/>
  <c r="V51" i="13" s="1"/>
  <c r="J50" i="13"/>
  <c r="U49" i="13"/>
  <c r="V49" i="13" s="1"/>
  <c r="U48" i="13"/>
  <c r="V48" i="13" s="1"/>
  <c r="U47" i="13"/>
  <c r="V47" i="13" s="1"/>
  <c r="J46" i="13"/>
  <c r="J45" i="13"/>
  <c r="U44" i="13"/>
  <c r="V44" i="13" s="1"/>
  <c r="J43" i="13"/>
  <c r="U42" i="13"/>
  <c r="V42" i="13" s="1"/>
  <c r="U41" i="13"/>
  <c r="V41" i="13" s="1"/>
  <c r="U40" i="13"/>
  <c r="V40" i="13" s="1"/>
  <c r="J39" i="13"/>
  <c r="J38" i="13"/>
  <c r="J37" i="13"/>
  <c r="U36" i="13"/>
  <c r="V36" i="13" s="1"/>
  <c r="J35" i="13"/>
  <c r="J34" i="13"/>
  <c r="J33" i="13"/>
  <c r="J32" i="13"/>
  <c r="U31" i="13"/>
  <c r="V31" i="13" s="1"/>
  <c r="U30" i="13"/>
  <c r="V30" i="13" s="1"/>
  <c r="J29" i="13"/>
  <c r="J28" i="13"/>
  <c r="J27" i="13"/>
  <c r="U26" i="13"/>
  <c r="V26" i="13" s="1"/>
  <c r="J25" i="13"/>
  <c r="U24" i="13"/>
  <c r="V24" i="13" s="1"/>
  <c r="J23" i="13"/>
  <c r="J22" i="13"/>
  <c r="U21" i="13"/>
  <c r="V21" i="13" s="1"/>
  <c r="J20" i="13"/>
  <c r="J19" i="13"/>
  <c r="J18" i="13"/>
  <c r="J17" i="13"/>
  <c r="U16" i="13"/>
  <c r="V16" i="13" s="1"/>
  <c r="J15" i="13"/>
  <c r="J14" i="13"/>
  <c r="U13" i="13"/>
  <c r="V13" i="13" s="1"/>
  <c r="U12" i="13"/>
  <c r="V12" i="13" s="1"/>
  <c r="U11" i="13"/>
  <c r="V11" i="13" s="1"/>
  <c r="U10" i="13"/>
  <c r="V10" i="13" s="1"/>
  <c r="U9" i="13"/>
  <c r="V9" i="13" s="1"/>
  <c r="U8" i="13"/>
  <c r="V8" i="13" s="1"/>
  <c r="J7" i="13"/>
  <c r="U6" i="13"/>
  <c r="V6" i="13" s="1"/>
  <c r="U5" i="13"/>
  <c r="V5" i="13" s="1"/>
  <c r="U4" i="13"/>
  <c r="V4" i="13" s="1"/>
  <c r="U3" i="13"/>
  <c r="V3" i="13" s="1"/>
  <c r="L78" i="64" l="1"/>
  <c r="L75" i="64"/>
  <c r="L54" i="64"/>
  <c r="L66" i="64"/>
  <c r="J40" i="64"/>
  <c r="M16" i="64"/>
  <c r="N17" i="64"/>
  <c r="J38" i="64"/>
  <c r="M18" i="64"/>
  <c r="GQ6" i="64"/>
  <c r="H8" i="89"/>
  <c r="D11" i="89" s="1"/>
  <c r="I18" i="90"/>
  <c r="I17" i="90"/>
  <c r="E14" i="90"/>
  <c r="D25" i="89"/>
  <c r="L39" i="64" l="1"/>
  <c r="O16" i="64"/>
  <c r="D23" i="89"/>
  <c r="F10" i="91" s="1"/>
  <c r="D13" i="89"/>
  <c r="E16" i="91" s="1"/>
  <c r="FH6" i="64" l="1"/>
  <c r="F10" i="90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6" i="91" l="1"/>
  <c r="F28" i="91" s="1"/>
  <c r="F21" i="90"/>
  <c r="F22" i="90"/>
  <c r="F23" i="90"/>
  <c r="C44" i="91"/>
  <c r="F24" i="90" l="1"/>
  <c r="F26" i="90" s="1"/>
  <c r="F30" i="91"/>
  <c r="F32" i="89" s="1"/>
  <c r="F33" i="89" s="1"/>
  <c r="F28" i="90" l="1"/>
  <c r="F30" i="90"/>
  <c r="D32" i="89" s="1"/>
  <c r="D37" i="89" s="1"/>
  <c r="C42" i="90"/>
  <c r="C44" i="90" s="1"/>
  <c r="D36" i="89" l="1"/>
  <c r="C36" i="89"/>
  <c r="D33" i="89"/>
  <c r="I34" i="86" s="1"/>
  <c r="EN3" i="64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F3" i="64" s="1"/>
  <c r="FH3" i="64" s="1"/>
  <c r="FI3" i="64" s="1"/>
  <c r="FJ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B3" i="64" s="1"/>
  <c r="IC3" i="64" s="1"/>
  <c r="ID3" i="64" s="1"/>
  <c r="ID10" i="64"/>
  <c r="IC10" i="64"/>
  <c r="IB10" i="64"/>
  <c r="ID9" i="64"/>
  <c r="IC9" i="64"/>
  <c r="IB9" i="64"/>
  <c r="ID8" i="64"/>
  <c r="IC8" i="64"/>
  <c r="IB8" i="64"/>
  <c r="ID7" i="64"/>
  <c r="IC7" i="64"/>
  <c r="IB7" i="64"/>
  <c r="ID6" i="64"/>
  <c r="IC6" i="64"/>
  <c r="IB6" i="64"/>
  <c r="EW6" i="64" l="1"/>
  <c r="A11" i="86"/>
  <c r="I26" i="86" l="1"/>
  <c r="I28" i="86"/>
  <c r="I27" i="86"/>
  <c r="B37" i="86"/>
  <c r="B39" i="86"/>
  <c r="D11" i="86"/>
  <c r="F11" i="86"/>
  <c r="I20" i="86"/>
  <c r="C11" i="86"/>
  <c r="A11" i="68"/>
  <c r="F15" i="68" l="1"/>
  <c r="B35" i="68"/>
  <c r="B37" i="68"/>
  <c r="J3" i="87"/>
  <c r="I3" i="87" l="1"/>
  <c r="K3" i="87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BW6" i="59"/>
  <c r="BV6" i="59"/>
  <c r="M6" i="64" l="1"/>
  <c r="G29" i="86" s="1"/>
  <c r="E29" i="86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A94" i="13" l="1"/>
  <c r="AA93" i="13"/>
  <c r="AA92" i="13"/>
  <c r="AA91" i="13"/>
  <c r="AA90" i="13"/>
  <c r="AA89" i="13"/>
  <c r="AA88" i="13"/>
  <c r="AA87" i="13"/>
  <c r="AA86" i="13"/>
  <c r="AA85" i="13"/>
  <c r="AA84" i="13"/>
  <c r="AA83" i="13"/>
  <c r="AA82" i="13"/>
  <c r="AA59" i="13"/>
  <c r="AA55" i="13"/>
  <c r="AA52" i="13"/>
  <c r="AA78" i="13"/>
  <c r="AA77" i="13"/>
  <c r="AA76" i="13"/>
  <c r="AA75" i="13"/>
  <c r="AA74" i="13"/>
  <c r="AA73" i="13"/>
  <c r="AA72" i="13"/>
  <c r="AA71" i="13"/>
  <c r="AA70" i="13"/>
  <c r="AA69" i="13"/>
  <c r="AA68" i="13"/>
  <c r="AA67" i="13"/>
  <c r="AA66" i="13"/>
  <c r="AA65" i="13"/>
  <c r="AA58" i="13"/>
  <c r="AA53" i="13"/>
  <c r="AA48" i="13"/>
  <c r="AA63" i="13"/>
  <c r="AA62" i="13"/>
  <c r="AA61" i="13"/>
  <c r="AA60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25" i="13"/>
  <c r="AA24" i="13"/>
  <c r="AA23" i="13"/>
  <c r="AA22" i="13"/>
  <c r="AA21" i="13"/>
  <c r="AA20" i="13"/>
  <c r="AA19" i="13"/>
  <c r="AA18" i="13"/>
  <c r="AA80" i="13"/>
  <c r="AA79" i="13"/>
  <c r="AA57" i="13"/>
  <c r="AA54" i="13"/>
  <c r="AA50" i="13"/>
  <c r="AA49" i="13"/>
  <c r="AA17" i="13"/>
  <c r="AA16" i="13"/>
  <c r="AA15" i="13"/>
  <c r="AA14" i="13"/>
  <c r="AA13" i="13"/>
  <c r="AA12" i="13"/>
  <c r="AA11" i="13"/>
  <c r="AA10" i="13"/>
  <c r="AA9" i="13"/>
  <c r="AA8" i="13"/>
  <c r="AA7" i="13"/>
  <c r="AA6" i="13"/>
  <c r="AA5" i="13"/>
  <c r="AA4" i="13"/>
  <c r="AA3" i="13"/>
  <c r="AA81" i="13"/>
  <c r="AA64" i="13"/>
  <c r="AA56" i="13"/>
  <c r="AA51" i="13"/>
  <c r="A13" i="86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AA2" i="13"/>
  <c r="C18" i="67"/>
  <c r="N10" i="6"/>
  <c r="B7" i="6" s="1"/>
  <c r="L10" i="6"/>
  <c r="EK3" i="64" l="1"/>
  <c r="EL3" i="64" s="1"/>
  <c r="E10" i="6"/>
  <c r="D10" i="6"/>
  <c r="M10" i="6" l="1"/>
  <c r="G7" i="66"/>
  <c r="O3" i="6"/>
  <c r="N3" i="6"/>
  <c r="FC10" i="64" l="1"/>
  <c r="FC9" i="64"/>
  <c r="FC8" i="64"/>
  <c r="FC7" i="64"/>
  <c r="FC6" i="64"/>
  <c r="GM10" i="64"/>
  <c r="FH10" i="64"/>
  <c r="I25" i="86" l="1"/>
  <c r="H3" i="59"/>
  <c r="I3" i="59" s="1"/>
  <c r="J3" i="59" s="1"/>
  <c r="K3" i="59" s="1"/>
  <c r="F3" i="59"/>
  <c r="B3" i="59"/>
  <c r="I2" i="13" l="1"/>
  <c r="GO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R4" i="64"/>
  <c r="GR6" i="64" s="1"/>
  <c r="FI4" i="64"/>
  <c r="I45" i="86" l="1"/>
  <c r="EY7" i="64"/>
  <c r="EY9" i="64"/>
  <c r="EY8" i="64"/>
  <c r="FI10" i="64"/>
  <c r="GS4" i="64"/>
  <c r="GS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O9" i="64"/>
  <c r="EV9" i="64"/>
  <c r="GO8" i="64"/>
  <c r="GO7" i="64"/>
  <c r="GO10" i="64"/>
  <c r="EV8" i="64"/>
  <c r="EV10" i="64"/>
  <c r="FJ4" i="64"/>
  <c r="EV6" i="64"/>
  <c r="FJ10" i="64" l="1"/>
  <c r="EY6" i="64"/>
  <c r="GT4" i="64"/>
  <c r="GT6" i="64" s="1"/>
  <c r="FD7" i="64"/>
  <c r="FD8" i="64"/>
  <c r="FD10" i="64"/>
  <c r="FD9" i="64"/>
  <c r="FL4" i="64"/>
  <c r="I30" i="86" l="1"/>
  <c r="I29" i="86"/>
  <c r="GU4" i="64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B30" i="68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 l="1"/>
  <c r="HD6" i="64" s="1"/>
  <c r="FU10" i="64"/>
  <c r="FV4" i="64"/>
  <c r="HE4" i="64" l="1"/>
  <c r="HE6" i="64" s="1"/>
  <c r="FV10" i="64"/>
  <c r="FW4" i="64"/>
  <c r="HF4" i="64" l="1"/>
  <c r="HF6" i="64" s="1"/>
  <c r="FW10" i="64"/>
  <c r="FX4" i="64"/>
  <c r="HG4" i="64" l="1"/>
  <c r="HG6" i="64" s="1"/>
  <c r="FX10" i="64"/>
  <c r="FY4" i="64"/>
  <c r="HH4" i="64" l="1"/>
  <c r="HH6" i="64" s="1"/>
  <c r="FY10" i="64"/>
  <c r="FX6" i="64"/>
  <c r="FT6" i="64"/>
  <c r="FP6" i="64"/>
  <c r="FL6" i="64"/>
  <c r="FY6" i="64"/>
  <c r="FU6" i="64"/>
  <c r="FQ6" i="64"/>
  <c r="FM6" i="64"/>
  <c r="FV6" i="64"/>
  <c r="FR6" i="64"/>
  <c r="FN6" i="64"/>
  <c r="FI6" i="64"/>
  <c r="FO6" i="64"/>
  <c r="FS6" i="64"/>
  <c r="GM6" i="64"/>
  <c r="FW6" i="64"/>
  <c r="FJ6" i="64"/>
  <c r="HI4" i="64"/>
  <c r="HI6" i="64" s="1"/>
  <c r="FZ4" i="64"/>
  <c r="FZ10" i="64" l="1"/>
  <c r="FZ6" i="64"/>
  <c r="EX6" i="64"/>
  <c r="GA4" i="64"/>
  <c r="HJ4" i="64"/>
  <c r="HJ6" i="64" s="1"/>
  <c r="I21" i="86" l="1"/>
  <c r="GA10" i="64"/>
  <c r="GA6" i="64"/>
  <c r="GB4" i="64"/>
  <c r="HK4" i="64"/>
  <c r="HK6" i="64" s="1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HN4" i="64"/>
  <c r="HN6" i="64" s="1"/>
  <c r="GE4" i="64"/>
  <c r="GE10" i="64" l="1"/>
  <c r="GE6" i="64"/>
  <c r="GF4" i="64"/>
  <c r="HO4" i="64"/>
  <c r="HO6" i="64" s="1"/>
  <c r="GF10" i="64" l="1"/>
  <c r="GF6" i="64"/>
  <c r="GG4" i="64"/>
  <c r="HP4" i="64"/>
  <c r="HP6" i="64" s="1"/>
  <c r="GG10" i="64" l="1"/>
  <c r="GG6" i="64"/>
  <c r="GH4" i="64"/>
  <c r="HQ4" i="64"/>
  <c r="HQ6" i="64" s="1"/>
  <c r="GH10" i="64" l="1"/>
  <c r="GH6" i="64"/>
  <c r="HR4" i="64"/>
  <c r="HR6" i="64" s="1"/>
  <c r="GI4" i="64"/>
  <c r="GI10" i="64" l="1"/>
  <c r="GI6" i="64"/>
  <c r="HS4" i="64"/>
  <c r="HS6" i="64" s="1"/>
  <c r="GJ4" i="64"/>
  <c r="GJ10" i="64" l="1"/>
  <c r="GJ6" i="64"/>
  <c r="GK4" i="64"/>
  <c r="GK10" i="64" l="1"/>
  <c r="GK6" i="64"/>
  <c r="GL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L10" i="64"/>
  <c r="FB10" i="64" s="1"/>
  <c r="I22" i="86" s="1"/>
  <c r="GL6" i="64"/>
  <c r="R14" i="66" l="1"/>
  <c r="Q14" i="66"/>
  <c r="S16" i="66"/>
  <c r="FA6" i="64"/>
  <c r="EZ6" i="64"/>
  <c r="Z14" i="66" l="1"/>
  <c r="FF6" i="64"/>
  <c r="D4" i="87" s="1"/>
  <c r="I24" i="86"/>
  <c r="I23" i="86"/>
  <c r="D7" i="87"/>
  <c r="D11" i="87"/>
  <c r="D8" i="87"/>
  <c r="D9" i="87"/>
  <c r="T16" i="66"/>
  <c r="V16" i="66"/>
  <c r="U16" i="66"/>
  <c r="X16" i="66"/>
  <c r="G4" i="87" l="1"/>
  <c r="E4" i="87"/>
  <c r="I4" i="87"/>
  <c r="I31" i="86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H4" i="87" l="1"/>
  <c r="K4" i="87"/>
  <c r="J4" i="87"/>
  <c r="G12" i="87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E6" i="64"/>
  <c r="F11" i="68"/>
  <c r="I32" i="86" l="1"/>
  <c r="F96" i="13"/>
  <c r="J2" i="13"/>
  <c r="J96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<sst xmlns="http://schemas.openxmlformats.org/spreadsheetml/2006/main" count="9630" uniqueCount="3686">
  <si>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</si>
  <si>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</si>
  <si>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</si>
  <si>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</si>
  <si>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</si>
  <si>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</si>
  <si>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</si>
  <si>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</si>
  <si>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</si>
  <si>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</si>
  <si>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</si>
  <si>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</si>
  <si>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</si>
  <si>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</si>
  <si>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</si>
  <si>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</si>
  <si>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</si>
  <si>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</si>
  <si>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</si>
  <si>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</si>
  <si>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</si>
  <si>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</si>
  <si>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</si>
  <si>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</si>
  <si>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</si>
  <si>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</si>
  <si>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</si>
  <si>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</si>
  <si>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</si>
  <si>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</si>
  <si>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</si>
  <si>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</si>
  <si>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</si>
  <si>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</si>
  <si>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</si>
  <si>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</si>
  <si>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</si>
  <si>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</si>
  <si>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</si>
  <si>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</si>
  <si>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</si>
  <si>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</si>
  <si>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</si>
  <si>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</si>
  <si>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</si>
  <si>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</si>
  <si>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</si>
  <si>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</si>
  <si>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</si>
  <si>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</si>
  <si>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</si>
  <si>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</si>
  <si>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</si>
  <si>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</si>
  <si>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</si>
  <si>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</si>
  <si>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</si>
  <si>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</si>
  <si>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</si>
  <si>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</si>
  <si>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</si>
  <si>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</si>
  <si>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</si>
  <si>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</si>
  <si>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</si>
  <si>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</si>
  <si>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</si>
  <si>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</si>
  <si>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</si>
  <si>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</si>
  <si>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</si>
  <si>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</si>
  <si>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</si>
  <si>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</si>
  <si>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</si>
  <si>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</si>
  <si>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</si>
  <si>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</si>
  <si>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</si>
  <si>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</si>
  <si>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</si>
  <si>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</si>
  <si>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</si>
  <si>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</si>
  <si>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</si>
  <si>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</si>
  <si>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</si>
  <si>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</si>
  <si>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</si>
  <si>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</si>
  <si>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</si>
  <si>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</si>
  <si>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</si>
  <si>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</si>
  <si>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</si>
  <si>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</si>
  <si>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</si>
  <si>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</si>
  <si>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</si>
  <si>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</si>
  <si>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</si>
  <si>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</si>
  <si>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</si>
  <si>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</si>
  <si>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</si>
  <si>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</si>
  <si>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</si>
  <si>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</si>
  <si>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</si>
  <si>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</si>
  <si>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</si>
  <si>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</si>
  <si>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</si>
  <si>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</si>
  <si>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</si>
  <si>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</si>
  <si>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</si>
  <si>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</si>
  <si>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</si>
  <si>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</si>
  <si>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</si>
  <si>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</si>
  <si>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</si>
  <si>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</si>
  <si>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</si>
  <si>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</si>
  <si>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</si>
  <si>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</si>
  <si>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</si>
  <si>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</si>
  <si>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</si>
  <si>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</si>
  <si>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</si>
  <si>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</si>
  <si>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</si>
  <si>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</si>
  <si>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</si>
  <si>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</si>
  <si>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</si>
  <si>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</si>
  <si>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</si>
  <si>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</si>
  <si>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</si>
  <si>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</si>
  <si>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</si>
  <si>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</si>
  <si>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</si>
  <si>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</si>
  <si>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</si>
  <si>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</si>
  <si>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</si>
  <si>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</si>
  <si>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</si>
  <si>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</si>
  <si>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</si>
  <si>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</si>
  <si>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</si>
  <si>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</si>
  <si>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</si>
  <si>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</si>
  <si>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</si>
  <si>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</si>
  <si>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</si>
  <si>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</si>
  <si>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</si>
  <si>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</si>
  <si>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</si>
  <si>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</si>
  <si>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</si>
  <si>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</si>
  <si>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</si>
  <si>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</si>
  <si>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</si>
  <si>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</si>
  <si>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</si>
  <si>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</si>
  <si>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</si>
  <si>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</si>
  <si>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</si>
  <si>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</si>
  <si>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</si>
  <si>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</si>
  <si>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</si>
  <si>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</si>
  <si>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</si>
  <si>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</si>
  <si>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</si>
  <si>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</si>
  <si>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</si>
  <si>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</si>
  <si>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</si>
  <si>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</si>
  <si>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</si>
  <si>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</si>
  <si>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</si>
  <si>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</si>
  <si>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</si>
  <si>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</si>
  <si>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</si>
  <si>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</si>
  <si>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</si>
  <si>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</si>
  <si>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</si>
  <si>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</si>
  <si>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</si>
  <si>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</si>
  <si>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</si>
  <si>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</si>
  <si>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</si>
  <si>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</si>
  <si>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</si>
  <si>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</si>
  <si>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</si>
  <si>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</si>
  <si>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</si>
  <si>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</si>
  <si>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</si>
  <si>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</si>
  <si>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</si>
  <si>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</si>
  <si>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</si>
  <si>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</si>
  <si>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</si>
  <si>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</si>
  <si>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</si>
  <si>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</si>
  <si>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</si>
  <si>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</si>
  <si>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</si>
  <si>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</si>
  <si>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</si>
  <si>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</si>
  <si>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</si>
  <si>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</si>
  <si>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</si>
  <si>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</si>
  <si>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</si>
  <si>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</si>
  <si>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</si>
  <si>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</si>
  <si>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</si>
  <si>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</si>
  <si>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</si>
  <si>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</si>
  <si>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</si>
  <si>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</si>
  <si>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</si>
  <si>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</si>
  <si>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</si>
  <si>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</si>
  <si>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</si>
  <si>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</si>
  <si>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</si>
  <si>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</si>
  <si>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</si>
  <si>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</si>
  <si>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</si>
  <si>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</si>
  <si>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</si>
  <si>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</si>
  <si>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</si>
  <si>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</si>
  <si>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</si>
  <si>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</si>
  <si>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</si>
  <si>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</si>
  <si>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</si>
  <si>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</si>
  <si>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</si>
  <si>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</si>
  <si>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</si>
  <si>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</si>
  <si>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</si>
  <si>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</si>
  <si>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</si>
  <si>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</si>
  <si>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</si>
  <si>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</si>
  <si>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</si>
  <si>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</si>
  <si>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</si>
  <si>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</si>
  <si>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</si>
  <si>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</si>
  <si>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</si>
  <si>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</si>
  <si>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</si>
  <si>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38.335.018/0001-17</t>
  </si>
  <si>
    <t>29.804.699/0001-24</t>
  </si>
  <si>
    <t>30.155.897/0001-93</t>
  </si>
  <si>
    <t>06.185.546/0001-40</t>
  </si>
  <si>
    <t>03.165.760/0001-47</t>
  </si>
  <si>
    <t>16.702.140/0001-41</t>
  </si>
  <si>
    <t>08.468.071/0001-25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</si>
  <si>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</si>
  <si>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</si>
  <si>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</si>
  <si>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</si>
  <si>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</si>
  <si>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</si>
  <si>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</si>
  <si>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</si>
  <si>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</si>
  <si>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</si>
  <si>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</si>
  <si>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</si>
  <si>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</si>
  <si>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</si>
  <si>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</si>
  <si>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</si>
  <si>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</si>
  <si>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</si>
  <si>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</si>
  <si>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</si>
  <si>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</si>
  <si>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</si>
  <si>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</si>
  <si>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</si>
  <si>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</si>
  <si>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</si>
  <si>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</si>
  <si>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</si>
  <si>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</si>
  <si>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</si>
  <si>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</si>
  <si>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</si>
  <si>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</si>
  <si>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</si>
  <si>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</si>
  <si>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</si>
  <si>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</si>
  <si>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</si>
  <si>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</si>
  <si>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</si>
  <si>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</si>
  <si>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</si>
  <si>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</si>
  <si>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</si>
  <si>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</si>
  <si>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</si>
  <si>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</si>
  <si>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</si>
  <si>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</si>
  <si>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</si>
  <si>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</si>
  <si>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</si>
  <si>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</si>
  <si>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</si>
  <si>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</si>
  <si>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</si>
  <si>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</si>
  <si>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</si>
  <si>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</si>
  <si>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</si>
  <si>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</si>
  <si>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</si>
  <si>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</si>
  <si>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</si>
  <si>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</si>
  <si>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</si>
  <si>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</si>
  <si>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</si>
  <si>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</si>
  <si>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</si>
  <si>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</si>
  <si>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</si>
  <si>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</si>
  <si>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</si>
  <si>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</si>
  <si>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</si>
  <si>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</si>
  <si>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</si>
  <si>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</si>
  <si>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</si>
  <si>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</si>
  <si>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</si>
  <si>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</si>
  <si>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</si>
  <si>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</si>
  <si>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</si>
  <si>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</si>
  <si>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</si>
  <si>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</si>
  <si>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</si>
  <si>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</si>
  <si>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</si>
  <si>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</si>
  <si>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</si>
  <si>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</si>
  <si>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</si>
  <si>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</si>
  <si>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</si>
  <si>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</si>
  <si>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</si>
  <si>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</si>
  <si>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</si>
  <si>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</si>
  <si>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</si>
  <si>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</si>
  <si>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</si>
  <si>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</si>
  <si>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</si>
  <si>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</si>
  <si>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</si>
  <si>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</si>
  <si>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</si>
  <si>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</si>
  <si>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</si>
  <si>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</si>
  <si>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</si>
  <si>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</si>
  <si>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</si>
  <si>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</si>
  <si>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</si>
  <si>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</si>
  <si>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</si>
  <si>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</si>
  <si>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</si>
  <si>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</si>
  <si>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</si>
  <si>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</si>
  <si>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</si>
  <si>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</si>
  <si>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</si>
  <si>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</si>
  <si>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</si>
  <si>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</si>
  <si>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</si>
  <si>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</si>
  <si>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</si>
  <si>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</si>
  <si>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</si>
  <si>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</si>
  <si>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</si>
  <si>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</si>
  <si>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</si>
  <si>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</si>
  <si>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</si>
  <si>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</si>
  <si>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</si>
  <si>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</si>
  <si>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</si>
  <si>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</si>
  <si>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</si>
  <si>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</si>
  <si>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</si>
  <si>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</si>
  <si>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</si>
  <si>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</si>
  <si>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</si>
  <si>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</si>
  <si>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</si>
  <si>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</si>
  <si>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</si>
  <si>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</si>
  <si>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</si>
  <si>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</si>
  <si>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</si>
  <si>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</si>
  <si>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</si>
  <si>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</si>
  <si>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</si>
  <si>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</si>
  <si>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</si>
  <si>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</si>
  <si>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</si>
  <si>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</si>
  <si>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</si>
  <si>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</si>
  <si>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</si>
  <si>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</si>
  <si>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</si>
  <si>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</si>
  <si>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</si>
  <si>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</si>
  <si>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</si>
  <si>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</si>
  <si>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</si>
  <si>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</si>
  <si>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</si>
  <si>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</si>
  <si>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</si>
  <si>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</si>
  <si>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</si>
  <si>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</si>
  <si>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</si>
  <si>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</si>
  <si>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</si>
  <si>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</si>
  <si>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</si>
  <si>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</si>
  <si>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</si>
  <si>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</si>
  <si>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</si>
  <si>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</si>
  <si>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</si>
  <si>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</si>
  <si>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</si>
  <si>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</si>
  <si>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</si>
  <si>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</si>
  <si>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</si>
  <si>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</si>
  <si>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</si>
  <si>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</si>
  <si>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</si>
  <si>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</si>
  <si>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</si>
  <si>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</si>
  <si>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</si>
  <si>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</si>
  <si>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</si>
  <si>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</si>
  <si>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</si>
  <si>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</si>
  <si>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</si>
  <si>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</si>
  <si>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</si>
  <si>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</si>
  <si>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</si>
  <si>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</si>
  <si>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</si>
  <si>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</si>
  <si>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</si>
  <si>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</si>
  <si>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</si>
  <si>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</si>
  <si>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</si>
  <si>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</si>
  <si>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</si>
  <si>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</si>
  <si>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</si>
  <si>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</si>
  <si>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</si>
  <si>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</si>
  <si>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</si>
  <si>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</si>
  <si>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</si>
  <si>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</si>
  <si>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</si>
  <si>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</si>
  <si>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</si>
  <si>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</si>
  <si>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</si>
  <si>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</si>
  <si>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</si>
  <si>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</si>
  <si>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</si>
  <si>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</si>
  <si>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</si>
  <si>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</si>
  <si>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</si>
  <si>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</si>
  <si>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</si>
  <si>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</si>
  <si>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</si>
  <si>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</si>
  <si>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</si>
  <si>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</si>
  <si>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</si>
  <si>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</si>
  <si>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</si>
  <si>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</si>
  <si>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</si>
  <si>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</si>
  <si>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</si>
  <si>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</si>
  <si>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</si>
  <si>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</si>
  <si>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</si>
  <si>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</si>
  <si>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</si>
  <si>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</si>
  <si>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</si>
  <si>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</si>
  <si>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</si>
  <si>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</si>
  <si>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</si>
  <si>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</si>
  <si>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</si>
  <si>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</si>
  <si>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</si>
  <si>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</si>
  <si>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</si>
  <si>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</si>
  <si>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</si>
  <si>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</si>
  <si>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</si>
  <si>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</si>
  <si>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</si>
  <si>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</si>
  <si>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</si>
  <si>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</si>
  <si>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</si>
  <si>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</si>
  <si>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</si>
  <si>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</si>
  <si>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</si>
  <si>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</si>
  <si>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</si>
  <si>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</si>
  <si>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</si>
  <si>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</si>
  <si>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</si>
  <si>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</si>
  <si>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</si>
  <si>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</si>
  <si>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</si>
  <si>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</si>
  <si>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</si>
  <si>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</si>
  <si>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</si>
  <si>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</si>
  <si>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</si>
  <si>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</si>
  <si>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</si>
  <si>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</si>
  <si>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</si>
  <si>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</si>
  <si>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</si>
  <si>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</si>
  <si>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</si>
  <si>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</si>
  <si>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</si>
  <si>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</si>
  <si>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</si>
  <si>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</si>
  <si>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</si>
  <si>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</si>
  <si>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</si>
  <si>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</si>
  <si>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</si>
  <si>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</si>
  <si>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</si>
  <si>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</si>
  <si>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</si>
  <si>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</si>
  <si>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</si>
  <si>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</si>
  <si>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</si>
  <si>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</si>
  <si>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</si>
  <si>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</si>
  <si>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</si>
  <si>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</si>
  <si>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</si>
  <si>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</si>
  <si>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</si>
  <si>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</si>
  <si>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</si>
  <si>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</si>
  <si>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</si>
  <si>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</si>
  <si>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</si>
  <si>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</si>
  <si>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</si>
  <si>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</si>
  <si>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</si>
  <si>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</si>
  <si>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</si>
  <si>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</si>
  <si>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</si>
  <si>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</si>
  <si>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</si>
  <si>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</si>
  <si>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</si>
  <si>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</si>
  <si>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</si>
  <si>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</si>
  <si>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</si>
  <si>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</si>
  <si>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</si>
  <si>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</si>
  <si>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</si>
  <si>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</si>
  <si>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</si>
  <si>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</si>
  <si>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</si>
  <si>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</si>
  <si>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</si>
  <si>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</si>
  <si>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</si>
  <si>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</si>
  <si>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</si>
  <si>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</si>
  <si>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</si>
  <si>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</si>
  <si>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</si>
  <si>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</si>
  <si>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</si>
  <si>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</si>
  <si>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</si>
  <si>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</si>
  <si>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</si>
  <si>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</si>
  <si>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</si>
  <si>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</si>
  <si>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</si>
  <si>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</si>
  <si>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</si>
  <si>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</si>
  <si>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</si>
  <si>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</si>
  <si>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</si>
  <si>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</si>
  <si>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</si>
  <si>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</si>
  <si>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</si>
  <si>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</si>
  <si>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</si>
  <si>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</si>
  <si>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</si>
  <si>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</si>
  <si>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</si>
  <si>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</si>
  <si>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</si>
  <si>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</si>
  <si>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</si>
  <si>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</si>
  <si>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</si>
  <si>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</si>
  <si>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</si>
  <si>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</si>
  <si>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</si>
  <si>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</si>
  <si>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</si>
  <si>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</si>
  <si>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</si>
  <si>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</si>
  <si>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</si>
  <si>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</si>
  <si>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</si>
  <si>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</si>
  <si>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</si>
  <si>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</si>
  <si>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</si>
  <si>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</si>
  <si>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</si>
  <si>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</si>
  <si>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</si>
  <si>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</si>
  <si>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</si>
  <si>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</si>
  <si>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</si>
  <si>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</si>
  <si>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</si>
  <si>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</si>
  <si>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</si>
  <si>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</si>
  <si>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</si>
  <si>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</si>
  <si>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</si>
  <si>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</si>
  <si>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</si>
  <si>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</si>
  <si>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</si>
  <si>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</si>
  <si>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</si>
  <si>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</si>
  <si>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</si>
  <si>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</si>
  <si>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</si>
  <si>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</si>
  <si>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</si>
  <si>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</si>
  <si>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</si>
  <si>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</si>
  <si>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</si>
  <si>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</si>
  <si>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</si>
  <si>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</si>
  <si>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</si>
  <si>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</si>
  <si>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</si>
  <si>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</si>
  <si>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</si>
  <si>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</si>
  <si>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</si>
  <si>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</si>
  <si>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</si>
  <si>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</si>
  <si>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</si>
  <si>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</si>
  <si>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</si>
  <si>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</si>
  <si>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</si>
  <si>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</si>
  <si>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</si>
  <si>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</si>
  <si>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</si>
  <si>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</si>
  <si>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</si>
  <si>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</si>
  <si>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</si>
  <si>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</si>
  <si>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</si>
  <si>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</si>
  <si>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</si>
  <si>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</si>
  <si>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</si>
  <si>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</si>
  <si>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</si>
  <si>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</si>
  <si>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</si>
  <si>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</si>
  <si>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</si>
  <si>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</si>
  <si>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</si>
  <si>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</si>
  <si>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</si>
  <si>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</si>
  <si>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</si>
  <si>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</si>
  <si>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</si>
  <si>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</si>
  <si>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</si>
  <si>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</si>
  <si>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</si>
  <si>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</si>
  <si>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</si>
  <si>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</si>
  <si>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</si>
  <si>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</si>
  <si>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</si>
  <si>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</si>
  <si>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</si>
  <si>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</si>
  <si>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</si>
  <si>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</si>
  <si>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</si>
  <si>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</si>
  <si>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</si>
  <si>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</si>
  <si>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</si>
  <si>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</si>
  <si>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</si>
  <si>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</si>
  <si>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</si>
  <si>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</si>
  <si>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</si>
  <si>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</si>
  <si>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</si>
  <si>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</si>
  <si>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</si>
  <si>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</si>
  <si>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</si>
  <si>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</si>
  <si>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</si>
  <si>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</si>
  <si>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</si>
  <si>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</si>
  <si>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</si>
  <si>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</si>
  <si>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</si>
  <si>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</si>
  <si>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</si>
  <si>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</si>
  <si>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</si>
  <si>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</si>
  <si>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</si>
  <si>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</si>
  <si>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</si>
  <si>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</si>
  <si>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</si>
  <si>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</si>
  <si>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</si>
  <si>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</si>
  <si>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</si>
  <si>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</si>
  <si>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</si>
  <si>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</si>
  <si>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</si>
  <si>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</si>
  <si>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</si>
  <si>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</si>
  <si>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</si>
  <si>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</si>
  <si>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</si>
  <si>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</si>
  <si>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</si>
  <si>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</si>
  <si>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</si>
  <si>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</si>
  <si>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</si>
  <si>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</si>
  <si>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</si>
  <si>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</si>
  <si>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</si>
  <si>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</si>
  <si>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</si>
  <si>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</si>
  <si>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</si>
  <si>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</si>
  <si>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</si>
  <si>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</si>
  <si>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</si>
  <si>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</si>
  <si>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</si>
  <si>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</si>
  <si>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</si>
  <si>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</si>
  <si>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</si>
  <si>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</si>
  <si>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</si>
  <si>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</si>
  <si>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</si>
  <si>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</si>
  <si>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</si>
  <si>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</si>
  <si>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</si>
  <si>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</si>
  <si>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</si>
  <si>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</si>
  <si>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</si>
  <si>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</si>
  <si>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</si>
  <si>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</si>
  <si>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</si>
  <si>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</si>
  <si>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</si>
  <si>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</si>
  <si>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</si>
  <si>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</si>
  <si>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</si>
  <si>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</si>
  <si>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</si>
  <si>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</si>
  <si>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</si>
  <si>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</si>
  <si>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</si>
  <si>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</si>
  <si>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</si>
  <si>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</si>
  <si>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</si>
  <si>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</si>
  <si>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</si>
  <si>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</si>
  <si>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</si>
  <si>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</si>
  <si>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</si>
  <si>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</si>
  <si>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</si>
  <si>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</si>
  <si>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</si>
  <si>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</si>
  <si>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</si>
  <si>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</si>
  <si>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</si>
  <si>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</si>
  <si>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</si>
  <si>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</si>
  <si>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</si>
  <si>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</si>
  <si>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</si>
  <si>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</si>
  <si>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</si>
  <si>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</si>
  <si>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</si>
  <si>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</si>
  <si>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</si>
  <si>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</si>
  <si>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</si>
  <si>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</si>
  <si>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</si>
  <si>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</si>
  <si>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</si>
  <si>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</si>
  <si>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</si>
  <si>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</si>
  <si>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</si>
  <si>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</si>
  <si>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</si>
  <si>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</si>
  <si>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</si>
  <si>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</si>
  <si>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</si>
  <si>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</si>
  <si>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</si>
  <si>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</si>
  <si>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</si>
  <si>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</si>
  <si>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</si>
  <si>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</si>
  <si>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</si>
  <si>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</si>
  <si>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</si>
  <si>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</si>
  <si>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</si>
  <si>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</si>
  <si>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</si>
  <si>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</si>
  <si>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</si>
  <si>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</si>
  <si>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</si>
  <si>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</si>
  <si>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</si>
  <si>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</si>
  <si>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</si>
  <si>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</si>
  <si>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</si>
  <si>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</si>
  <si>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</si>
  <si>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</si>
  <si>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</si>
  <si>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</si>
  <si>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</si>
  <si>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</si>
  <si>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</si>
  <si>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</si>
  <si>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</si>
  <si>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</si>
  <si>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</si>
  <si>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</si>
  <si>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</si>
  <si>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</si>
  <si>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</si>
  <si>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</si>
  <si>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</si>
  <si>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</si>
  <si>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</si>
  <si>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</si>
  <si>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</si>
  <si>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</si>
  <si>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</si>
  <si>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</si>
  <si>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</si>
  <si>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</si>
  <si>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</si>
  <si>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</si>
  <si>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</si>
  <si>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</si>
  <si>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</si>
  <si>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</si>
  <si>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</si>
  <si>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</si>
  <si>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</si>
  <si>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</si>
  <si>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</si>
  <si>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</si>
  <si>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</si>
  <si>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</si>
  <si>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</si>
  <si>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</si>
  <si>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</si>
  <si>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</si>
  <si>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</si>
  <si>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</si>
  <si>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</si>
  <si>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</si>
  <si>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</si>
  <si>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</si>
  <si>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</si>
  <si>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</si>
  <si>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</si>
  <si>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</si>
  <si>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</si>
  <si>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</si>
  <si>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</si>
  <si>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</si>
  <si>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</si>
  <si>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</si>
  <si>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</si>
  <si>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</si>
  <si>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</si>
  <si>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</si>
  <si>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</si>
  <si>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</si>
  <si>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</si>
  <si>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</si>
  <si>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</si>
  <si>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</si>
  <si>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</si>
  <si>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</si>
  <si>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</si>
  <si>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</si>
  <si>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</si>
  <si>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</si>
  <si>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</si>
  <si>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</si>
  <si>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</si>
  <si>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</si>
  <si>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</si>
  <si>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</si>
  <si>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</si>
  <si>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</si>
  <si>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</si>
  <si>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</si>
  <si>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</si>
  <si>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</si>
  <si>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</si>
  <si>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</si>
  <si>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</si>
  <si>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</si>
  <si>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</si>
  <si>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</si>
  <si>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</si>
  <si>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</si>
  <si>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</si>
  <si>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</si>
  <si>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</si>
  <si>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</si>
  <si>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</si>
  <si>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</si>
  <si>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</si>
  <si>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</si>
  <si>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</si>
  <si>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</si>
  <si>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</si>
  <si>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</si>
  <si>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</si>
  <si>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</si>
  <si>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</si>
  <si>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</si>
  <si>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</si>
  <si>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</si>
  <si>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</si>
  <si>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</si>
  <si>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</si>
  <si>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</si>
  <si>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</si>
  <si>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</si>
  <si>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</si>
  <si>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</si>
  <si>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</si>
  <si>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</si>
  <si>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</si>
  <si>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</si>
  <si>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</si>
  <si>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</si>
  <si>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</si>
  <si>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</si>
  <si>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</si>
  <si>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</si>
  <si>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</si>
  <si>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</si>
  <si>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</si>
  <si>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</si>
  <si>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</si>
  <si>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</si>
  <si>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</si>
  <si>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</si>
  <si>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</si>
  <si>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</si>
  <si>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</si>
  <si>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</si>
  <si>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</si>
  <si>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</si>
  <si>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</si>
  <si>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</si>
  <si>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</si>
  <si>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</si>
  <si>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</si>
  <si>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</si>
  <si>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</si>
  <si>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</si>
  <si>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</si>
  <si>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</si>
  <si>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</si>
  <si>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</si>
  <si>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</si>
  <si>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</si>
  <si>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</si>
  <si>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</si>
  <si>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</si>
  <si>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</si>
  <si>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</si>
  <si>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</si>
  <si>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</si>
  <si>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</si>
  <si>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</si>
  <si>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</si>
  <si>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</si>
  <si>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</si>
  <si>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</si>
  <si>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</si>
  <si>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</si>
  <si>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</si>
  <si>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</si>
  <si>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</si>
  <si>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</si>
  <si>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</si>
  <si>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</si>
  <si>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</si>
  <si>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</si>
  <si>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</si>
  <si>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</si>
  <si>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</si>
  <si>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</si>
  <si>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</si>
  <si>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</si>
  <si>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</si>
  <si>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</si>
  <si>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</si>
  <si>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</si>
  <si>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</si>
  <si>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</si>
  <si>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</si>
  <si>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</si>
  <si>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</si>
  <si>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</si>
  <si>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</si>
  <si>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</si>
  <si>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</si>
  <si>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</si>
  <si>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</si>
  <si>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</si>
  <si>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</si>
  <si>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</si>
  <si>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</si>
  <si>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</si>
  <si>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</si>
  <si>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</si>
  <si>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</si>
  <si>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</si>
  <si>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</si>
  <si>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</si>
  <si>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</si>
  <si>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</si>
  <si>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</si>
  <si>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</si>
  <si>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</si>
  <si>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</si>
  <si>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</si>
  <si>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</si>
  <si>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</si>
  <si>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</si>
  <si>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</si>
  <si>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</si>
  <si>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</si>
  <si>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</si>
  <si>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</si>
  <si>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</si>
  <si>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</si>
  <si>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</si>
  <si>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</si>
  <si>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</si>
  <si>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</si>
  <si>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</si>
  <si>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</si>
  <si>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</si>
  <si>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</si>
  <si>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</si>
  <si>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</si>
  <si>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</si>
  <si>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</si>
  <si>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</si>
  <si>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</si>
  <si>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</si>
  <si>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</si>
  <si>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</si>
  <si>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</si>
  <si>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</si>
  <si>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</si>
  <si>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</si>
  <si>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</si>
  <si>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</si>
  <si>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</si>
  <si>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</si>
  <si>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</si>
  <si>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</si>
  <si>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</si>
  <si>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</si>
  <si>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</si>
  <si>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</si>
  <si>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</si>
  <si>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</si>
  <si>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</si>
  <si>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</si>
  <si>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</si>
  <si>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</si>
  <si>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</si>
  <si>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</si>
  <si>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</si>
  <si>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</si>
  <si>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</si>
  <si>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</si>
  <si>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</si>
  <si>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</si>
  <si>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</si>
  <si>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</si>
  <si>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</si>
  <si>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</si>
  <si>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</si>
  <si>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</si>
  <si>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</si>
  <si>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</si>
  <si>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</si>
  <si>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</si>
  <si>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</si>
  <si>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</si>
  <si>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</si>
  <si>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</si>
  <si>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</si>
  <si>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</si>
  <si>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</si>
  <si>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</si>
  <si>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</si>
  <si>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</si>
  <si>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</si>
  <si>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</si>
  <si>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</si>
  <si>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</si>
  <si>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</si>
  <si>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</si>
  <si>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</si>
  <si>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</si>
  <si>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</si>
  <si>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</si>
  <si>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</si>
  <si>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</si>
  <si>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</si>
  <si>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</si>
  <si>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</si>
  <si>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</si>
  <si>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</si>
  <si>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</si>
  <si>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</si>
  <si>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</si>
  <si>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</si>
  <si>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</si>
  <si>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</si>
  <si>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</si>
  <si>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</si>
  <si>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</si>
  <si>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</si>
  <si>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</si>
  <si>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</si>
  <si>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</si>
  <si>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</si>
  <si>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</si>
  <si>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</si>
  <si>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</si>
  <si>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</si>
  <si>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</si>
  <si>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</si>
  <si>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</si>
  <si>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</si>
  <si>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</si>
  <si>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</si>
  <si>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</si>
  <si>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</si>
  <si>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</si>
  <si>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</si>
  <si>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</si>
  <si>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</si>
  <si>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</si>
  <si>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</si>
  <si>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</si>
  <si>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</si>
  <si>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</si>
  <si>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</si>
  <si>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</si>
  <si>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</si>
  <si>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</si>
  <si>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</si>
  <si>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</si>
  <si>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</si>
  <si>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</si>
  <si>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</si>
  <si>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</si>
  <si>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</si>
  <si>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</si>
  <si>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</si>
  <si>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</si>
  <si>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</si>
  <si>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</si>
  <si>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</si>
  <si>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</si>
  <si>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</si>
  <si>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</si>
  <si>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</si>
  <si>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</si>
  <si>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</si>
  <si>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</si>
  <si>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</si>
  <si>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</si>
  <si>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</si>
  <si>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</si>
  <si>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</si>
  <si>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</si>
  <si>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</si>
  <si>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</si>
  <si>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</si>
  <si>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</si>
  <si>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</si>
  <si>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</si>
  <si>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</si>
  <si>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</si>
  <si>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</si>
  <si>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</si>
  <si>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</si>
  <si>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</si>
  <si>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</si>
  <si>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</si>
  <si>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</si>
  <si>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</si>
  <si>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</si>
  <si>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</si>
  <si>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</si>
  <si>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</si>
  <si>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</si>
  <si>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</si>
  <si>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</si>
  <si>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</si>
  <si>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</si>
  <si>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</si>
  <si>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</si>
  <si>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</si>
  <si>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</si>
  <si>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</si>
  <si>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</si>
  <si>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</si>
  <si>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</si>
  <si>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</si>
  <si>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</si>
  <si>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</si>
  <si>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</si>
  <si>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</si>
  <si>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</si>
  <si>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</si>
  <si>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</si>
  <si>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</si>
  <si>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</si>
  <si>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</si>
  <si>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</si>
  <si>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</si>
  <si>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</si>
  <si>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</si>
  <si>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</si>
  <si>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</si>
  <si>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</si>
  <si>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</si>
  <si>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</si>
  <si>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</si>
  <si>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</si>
  <si>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</si>
  <si>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</si>
  <si>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</si>
  <si>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</si>
  <si>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</si>
  <si>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</si>
  <si>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</si>
  <si>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</si>
  <si>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</si>
  <si>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</si>
  <si>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</si>
  <si>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</si>
  <si>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</si>
  <si>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</si>
  <si>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</si>
  <si>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</si>
  <si>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</si>
  <si>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</si>
  <si>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</si>
  <si>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</si>
  <si>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</si>
  <si>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</si>
  <si>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</si>
  <si>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</si>
  <si>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</si>
  <si>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</si>
  <si>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</si>
  <si>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</si>
  <si>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</si>
  <si>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</si>
  <si>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</si>
  <si>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</si>
  <si>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</si>
  <si>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</si>
  <si>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</si>
  <si>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</si>
  <si>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</si>
  <si>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</si>
  <si>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</si>
  <si>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</si>
  <si>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</si>
  <si>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</si>
  <si>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</si>
  <si>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</si>
  <si>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</si>
  <si>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</si>
  <si>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</si>
  <si>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</si>
  <si>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</si>
  <si>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</si>
  <si>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</si>
  <si>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</si>
  <si>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</si>
  <si>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</si>
  <si>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</si>
  <si>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</si>
  <si>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</si>
  <si>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</si>
  <si>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</si>
  <si>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</si>
  <si>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</si>
  <si>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</si>
  <si>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</si>
  <si>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</si>
  <si>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</si>
  <si>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</si>
  <si>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</si>
  <si>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</si>
  <si>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</si>
  <si>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</si>
  <si>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</si>
  <si>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</si>
  <si>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</si>
  <si>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</si>
  <si>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</si>
  <si>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</si>
  <si>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</si>
  <si>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</si>
  <si>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</si>
  <si>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</si>
  <si>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</si>
  <si>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</si>
  <si>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</si>
  <si>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</si>
  <si>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</si>
  <si>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</si>
  <si>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</si>
  <si>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</si>
  <si>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</si>
  <si>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</si>
  <si>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</si>
  <si>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</si>
  <si>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</si>
  <si>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</si>
  <si>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</si>
  <si>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</si>
  <si>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</si>
  <si>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</si>
  <si>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</si>
  <si>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</si>
  <si>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</si>
  <si>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</si>
  <si>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</si>
  <si>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</si>
  <si>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</si>
  <si>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</si>
  <si>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</si>
  <si>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</si>
  <si>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</si>
  <si>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</si>
  <si>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</si>
  <si>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</si>
  <si>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</si>
  <si>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</si>
  <si>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</si>
  <si>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</si>
  <si>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</si>
  <si>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</si>
  <si>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</si>
  <si>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</si>
  <si>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</si>
  <si>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</si>
  <si>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</si>
  <si>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</si>
  <si>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</si>
  <si>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</si>
  <si>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</si>
  <si>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</si>
  <si>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</si>
  <si>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</si>
  <si>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</si>
  <si>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</si>
  <si>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</si>
  <si>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</si>
  <si>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</si>
  <si>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</si>
  <si>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</si>
  <si>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</si>
  <si>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</si>
  <si>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</si>
  <si>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</si>
  <si>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</si>
  <si>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</si>
  <si>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</si>
  <si>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</si>
  <si>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</si>
  <si>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</si>
  <si>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</si>
  <si>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</si>
  <si>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</si>
  <si>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</si>
  <si>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</si>
  <si>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</si>
  <si>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</si>
  <si>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</si>
  <si>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</si>
  <si>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</si>
  <si>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</si>
  <si>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</si>
  <si>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</si>
  <si>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</si>
  <si>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</si>
  <si>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</si>
  <si>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</si>
  <si>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</si>
  <si>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</si>
  <si>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</si>
  <si>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</si>
  <si>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</si>
  <si>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</si>
  <si>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</si>
  <si>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</si>
  <si>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</si>
  <si>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</si>
  <si>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</si>
  <si>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</si>
  <si>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</si>
  <si>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</si>
  <si>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</si>
  <si>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</si>
  <si>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</si>
  <si>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</si>
  <si>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</si>
  <si>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</si>
  <si>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</si>
  <si>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</si>
  <si>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</si>
  <si>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</si>
  <si>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</si>
  <si>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</si>
  <si>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</si>
  <si>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</si>
  <si>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</si>
  <si>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</si>
  <si>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</si>
  <si>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</si>
  <si>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</si>
  <si>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</si>
  <si>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</si>
  <si>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</si>
  <si>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</si>
  <si>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</si>
  <si>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</si>
  <si>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</si>
  <si>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</si>
  <si>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</si>
  <si>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</si>
  <si>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</si>
  <si>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</si>
  <si>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</si>
  <si>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</si>
  <si>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</si>
  <si>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</si>
  <si>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</si>
  <si>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</si>
  <si>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</si>
  <si>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</si>
  <si>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</si>
  <si>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</si>
  <si>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</si>
  <si>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</si>
  <si>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</si>
  <si>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</si>
  <si>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</si>
  <si>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</si>
  <si>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</si>
  <si>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</si>
  <si>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</si>
  <si>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</si>
  <si>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</si>
  <si>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</si>
  <si>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</si>
  <si>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</si>
  <si>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</si>
  <si>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</si>
  <si>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</si>
  <si>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</si>
  <si>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</si>
  <si>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</si>
  <si>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</si>
  <si>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</si>
  <si>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</si>
  <si>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</si>
  <si>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</si>
  <si>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</si>
  <si>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</si>
  <si>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</si>
  <si>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</si>
  <si>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</si>
  <si>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</si>
  <si>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</si>
  <si>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</si>
  <si>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</si>
  <si>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</si>
  <si>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</si>
  <si>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</si>
  <si>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</si>
  <si>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</si>
  <si>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</si>
  <si>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</si>
  <si>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</si>
  <si>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</si>
  <si>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</si>
  <si>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</si>
  <si>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</si>
  <si>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</si>
  <si>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</si>
  <si>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</si>
  <si>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</si>
  <si>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</si>
  <si>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</si>
  <si>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</si>
  <si>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</si>
  <si>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</si>
  <si>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</si>
  <si>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</si>
  <si>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</si>
  <si>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</si>
  <si>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</si>
  <si>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</si>
  <si>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</si>
  <si>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</si>
  <si>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</si>
  <si>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</si>
  <si>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</si>
  <si>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</si>
  <si>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</si>
  <si>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</si>
  <si>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</si>
  <si>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</si>
  <si>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</si>
  <si>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</si>
  <si>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</si>
  <si>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</si>
  <si>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</si>
  <si>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</si>
  <si>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</si>
  <si>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</si>
  <si>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</si>
  <si>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</si>
  <si>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</si>
  <si>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</si>
  <si>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</si>
  <si>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</si>
  <si>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</si>
  <si>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</si>
  <si>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</si>
  <si>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</si>
  <si>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</si>
  <si>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</si>
  <si>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</si>
  <si>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</si>
  <si>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</si>
  <si>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</si>
  <si>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</si>
  <si>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</si>
  <si>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</si>
  <si>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</si>
  <si>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</si>
  <si>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</si>
  <si>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</si>
  <si>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</si>
  <si>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</si>
  <si>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</si>
  <si>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</si>
  <si>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</si>
  <si>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</si>
  <si>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</si>
  <si>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</si>
  <si>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</si>
  <si>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</si>
  <si>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</si>
  <si>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</si>
  <si>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</si>
  <si>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</si>
  <si>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</si>
  <si>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</si>
  <si>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</si>
  <si>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</si>
  <si>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</si>
  <si>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</si>
  <si>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</si>
  <si>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</si>
  <si>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</si>
  <si>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</si>
  <si>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</si>
  <si>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</si>
  <si>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</si>
  <si>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</si>
  <si>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</si>
  <si>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</si>
  <si>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</si>
  <si>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</si>
  <si>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</si>
  <si>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</si>
  <si>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</si>
  <si>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</si>
  <si>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</si>
  <si>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</si>
  <si>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</si>
  <si>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</si>
  <si>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</si>
  <si>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</si>
  <si>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</si>
  <si>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</si>
  <si>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</si>
  <si>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</si>
  <si>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</si>
  <si>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</si>
  <si>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</si>
  <si>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</si>
  <si>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</si>
  <si>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</si>
  <si>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</si>
  <si>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</si>
  <si>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</si>
  <si>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</si>
  <si>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</si>
  <si>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</si>
  <si>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</si>
  <si>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</si>
  <si>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</si>
  <si>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</si>
  <si>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</si>
  <si>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</si>
  <si>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</si>
  <si>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</si>
  <si>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</si>
  <si>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</si>
  <si>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</si>
  <si>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</si>
  <si>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</si>
  <si>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</si>
  <si>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</si>
  <si>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</si>
  <si>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</si>
  <si>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</si>
  <si>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</si>
  <si>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</si>
  <si>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</si>
  <si>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</si>
  <si>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</si>
  <si>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</si>
  <si>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</si>
  <si>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</si>
  <si>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</si>
  <si>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</si>
  <si>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</si>
  <si>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</si>
  <si>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</si>
  <si>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</si>
  <si>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</si>
  <si>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</si>
  <si>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</si>
  <si>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</si>
  <si>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</si>
  <si>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</si>
  <si>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</si>
  <si>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</si>
  <si>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</si>
  <si>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</si>
  <si>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</si>
  <si>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</si>
  <si>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</si>
  <si>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</si>
  <si>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</si>
  <si>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</si>
  <si>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</si>
  <si>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</si>
  <si>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</si>
  <si>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</si>
  <si>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</si>
  <si>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</si>
  <si>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</si>
  <si>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</si>
  <si>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</si>
  <si>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</si>
  <si>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</si>
  <si>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</si>
  <si>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</si>
  <si>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</si>
  <si>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</si>
  <si>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</si>
  <si>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</si>
  <si>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</si>
  <si>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</si>
  <si>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</si>
  <si>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</si>
  <si>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</si>
  <si>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</si>
  <si>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</si>
  <si>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</si>
  <si>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</si>
  <si>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</si>
  <si>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</si>
  <si>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</si>
  <si>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</si>
  <si>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</si>
  <si>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</si>
  <si>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</si>
  <si>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</si>
  <si>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</si>
  <si>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</si>
  <si>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</si>
  <si>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</si>
  <si>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</si>
  <si>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</si>
  <si>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</si>
  <si>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</si>
  <si>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</si>
  <si>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</si>
  <si>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</si>
  <si>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</si>
  <si>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</si>
  <si>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</si>
  <si>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</si>
  <si>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</si>
  <si>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</si>
  <si>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</si>
  <si>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</si>
  <si>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</si>
  <si>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</si>
  <si>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</si>
  <si>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</si>
  <si>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</si>
  <si>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</si>
  <si>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</si>
  <si>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</si>
  <si>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</si>
  <si>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</si>
  <si>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</si>
  <si>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</si>
  <si>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</si>
  <si>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</si>
  <si>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</si>
  <si>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</si>
  <si>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</si>
  <si>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</si>
  <si>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</si>
  <si>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</si>
  <si>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</si>
  <si>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</si>
  <si>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</si>
  <si>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</si>
  <si>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</si>
  <si>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</si>
  <si>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</si>
  <si>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</si>
  <si>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</si>
  <si>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</si>
  <si>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</si>
  <si>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</si>
  <si>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</si>
  <si>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</si>
  <si>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</si>
  <si>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</si>
  <si>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</si>
  <si>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</si>
  <si>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</si>
  <si>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</si>
  <si>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</si>
  <si>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</si>
  <si>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</si>
  <si>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</si>
  <si>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</si>
  <si>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</si>
  <si>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</si>
  <si>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</si>
  <si>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</si>
  <si>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</si>
  <si>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</si>
  <si>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</si>
  <si>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</si>
  <si>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</si>
  <si>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</si>
  <si>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</si>
  <si>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</si>
  <si>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</si>
  <si>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</si>
  <si>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</si>
  <si>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</si>
  <si>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</si>
  <si>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</si>
  <si>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</si>
  <si>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</si>
  <si>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</si>
  <si>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</si>
  <si>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</si>
  <si>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</si>
  <si>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</si>
  <si>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</si>
  <si>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</si>
  <si>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</si>
  <si>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</si>
  <si>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</si>
  <si>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</si>
  <si>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</si>
  <si>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</si>
  <si>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</si>
  <si>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</si>
  <si>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</si>
  <si>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</si>
  <si>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</si>
  <si>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</si>
  <si>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</si>
  <si>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</si>
  <si>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</si>
  <si>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</si>
  <si>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</si>
  <si>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</si>
  <si>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</si>
  <si>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</si>
  <si>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</si>
  <si>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</si>
  <si>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</si>
  <si>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</si>
  <si>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</si>
  <si>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</si>
  <si>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</si>
  <si>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</si>
  <si>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</si>
  <si>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</si>
  <si>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</si>
  <si>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</si>
  <si>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</si>
  <si>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</si>
  <si>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</si>
  <si>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</si>
  <si>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</si>
  <si>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</si>
  <si>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</si>
  <si>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</si>
  <si>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</si>
  <si>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</si>
  <si>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</si>
  <si>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</si>
  <si>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</si>
  <si>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</si>
  <si>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</si>
  <si>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</si>
  <si>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</si>
  <si>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</si>
  <si>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</si>
  <si>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</si>
  <si>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</si>
  <si>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</si>
  <si>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</si>
  <si>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</si>
  <si>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</si>
  <si>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</si>
  <si>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</si>
  <si>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</si>
  <si>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</si>
  <si>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</si>
  <si>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</si>
  <si>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</si>
  <si>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</si>
  <si>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</si>
  <si>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</si>
  <si>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</si>
  <si>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</si>
  <si>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</si>
  <si>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</si>
  <si>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</si>
  <si>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</si>
  <si>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</si>
  <si>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</si>
  <si>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</si>
  <si>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</si>
  <si>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</si>
  <si>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</si>
  <si>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</si>
  <si>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</si>
  <si>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</si>
  <si>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</si>
  <si>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</si>
  <si>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</si>
  <si>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</si>
  <si>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</si>
  <si>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</si>
  <si>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</si>
  <si>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</si>
  <si>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</si>
  <si>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</si>
  <si>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</si>
  <si>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</si>
  <si>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</si>
  <si>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</si>
  <si>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</si>
  <si>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</si>
  <si>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</si>
  <si>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</si>
  <si>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</si>
  <si>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</si>
  <si>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</si>
  <si>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</si>
  <si>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</si>
  <si>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</si>
  <si>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</si>
  <si>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</si>
  <si>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</si>
  <si>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</si>
  <si>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</si>
  <si>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</si>
  <si>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</si>
  <si>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</si>
  <si>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</si>
  <si>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</si>
  <si>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</si>
  <si>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</si>
  <si>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</si>
  <si>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</si>
  <si>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</si>
  <si>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</si>
  <si>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</si>
  <si>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</si>
  <si>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</si>
  <si>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</si>
  <si>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</si>
  <si>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</si>
  <si>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</si>
  <si>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</si>
  <si>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</si>
  <si>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</si>
  <si>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</si>
  <si>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</si>
  <si>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</si>
  <si>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</si>
  <si>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</si>
  <si>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</si>
  <si>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</si>
  <si>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</si>
  <si>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</si>
  <si>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</si>
  <si>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</si>
  <si>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</si>
  <si>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</si>
  <si>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</si>
  <si>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</si>
  <si>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</si>
  <si>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</si>
  <si>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</si>
  <si>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</si>
  <si>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</si>
  <si>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</si>
  <si>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</si>
  <si>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</si>
  <si>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</si>
  <si>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</si>
  <si>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</si>
  <si>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</si>
  <si>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</si>
  <si>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</si>
  <si>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</si>
  <si>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</si>
  <si>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</si>
  <si>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</si>
  <si>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</si>
  <si>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</si>
  <si>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</si>
  <si>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</si>
  <si>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</si>
  <si>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</si>
  <si>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</si>
  <si>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</si>
  <si>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</si>
  <si>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</si>
  <si>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</si>
  <si>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</si>
  <si>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</si>
  <si>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</si>
  <si>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</si>
  <si>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</si>
  <si>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</si>
  <si>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</si>
  <si>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</si>
  <si>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</si>
  <si>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</si>
  <si>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</si>
  <si>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</si>
  <si>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</si>
  <si>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</si>
  <si>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</si>
  <si>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</si>
  <si>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</si>
  <si>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</si>
  <si>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</si>
  <si>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</si>
  <si>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</si>
  <si>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</si>
  <si>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</si>
  <si>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</si>
  <si>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</si>
  <si>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</si>
  <si>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</si>
  <si>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</si>
  <si>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</si>
  <si>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</si>
  <si>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</si>
  <si>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</si>
  <si>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</si>
  <si>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</si>
  <si>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</si>
  <si>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</si>
  <si>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</si>
  <si>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</si>
  <si>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</si>
  <si>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</si>
  <si>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</si>
  <si>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</si>
  <si>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</si>
  <si>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</si>
  <si>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</si>
  <si>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</si>
  <si>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</si>
  <si>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</si>
  <si>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</si>
  <si>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</si>
  <si>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</si>
  <si>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</si>
  <si>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</si>
  <si>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</si>
  <si>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</si>
  <si>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</si>
  <si>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</si>
  <si>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</si>
  <si>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</si>
  <si>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</si>
  <si>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</si>
  <si>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</si>
  <si>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</si>
  <si>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</si>
  <si>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</si>
  <si>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</si>
  <si>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</si>
  <si>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</si>
  <si>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</si>
  <si>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</si>
  <si>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</si>
  <si>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</si>
  <si>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</si>
  <si>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</si>
  <si>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</si>
  <si>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</si>
  <si>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</si>
  <si>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</si>
  <si>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</si>
  <si>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</si>
  <si>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</si>
  <si>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</si>
  <si>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</si>
  <si>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</si>
  <si>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</si>
  <si>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</si>
  <si>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</si>
  <si>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</si>
  <si>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</si>
  <si>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</si>
  <si>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</si>
  <si>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</si>
  <si>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</si>
  <si>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</si>
  <si>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</si>
  <si>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</si>
  <si>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</si>
  <si>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</si>
  <si>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</si>
  <si>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</si>
  <si>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</si>
  <si>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</si>
  <si>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</si>
  <si>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</si>
  <si>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</si>
  <si>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</si>
  <si>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</si>
  <si>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</si>
  <si>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</si>
  <si>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</si>
  <si>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</si>
  <si>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</si>
  <si>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</si>
  <si>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</si>
  <si>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</si>
  <si>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</si>
  <si>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</si>
  <si>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</si>
  <si>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</si>
  <si>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</si>
  <si>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</si>
  <si>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</si>
  <si>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</si>
  <si>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</si>
  <si>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</si>
  <si>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</si>
  <si>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</si>
  <si>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</si>
  <si>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</si>
  <si>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</si>
  <si>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</si>
  <si>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</si>
  <si>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</si>
  <si>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</si>
  <si>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</si>
  <si>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</si>
  <si>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</si>
  <si>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</si>
  <si>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</si>
  <si>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</si>
  <si>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</si>
  <si>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</si>
  <si>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</si>
  <si>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</si>
  <si>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</si>
  <si>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</si>
  <si>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</si>
  <si>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</si>
  <si>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</si>
  <si>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</si>
  <si>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</si>
  <si>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</si>
  <si>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</si>
  <si>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</si>
  <si>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</si>
  <si>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</si>
  <si>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</si>
  <si>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</si>
  <si>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</si>
  <si>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</si>
  <si>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</si>
  <si>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</si>
  <si>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</si>
  <si>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</si>
  <si>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</si>
  <si>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</si>
  <si>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</si>
  <si>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</si>
  <si>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</si>
  <si>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</si>
  <si>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</si>
  <si>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</si>
  <si>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</si>
  <si>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</si>
  <si>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</si>
  <si>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</si>
  <si>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</si>
  <si>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</si>
  <si>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</si>
  <si>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</si>
  <si>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</si>
  <si>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</si>
  <si>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</si>
  <si>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</si>
  <si>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</si>
  <si>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</si>
  <si>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</si>
  <si>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</si>
  <si>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</si>
  <si>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</si>
  <si>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</si>
  <si>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</si>
  <si>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</si>
  <si>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</si>
  <si>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</si>
  <si>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</si>
  <si>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</si>
  <si>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</si>
  <si>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</si>
  <si>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</si>
  <si>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</si>
  <si>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</si>
  <si>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</si>
  <si>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</si>
  <si>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</si>
  <si>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</si>
  <si>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</si>
  <si>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</si>
  <si>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</si>
  <si>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</si>
  <si>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</si>
  <si>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</si>
  <si>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</si>
  <si>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</si>
  <si>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</si>
  <si>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</si>
  <si>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</si>
  <si>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</si>
  <si>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</si>
  <si>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</si>
  <si>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</si>
  <si>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</si>
  <si>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</si>
  <si>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</si>
  <si>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</si>
  <si>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</si>
  <si>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</si>
  <si>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</si>
  <si>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</si>
  <si>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</si>
  <si>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</si>
  <si>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</si>
  <si>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</si>
  <si>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</si>
  <si>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</si>
  <si>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</si>
  <si>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</si>
  <si>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</si>
  <si>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</si>
  <si>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</si>
  <si>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</si>
  <si>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</si>
  <si>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</si>
  <si>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</si>
  <si>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</si>
  <si>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</si>
  <si>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</si>
  <si>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</si>
  <si>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</si>
  <si>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</si>
  <si>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</si>
  <si>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</si>
  <si>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</si>
  <si>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</si>
  <si>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</si>
  <si>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</si>
  <si>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</si>
  <si>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</si>
  <si>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</si>
  <si>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</si>
  <si>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</si>
  <si>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</si>
  <si>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</si>
  <si>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</si>
  <si>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</si>
  <si>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</si>
  <si>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</si>
  <si>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</si>
  <si>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</si>
  <si>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</si>
  <si>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</si>
  <si>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</si>
  <si>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</si>
  <si>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</si>
  <si>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</si>
  <si>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</si>
  <si>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</si>
  <si>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</si>
  <si>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</si>
  <si>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</si>
  <si>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</si>
  <si>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</si>
  <si>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</si>
  <si>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</si>
  <si>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</si>
  <si>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</si>
  <si>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</si>
  <si>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</si>
  <si>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</si>
  <si>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</si>
  <si>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</si>
  <si>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</si>
  <si>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</si>
  <si>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</si>
  <si>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</si>
  <si>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</si>
  <si>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</si>
  <si>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</si>
  <si>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</si>
  <si>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</si>
  <si>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</si>
  <si>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</si>
  <si>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</si>
  <si>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</si>
  <si>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</si>
  <si>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</si>
  <si>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</si>
  <si>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</si>
  <si>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</si>
  <si>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</si>
  <si>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</si>
  <si>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</si>
  <si>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</si>
  <si>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</si>
  <si>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</si>
  <si>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</si>
  <si>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</si>
  <si>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</si>
  <si>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</si>
  <si>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</si>
  <si>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</si>
  <si>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</si>
  <si>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</si>
  <si>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</si>
  <si>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</si>
  <si>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</si>
  <si>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</si>
  <si>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</si>
  <si>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</si>
  <si>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</si>
  <si>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</si>
  <si>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</si>
  <si>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</si>
  <si>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</si>
  <si>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</si>
  <si>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</si>
  <si>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</si>
  <si>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</si>
  <si>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</si>
  <si>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</si>
  <si>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</si>
  <si>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</si>
  <si>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</si>
  <si>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</si>
  <si>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</si>
  <si>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</si>
  <si>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</si>
  <si>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</si>
  <si>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</si>
  <si>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</si>
  <si>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</si>
  <si>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</si>
  <si>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</si>
  <si>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</si>
  <si>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</si>
  <si>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</si>
  <si>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</si>
  <si>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</si>
  <si>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</si>
  <si>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</si>
  <si>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</si>
  <si>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</si>
  <si>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</si>
  <si>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</si>
  <si>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</si>
  <si>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</si>
  <si>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</si>
  <si>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</si>
  <si>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</si>
  <si>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</si>
  <si>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</si>
  <si>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</si>
  <si>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</si>
  <si>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</si>
  <si>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</si>
  <si>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</si>
  <si>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</si>
  <si>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</si>
  <si>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</si>
  <si>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</si>
  <si>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</si>
  <si>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</si>
  <si>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</si>
  <si>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</si>
  <si>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</si>
  <si>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</si>
  <si>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</si>
  <si>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</si>
  <si>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</si>
  <si>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</si>
  <si>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</si>
  <si>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</si>
  <si>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</si>
  <si>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</si>
  <si>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</si>
  <si>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</si>
  <si>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</si>
  <si>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</si>
  <si>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</si>
  <si>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</si>
  <si>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</si>
  <si>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</si>
  <si>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</si>
  <si>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</si>
  <si>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</si>
  <si>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</si>
  <si>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</si>
  <si>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</si>
  <si>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</si>
  <si>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</si>
  <si>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</si>
  <si>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</si>
  <si>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</si>
  <si>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</si>
  <si>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</si>
  <si>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</si>
  <si>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</si>
  <si>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</si>
  <si>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</si>
  <si>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</si>
  <si>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</si>
  <si>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</si>
  <si>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</si>
  <si>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</si>
  <si>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</si>
  <si>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</si>
  <si>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</si>
  <si>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</si>
  <si>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</si>
  <si>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</si>
  <si>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</si>
  <si>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</si>
  <si>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</si>
  <si>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</si>
  <si>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</si>
  <si>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</si>
  <si>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</si>
  <si>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</si>
  <si>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</si>
  <si>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</si>
  <si>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</si>
  <si>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</si>
  <si>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</si>
  <si>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</si>
  <si>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</si>
  <si>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</si>
  <si>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</si>
  <si>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</si>
  <si>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</si>
  <si>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</si>
  <si>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</si>
  <si>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</si>
  <si>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</si>
  <si>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</si>
  <si>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</si>
  <si>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</si>
  <si>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</si>
  <si>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</si>
  <si>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</si>
  <si>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</si>
  <si>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</si>
  <si>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</si>
  <si>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</si>
  <si>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</si>
  <si>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</si>
  <si>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</si>
  <si>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</si>
  <si>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</si>
  <si>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</si>
  <si>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</si>
  <si>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</si>
  <si>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</si>
  <si>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</si>
  <si>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</si>
  <si>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</si>
  <si>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</si>
  <si>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</si>
  <si>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</si>
  <si>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</si>
  <si>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</si>
  <si>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</si>
  <si>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</si>
  <si>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</si>
  <si>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</si>
  <si>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</si>
  <si>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</si>
  <si>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</si>
  <si>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</si>
  <si>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</si>
  <si>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</si>
  <si>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</si>
  <si>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</si>
  <si>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</si>
  <si>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</si>
  <si>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</si>
  <si>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</si>
  <si>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</si>
  <si>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</si>
  <si>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</si>
  <si>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</si>
  <si>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</si>
  <si>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</si>
  <si>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</si>
  <si>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</si>
  <si>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</si>
  <si>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</si>
  <si>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</si>
  <si>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</si>
  <si>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</si>
  <si>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</si>
  <si>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</si>
  <si>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</si>
  <si>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</si>
  <si>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</si>
  <si>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</si>
  <si>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</si>
  <si>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</si>
  <si>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</si>
  <si>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</si>
  <si>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</si>
  <si>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</si>
  <si>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</si>
  <si>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</si>
  <si>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</si>
  <si>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</si>
  <si>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</si>
  <si>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</si>
  <si>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</si>
  <si>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</si>
  <si>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</si>
  <si>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</si>
  <si>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</si>
  <si>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</si>
  <si>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</si>
  <si>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</si>
  <si>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</si>
  <si>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</si>
  <si>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</si>
  <si>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</si>
  <si>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</si>
  <si>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</si>
  <si>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</si>
  <si>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</si>
  <si>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</si>
  <si>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</si>
  <si>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</si>
  <si>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</si>
  <si>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</si>
  <si>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</si>
  <si>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</si>
  <si>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</si>
  <si>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</si>
  <si>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</si>
  <si>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</si>
  <si>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</si>
  <si>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</si>
  <si>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</si>
  <si>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</si>
  <si>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</si>
  <si>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</si>
  <si>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</si>
  <si>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</si>
  <si>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</si>
  <si>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</si>
  <si>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</si>
  <si>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</si>
  <si>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</si>
  <si>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</si>
  <si>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</si>
  <si>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</si>
  <si>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</si>
  <si>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</si>
  <si>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</si>
  <si>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</si>
  <si>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</si>
  <si>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</si>
  <si>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</si>
  <si>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</si>
  <si>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</si>
  <si>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</si>
  <si>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</si>
  <si>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</si>
  <si>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</si>
  <si>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</si>
  <si>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</si>
  <si>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</si>
  <si>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</si>
  <si>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</si>
  <si>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</si>
  <si>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</si>
  <si>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</si>
  <si>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</si>
  <si>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</si>
  <si>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</si>
  <si>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</si>
  <si>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</si>
  <si>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</si>
  <si>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</si>
  <si>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</si>
  <si>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</si>
  <si>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</si>
  <si>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</si>
  <si>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</si>
  <si>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</si>
  <si>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</si>
  <si>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</si>
  <si>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</si>
  <si>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</si>
  <si>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</si>
  <si>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</si>
  <si>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</si>
  <si>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</si>
  <si>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</si>
  <si>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</si>
  <si>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</si>
  <si>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</si>
  <si>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</si>
  <si>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</si>
  <si>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</si>
  <si>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</si>
  <si>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</si>
  <si>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</si>
  <si>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</si>
  <si>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</si>
  <si>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</si>
  <si>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</si>
  <si>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</si>
  <si>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</si>
  <si>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</si>
  <si>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</si>
  <si>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</si>
  <si>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</si>
  <si>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</si>
  <si>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</si>
  <si>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</si>
  <si>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</si>
  <si>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</si>
  <si>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</si>
  <si>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</si>
  <si>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</si>
  <si>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</si>
  <si>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</si>
  <si>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</si>
  <si>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</si>
  <si>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</si>
  <si>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</si>
  <si>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</si>
  <si>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</si>
  <si>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</si>
  <si>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</si>
  <si>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</si>
  <si>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</si>
  <si>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</si>
  <si>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</si>
  <si>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</si>
  <si>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</si>
  <si>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</si>
  <si>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</si>
  <si>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</si>
  <si>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</si>
  <si>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</si>
  <si>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</si>
  <si>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</si>
  <si>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</si>
  <si>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</si>
  <si>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</si>
  <si>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</si>
  <si>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</si>
  <si>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</si>
  <si>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</si>
  <si>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</si>
  <si>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</si>
  <si>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</si>
  <si>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</si>
  <si>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</si>
  <si>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</si>
  <si>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</si>
  <si>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</si>
  <si>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</si>
  <si>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</si>
  <si>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</si>
  <si>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</si>
  <si>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</si>
  <si>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</si>
  <si>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</si>
  <si>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</si>
  <si>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</si>
  <si>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</si>
  <si>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</si>
  <si>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</si>
  <si>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</si>
  <si>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</si>
  <si>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</si>
  <si>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</si>
  <si>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</si>
  <si>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</si>
  <si>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</si>
  <si>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</si>
  <si>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</si>
  <si>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</si>
  <si>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</si>
  <si>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</si>
  <si>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</si>
  <si>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</si>
  <si>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</si>
  <si>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</si>
  <si>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</si>
  <si>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</si>
  <si>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</si>
  <si>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</si>
  <si>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</si>
  <si>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</si>
  <si>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</si>
  <si>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</si>
  <si>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</si>
  <si>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</si>
  <si>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</si>
  <si>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</si>
  <si>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</si>
  <si>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</si>
  <si>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</si>
  <si>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</si>
  <si>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</si>
  <si>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</si>
  <si>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</si>
  <si>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</si>
  <si>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</si>
  <si>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</si>
  <si>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</si>
  <si>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</si>
  <si>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</si>
  <si>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</si>
  <si>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</si>
  <si>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</si>
  <si>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</si>
  <si>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</si>
  <si>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</si>
  <si>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</si>
  <si>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</si>
  <si>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</si>
  <si>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</si>
  <si>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</si>
  <si>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</si>
  <si>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</si>
  <si>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</si>
  <si>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</si>
  <si>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</si>
  <si>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</si>
  <si>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</si>
  <si>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</si>
  <si>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</si>
  <si>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</si>
  <si>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</si>
  <si>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</si>
  <si>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</si>
  <si>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</si>
  <si>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</si>
  <si>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</si>
  <si>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</si>
  <si>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</si>
  <si>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</si>
  <si>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</si>
  <si>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</si>
  <si>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</si>
  <si>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</si>
  <si>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</si>
  <si>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</si>
  <si>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</si>
  <si>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</si>
  <si>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</si>
  <si>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</si>
  <si>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</si>
  <si>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</si>
  <si>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</si>
  <si>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</si>
  <si>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</si>
  <si>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</si>
  <si>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</si>
  <si>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</si>
  <si>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</si>
  <si>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</si>
  <si>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</si>
  <si>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</si>
  <si>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</si>
  <si>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</si>
  <si>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</si>
  <si>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</si>
  <si>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</si>
  <si>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</si>
  <si>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</si>
  <si>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</si>
  <si>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</si>
  <si>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</si>
  <si>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</si>
  <si>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</si>
  <si>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</si>
  <si>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</si>
  <si>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</si>
  <si>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</si>
  <si>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</si>
  <si>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</si>
  <si>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</si>
  <si>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</si>
  <si>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</si>
  <si>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</si>
  <si>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</si>
  <si>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</si>
  <si>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</si>
  <si>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</si>
  <si>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</si>
  <si>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</si>
  <si>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</si>
  <si>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</si>
  <si>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</si>
  <si>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</si>
  <si>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</si>
  <si>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</si>
  <si>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</si>
  <si>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</si>
  <si>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</si>
  <si>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</si>
  <si>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</si>
  <si>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</si>
  <si>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</si>
  <si>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</si>
  <si>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</si>
  <si>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</si>
  <si>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</si>
  <si>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</si>
  <si>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</si>
  <si>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</si>
  <si>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</si>
  <si>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</si>
  <si>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</si>
  <si>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</si>
  <si>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</si>
  <si>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</si>
  <si>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</si>
  <si>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</si>
  <si>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</si>
  <si>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</si>
  <si>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</si>
  <si>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</si>
  <si>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</si>
  <si>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</si>
  <si>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</si>
  <si>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</si>
  <si>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</si>
  <si>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</si>
  <si>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</si>
  <si>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</si>
  <si>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</si>
  <si>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</si>
  <si>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</si>
  <si>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</si>
  <si>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</si>
  <si>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</si>
  <si>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</si>
  <si>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</si>
  <si>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</si>
  <si>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</si>
  <si>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</si>
  <si>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</si>
  <si>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</si>
  <si>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</si>
  <si>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</si>
  <si>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</si>
  <si>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</si>
  <si>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</si>
  <si>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</si>
  <si>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</si>
  <si>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</si>
  <si>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</si>
  <si>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</si>
  <si>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</si>
  <si>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</si>
  <si>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</si>
  <si>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</si>
  <si>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</si>
  <si>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</si>
  <si>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</si>
  <si>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</si>
  <si>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</si>
  <si>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</si>
  <si>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</si>
  <si>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</si>
  <si>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</si>
  <si>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</si>
  <si>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</si>
  <si>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</si>
  <si>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</si>
  <si>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</si>
  <si>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</si>
  <si>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</si>
  <si>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</si>
  <si>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</si>
  <si>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</si>
  <si>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</si>
  <si>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</si>
  <si>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</si>
  <si>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</si>
  <si>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</si>
  <si>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</si>
  <si>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</si>
  <si>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</si>
  <si>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</si>
  <si>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</si>
  <si>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</si>
  <si>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</si>
  <si>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</si>
  <si>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</si>
  <si>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</si>
  <si>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</si>
  <si>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</si>
  <si>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</si>
  <si>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</si>
  <si>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</si>
  <si>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</si>
  <si>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</si>
  <si>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</si>
  <si>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</si>
  <si>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</si>
  <si>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</si>
  <si>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</si>
  <si>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</si>
  <si>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</si>
  <si>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</si>
  <si>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</si>
  <si>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</si>
  <si>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</si>
  <si>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</si>
  <si>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</si>
  <si>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</si>
  <si>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</si>
  <si>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</si>
  <si>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</si>
  <si>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</si>
  <si>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</si>
  <si>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</si>
  <si>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</si>
  <si>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</si>
  <si>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</si>
  <si>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</si>
  <si>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</si>
  <si>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</si>
  <si>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</si>
  <si>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</si>
  <si>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</si>
  <si>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</si>
  <si>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</si>
  <si>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</si>
  <si>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</si>
  <si>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</si>
  <si>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</si>
  <si>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</si>
  <si>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</si>
  <si>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</si>
  <si>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</si>
  <si>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</si>
  <si>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</si>
  <si>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</si>
  <si>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</si>
  <si>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</si>
  <si>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</si>
  <si>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</si>
  <si>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07.677.664/0001-39</t>
  </si>
  <si>
    <t>17.396.944/0001-22</t>
  </si>
  <si>
    <t>54.511.513/0001-96</t>
  </si>
  <si>
    <t>54.737.749/0001-45</t>
  </si>
  <si>
    <t>47.919.348/0001-40</t>
  </si>
  <si>
    <t>21.786.993/0001-49</t>
  </si>
  <si>
    <t>16.665.595/0001-34</t>
  </si>
  <si>
    <t>05.261.701/0001-06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</si>
  <si>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</si>
  <si>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</si>
  <si>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</si>
  <si>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</si>
  <si>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</si>
  <si>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</si>
  <si>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</si>
  <si>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</si>
  <si>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</si>
  <si>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</si>
  <si>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</si>
  <si>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</si>
  <si>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</si>
  <si>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</si>
  <si>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</si>
  <si>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</si>
  <si>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</si>
  <si>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</si>
  <si>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</si>
  <si>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</si>
  <si>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</si>
  <si>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</si>
  <si>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</si>
  <si>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</si>
  <si>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</si>
  <si>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</si>
  <si>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</si>
  <si>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</si>
  <si>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</si>
  <si>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</si>
  <si>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</si>
  <si>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</si>
  <si>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</si>
  <si>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</si>
  <si>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</si>
  <si>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</si>
  <si>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</si>
  <si>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</si>
  <si>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</si>
  <si>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</si>
  <si>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</si>
  <si>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</si>
  <si>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</si>
  <si>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</si>
  <si>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</si>
  <si>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</si>
  <si>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</si>
  <si>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</si>
  <si>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</si>
  <si>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</si>
  <si>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</si>
  <si>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</si>
  <si>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</si>
  <si>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</si>
  <si>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</si>
  <si>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</si>
  <si>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</si>
  <si>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</si>
  <si>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</si>
  <si>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</si>
  <si>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</si>
  <si>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</si>
  <si>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</si>
  <si>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</si>
  <si>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</si>
  <si>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</si>
  <si>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</si>
  <si>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</si>
  <si>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</si>
  <si>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</si>
  <si>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</si>
  <si>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</si>
  <si>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</si>
  <si>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</si>
  <si>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</si>
  <si>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</si>
  <si>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</si>
  <si>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</si>
  <si>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</si>
  <si>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</si>
  <si>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</si>
  <si>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</si>
  <si>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</si>
  <si>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</si>
  <si>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</si>
  <si>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</si>
  <si>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</si>
  <si>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</si>
  <si>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</si>
  <si>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</si>
  <si>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</si>
  <si>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</si>
  <si>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</si>
  <si>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</si>
  <si>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</si>
  <si>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</si>
  <si>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</si>
  <si>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</si>
  <si>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56.776.472/0001-95</t>
  </si>
  <si>
    <t>Freguesia / Brasilândia</t>
  </si>
  <si>
    <t>029.007-00</t>
  </si>
  <si>
    <t>2025/0018729-001</t>
  </si>
  <si>
    <t>2025/0018729</t>
  </si>
  <si>
    <t>DTE1882</t>
  </si>
  <si>
    <t>FB</t>
  </si>
  <si>
    <t>015.370-00</t>
  </si>
  <si>
    <t>2025/0037122</t>
  </si>
  <si>
    <t>025.880-00</t>
  </si>
  <si>
    <t>2025/0039901</t>
  </si>
  <si>
    <t>021.869-00</t>
  </si>
  <si>
    <t>2025/0068352</t>
  </si>
  <si>
    <t>63.673.349 CLAUDIO FABIO RUDOLF GONCALVES</t>
  </si>
  <si>
    <t>048.553-00</t>
  </si>
  <si>
    <t>2025/0037287</t>
  </si>
  <si>
    <t>011.829-00</t>
  </si>
  <si>
    <t>2025/0040147</t>
  </si>
  <si>
    <t>017.925-00</t>
  </si>
  <si>
    <t>2025/0010904</t>
  </si>
  <si>
    <t>029.123-00</t>
  </si>
  <si>
    <t>2023/0030066</t>
  </si>
  <si>
    <t>041.749-00</t>
  </si>
  <si>
    <t>2022/0036627</t>
  </si>
  <si>
    <t>016.778-00</t>
  </si>
  <si>
    <t>2025/0040165</t>
  </si>
  <si>
    <t>051.034-00</t>
  </si>
  <si>
    <t>2023/0019642</t>
  </si>
  <si>
    <t>046.806-00</t>
  </si>
  <si>
    <t>2022/0034761</t>
  </si>
  <si>
    <t>025.858-00</t>
  </si>
  <si>
    <t>2022/0031804</t>
  </si>
  <si>
    <t>051.992-00</t>
  </si>
  <si>
    <t>2022/0025069</t>
  </si>
  <si>
    <t>018.584-00</t>
  </si>
  <si>
    <t>2022/0031920</t>
  </si>
  <si>
    <t>050.883-00</t>
  </si>
  <si>
    <t>038.374-00</t>
  </si>
  <si>
    <t>2025/0066747</t>
  </si>
  <si>
    <t>C.A. FERNANDES TRANSPORTES LTDA</t>
  </si>
  <si>
    <t>014.945-00</t>
  </si>
  <si>
    <t>2025/0038871</t>
  </si>
  <si>
    <t>038.336-00</t>
  </si>
  <si>
    <t>2022/0027035</t>
  </si>
  <si>
    <t>051.941-00</t>
  </si>
  <si>
    <t>048.905-00</t>
  </si>
  <si>
    <t>2023/0024308</t>
  </si>
  <si>
    <t>053.010-00</t>
  </si>
  <si>
    <t>2022/0049345</t>
  </si>
  <si>
    <t>031.573-00</t>
  </si>
  <si>
    <t>2025/0043309</t>
  </si>
  <si>
    <t>008.372-01</t>
  </si>
  <si>
    <t>2025/0001732</t>
  </si>
  <si>
    <t>051.406-00</t>
  </si>
  <si>
    <t>048.510-00</t>
  </si>
  <si>
    <t>049.146-00</t>
  </si>
  <si>
    <t>049.216-00</t>
  </si>
  <si>
    <t>043.831-00</t>
  </si>
  <si>
    <t>038.689-00</t>
  </si>
  <si>
    <t>032.826-00</t>
  </si>
  <si>
    <t>2025/0001816</t>
  </si>
  <si>
    <t>030.824-00</t>
  </si>
  <si>
    <t>030.829-00</t>
  </si>
  <si>
    <t>030.009-00</t>
  </si>
  <si>
    <t>042.298-00</t>
  </si>
  <si>
    <t>050.943-00</t>
  </si>
  <si>
    <t>031.352-00</t>
  </si>
  <si>
    <t>015.350-00</t>
  </si>
  <si>
    <t>050.312-00</t>
  </si>
  <si>
    <t>021.682-00</t>
  </si>
  <si>
    <t>052.279-00</t>
  </si>
  <si>
    <t>046.273-00</t>
  </si>
  <si>
    <t>052.058-00</t>
  </si>
  <si>
    <t>051.694-00</t>
  </si>
  <si>
    <t>028.348-00</t>
  </si>
  <si>
    <t>049.520-00</t>
  </si>
  <si>
    <t>051.859-00</t>
  </si>
  <si>
    <t>015.596-00</t>
  </si>
  <si>
    <t>028.924-00</t>
  </si>
  <si>
    <t>019.383-00</t>
  </si>
  <si>
    <t>026.443-00</t>
  </si>
  <si>
    <t>050.702-00</t>
  </si>
  <si>
    <t>048.742-00</t>
  </si>
  <si>
    <t>2025/0002087</t>
  </si>
  <si>
    <t>016.700-00</t>
  </si>
  <si>
    <t>051.099-00</t>
  </si>
  <si>
    <t>033.384-00</t>
  </si>
  <si>
    <t>031.268-00</t>
  </si>
  <si>
    <t>051.865-00</t>
  </si>
  <si>
    <t>2025/0010671</t>
  </si>
  <si>
    <t>044.318-00</t>
  </si>
  <si>
    <t>030.995-00</t>
  </si>
  <si>
    <t>2025/0011893</t>
  </si>
  <si>
    <t>031.968-00</t>
  </si>
  <si>
    <t>2025/0033257</t>
  </si>
  <si>
    <t>040.993-00</t>
  </si>
  <si>
    <t>011.974-00</t>
  </si>
  <si>
    <t>2025/0002180</t>
  </si>
  <si>
    <t>037.332-00</t>
  </si>
  <si>
    <t>031.001-00</t>
  </si>
  <si>
    <t>2025/0002370</t>
  </si>
  <si>
    <t>028.429-00</t>
  </si>
  <si>
    <t>043.714-00</t>
  </si>
  <si>
    <t>016.727-00</t>
  </si>
  <si>
    <t>053.259-00</t>
  </si>
  <si>
    <t>036.113-00</t>
  </si>
  <si>
    <t>022.469-00</t>
  </si>
  <si>
    <t>037.730-00</t>
  </si>
  <si>
    <t>015.073-00</t>
  </si>
  <si>
    <t>2025/0038063</t>
  </si>
  <si>
    <t>034.286-00</t>
  </si>
  <si>
    <t>2022/0032766</t>
  </si>
  <si>
    <t>053.468-00</t>
  </si>
  <si>
    <t>2025/0002419</t>
  </si>
  <si>
    <t>044.681-00</t>
  </si>
  <si>
    <t>033.204-00</t>
  </si>
  <si>
    <t>2025/0010603</t>
  </si>
  <si>
    <t>042.614-00</t>
  </si>
  <si>
    <t>2025/0068858</t>
  </si>
  <si>
    <t>032.427-00</t>
  </si>
  <si>
    <t>2024/0057629</t>
  </si>
  <si>
    <t>051.417-00</t>
  </si>
  <si>
    <t>2025/0010928</t>
  </si>
  <si>
    <t>051.104-00</t>
  </si>
  <si>
    <t>2025/0019363</t>
  </si>
  <si>
    <t>053.240-00</t>
  </si>
  <si>
    <t>050.466-00</t>
  </si>
  <si>
    <t>2025/0039785</t>
  </si>
  <si>
    <t>049.609-00</t>
  </si>
  <si>
    <t>052.954-00</t>
  </si>
  <si>
    <t>2025/0043600</t>
  </si>
  <si>
    <t>046.762-00</t>
  </si>
  <si>
    <t>2022/0026693</t>
  </si>
  <si>
    <t>052.910-00</t>
  </si>
  <si>
    <t>2025/0045612</t>
  </si>
  <si>
    <t>033.466-00</t>
  </si>
  <si>
    <t>2024/0056045</t>
  </si>
  <si>
    <t>051.975-00</t>
  </si>
  <si>
    <t>2022/0049364</t>
  </si>
  <si>
    <t>022.565-00</t>
  </si>
  <si>
    <t>2022/0026934</t>
  </si>
  <si>
    <t>031.291-00</t>
  </si>
  <si>
    <t>2024/0057053</t>
  </si>
  <si>
    <t>045.258-00</t>
  </si>
  <si>
    <t>2022/0033179</t>
  </si>
  <si>
    <t>026.040-00</t>
  </si>
  <si>
    <t>049.882-00</t>
  </si>
  <si>
    <t>2022/0028862</t>
  </si>
  <si>
    <t>016.356-00</t>
  </si>
  <si>
    <t>2024/0048650</t>
  </si>
  <si>
    <t>042.009-00</t>
  </si>
  <si>
    <t>2023/0009547</t>
  </si>
  <si>
    <t>024.318-00</t>
  </si>
  <si>
    <t>032.137-00</t>
  </si>
  <si>
    <t>046.090-00</t>
  </si>
  <si>
    <t>048.809-00</t>
  </si>
  <si>
    <t>018.330-00</t>
  </si>
  <si>
    <t>2025/0068854</t>
  </si>
  <si>
    <t>G.J.J. TRANSPORTES E SERVICOS LTDA</t>
  </si>
  <si>
    <t>022.059-00</t>
  </si>
  <si>
    <t>2025/0067317</t>
  </si>
  <si>
    <t>GASPER TRANSPORTES LTDA</t>
  </si>
  <si>
    <t>048.572-00</t>
  </si>
  <si>
    <t>2023/0014781</t>
  </si>
  <si>
    <t>028.552-00</t>
  </si>
  <si>
    <t>2024/0018157</t>
  </si>
  <si>
    <t>050.911-00</t>
  </si>
  <si>
    <t>2022/0029808</t>
  </si>
  <si>
    <t>051.502-00</t>
  </si>
  <si>
    <t>2022/0029796</t>
  </si>
  <si>
    <t>030.449-00</t>
  </si>
  <si>
    <t>2022/0030018</t>
  </si>
  <si>
    <t>019.346-00</t>
  </si>
  <si>
    <t>2025/0047543</t>
  </si>
  <si>
    <t>007.633-01</t>
  </si>
  <si>
    <t>2022/0026751</t>
  </si>
  <si>
    <t>025.170-00</t>
  </si>
  <si>
    <t>2022/0032274</t>
  </si>
  <si>
    <t>005.284-00</t>
  </si>
  <si>
    <t>2023/0013132</t>
  </si>
  <si>
    <t>006.336-00</t>
  </si>
  <si>
    <t>2026/0016071</t>
  </si>
  <si>
    <t>LUANETO TRANSPORTE ESCOLAR LTDA</t>
  </si>
  <si>
    <t>014.210-00</t>
  </si>
  <si>
    <t>2024/0021629</t>
  </si>
  <si>
    <t>032.433-00</t>
  </si>
  <si>
    <t>2022/0026745</t>
  </si>
  <si>
    <t>030.692-00</t>
  </si>
  <si>
    <t>2022/0034034</t>
  </si>
  <si>
    <t>014.895-00</t>
  </si>
  <si>
    <t>2023/0013863</t>
  </si>
  <si>
    <t>017.431-00</t>
  </si>
  <si>
    <t>2022/0029297</t>
  </si>
  <si>
    <t>019.610-00</t>
  </si>
  <si>
    <t>2025/0068768</t>
  </si>
  <si>
    <t>047.473-00</t>
  </si>
  <si>
    <t>2022/0030164</t>
  </si>
  <si>
    <t>017.884-00</t>
  </si>
  <si>
    <t>2025/0037115</t>
  </si>
  <si>
    <t>010.173-00</t>
  </si>
  <si>
    <t>2025/0039144</t>
  </si>
  <si>
    <t>016.917-00</t>
  </si>
  <si>
    <t>2025/0041860</t>
  </si>
  <si>
    <t>017.976-00</t>
  </si>
  <si>
    <t>2025/0068834</t>
  </si>
  <si>
    <t>MARIO AUGUSTO DA SILVA TRANSPORTES</t>
  </si>
  <si>
    <t>030.256-00</t>
  </si>
  <si>
    <t>2023/0026169</t>
  </si>
  <si>
    <t>033.578-00</t>
  </si>
  <si>
    <t>2025/0036859</t>
  </si>
  <si>
    <t>008.840-00</t>
  </si>
  <si>
    <t>2025/0067817</t>
  </si>
  <si>
    <t>N &amp; S MIQUELINO TRANSPORTES LTDA</t>
  </si>
  <si>
    <t>015.262-00</t>
  </si>
  <si>
    <t>2025/0039152</t>
  </si>
  <si>
    <t>018.235-00</t>
  </si>
  <si>
    <t>2025/0011029</t>
  </si>
  <si>
    <t>031.492-00</t>
  </si>
  <si>
    <t>2022/0049951</t>
  </si>
  <si>
    <t>008.551-00</t>
  </si>
  <si>
    <t>2025/0025983</t>
  </si>
  <si>
    <t>048.347-00</t>
  </si>
  <si>
    <t>2022/0027919</t>
  </si>
  <si>
    <t>047.051-00</t>
  </si>
  <si>
    <t>2024/0034586</t>
  </si>
  <si>
    <t>006.284-01</t>
  </si>
  <si>
    <t>2022/0028892</t>
  </si>
  <si>
    <t>014.375-00</t>
  </si>
  <si>
    <t>2025/0038872</t>
  </si>
  <si>
    <t>048.610-00</t>
  </si>
  <si>
    <t>2023/0014392</t>
  </si>
  <si>
    <t>011.644-00</t>
  </si>
  <si>
    <t>2022/0027240</t>
  </si>
  <si>
    <t>052.236-00</t>
  </si>
  <si>
    <t>2026/0009990</t>
  </si>
  <si>
    <t>TRP ESCOLAR TRANSPORTE TIO LUCAS LTDA</t>
  </si>
  <si>
    <t>006.493-00</t>
  </si>
  <si>
    <t>2025/0040452</t>
  </si>
  <si>
    <t>006.408-00</t>
  </si>
  <si>
    <t>2025/0040446</t>
  </si>
  <si>
    <t>043.988-00</t>
  </si>
  <si>
    <t>2023/0029725</t>
  </si>
  <si>
    <t>011.611-00</t>
  </si>
  <si>
    <t>037.431-00</t>
  </si>
  <si>
    <t>2022/0049795</t>
  </si>
  <si>
    <t>036.791-00</t>
  </si>
  <si>
    <t>046.822-00</t>
  </si>
  <si>
    <t>046.640-00</t>
  </si>
  <si>
    <t>2022/0027740</t>
  </si>
  <si>
    <t>035.499-00</t>
  </si>
  <si>
    <t>2025/0015197</t>
  </si>
  <si>
    <t>051.463-00</t>
  </si>
  <si>
    <t>2022/0032075</t>
  </si>
  <si>
    <t>038.737-00</t>
  </si>
  <si>
    <t>6020.2025/0018729-5</t>
  </si>
  <si>
    <t>6020.2025/0037122-3</t>
  </si>
  <si>
    <t>6020.2025/0039901-2</t>
  </si>
  <si>
    <t>6020.2025/0068352-7</t>
  </si>
  <si>
    <t>6020.2025/0037287-4</t>
  </si>
  <si>
    <t>6020.2025/0040147-5</t>
  </si>
  <si>
    <t>6020.2025/0010904-9</t>
  </si>
  <si>
    <t>6020.2023/0030066-7</t>
  </si>
  <si>
    <t>6020.2022/0036627-5</t>
  </si>
  <si>
    <t>6020.2025/0040165-3</t>
  </si>
  <si>
    <t>6020.2023/0019642-8</t>
  </si>
  <si>
    <t>6020.2022/0034761-0</t>
  </si>
  <si>
    <t>6020.2022/0031804-1</t>
  </si>
  <si>
    <t>6020.2022/0025069-2</t>
  </si>
  <si>
    <t>6020.2022/0031920-0</t>
  </si>
  <si>
    <t>6020.2025/0066747-5</t>
  </si>
  <si>
    <t>6020.2025/0038871-1</t>
  </si>
  <si>
    <t>6020.2022/0027035-9</t>
  </si>
  <si>
    <t>6020.2023/0024308-6</t>
  </si>
  <si>
    <t>6020.2022/0049345-5</t>
  </si>
  <si>
    <t>6020.2025/0043309-1</t>
  </si>
  <si>
    <t>6020.2025/0001732-2</t>
  </si>
  <si>
    <t>6020.2025/0001816-7</t>
  </si>
  <si>
    <t>6020.2025/0002087-0</t>
  </si>
  <si>
    <t>6020.2025/0010671-6</t>
  </si>
  <si>
    <t>6020.2025/0011893-5</t>
  </si>
  <si>
    <t>6020.2025/0033257-0</t>
  </si>
  <si>
    <t>6020.2025/0002180-0</t>
  </si>
  <si>
    <t>6020.2025/0002370-5</t>
  </si>
  <si>
    <t>6020.2025/0038063-0</t>
  </si>
  <si>
    <t>6020.2022/0032766-0</t>
  </si>
  <si>
    <t>6020.2025/0002419-1</t>
  </si>
  <si>
    <t>6020.2025/0010603-1</t>
  </si>
  <si>
    <t>6020.2025/0068858-8</t>
  </si>
  <si>
    <t>6020.2024/0057629-0</t>
  </si>
  <si>
    <t>6020.2025/0010928-6</t>
  </si>
  <si>
    <t>6020.2025/0019363-5</t>
  </si>
  <si>
    <t>6020.2025/0039785-0</t>
  </si>
  <si>
    <t>6020.2025/0043600-7</t>
  </si>
  <si>
    <t>6020.2022/0026693-9</t>
  </si>
  <si>
    <t>6020.2025/0045612-1</t>
  </si>
  <si>
    <t>6020.2024/0056045-8</t>
  </si>
  <si>
    <t>6020.2022/0049364-1</t>
  </si>
  <si>
    <t>6020.2022/0026934-2</t>
  </si>
  <si>
    <t>6020.2024/0057053-4</t>
  </si>
  <si>
    <t>6020.2022/0033179-0</t>
  </si>
  <si>
    <t>6020.2022/0028862-2</t>
  </si>
  <si>
    <t>6020.2024/0048650-9</t>
  </si>
  <si>
    <t>6020.2023/0009547-8</t>
  </si>
  <si>
    <t>6020.2025/0068854-5</t>
  </si>
  <si>
    <t>6020.2025/0067317-3</t>
  </si>
  <si>
    <t>6020.2023/0014781-8</t>
  </si>
  <si>
    <t>6020.2024/0018157-0</t>
  </si>
  <si>
    <t>6020.2022/0029808-3</t>
  </si>
  <si>
    <t>6020.2022/0029796-6</t>
  </si>
  <si>
    <t>6020.2022/0030018-5</t>
  </si>
  <si>
    <t>6020.2025/0047543-6</t>
  </si>
  <si>
    <t>6020.2022/0026751-0</t>
  </si>
  <si>
    <t>6020.2022/0032274-0</t>
  </si>
  <si>
    <t>6020.2023/0013132-6</t>
  </si>
  <si>
    <t>6020.2026/0016071-2</t>
  </si>
  <si>
    <t>6020.2024/0021629-3</t>
  </si>
  <si>
    <t>6020.2022/0026745-5</t>
  </si>
  <si>
    <t>6020.2022/0034034-9</t>
  </si>
  <si>
    <t>6020.2023/0013863-0</t>
  </si>
  <si>
    <t>6020.2022/0029297-2</t>
  </si>
  <si>
    <t>6020.2025/0068768-9</t>
  </si>
  <si>
    <t>6020.2022/0030164-5</t>
  </si>
  <si>
    <t>6020.2025/0037115-0</t>
  </si>
  <si>
    <t>6020.2025/0039144-5</t>
  </si>
  <si>
    <t>6020.2025/0041860-2</t>
  </si>
  <si>
    <t>6020.2025/0068834-0</t>
  </si>
  <si>
    <t>6020.2023/0026169-6</t>
  </si>
  <si>
    <t>6020.2025/0036859-1</t>
  </si>
  <si>
    <t>6020.2025/0067817-5</t>
  </si>
  <si>
    <t>6020.2025/0039152-6</t>
  </si>
  <si>
    <t>6020.2025/0011029-2</t>
  </si>
  <si>
    <t>6020.2022/0049951-8</t>
  </si>
  <si>
    <t>6020.2025/0025983-0</t>
  </si>
  <si>
    <t>6020.2022/0027919-4</t>
  </si>
  <si>
    <t>6020.2024/0034586-7</t>
  </si>
  <si>
    <t>6020.2022/0028892-4</t>
  </si>
  <si>
    <t>6020.2025/0038872-0</t>
  </si>
  <si>
    <t>6020.2023/0014392-8</t>
  </si>
  <si>
    <t>6020.2022/0027240-8</t>
  </si>
  <si>
    <t>6020.2026/0009990-8</t>
  </si>
  <si>
    <t>6020.2025/0040452-0</t>
  </si>
  <si>
    <t>6020.2025/0040446-6</t>
  </si>
  <si>
    <t>6020.2023/0029725-9</t>
  </si>
  <si>
    <t>6020.2022/0049795-7</t>
  </si>
  <si>
    <t>6020.2022/0027740-0</t>
  </si>
  <si>
    <t>6020.2025/0015197-5</t>
  </si>
  <si>
    <t>6020.2022/0032075-5</t>
  </si>
  <si>
    <t>25.292.508/0001-31</t>
  </si>
  <si>
    <t>60.676.117/0001-11</t>
  </si>
  <si>
    <t>61.246.494/0001-83</t>
  </si>
  <si>
    <t>63.673.349/0001-04</t>
  </si>
  <si>
    <t>19.578.216/0001-67</t>
  </si>
  <si>
    <t>60.661.528/0001-33</t>
  </si>
  <si>
    <t>15.537.940/0001-91</t>
  </si>
  <si>
    <t>52.595.342/0001-03</t>
  </si>
  <si>
    <t>23.668.295/0001-74</t>
  </si>
  <si>
    <t>17.516.755/0001-46</t>
  </si>
  <si>
    <t>17.109.086/0001-98</t>
  </si>
  <si>
    <t>97.527.054/0001-41</t>
  </si>
  <si>
    <t>63.400.472/0001-51</t>
  </si>
  <si>
    <t>55.567.450/0001-52</t>
  </si>
  <si>
    <t>15.336.601/0001-47</t>
  </si>
  <si>
    <t>38.822.277/0001-72</t>
  </si>
  <si>
    <t>55.819.215/0001-20</t>
  </si>
  <si>
    <t>35.352.759/0001-18</t>
  </si>
  <si>
    <t>21.663.095/0001-01</t>
  </si>
  <si>
    <t>57.007.577/0001-42</t>
  </si>
  <si>
    <t>33.657.496/0001-20</t>
  </si>
  <si>
    <t>25.325.805/0001-36</t>
  </si>
  <si>
    <t>61.689.171/0001-64</t>
  </si>
  <si>
    <t>63.214.566/0001-36</t>
  </si>
  <si>
    <t>16.966.438/0001-69</t>
  </si>
  <si>
    <t>10.980.499/0001-02</t>
  </si>
  <si>
    <t>17.101.996/0001-24</t>
  </si>
  <si>
    <t>21.227.891/0001-93</t>
  </si>
  <si>
    <t>01.013.324/0001-27</t>
  </si>
  <si>
    <t>05.403.983/0001-20</t>
  </si>
  <si>
    <t>13.199.008/0001-70</t>
  </si>
  <si>
    <t>65.425.834/0001-94</t>
  </si>
  <si>
    <t>53.191.164/0001-00</t>
  </si>
  <si>
    <t>17.305.865/0001-69</t>
  </si>
  <si>
    <t>32.252.734/0001-54</t>
  </si>
  <si>
    <t>13.529.970/0001-20</t>
  </si>
  <si>
    <t>20.508.820/0001-04</t>
  </si>
  <si>
    <t>60.705.196/0001-41</t>
  </si>
  <si>
    <t>27.318.954/0001-01</t>
  </si>
  <si>
    <t>17.537.444/0001-63</t>
  </si>
  <si>
    <t>03.858.810/0001-71</t>
  </si>
  <si>
    <t>34.713.294/0001-10</t>
  </si>
  <si>
    <t>63.595.785/0001-02</t>
  </si>
  <si>
    <t>60.747.004/0001-60</t>
  </si>
  <si>
    <t>15.224.342/0001-62</t>
  </si>
  <si>
    <t>27.238.170/0001-65</t>
  </si>
  <si>
    <t>52.599.645/0001-96</t>
  </si>
  <si>
    <t>46.894.096/0001-80</t>
  </si>
  <si>
    <t>30.154.296/0001-66</t>
  </si>
  <si>
    <t>32.449.213/0001-91</t>
  </si>
  <si>
    <t>60.928.583/0001-47</t>
  </si>
  <si>
    <t>02.640.737/0001-02</t>
  </si>
  <si>
    <t>23.534.883/0001-15</t>
  </si>
  <si>
    <t>61.238.301/0001-42</t>
  </si>
  <si>
    <t>41.598.544/0001-84</t>
  </si>
  <si>
    <t>10.929.911/0001-51</t>
  </si>
  <si>
    <t>01.393.029/0001-43</t>
  </si>
  <si>
    <t>16.731.558/0001-87</t>
  </si>
  <si>
    <t>Fixo (7492,52) /30*30</t>
  </si>
  <si>
    <t>Não cadeirante presencial e at compl (EMEI, EMEF,EMEE) + cadeirante presencial e at compl (EMEI, EMEF,EMEE)</t>
  </si>
  <si>
    <t>&gt;16</t>
  </si>
  <si>
    <t>&lt;=15</t>
  </si>
  <si>
    <t>&lt;=9</t>
  </si>
  <si>
    <t>&gt;=11</t>
  </si>
  <si>
    <t>Percapita/30*FH$4</t>
  </si>
  <si>
    <t>Cadeirante/30*FH$4</t>
  </si>
  <si>
    <t>Crechee/30*FH$4</t>
  </si>
  <si>
    <t>Não cadeirante at compl (EMEI, EMEF,EMEE)</t>
  </si>
  <si>
    <t>Não cadeirante presencial (EMEI, EMEF,EMEE)</t>
  </si>
  <si>
    <t>cadeirante (EMEI, EMEF, EMEE)</t>
  </si>
  <si>
    <t>Cadeirante Atendimento compl (EMEI, EMEF, EMEE)</t>
  </si>
  <si>
    <t>cadeirante  (EMEI, EMEF,EMEE, CEI) + Cadeirante Atendimento compl (EMEI, EMEF, EMEE, CEi)</t>
  </si>
  <si>
    <t>cadeirante (EMEI, EMEF, EMEE) + Cadeirante Atendimento compl (EMEI, EMEF, EMEE)</t>
  </si>
  <si>
    <t>Não cadeirante presencial (CEI) + Não cadeirante at compl (CEI)</t>
  </si>
  <si>
    <t>Não cadeirante presencial + at compl (EMEI, EMEF,EMEE)</t>
  </si>
  <si>
    <t>Pecapta</t>
  </si>
  <si>
    <t>=16</t>
  </si>
  <si>
    <t>FBE</t>
  </si>
  <si>
    <t>Acessivel</t>
  </si>
  <si>
    <t>1 aluno</t>
  </si>
  <si>
    <t>2 alunos</t>
  </si>
  <si>
    <t>+3 alunos</t>
  </si>
  <si>
    <t>duvida entrou CEI e segundo d Walter não deveria</t>
  </si>
  <si>
    <t>Creche</t>
  </si>
  <si>
    <t>ate 9 alunos</t>
  </si>
  <si>
    <t>10 alunos</t>
  </si>
  <si>
    <t>+11 alunos</t>
  </si>
  <si>
    <t>Especial</t>
  </si>
  <si>
    <t>Fixo Especial</t>
  </si>
  <si>
    <t>Percapta - Regular</t>
  </si>
  <si>
    <t>Percapta - Acessivel</t>
  </si>
  <si>
    <t>km</t>
  </si>
  <si>
    <t>&lt;=6 KM</t>
  </si>
  <si>
    <t>&gt;=6 KM</t>
  </si>
  <si>
    <t>CONTINUA</t>
  </si>
  <si>
    <t>2,4% DO VALOR</t>
  </si>
  <si>
    <t>CADEIRANTE</t>
  </si>
  <si>
    <t>PERCAPTA</t>
  </si>
  <si>
    <t>Continua não cadeirante</t>
  </si>
  <si>
    <t>Continua Cadeirante</t>
  </si>
  <si>
    <t>REGULAR/ N cadeirante</t>
  </si>
  <si>
    <t>valores acumulados de apontamento serviços do dia 01/04/2026</t>
  </si>
  <si>
    <t>Tabela continua_valor, km_valor e Tabela Modalidade x Bancada x Pagamento x Condicao Valor</t>
  </si>
  <si>
    <t>Tabela Modalidade x Bancada x Pagamento x Condicao</t>
  </si>
  <si>
    <t>Calculo valores Remuneracao Servicos para COLUNAS teg Reg. Fixo e teg Reg. Percapita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</si>
</sst>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color rgb="FFFF0000"/>
      <name val="Arial"/>
      <family val="2"/>
    </font>
    <font>
      <sz val="16"/>
      <color rgb="FFFF0000"/>
      <name val="Arial"/>
      <family val="2"/>
    </font>
    <font>
      <b/>
      <sz val="11"/>
      <color rgb="FF213139"/>
      <name val="Arial Narrow"/>
      <family val="2"/>
    </font>
  </fonts>
  <fills count="7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2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29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165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16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6" fillId="0" borderId="0"/>
    <xf numFmtId="0" fontId="66" fillId="0" borderId="0"/>
    <xf numFmtId="4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20" borderId="113" applyNumberFormat="0" applyAlignment="0" applyProtection="0"/>
    <xf numFmtId="165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165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1" fillId="0" borderId="0"/>
    <xf numFmtId="0" fontId="1" fillId="0" borderId="0"/>
    <xf numFmtId="164" fontId="1" fillId="0" borderId="0" applyFont="0" applyFill="0" applyBorder="0" applyAlignment="0" applyProtection="0"/>
    <xf numFmtId="0" fontId="9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023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7" fillId="41" borderId="31" xfId="0" applyNumberFormat="1" applyFont="1" applyFill="1" applyBorder="1" applyAlignment="1">
      <alignment horizontal="center" vertical="center"/>
    </xf>
    <xf numFmtId="4" fontId="68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69" fillId="0" borderId="83" xfId="0" applyFont="1" applyBorder="1"/>
    <xf numFmtId="0" fontId="69" fillId="0" borderId="85" xfId="0" applyFont="1" applyBorder="1"/>
    <xf numFmtId="0" fontId="69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4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0" fillId="55" borderId="131" xfId="0" applyFont="1" applyFill="1" applyBorder="1" applyAlignment="1">
      <alignment horizontal="center" vertical="center"/>
    </xf>
    <xf numFmtId="0" fontId="70" fillId="56" borderId="131" xfId="0" applyFont="1" applyFill="1" applyBorder="1" applyAlignment="1">
      <alignment horizontal="center" vertical="center"/>
    </xf>
    <xf numFmtId="0" fontId="70" fillId="57" borderId="131" xfId="0" applyFont="1" applyFill="1" applyBorder="1" applyAlignment="1">
      <alignment horizontal="center" vertical="center"/>
    </xf>
    <xf numFmtId="0" fontId="70" fillId="58" borderId="131" xfId="0" applyFont="1" applyFill="1" applyBorder="1" applyAlignment="1">
      <alignment horizontal="center" vertical="center"/>
    </xf>
    <xf numFmtId="0" fontId="71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7" fillId="37" borderId="130" xfId="116" applyNumberFormat="1" applyFont="1" applyFill="1" applyBorder="1" applyAlignment="1">
      <alignment horizontal="center" vertical="center" wrapText="1"/>
    </xf>
    <xf numFmtId="183" fontId="67" fillId="37" borderId="15" xfId="617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7" fillId="37" borderId="15" xfId="0" applyNumberFormat="1" applyFont="1" applyFill="1" applyBorder="1" applyAlignment="1">
      <alignment horizontal="center" vertical="center"/>
    </xf>
    <xf numFmtId="14" fontId="67" fillId="37" borderId="15" xfId="0" applyNumberFormat="1" applyFont="1" applyFill="1" applyBorder="1" applyAlignment="1">
      <alignment horizontal="center" vertical="center" wrapText="1"/>
    </xf>
    <xf numFmtId="173" fontId="72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7" fillId="37" borderId="15" xfId="0" applyNumberFormat="1" applyFont="1" applyFill="1" applyBorder="1" applyAlignment="1">
      <alignment horizontal="center" vertical="center"/>
    </xf>
    <xf numFmtId="14" fontId="67" fillId="37" borderId="15" xfId="116" applyNumberFormat="1" applyFont="1" applyFill="1" applyBorder="1" applyAlignment="1">
      <alignment horizontal="center" vertical="center" wrapText="1"/>
    </xf>
    <xf numFmtId="4" fontId="68" fillId="37" borderId="12" xfId="116" applyNumberFormat="1" applyFont="1" applyFill="1" applyBorder="1" applyAlignment="1">
      <alignment horizontal="center" vertical="center" wrapText="1"/>
    </xf>
    <xf numFmtId="183" fontId="67" fillId="37" borderId="30" xfId="617" applyNumberFormat="1" applyFont="1" applyFill="1" applyBorder="1" applyAlignment="1" applyProtection="1">
      <alignment horizontal="center" vertical="center" wrapText="1"/>
    </xf>
    <xf numFmtId="180" fontId="67" fillId="37" borderId="30" xfId="0" applyNumberFormat="1" applyFont="1" applyFill="1" applyBorder="1" applyAlignment="1">
      <alignment horizontal="center" vertical="center"/>
    </xf>
    <xf numFmtId="4" fontId="67" fillId="37" borderId="30" xfId="0" applyNumberFormat="1" applyFont="1" applyFill="1" applyBorder="1" applyAlignment="1">
      <alignment horizontal="center" vertical="center"/>
    </xf>
    <xf numFmtId="14" fontId="68" fillId="37" borderId="30" xfId="116" applyNumberFormat="1" applyFont="1" applyFill="1" applyBorder="1" applyAlignment="1">
      <alignment horizontal="center" vertical="center" wrapText="1"/>
    </xf>
    <xf numFmtId="173" fontId="72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7" fillId="0" borderId="132" xfId="0" applyNumberFormat="1" applyFont="1" applyBorder="1" applyAlignment="1">
      <alignment horizontal="center" vertical="center" wrapText="1"/>
    </xf>
    <xf numFmtId="184" fontId="67" fillId="0" borderId="15" xfId="0" applyNumberFormat="1" applyFont="1" applyBorder="1" applyAlignment="1">
      <alignment horizontal="center" vertical="center" wrapText="1"/>
    </xf>
    <xf numFmtId="4" fontId="67" fillId="0" borderId="15" xfId="0" applyNumberFormat="1" applyFont="1" applyBorder="1" applyAlignment="1">
      <alignment horizontal="center" vertical="center"/>
    </xf>
    <xf numFmtId="4" fontId="67" fillId="0" borderId="133" xfId="0" applyNumberFormat="1" applyFont="1" applyBorder="1" applyAlignment="1">
      <alignment horizontal="center" vertical="center"/>
    </xf>
    <xf numFmtId="14" fontId="67" fillId="0" borderId="15" xfId="0" applyNumberFormat="1" applyFont="1" applyBorder="1" applyAlignment="1">
      <alignment horizontal="center" vertical="center" wrapText="1"/>
    </xf>
    <xf numFmtId="173" fontId="67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7" fillId="0" borderId="15" xfId="0" applyNumberFormat="1" applyFont="1" applyBorder="1" applyAlignment="1">
      <alignment horizontal="center" vertical="center"/>
    </xf>
    <xf numFmtId="184" fontId="67" fillId="0" borderId="30" xfId="0" applyNumberFormat="1" applyFont="1" applyBorder="1" applyAlignment="1">
      <alignment horizontal="center" vertical="center" wrapText="1"/>
    </xf>
    <xf numFmtId="180" fontId="67" fillId="0" borderId="30" xfId="0" applyNumberFormat="1" applyFont="1" applyBorder="1" applyAlignment="1">
      <alignment horizontal="center" vertical="center"/>
    </xf>
    <xf numFmtId="4" fontId="67" fillId="0" borderId="30" xfId="0" applyNumberFormat="1" applyFont="1" applyBorder="1" applyAlignment="1">
      <alignment horizontal="center" vertical="center"/>
    </xf>
    <xf numFmtId="14" fontId="68" fillId="0" borderId="30" xfId="0" applyNumberFormat="1" applyFont="1" applyBorder="1" applyAlignment="1">
      <alignment horizontal="center" vertical="center" wrapText="1"/>
    </xf>
    <xf numFmtId="173" fontId="67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7" fillId="0" borderId="143" xfId="0" applyFont="1" applyBorder="1" applyAlignment="1" applyProtection="1">
      <alignment horizontal="center" vertical="center"/>
      <protection locked="0"/>
    </xf>
    <xf numFmtId="0" fontId="77" fillId="36" borderId="143" xfId="0" applyFont="1" applyFill="1" applyBorder="1" applyAlignment="1" applyProtection="1">
      <alignment horizontal="center" vertical="center"/>
      <protection locked="0"/>
    </xf>
    <xf numFmtId="0" fontId="78" fillId="0" borderId="145" xfId="0" applyFont="1" applyBorder="1" applyAlignment="1" applyProtection="1">
      <alignment horizontal="center"/>
      <protection locked="0"/>
    </xf>
    <xf numFmtId="0" fontId="78" fillId="36" borderId="145" xfId="0" applyFont="1" applyFill="1" applyBorder="1" applyAlignment="1" applyProtection="1">
      <alignment horizontal="center"/>
      <protection locked="0"/>
    </xf>
    <xf numFmtId="164" fontId="52" fillId="0" borderId="27" xfId="621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7" fillId="0" borderId="148" xfId="0" applyNumberFormat="1" applyFont="1" applyBorder="1" applyAlignment="1">
      <alignment horizontal="center" vertical="center"/>
    </xf>
    <xf numFmtId="49" fontId="45" fillId="37" borderId="142" xfId="620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0" applyNumberFormat="1" applyFont="1" applyFill="1" applyBorder="1" applyAlignment="1">
      <alignment horizontal="center" vertical="center"/>
    </xf>
    <xf numFmtId="0" fontId="74" fillId="37" borderId="27" xfId="80" applyFont="1" applyFill="1" applyBorder="1" applyAlignment="1" applyProtection="1">
      <alignment horizontal="center" vertical="center"/>
      <protection hidden="1"/>
    </xf>
    <xf numFmtId="185" fontId="80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8" applyFont="1" applyBorder="1" applyAlignment="1">
      <alignment horizontal="left" wrapText="1"/>
    </xf>
    <xf numFmtId="4" fontId="70" fillId="0" borderId="152" xfId="0" applyNumberFormat="1" applyFont="1" applyBorder="1" applyAlignment="1">
      <alignment horizontal="center" vertical="center"/>
    </xf>
    <xf numFmtId="44" fontId="34" fillId="37" borderId="27" xfId="304" applyFont="1" applyFill="1" applyBorder="1" applyAlignment="1" applyProtection="1">
      <alignment horizontal="center" vertical="center"/>
      <protection hidden="1"/>
    </xf>
    <xf numFmtId="44" fontId="52" fillId="37" borderId="27" xfId="304" applyFont="1" applyFill="1" applyBorder="1" applyProtection="1">
      <protection hidden="1"/>
    </xf>
    <xf numFmtId="44" fontId="73" fillId="0" borderId="27" xfId="304" applyFont="1" applyBorder="1" applyAlignment="1" applyProtection="1">
      <alignment horizontal="center" vertical="center"/>
      <protection hidden="1"/>
    </xf>
    <xf numFmtId="44" fontId="52" fillId="37" borderId="0" xfId="304" applyFill="1" applyAlignment="1">
      <alignment horizontal="center"/>
    </xf>
    <xf numFmtId="4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7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0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79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6" fillId="61" borderId="181" xfId="81" applyFont="1" applyFill="1" applyBorder="1"/>
    <xf numFmtId="0" fontId="76" fillId="61" borderId="182" xfId="81" applyFont="1" applyFill="1" applyBorder="1"/>
    <xf numFmtId="0" fontId="76" fillId="61" borderId="183" xfId="81" applyFont="1" applyFill="1" applyBorder="1"/>
    <xf numFmtId="1" fontId="76" fillId="61" borderId="181" xfId="81" applyNumberFormat="1" applyFont="1" applyFill="1" applyBorder="1"/>
    <xf numFmtId="1" fontId="76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0" fillId="24" borderId="188" xfId="82" applyNumberFormat="1" applyFont="1" applyFill="1" applyBorder="1" applyAlignment="1">
      <alignment horizontal="right" vertical="center"/>
    </xf>
    <xf numFmtId="4" fontId="70" fillId="63" borderId="188" xfId="82" applyNumberFormat="1" applyFont="1" applyFill="1" applyBorder="1" applyAlignment="1">
      <alignment horizontal="right" vertical="center"/>
    </xf>
    <xf numFmtId="4" fontId="70" fillId="0" borderId="188" xfId="81" applyNumberFormat="1" applyFont="1" applyBorder="1" applyAlignment="1">
      <alignment vertical="center"/>
    </xf>
    <xf numFmtId="4" fontId="70" fillId="24" borderId="188" xfId="82" applyNumberFormat="1" applyFont="1" applyFill="1" applyBorder="1" applyAlignment="1">
      <alignment vertical="center"/>
    </xf>
    <xf numFmtId="4" fontId="71" fillId="63" borderId="188" xfId="82" applyNumberFormat="1" applyFont="1" applyFill="1" applyBorder="1" applyAlignment="1">
      <alignment vertical="center"/>
    </xf>
    <xf numFmtId="0" fontId="76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2" fillId="65" borderId="121" xfId="116" applyFont="1" applyFill="1" applyBorder="1" applyAlignment="1">
      <alignment horizontal="left"/>
    </xf>
    <xf numFmtId="0" fontId="82" fillId="0" borderId="126" xfId="116" applyFont="1" applyBorder="1" applyAlignment="1">
      <alignment horizontal="left"/>
    </xf>
    <xf numFmtId="0" fontId="83" fillId="0" borderId="126" xfId="624" applyFont="1" applyBorder="1" applyAlignment="1">
      <alignment horizontal="left"/>
    </xf>
    <xf numFmtId="0" fontId="83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7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0" fillId="0" borderId="192" xfId="0" applyNumberFormat="1" applyFont="1" applyBorder="1" applyAlignment="1">
      <alignment horizontal="center" vertical="center" wrapText="1"/>
    </xf>
    <xf numFmtId="180" fontId="70" fillId="0" borderId="192" xfId="0" applyNumberFormat="1" applyFont="1" applyBorder="1" applyAlignment="1">
      <alignment horizontal="center" vertical="center"/>
    </xf>
    <xf numFmtId="4" fontId="70" fillId="0" borderId="192" xfId="0" applyNumberFormat="1" applyFont="1" applyBorder="1" applyAlignment="1">
      <alignment horizontal="center" vertical="center"/>
    </xf>
    <xf numFmtId="14" fontId="70" fillId="0" borderId="192" xfId="0" applyNumberFormat="1" applyFont="1" applyBorder="1" applyAlignment="1">
      <alignment horizontal="center" vertical="center" wrapText="1"/>
    </xf>
    <xf numFmtId="173" fontId="70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5"/>
    <xf numFmtId="164" fontId="0" fillId="0" borderId="0" xfId="626" applyFont="1" applyProtection="1"/>
    <xf numFmtId="0" fontId="1" fillId="0" borderId="87" xfId="625" applyBorder="1"/>
    <xf numFmtId="0" fontId="1" fillId="0" borderId="74" xfId="625" applyBorder="1"/>
    <xf numFmtId="164" fontId="0" fillId="0" borderId="74" xfId="626" applyFont="1" applyBorder="1" applyProtection="1"/>
    <xf numFmtId="0" fontId="1" fillId="0" borderId="75" xfId="625" applyBorder="1"/>
    <xf numFmtId="0" fontId="1" fillId="0" borderId="78" xfId="625" applyBorder="1"/>
    <xf numFmtId="0" fontId="1" fillId="0" borderId="77" xfId="625" applyBorder="1"/>
    <xf numFmtId="0" fontId="90" fillId="0" borderId="0" xfId="627" applyBorder="1" applyProtection="1"/>
    <xf numFmtId="164" fontId="0" fillId="0" borderId="0" xfId="626" applyFont="1" applyBorder="1" applyProtection="1"/>
    <xf numFmtId="0" fontId="92" fillId="0" borderId="79" xfId="625" applyFont="1" applyBorder="1" applyAlignment="1">
      <alignment vertical="center"/>
    </xf>
    <xf numFmtId="164" fontId="0" fillId="64" borderId="195" xfId="626" applyFont="1" applyFill="1" applyBorder="1" applyAlignment="1" applyProtection="1">
      <alignment vertical="center"/>
      <protection locked="0"/>
    </xf>
    <xf numFmtId="164" fontId="0" fillId="0" borderId="0" xfId="626" applyFont="1" applyFill="1" applyBorder="1" applyAlignment="1" applyProtection="1">
      <alignment vertical="center"/>
    </xf>
    <xf numFmtId="0" fontId="92" fillId="0" borderId="83" xfId="625" applyFont="1" applyBorder="1" applyAlignment="1">
      <alignment vertical="center"/>
    </xf>
    <xf numFmtId="164" fontId="0" fillId="64" borderId="196" xfId="626" applyFont="1" applyFill="1" applyBorder="1" applyAlignment="1" applyProtection="1">
      <alignment vertical="center"/>
      <protection locked="0"/>
    </xf>
    <xf numFmtId="0" fontId="93" fillId="0" borderId="193" xfId="625" applyFont="1" applyBorder="1" applyAlignment="1">
      <alignment vertical="center"/>
    </xf>
    <xf numFmtId="164" fontId="0" fillId="0" borderId="197" xfId="626" applyFont="1" applyBorder="1" applyAlignment="1" applyProtection="1">
      <alignment vertical="center"/>
    </xf>
    <xf numFmtId="0" fontId="93" fillId="0" borderId="74" xfId="625" applyFont="1" applyBorder="1" applyAlignment="1">
      <alignment vertical="center"/>
    </xf>
    <xf numFmtId="164" fontId="0" fillId="0" borderId="0" xfId="626" applyFont="1" applyBorder="1" applyAlignment="1" applyProtection="1">
      <alignment vertical="center"/>
    </xf>
    <xf numFmtId="0" fontId="92" fillId="0" borderId="80" xfId="625" applyFont="1" applyBorder="1" applyAlignment="1">
      <alignment horizontal="left" wrapText="1"/>
    </xf>
    <xf numFmtId="164" fontId="0" fillId="64" borderId="200" xfId="626" applyFont="1" applyFill="1" applyBorder="1" applyAlignment="1" applyProtection="1">
      <alignment vertical="center"/>
      <protection locked="0"/>
    </xf>
    <xf numFmtId="0" fontId="86" fillId="0" borderId="0" xfId="625" applyFont="1"/>
    <xf numFmtId="0" fontId="86" fillId="0" borderId="77" xfId="625" applyFont="1" applyBorder="1"/>
    <xf numFmtId="0" fontId="84" fillId="0" borderId="79" xfId="625" applyFont="1" applyBorder="1" applyAlignment="1">
      <alignment horizontal="center" vertical="center"/>
    </xf>
    <xf numFmtId="0" fontId="84" fillId="0" borderId="201" xfId="625" applyFont="1" applyBorder="1" applyAlignment="1">
      <alignment horizontal="center" vertical="center"/>
    </xf>
    <xf numFmtId="0" fontId="86" fillId="49" borderId="193" xfId="625" applyFont="1" applyFill="1" applyBorder="1" applyAlignment="1">
      <alignment horizontal="left" vertical="center"/>
    </xf>
    <xf numFmtId="164" fontId="0" fillId="64" borderId="193" xfId="626" applyFont="1" applyFill="1" applyBorder="1" applyAlignment="1" applyProtection="1">
      <alignment vertical="center"/>
      <protection locked="0"/>
    </xf>
    <xf numFmtId="187" fontId="0" fillId="64" borderId="193" xfId="626" applyNumberFormat="1" applyFont="1" applyFill="1" applyBorder="1" applyAlignment="1" applyProtection="1">
      <alignment vertical="center"/>
      <protection locked="0"/>
    </xf>
    <xf numFmtId="0" fontId="95" fillId="0" borderId="77" xfId="625" applyFont="1" applyBorder="1" applyAlignment="1">
      <alignment vertical="center" wrapText="1"/>
    </xf>
    <xf numFmtId="164" fontId="0" fillId="0" borderId="193" xfId="626" applyFont="1" applyBorder="1" applyAlignment="1" applyProtection="1">
      <alignment vertical="center"/>
    </xf>
    <xf numFmtId="0" fontId="96" fillId="0" borderId="83" xfId="625" applyFont="1" applyBorder="1" applyAlignment="1">
      <alignment horizontal="left" vertical="center" wrapText="1"/>
    </xf>
    <xf numFmtId="164" fontId="95" fillId="0" borderId="0" xfId="626" applyFont="1" applyBorder="1" applyAlignment="1" applyProtection="1">
      <alignment horizontal="left" vertical="center" wrapText="1"/>
    </xf>
    <xf numFmtId="0" fontId="95" fillId="0" borderId="0" xfId="625" applyFont="1" applyAlignment="1">
      <alignment horizontal="left" vertical="center" wrapText="1"/>
    </xf>
    <xf numFmtId="0" fontId="95" fillId="0" borderId="77" xfId="625" applyFont="1" applyBorder="1" applyAlignment="1">
      <alignment horizontal="left" vertical="center" wrapText="1"/>
    </xf>
    <xf numFmtId="0" fontId="97" fillId="0" borderId="87" xfId="625" applyFont="1" applyBorder="1" applyAlignment="1">
      <alignment horizontal="left" vertical="center" wrapText="1"/>
    </xf>
    <xf numFmtId="164" fontId="0" fillId="0" borderId="0" xfId="626" applyFont="1" applyFill="1" applyBorder="1" applyAlignment="1" applyProtection="1">
      <alignment vertical="center"/>
      <protection locked="0"/>
    </xf>
    <xf numFmtId="0" fontId="93" fillId="49" borderId="83" xfId="625" applyFont="1" applyFill="1" applyBorder="1" applyAlignment="1">
      <alignment vertical="center"/>
    </xf>
    <xf numFmtId="0" fontId="1" fillId="0" borderId="193" xfId="625" applyBorder="1" applyAlignment="1">
      <alignment vertical="center"/>
    </xf>
    <xf numFmtId="164" fontId="86" fillId="0" borderId="193" xfId="626" applyFont="1" applyBorder="1" applyAlignment="1" applyProtection="1">
      <alignment vertical="center"/>
    </xf>
    <xf numFmtId="0" fontId="86" fillId="0" borderId="193" xfId="625" applyFont="1" applyBorder="1" applyAlignment="1">
      <alignment vertical="center"/>
    </xf>
    <xf numFmtId="164" fontId="86" fillId="0" borderId="202" xfId="626" applyFont="1" applyBorder="1" applyAlignment="1" applyProtection="1">
      <alignment vertical="center"/>
    </xf>
    <xf numFmtId="0" fontId="86" fillId="26" borderId="83" xfId="625" applyFont="1" applyFill="1" applyBorder="1" applyAlignment="1">
      <alignment vertical="center"/>
    </xf>
    <xf numFmtId="164" fontId="86" fillId="45" borderId="203" xfId="626" applyFont="1" applyFill="1" applyBorder="1" applyAlignment="1" applyProtection="1">
      <alignment vertical="center"/>
    </xf>
    <xf numFmtId="164" fontId="1" fillId="0" borderId="0" xfId="625" applyNumberFormat="1"/>
    <xf numFmtId="0" fontId="1" fillId="0" borderId="79" xfId="625" applyBorder="1"/>
    <xf numFmtId="0" fontId="1" fillId="0" borderId="80" xfId="625" applyBorder="1"/>
    <xf numFmtId="164" fontId="0" fillId="0" borderId="80" xfId="626" applyFont="1" applyBorder="1" applyProtection="1"/>
    <xf numFmtId="0" fontId="1" fillId="0" borderId="81" xfId="625" applyBorder="1"/>
    <xf numFmtId="0" fontId="86" fillId="0" borderId="74" xfId="625" applyFont="1" applyBorder="1" applyAlignment="1">
      <alignment wrapText="1"/>
    </xf>
    <xf numFmtId="0" fontId="1" fillId="0" borderId="74" xfId="625" applyBorder="1" applyAlignment="1">
      <alignment wrapText="1"/>
    </xf>
    <xf numFmtId="0" fontId="1" fillId="0" borderId="75" xfId="625" applyBorder="1" applyAlignment="1">
      <alignment wrapText="1"/>
    </xf>
    <xf numFmtId="0" fontId="86" fillId="0" borderId="0" xfId="625" applyFont="1" applyAlignment="1">
      <alignment wrapText="1"/>
    </xf>
    <xf numFmtId="0" fontId="1" fillId="0" borderId="0" xfId="625" applyAlignment="1">
      <alignment wrapText="1"/>
    </xf>
    <xf numFmtId="0" fontId="1" fillId="0" borderId="77" xfId="625" applyBorder="1" applyAlignment="1">
      <alignment wrapText="1"/>
    </xf>
    <xf numFmtId="0" fontId="1" fillId="0" borderId="77" xfId="625" applyBorder="1" applyAlignment="1">
      <alignment vertical="center" wrapText="1"/>
    </xf>
    <xf numFmtId="0" fontId="1" fillId="0" borderId="78" xfId="625" applyBorder="1" applyAlignment="1">
      <alignment horizontal="left" wrapText="1"/>
    </xf>
    <xf numFmtId="0" fontId="1" fillId="0" borderId="77" xfId="625" applyBorder="1" applyAlignment="1">
      <alignment horizontal="left" wrapText="1"/>
    </xf>
    <xf numFmtId="0" fontId="1" fillId="0" borderId="0" xfId="625" applyAlignment="1">
      <alignment horizontal="left" wrapText="1"/>
    </xf>
    <xf numFmtId="0" fontId="98" fillId="0" borderId="27" xfId="625" applyFont="1" applyBorder="1" applyAlignment="1">
      <alignment horizontal="center" vertical="center" wrapText="1"/>
    </xf>
    <xf numFmtId="0" fontId="98" fillId="0" borderId="77" xfId="625" applyFont="1" applyBorder="1" applyAlignment="1">
      <alignment vertical="center" wrapText="1"/>
    </xf>
    <xf numFmtId="0" fontId="86" fillId="0" borderId="27" xfId="625" applyFont="1" applyBorder="1" applyAlignment="1">
      <alignment horizontal="center" vertical="center"/>
    </xf>
    <xf numFmtId="164" fontId="0" fillId="0" borderId="27" xfId="626" applyFont="1" applyBorder="1" applyAlignment="1">
      <alignment horizontal="right" vertical="center"/>
    </xf>
    <xf numFmtId="0" fontId="87" fillId="0" borderId="77" xfId="625" applyFont="1" applyBorder="1" applyAlignment="1">
      <alignment vertical="center" wrapText="1"/>
    </xf>
    <xf numFmtId="164" fontId="0" fillId="0" borderId="0" xfId="626" applyFont="1" applyBorder="1" applyAlignment="1">
      <alignment horizontal="left" vertical="center"/>
    </xf>
    <xf numFmtId="164" fontId="0" fillId="0" borderId="0" xfId="626" applyFont="1" applyFill="1" applyBorder="1" applyAlignment="1">
      <alignment horizontal="center" vertical="center"/>
    </xf>
    <xf numFmtId="164" fontId="0" fillId="0" borderId="0" xfId="626" applyFont="1" applyFill="1" applyBorder="1" applyProtection="1"/>
    <xf numFmtId="164" fontId="99" fillId="0" borderId="0" xfId="626" applyFont="1" applyBorder="1" applyAlignment="1">
      <alignment horizontal="left" vertical="center"/>
    </xf>
    <xf numFmtId="164" fontId="0" fillId="0" borderId="0" xfId="626" applyFont="1" applyBorder="1" applyAlignment="1">
      <alignment horizontal="right" vertical="center"/>
    </xf>
    <xf numFmtId="0" fontId="87" fillId="0" borderId="0" xfId="625" applyFont="1" applyAlignment="1">
      <alignment horizontal="center" vertical="center" wrapText="1"/>
    </xf>
    <xf numFmtId="0" fontId="100" fillId="70" borderId="204" xfId="625" applyFont="1" applyFill="1" applyBorder="1" applyAlignment="1">
      <alignment horizontal="center" vertical="center" wrapText="1"/>
    </xf>
    <xf numFmtId="0" fontId="101" fillId="71" borderId="204" xfId="625" applyFont="1" applyFill="1" applyBorder="1" applyAlignment="1">
      <alignment vertical="center" wrapText="1"/>
    </xf>
    <xf numFmtId="0" fontId="101" fillId="71" borderId="204" xfId="625" applyFont="1" applyFill="1" applyBorder="1" applyAlignment="1">
      <alignment horizontal="center" vertical="center" wrapText="1"/>
    </xf>
    <xf numFmtId="0" fontId="101" fillId="0" borderId="204" xfId="625" applyFont="1" applyBorder="1" applyAlignment="1">
      <alignment vertical="center" wrapText="1"/>
    </xf>
    <xf numFmtId="0" fontId="101" fillId="0" borderId="204" xfId="625" applyFont="1" applyBorder="1" applyAlignment="1">
      <alignment horizontal="center" vertical="center" wrapText="1"/>
    </xf>
    <xf numFmtId="164" fontId="0" fillId="0" borderId="80" xfId="626" applyFont="1" applyBorder="1" applyAlignment="1">
      <alignment horizontal="right" vertical="center"/>
    </xf>
    <xf numFmtId="0" fontId="87" fillId="0" borderId="80" xfId="625" applyFont="1" applyBorder="1" applyAlignment="1">
      <alignment horizontal="center" vertical="center" wrapText="1"/>
    </xf>
    <xf numFmtId="0" fontId="87" fillId="0" borderId="81" xfId="625" applyFont="1" applyBorder="1" applyAlignment="1">
      <alignment vertical="center" wrapText="1"/>
    </xf>
    <xf numFmtId="188" fontId="1" fillId="0" borderId="27" xfId="625" applyNumberFormat="1" applyBorder="1" applyAlignment="1">
      <alignment horizontal="center"/>
    </xf>
    <xf numFmtId="188" fontId="1" fillId="0" borderId="0" xfId="625" applyNumberFormat="1"/>
    <xf numFmtId="9" fontId="1" fillId="0" borderId="0" xfId="625" applyNumberFormat="1"/>
    <xf numFmtId="0" fontId="86" fillId="64" borderId="27" xfId="625" applyFont="1" applyFill="1" applyBorder="1"/>
    <xf numFmtId="188" fontId="1" fillId="0" borderId="27" xfId="625" applyNumberFormat="1" applyBorder="1"/>
    <xf numFmtId="10" fontId="0" fillId="0" borderId="27" xfId="628" applyNumberFormat="1" applyFont="1" applyBorder="1"/>
    <xf numFmtId="188" fontId="1" fillId="72" borderId="27" xfId="625" applyNumberFormat="1" applyFill="1" applyBorder="1"/>
    <xf numFmtId="189" fontId="0" fillId="72" borderId="27" xfId="628" applyNumberFormat="1" applyFont="1" applyFill="1" applyBorder="1"/>
    <xf numFmtId="0" fontId="1" fillId="0" borderId="0" xfId="625" applyAlignment="1">
      <alignment horizontal="left"/>
    </xf>
    <xf numFmtId="0" fontId="1" fillId="64" borderId="27" xfId="625" applyFill="1" applyBorder="1"/>
    <xf numFmtId="0" fontId="1" fillId="0" borderId="27" xfId="625" applyBorder="1"/>
    <xf numFmtId="164" fontId="1" fillId="0" borderId="27" xfId="625" applyNumberFormat="1" applyBorder="1"/>
    <xf numFmtId="10" fontId="0" fillId="0" borderId="27" xfId="628" applyNumberFormat="1" applyFont="1" applyFill="1" applyBorder="1"/>
    <xf numFmtId="164" fontId="0" fillId="0" borderId="27" xfId="626" applyFont="1" applyFill="1" applyBorder="1"/>
    <xf numFmtId="191" fontId="1" fillId="0" borderId="0" xfId="625" applyNumberFormat="1"/>
    <xf numFmtId="192" fontId="1" fillId="0" borderId="192" xfId="625" applyNumberFormat="1" applyBorder="1" applyAlignment="1">
      <alignment horizontal="center"/>
    </xf>
    <xf numFmtId="188" fontId="91" fillId="39" borderId="196" xfId="625" applyNumberFormat="1" applyFont="1" applyFill="1" applyBorder="1"/>
    <xf numFmtId="164" fontId="86" fillId="39" borderId="206" xfId="626" applyFont="1" applyFill="1" applyBorder="1"/>
    <xf numFmtId="0" fontId="86" fillId="0" borderId="0" xfId="625" applyFont="1" applyAlignment="1">
      <alignment horizontal="center"/>
    </xf>
    <xf numFmtId="164" fontId="86" fillId="39" borderId="84" xfId="626" applyFont="1" applyFill="1" applyBorder="1" applyAlignment="1">
      <alignment horizontal="center" vertical="center"/>
    </xf>
    <xf numFmtId="188" fontId="86" fillId="73" borderId="27" xfId="625" applyNumberFormat="1" applyFont="1" applyFill="1" applyBorder="1" applyAlignment="1">
      <alignment horizontal="center"/>
    </xf>
    <xf numFmtId="0" fontId="91" fillId="0" borderId="0" xfId="625" applyFont="1" applyAlignment="1">
      <alignment horizontal="center" vertical="center"/>
    </xf>
    <xf numFmtId="0" fontId="86" fillId="0" borderId="27" xfId="625" applyFont="1" applyBorder="1" applyAlignment="1">
      <alignment vertical="center" wrapText="1"/>
    </xf>
    <xf numFmtId="164" fontId="0" fillId="0" borderId="27" xfId="626" applyFont="1" applyBorder="1" applyAlignment="1">
      <alignment vertical="center"/>
    </xf>
    <xf numFmtId="0" fontId="1" fillId="0" borderId="27" xfId="625" applyBorder="1" applyAlignment="1">
      <alignment vertical="center"/>
    </xf>
    <xf numFmtId="0" fontId="103" fillId="0" borderId="27" xfId="625" applyFont="1" applyBorder="1" applyAlignment="1">
      <alignment vertical="center" wrapText="1"/>
    </xf>
    <xf numFmtId="0" fontId="86" fillId="0" borderId="27" xfId="625" applyFont="1" applyBorder="1" applyAlignment="1">
      <alignment vertical="center"/>
    </xf>
    <xf numFmtId="0" fontId="86" fillId="0" borderId="27" xfId="625" applyFont="1" applyBorder="1" applyAlignment="1">
      <alignment horizontal="center" vertical="center" wrapText="1"/>
    </xf>
    <xf numFmtId="164" fontId="86" fillId="26" borderId="27" xfId="625" applyNumberFormat="1" applyFont="1" applyFill="1" applyBorder="1"/>
    <xf numFmtId="0" fontId="86" fillId="0" borderId="27" xfId="625" applyFont="1" applyBorder="1" applyAlignment="1">
      <alignment horizontal="left" vertical="center" wrapText="1"/>
    </xf>
    <xf numFmtId="164" fontId="0" fillId="0" borderId="27" xfId="626" applyFont="1" applyBorder="1"/>
    <xf numFmtId="164" fontId="1" fillId="0" borderId="192" xfId="625" applyNumberFormat="1" applyBorder="1"/>
    <xf numFmtId="0" fontId="86" fillId="72" borderId="191" xfId="625" applyFont="1" applyFill="1" applyBorder="1" applyAlignment="1">
      <alignment horizontal="left" vertical="center" wrapText="1"/>
    </xf>
    <xf numFmtId="164" fontId="1" fillId="72" borderId="27" xfId="625" applyNumberFormat="1" applyFill="1" applyBorder="1" applyAlignment="1">
      <alignment vertical="center"/>
    </xf>
    <xf numFmtId="175" fontId="0" fillId="0" borderId="0" xfId="628" applyNumberFormat="1" applyFont="1" applyFill="1" applyBorder="1"/>
    <xf numFmtId="0" fontId="90" fillId="0" borderId="0" xfId="627"/>
    <xf numFmtId="0" fontId="86" fillId="0" borderId="27" xfId="625" applyFont="1" applyBorder="1" applyAlignment="1">
      <alignment horizontal="center"/>
    </xf>
    <xf numFmtId="164" fontId="87" fillId="0" borderId="27" xfId="626" applyFont="1" applyBorder="1" applyAlignment="1">
      <alignment vertical="center" wrapText="1"/>
    </xf>
    <xf numFmtId="188" fontId="85" fillId="0" borderId="0" xfId="625" applyNumberFormat="1" applyFont="1"/>
    <xf numFmtId="193" fontId="1" fillId="0" borderId="27" xfId="625" applyNumberFormat="1" applyBorder="1" applyAlignment="1">
      <alignment horizontal="center"/>
    </xf>
    <xf numFmtId="188" fontId="91" fillId="39" borderId="27" xfId="625" applyNumberFormat="1" applyFont="1" applyFill="1" applyBorder="1"/>
    <xf numFmtId="164" fontId="86" fillId="39" borderId="84" xfId="626" applyFont="1" applyFill="1" applyBorder="1" applyAlignment="1">
      <alignment horizontal="center"/>
    </xf>
    <xf numFmtId="0" fontId="86" fillId="0" borderId="0" xfId="625" applyFont="1" applyAlignment="1">
      <alignment horizontal="left" wrapText="1"/>
    </xf>
    <xf numFmtId="164" fontId="1" fillId="26" borderId="27" xfId="625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4" fontId="67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Alignment="1">
      <alignment horizontal="center" vertical="center"/>
    </xf>
    <xf numFmtId="0" fontId="37" fillId="0" borderId="146" xfId="0" applyFont="1" applyBorder="1"/>
    <xf numFmtId="0" fontId="37" fillId="0" borderId="209" xfId="0" applyFont="1" applyBorder="1" applyAlignment="1">
      <alignment horizontal="center"/>
    </xf>
    <xf numFmtId="0" fontId="37" fillId="0" borderId="69" xfId="0" applyFont="1" applyBorder="1"/>
    <xf numFmtId="0" fontId="37" fillId="0" borderId="189" xfId="0" applyFont="1" applyBorder="1"/>
    <xf numFmtId="171" fontId="0" fillId="20" borderId="0" xfId="109" applyNumberFormat="1" applyFont="1" applyFill="1" applyAlignment="1">
      <alignment horizontal="center" vertical="center" wrapText="1"/>
    </xf>
    <xf numFmtId="4" fontId="53" fillId="38" borderId="171" xfId="0" applyNumberFormat="1" applyFont="1" applyFill="1" applyBorder="1" applyAlignment="1">
      <alignment horizontal="center" vertical="center"/>
    </xf>
    <xf numFmtId="4" fontId="53" fillId="38" borderId="0" xfId="0" applyNumberFormat="1" applyFont="1" applyFill="1" applyAlignment="1">
      <alignment vertical="center"/>
    </xf>
    <xf numFmtId="4" fontId="53" fillId="38" borderId="14" xfId="0" applyNumberFormat="1" applyFont="1" applyFill="1" applyBorder="1" applyAlignment="1">
      <alignment vertical="center"/>
    </xf>
    <xf numFmtId="4" fontId="53" fillId="38" borderId="96" xfId="0" applyNumberFormat="1" applyFont="1" applyFill="1" applyBorder="1" applyAlignment="1">
      <alignment horizontal="center" vertical="center"/>
    </xf>
    <xf numFmtId="1" fontId="0" fillId="20" borderId="0" xfId="0" applyNumberFormat="1" applyFill="1" applyAlignment="1">
      <alignment horizontal="center" vertical="center" wrapText="1"/>
    </xf>
    <xf numFmtId="1" fontId="0" fillId="20" borderId="146" xfId="0" applyNumberFormat="1" applyFill="1" applyBorder="1" applyAlignment="1">
      <alignment horizontal="center" vertical="center" wrapText="1"/>
    </xf>
    <xf numFmtId="4" fontId="0" fillId="0" borderId="14" xfId="0" applyNumberFormat="1" applyBorder="1" applyAlignment="1">
      <alignment horizontal="center" vertical="center"/>
    </xf>
    <xf numFmtId="4" fontId="0" fillId="0" borderId="95" xfId="0" applyNumberFormat="1" applyBorder="1" applyAlignment="1">
      <alignment horizontal="center" vertical="center"/>
    </xf>
    <xf numFmtId="0" fontId="107" fillId="0" borderId="0" xfId="0" applyFont="1" applyAlignment="1">
      <alignment horizontal="center"/>
    </xf>
    <xf numFmtId="4" fontId="68" fillId="37" borderId="0" xfId="116" applyNumberFormat="1" applyFont="1" applyFill="1" applyAlignment="1">
      <alignment horizontal="center" vertical="center" wrapText="1"/>
    </xf>
    <xf numFmtId="183" fontId="67" fillId="37" borderId="0" xfId="617" applyNumberFormat="1" applyFont="1" applyFill="1" applyBorder="1" applyAlignment="1" applyProtection="1">
      <alignment horizontal="center" vertical="center" wrapText="1"/>
    </xf>
    <xf numFmtId="180" fontId="67" fillId="37" borderId="0" xfId="0" applyNumberFormat="1" applyFont="1" applyFill="1" applyAlignment="1">
      <alignment horizontal="center" vertical="center"/>
    </xf>
    <xf numFmtId="4" fontId="67" fillId="37" borderId="0" xfId="0" applyNumberFormat="1" applyFont="1" applyFill="1" applyAlignment="1">
      <alignment horizontal="center" vertical="center"/>
    </xf>
    <xf numFmtId="14" fontId="68" fillId="37" borderId="0" xfId="116" applyNumberFormat="1" applyFont="1" applyFill="1" applyAlignment="1">
      <alignment horizontal="center" vertical="center" wrapText="1"/>
    </xf>
    <xf numFmtId="173" fontId="72" fillId="37" borderId="0" xfId="0" applyNumberFormat="1" applyFont="1" applyFill="1" applyAlignment="1">
      <alignment vertical="center" wrapText="1"/>
    </xf>
    <xf numFmtId="14" fontId="37" fillId="37" borderId="0" xfId="0" applyNumberFormat="1" applyFont="1" applyFill="1" applyAlignment="1">
      <alignment horizontal="left" vertical="center"/>
    </xf>
    <xf numFmtId="0" fontId="34" fillId="8" borderId="0" xfId="0" applyFont="1" applyFill="1" applyAlignment="1">
      <alignment horizontal="center" vertical="center"/>
    </xf>
    <xf numFmtId="0" fontId="44" fillId="44" borderId="0" xfId="0" applyFont="1" applyFill="1" applyAlignment="1">
      <alignment horizontal="center" vertical="center"/>
    </xf>
    <xf numFmtId="0" fontId="32" fillId="43" borderId="0" xfId="107" applyFont="1" applyFill="1" applyAlignment="1">
      <alignment horizontal="center" vertical="center"/>
    </xf>
    <xf numFmtId="2" fontId="44" fillId="54" borderId="0" xfId="0" applyNumberFormat="1" applyFont="1" applyFill="1" applyAlignment="1" applyProtection="1">
      <alignment horizontal="center" vertical="center"/>
      <protection locked="0"/>
    </xf>
    <xf numFmtId="4" fontId="68" fillId="41" borderId="0" xfId="0" applyNumberFormat="1" applyFont="1" applyFill="1" applyAlignment="1">
      <alignment horizontal="center" vertical="center"/>
    </xf>
    <xf numFmtId="2" fontId="34" fillId="41" borderId="0" xfId="0" applyNumberFormat="1" applyFont="1" applyFill="1" applyAlignment="1" applyProtection="1">
      <alignment horizontal="center" vertical="center"/>
      <protection locked="0"/>
    </xf>
    <xf numFmtId="0" fontId="77" fillId="0" borderId="0" xfId="0" applyFont="1" applyAlignment="1" applyProtection="1">
      <alignment horizontal="center" vertical="center"/>
      <protection locked="0"/>
    </xf>
    <xf numFmtId="0" fontId="77" fillId="36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49" fontId="34" fillId="0" borderId="0" xfId="0" applyNumberFormat="1" applyFont="1" applyAlignment="1" applyProtection="1">
      <alignment vertical="top" wrapText="1"/>
      <protection locked="0"/>
    </xf>
    <xf numFmtId="4" fontId="0" fillId="0" borderId="0" xfId="0" applyNumberForma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/>
    </xf>
    <xf numFmtId="1" fontId="61" fillId="0" borderId="0" xfId="0" applyNumberFormat="1" applyFont="1" applyAlignment="1">
      <alignment horizontal="center"/>
    </xf>
    <xf numFmtId="4" fontId="35" fillId="0" borderId="0" xfId="107" applyNumberFormat="1" applyFont="1" applyAlignment="1">
      <alignment horizontal="center" vertical="center"/>
    </xf>
    <xf numFmtId="4" fontId="33" fillId="4" borderId="0" xfId="0" applyNumberFormat="1" applyFont="1" applyFill="1" applyAlignment="1">
      <alignment horizontal="center"/>
    </xf>
    <xf numFmtId="4" fontId="35" fillId="29" borderId="0" xfId="107" applyNumberFormat="1" applyFont="1" applyFill="1" applyAlignment="1">
      <alignment horizontal="center"/>
    </xf>
    <xf numFmtId="4" fontId="35" fillId="40" borderId="0" xfId="107" applyNumberFormat="1" applyFont="1" applyFill="1" applyAlignment="1">
      <alignment horizontal="center" vertical="center"/>
    </xf>
    <xf numFmtId="4" fontId="53" fillId="38" borderId="0" xfId="0" applyNumberFormat="1" applyFont="1" applyFill="1" applyAlignment="1">
      <alignment horizontal="center" vertical="center"/>
    </xf>
    <xf numFmtId="4" fontId="35" fillId="40" borderId="0" xfId="107" applyNumberFormat="1" applyFont="1" applyFill="1" applyAlignment="1" applyProtection="1">
      <alignment horizontal="center" vertical="center"/>
      <protection locked="0"/>
    </xf>
    <xf numFmtId="4" fontId="44" fillId="0" borderId="0" xfId="0" applyNumberFormat="1" applyFont="1" applyAlignment="1">
      <alignment horizontal="center" vertical="center"/>
    </xf>
    <xf numFmtId="4" fontId="34" fillId="40" borderId="0" xfId="107" applyNumberFormat="1" applyFont="1" applyFill="1" applyAlignment="1" applyProtection="1">
      <alignment vertical="center"/>
      <protection locked="0"/>
    </xf>
    <xf numFmtId="0" fontId="34" fillId="40" borderId="0" xfId="107" applyFont="1" applyFill="1" applyAlignment="1" applyProtection="1">
      <alignment horizontal="center" vertical="center"/>
      <protection locked="0"/>
    </xf>
    <xf numFmtId="4" fontId="44" fillId="40" borderId="0" xfId="107" applyNumberFormat="1" applyFont="1" applyFill="1" applyAlignment="1" applyProtection="1">
      <alignment horizontal="center" vertical="center"/>
      <protection locked="0"/>
    </xf>
    <xf numFmtId="4" fontId="0" fillId="26" borderId="0" xfId="0" applyNumberFormat="1" applyFill="1" applyAlignment="1">
      <alignment horizontal="center" vertical="center"/>
    </xf>
    <xf numFmtId="0" fontId="0" fillId="74" borderId="146" xfId="0" applyFill="1" applyBorder="1"/>
    <xf numFmtId="0" fontId="0" fillId="0" borderId="152" xfId="0" applyBorder="1" applyAlignment="1">
      <alignment horizontal="left"/>
    </xf>
    <xf numFmtId="0" fontId="0" fillId="74" borderId="69" xfId="0" applyFill="1" applyBorder="1"/>
    <xf numFmtId="0" fontId="0" fillId="0" borderId="133" xfId="0" applyBorder="1" applyAlignment="1">
      <alignment horizontal="left"/>
    </xf>
    <xf numFmtId="0" fontId="0" fillId="0" borderId="69" xfId="0" applyBorder="1"/>
    <xf numFmtId="0" fontId="0" fillId="37" borderId="133" xfId="0" applyFill="1" applyBorder="1" applyAlignment="1">
      <alignment horizontal="left"/>
    </xf>
    <xf numFmtId="0" fontId="37" fillId="37" borderId="148" xfId="0" applyFont="1" applyFill="1" applyBorder="1" applyAlignment="1">
      <alignment horizontal="left"/>
    </xf>
    <xf numFmtId="0" fontId="37" fillId="26" borderId="15" xfId="0" applyFont="1" applyFill="1" applyBorder="1"/>
    <xf numFmtId="1" fontId="0" fillId="20" borderId="121" xfId="0" applyNumberFormat="1" applyFill="1" applyBorder="1" applyAlignment="1">
      <alignment horizontal="center" vertical="center"/>
    </xf>
    <xf numFmtId="4" fontId="32" fillId="40" borderId="69" xfId="107" applyNumberFormat="1" applyFont="1" applyFill="1" applyBorder="1" applyAlignment="1" applyProtection="1">
      <alignment horizontal="center" vertical="center"/>
      <protection locked="0"/>
    </xf>
    <xf numFmtId="4" fontId="32" fillId="40" borderId="69" xfId="107" applyNumberFormat="1" applyFont="1" applyFill="1" applyBorder="1" applyAlignment="1">
      <alignment horizontal="center" vertical="center"/>
    </xf>
    <xf numFmtId="4" fontId="35" fillId="40" borderId="96" xfId="107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0" fillId="37" borderId="0" xfId="0" applyFill="1" applyAlignment="1">
      <alignment horizontal="left"/>
    </xf>
    <xf numFmtId="0" fontId="37" fillId="37" borderId="0" xfId="0" applyFont="1" applyFill="1" applyAlignment="1">
      <alignment horizontal="left"/>
    </xf>
    <xf numFmtId="0" fontId="0" fillId="26" borderId="192" xfId="0" applyFill="1" applyBorder="1"/>
    <xf numFmtId="0" fontId="0" fillId="26" borderId="133" xfId="0" applyFill="1" applyBorder="1" applyAlignment="1">
      <alignment horizontal="left"/>
    </xf>
    <xf numFmtId="0" fontId="0" fillId="26" borderId="15" xfId="0" applyFill="1" applyBorder="1"/>
    <xf numFmtId="0" fontId="0" fillId="26" borderId="133" xfId="0" applyFill="1" applyBorder="1"/>
    <xf numFmtId="0" fontId="0" fillId="26" borderId="15" xfId="0" applyFill="1" applyBorder="1" applyAlignment="1">
      <alignment horizontal="center"/>
    </xf>
    <xf numFmtId="0" fontId="0" fillId="26" borderId="148" xfId="0" applyFill="1" applyBorder="1"/>
    <xf numFmtId="0" fontId="0" fillId="26" borderId="30" xfId="0" applyFill="1" applyBorder="1" applyAlignment="1">
      <alignment horizontal="center"/>
    </xf>
    <xf numFmtId="44" fontId="0" fillId="26" borderId="192" xfId="304" applyFont="1" applyFill="1" applyBorder="1" applyAlignment="1">
      <alignment horizontal="center"/>
    </xf>
    <xf numFmtId="0" fontId="0" fillId="26" borderId="141" xfId="0" applyFill="1" applyBorder="1"/>
    <xf numFmtId="44" fontId="49" fillId="26" borderId="192" xfId="304" applyFont="1" applyFill="1" applyBorder="1"/>
    <xf numFmtId="0" fontId="49" fillId="26" borderId="192" xfId="0" applyFont="1" applyFill="1" applyBorder="1"/>
    <xf numFmtId="44" fontId="49" fillId="26" borderId="152" xfId="0" applyNumberFormat="1" applyFont="1" applyFill="1" applyBorder="1"/>
    <xf numFmtId="0" fontId="49" fillId="26" borderId="15" xfId="0" applyFont="1" applyFill="1" applyBorder="1"/>
    <xf numFmtId="0" fontId="49" fillId="26" borderId="133" xfId="0" applyFont="1" applyFill="1" applyBorder="1"/>
    <xf numFmtId="0" fontId="49" fillId="26" borderId="30" xfId="0" applyFont="1" applyFill="1" applyBorder="1"/>
    <xf numFmtId="0" fontId="49" fillId="26" borderId="148" xfId="0" applyFont="1" applyFill="1" applyBorder="1"/>
    <xf numFmtId="0" fontId="0" fillId="74" borderId="191" xfId="0" applyFill="1" applyBorder="1"/>
    <xf numFmtId="0" fontId="0" fillId="74" borderId="27" xfId="0" applyFill="1" applyBorder="1"/>
    <xf numFmtId="0" fontId="0" fillId="74" borderId="152" xfId="0" applyFill="1" applyBorder="1"/>
    <xf numFmtId="0" fontId="37" fillId="74" borderId="15" xfId="0" applyFont="1" applyFill="1" applyBorder="1"/>
    <xf numFmtId="0" fontId="37" fillId="74" borderId="0" xfId="0" applyFont="1" applyFill="1"/>
    <xf numFmtId="0" fontId="37" fillId="74" borderId="152" xfId="0" applyFont="1" applyFill="1" applyBorder="1" applyAlignment="1">
      <alignment horizontal="center"/>
    </xf>
    <xf numFmtId="0" fontId="37" fillId="74" borderId="69" xfId="0" applyFont="1" applyFill="1" applyBorder="1"/>
    <xf numFmtId="0" fontId="37" fillId="74" borderId="15" xfId="0" applyFont="1" applyFill="1" applyBorder="1" applyAlignment="1">
      <alignment horizontal="center"/>
    </xf>
    <xf numFmtId="0" fontId="37" fillId="74" borderId="133" xfId="0" applyFont="1" applyFill="1" applyBorder="1" applyAlignment="1">
      <alignment horizontal="center"/>
    </xf>
    <xf numFmtId="0" fontId="37" fillId="74" borderId="30" xfId="0" quotePrefix="1" applyFont="1" applyFill="1" applyBorder="1"/>
    <xf numFmtId="0" fontId="37" fillId="74" borderId="30" xfId="0" applyFont="1" applyFill="1" applyBorder="1"/>
    <xf numFmtId="0" fontId="37" fillId="74" borderId="148" xfId="0" applyFont="1" applyFill="1" applyBorder="1" applyAlignment="1">
      <alignment horizontal="center"/>
    </xf>
    <xf numFmtId="0" fontId="37" fillId="74" borderId="189" xfId="0" applyFont="1" applyFill="1" applyBorder="1"/>
    <xf numFmtId="0" fontId="37" fillId="74" borderId="192" xfId="0" applyFont="1" applyFill="1" applyBorder="1"/>
    <xf numFmtId="0" fontId="57" fillId="74" borderId="27" xfId="0" applyFont="1" applyFill="1" applyBorder="1" applyAlignment="1">
      <alignment horizontal="center"/>
    </xf>
    <xf numFmtId="0" fontId="108" fillId="0" borderId="0" xfId="0" applyFont="1"/>
    <xf numFmtId="0" fontId="0" fillId="26" borderId="209" xfId="0" applyFill="1" applyBorder="1" applyAlignment="1">
      <alignment horizontal="left"/>
    </xf>
    <xf numFmtId="0" fontId="37" fillId="26" borderId="0" xfId="0" quotePrefix="1" applyFont="1" applyFill="1"/>
    <xf numFmtId="0" fontId="0" fillId="26" borderId="190" xfId="0" applyFill="1" applyBorder="1"/>
    <xf numFmtId="0" fontId="57" fillId="74" borderId="141" xfId="0" applyFont="1" applyFill="1" applyBorder="1" applyAlignment="1">
      <alignment horizontal="center"/>
    </xf>
    <xf numFmtId="0" fontId="37" fillId="74" borderId="133" xfId="0" applyFont="1" applyFill="1" applyBorder="1"/>
    <xf numFmtId="0" fontId="37" fillId="74" borderId="148" xfId="0" quotePrefix="1" applyFont="1" applyFill="1" applyBorder="1"/>
    <xf numFmtId="0" fontId="37" fillId="74" borderId="141" xfId="0" applyFont="1" applyFill="1" applyBorder="1" applyAlignment="1">
      <alignment horizontal="center"/>
    </xf>
    <xf numFmtId="0" fontId="37" fillId="0" borderId="0" xfId="0" quotePrefix="1" applyFont="1"/>
    <xf numFmtId="0" fontId="37" fillId="74" borderId="190" xfId="0" applyFont="1" applyFill="1" applyBorder="1" applyAlignment="1">
      <alignment horizontal="center"/>
    </xf>
    <xf numFmtId="0" fontId="0" fillId="74" borderId="192" xfId="0" applyFill="1" applyBorder="1"/>
    <xf numFmtId="0" fontId="37" fillId="74" borderId="209" xfId="0" applyFont="1" applyFill="1" applyBorder="1" applyAlignment="1">
      <alignment horizontal="center"/>
    </xf>
    <xf numFmtId="0" fontId="107" fillId="74" borderId="133" xfId="0" applyFont="1" applyFill="1" applyBorder="1" applyAlignment="1">
      <alignment horizontal="center"/>
    </xf>
    <xf numFmtId="0" fontId="107" fillId="74" borderId="148" xfId="0" applyFont="1" applyFill="1" applyBorder="1" applyAlignment="1">
      <alignment horizontal="center"/>
    </xf>
    <xf numFmtId="0" fontId="37" fillId="74" borderId="152" xfId="0" applyFont="1" applyFill="1" applyBorder="1"/>
    <xf numFmtId="0" fontId="37" fillId="74" borderId="192" xfId="0" applyFont="1" applyFill="1" applyBorder="1" applyAlignment="1">
      <alignment horizontal="center"/>
    </xf>
    <xf numFmtId="0" fontId="37" fillId="74" borderId="30" xfId="0" applyFont="1" applyFill="1" applyBorder="1" applyAlignment="1">
      <alignment horizontal="center"/>
    </xf>
    <xf numFmtId="0" fontId="69" fillId="26" borderId="209" xfId="0" applyFont="1" applyFill="1" applyBorder="1" applyAlignment="1">
      <alignment horizontal="center"/>
    </xf>
    <xf numFmtId="0" fontId="37" fillId="37" borderId="0" xfId="0" applyFont="1" applyFill="1"/>
    <xf numFmtId="44" fontId="37" fillId="37" borderId="0" xfId="0" applyNumberFormat="1" applyFont="1" applyFill="1" applyAlignment="1">
      <alignment horizontal="center"/>
    </xf>
    <xf numFmtId="0" fontId="69" fillId="37" borderId="0" xfId="0" applyFont="1" applyFill="1" applyAlignment="1">
      <alignment horizontal="center"/>
    </xf>
    <xf numFmtId="0" fontId="37" fillId="0" borderId="148" xfId="0" applyFont="1" applyBorder="1" applyAlignment="1">
      <alignment horizontal="left"/>
    </xf>
    <xf numFmtId="0" fontId="37" fillId="74" borderId="191" xfId="0" applyFont="1" applyFill="1" applyBorder="1"/>
    <xf numFmtId="0" fontId="37" fillId="74" borderId="183" xfId="0" applyFont="1" applyFill="1" applyBorder="1"/>
    <xf numFmtId="0" fontId="37" fillId="74" borderId="141" xfId="0" applyFont="1" applyFill="1" applyBorder="1"/>
    <xf numFmtId="0" fontId="37" fillId="74" borderId="148" xfId="0" applyFont="1" applyFill="1" applyBorder="1"/>
    <xf numFmtId="0" fontId="37" fillId="74" borderId="190" xfId="0" applyFont="1" applyFill="1" applyBorder="1"/>
    <xf numFmtId="0" fontId="0" fillId="74" borderId="15" xfId="0" applyFill="1" applyBorder="1"/>
    <xf numFmtId="0" fontId="37" fillId="74" borderId="27" xfId="0" applyFont="1" applyFill="1" applyBorder="1"/>
    <xf numFmtId="0" fontId="37" fillId="74" borderId="191" xfId="0" applyFont="1" applyFill="1" applyBorder="1" applyAlignment="1">
      <alignment horizontal="center"/>
    </xf>
    <xf numFmtId="0" fontId="37" fillId="74" borderId="183" xfId="0" applyFont="1" applyFill="1" applyBorder="1" applyAlignment="1">
      <alignment horizontal="center"/>
    </xf>
    <xf numFmtId="2" fontId="37" fillId="37" borderId="133" xfId="0" applyNumberFormat="1" applyFont="1" applyFill="1" applyBorder="1" applyAlignment="1">
      <alignment horizontal="left"/>
    </xf>
    <xf numFmtId="0" fontId="37" fillId="0" borderId="133" xfId="0" applyFont="1" applyBorder="1" applyAlignment="1">
      <alignment horizontal="left"/>
    </xf>
    <xf numFmtId="0" fontId="37" fillId="0" borderId="152" xfId="0" applyFont="1" applyBorder="1" applyAlignment="1">
      <alignment horizontal="left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49" fillId="20" borderId="9" xfId="0" applyFont="1" applyFill="1" applyBorder="1" applyAlignment="1">
      <alignment horizontal="center" vertical="center"/>
    </xf>
    <xf numFmtId="171" fontId="43" fillId="26" borderId="182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37" fillId="74" borderId="191" xfId="0" applyFont="1" applyFill="1" applyBorder="1" applyAlignment="1">
      <alignment horizontal="center"/>
    </xf>
    <xf numFmtId="0" fontId="37" fillId="74" borderId="141" xfId="0" applyFont="1" applyFill="1" applyBorder="1" applyAlignment="1">
      <alignment horizont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0" applyNumberFormat="1" applyFont="1" applyFill="1" applyBorder="1" applyAlignment="1">
      <alignment horizontal="center" vertical="center"/>
    </xf>
    <xf numFmtId="49" fontId="45" fillId="37" borderId="30" xfId="620" applyNumberFormat="1" applyFont="1" applyFill="1" applyBorder="1" applyAlignment="1">
      <alignment horizontal="center" vertical="center"/>
    </xf>
    <xf numFmtId="44" fontId="45" fillId="37" borderId="142" xfId="304" applyFont="1" applyFill="1" applyBorder="1" applyAlignment="1">
      <alignment horizontal="center" vertical="center" wrapText="1"/>
    </xf>
    <xf numFmtId="44" fontId="45" fillId="37" borderId="30" xfId="304" applyFont="1" applyFill="1" applyBorder="1" applyAlignment="1">
      <alignment horizontal="center" vertical="center" wrapText="1"/>
    </xf>
    <xf numFmtId="44" fontId="75" fillId="37" borderId="142" xfId="304" applyFont="1" applyFill="1" applyBorder="1" applyAlignment="1">
      <alignment horizontal="center" vertical="center" wrapText="1"/>
    </xf>
    <xf numFmtId="44" fontId="75" fillId="37" borderId="30" xfId="304" applyFont="1" applyFill="1" applyBorder="1" applyAlignment="1">
      <alignment horizontal="center" vertical="center" wrapText="1"/>
    </xf>
    <xf numFmtId="44" fontId="45" fillId="37" borderId="142" xfId="304" applyFont="1" applyFill="1" applyBorder="1" applyAlignment="1">
      <alignment horizontal="center" vertical="center"/>
    </xf>
    <xf numFmtId="4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164" fontId="0" fillId="0" borderId="18" xfId="626" applyFont="1" applyBorder="1" applyAlignment="1">
      <alignment horizontal="left" vertical="center"/>
    </xf>
    <xf numFmtId="164" fontId="91" fillId="0" borderId="191" xfId="626" applyFont="1" applyFill="1" applyBorder="1" applyAlignment="1">
      <alignment horizontal="left" vertical="center"/>
    </xf>
    <xf numFmtId="164" fontId="91" fillId="0" borderId="183" xfId="626" applyFont="1" applyFill="1" applyBorder="1" applyAlignment="1">
      <alignment horizontal="left" vertical="center"/>
    </xf>
    <xf numFmtId="164" fontId="91" fillId="0" borderId="141" xfId="626" applyFont="1" applyFill="1" applyBorder="1" applyAlignment="1">
      <alignment horizontal="left" vertical="center"/>
    </xf>
    <xf numFmtId="164" fontId="0" fillId="0" borderId="205" xfId="626" applyFont="1" applyBorder="1" applyAlignment="1">
      <alignment horizontal="left" vertical="center"/>
    </xf>
    <xf numFmtId="0" fontId="1" fillId="0" borderId="0" xfId="625" applyAlignment="1">
      <alignment horizontal="justify" vertical="center" wrapText="1"/>
    </xf>
    <xf numFmtId="0" fontId="98" fillId="0" borderId="191" xfId="625" applyFont="1" applyBorder="1" applyAlignment="1">
      <alignment horizontal="center" vertical="center" wrapText="1"/>
    </xf>
    <xf numFmtId="0" fontId="98" fillId="0" borderId="141" xfId="625" applyFont="1" applyBorder="1" applyAlignment="1">
      <alignment horizontal="center" vertical="center" wrapText="1"/>
    </xf>
    <xf numFmtId="0" fontId="98" fillId="0" borderId="27" xfId="625" applyFont="1" applyBorder="1" applyAlignment="1">
      <alignment horizontal="center" vertical="center" wrapText="1"/>
    </xf>
    <xf numFmtId="0" fontId="87" fillId="0" borderId="27" xfId="625" applyFont="1" applyBorder="1" applyAlignment="1">
      <alignment horizontal="center" vertical="center" wrapText="1"/>
    </xf>
    <xf numFmtId="164" fontId="86" fillId="0" borderId="0" xfId="626" applyFont="1" applyAlignment="1" applyProtection="1">
      <alignment horizontal="center" wrapText="1"/>
    </xf>
    <xf numFmtId="0" fontId="88" fillId="66" borderId="0" xfId="625" applyFont="1" applyFill="1" applyAlignment="1">
      <alignment horizontal="center"/>
    </xf>
    <xf numFmtId="0" fontId="89" fillId="66" borderId="0" xfId="625" applyFont="1" applyFill="1" applyAlignment="1">
      <alignment horizontal="center"/>
    </xf>
    <xf numFmtId="164" fontId="91" fillId="64" borderId="0" xfId="626" applyFont="1" applyFill="1" applyBorder="1" applyAlignment="1" applyProtection="1">
      <alignment horizontal="center" vertical="center"/>
    </xf>
    <xf numFmtId="0" fontId="84" fillId="66" borderId="193" xfId="625" applyFont="1" applyFill="1" applyBorder="1" applyAlignment="1">
      <alignment horizontal="center" vertical="center"/>
    </xf>
    <xf numFmtId="0" fontId="84" fillId="66" borderId="194" xfId="625" applyFont="1" applyFill="1" applyBorder="1" applyAlignment="1">
      <alignment horizontal="center" vertical="center"/>
    </xf>
    <xf numFmtId="0" fontId="94" fillId="0" borderId="198" xfId="625" applyFont="1" applyBorder="1" applyAlignment="1">
      <alignment horizontal="left" wrapText="1"/>
    </xf>
    <xf numFmtId="0" fontId="94" fillId="0" borderId="199" xfId="625" applyFont="1" applyBorder="1" applyAlignment="1">
      <alignment horizontal="left" wrapText="1"/>
    </xf>
    <xf numFmtId="0" fontId="84" fillId="66" borderId="198" xfId="625" applyFont="1" applyFill="1" applyBorder="1" applyAlignment="1">
      <alignment horizontal="center" vertical="center"/>
    </xf>
    <xf numFmtId="0" fontId="84" fillId="66" borderId="199" xfId="625" applyFont="1" applyFill="1" applyBorder="1" applyAlignment="1">
      <alignment horizontal="center" vertical="center"/>
    </xf>
    <xf numFmtId="0" fontId="84" fillId="67" borderId="193" xfId="625" applyFont="1" applyFill="1" applyBorder="1" applyAlignment="1">
      <alignment horizontal="center" vertical="center"/>
    </xf>
    <xf numFmtId="0" fontId="84" fillId="68" borderId="193" xfId="625" applyFont="1" applyFill="1" applyBorder="1" applyAlignment="1">
      <alignment horizontal="center" vertical="center"/>
    </xf>
    <xf numFmtId="0" fontId="84" fillId="69" borderId="83" xfId="625" applyFont="1" applyFill="1" applyBorder="1" applyAlignment="1">
      <alignment horizontal="center" vertical="center"/>
    </xf>
    <xf numFmtId="0" fontId="84" fillId="69" borderId="84" xfId="625" applyFont="1" applyFill="1" applyBorder="1" applyAlignment="1">
      <alignment horizontal="center" vertical="center"/>
    </xf>
    <xf numFmtId="0" fontId="98" fillId="0" borderId="183" xfId="625" applyFont="1" applyBorder="1" applyAlignment="1">
      <alignment horizontal="center" vertical="center" wrapText="1"/>
    </xf>
    <xf numFmtId="0" fontId="102" fillId="64" borderId="27" xfId="625" applyFont="1" applyFill="1" applyBorder="1" applyAlignment="1">
      <alignment horizontal="center" vertical="center"/>
    </xf>
    <xf numFmtId="2" fontId="86" fillId="0" borderId="27" xfId="625" applyNumberFormat="1" applyFont="1" applyBorder="1" applyAlignment="1">
      <alignment horizontal="right"/>
    </xf>
    <xf numFmtId="1" fontId="1" fillId="0" borderId="191" xfId="626" applyNumberFormat="1" applyFont="1" applyBorder="1" applyAlignment="1">
      <alignment horizontal="right"/>
    </xf>
    <xf numFmtId="1" fontId="1" fillId="0" borderId="141" xfId="626" applyNumberFormat="1" applyFont="1" applyBorder="1" applyAlignment="1">
      <alignment horizontal="right"/>
    </xf>
    <xf numFmtId="164" fontId="1" fillId="0" borderId="27" xfId="626" applyFont="1" applyBorder="1" applyAlignment="1">
      <alignment horizontal="center"/>
    </xf>
    <xf numFmtId="190" fontId="1" fillId="0" borderId="191" xfId="626" applyNumberFormat="1" applyFont="1" applyBorder="1" applyAlignment="1">
      <alignment horizontal="center"/>
    </xf>
    <xf numFmtId="190" fontId="1" fillId="0" borderId="141" xfId="626" applyNumberFormat="1" applyFont="1" applyBorder="1" applyAlignment="1">
      <alignment horizontal="center"/>
    </xf>
    <xf numFmtId="0" fontId="86" fillId="72" borderId="27" xfId="625" applyFont="1" applyFill="1" applyBorder="1" applyAlignment="1">
      <alignment horizontal="center"/>
    </xf>
    <xf numFmtId="0" fontId="86" fillId="72" borderId="191" xfId="625" applyFont="1" applyFill="1" applyBorder="1" applyAlignment="1">
      <alignment horizontal="center"/>
    </xf>
    <xf numFmtId="0" fontId="1" fillId="26" borderId="27" xfId="625" applyFill="1" applyBorder="1" applyAlignment="1">
      <alignment horizontal="center"/>
    </xf>
    <xf numFmtId="0" fontId="86" fillId="0" borderId="0" xfId="625" applyFont="1" applyAlignment="1">
      <alignment horizontal="center"/>
    </xf>
    <xf numFmtId="0" fontId="86" fillId="0" borderId="27" xfId="625" applyFont="1" applyBorder="1" applyAlignment="1">
      <alignment horizontal="left" wrapText="1"/>
    </xf>
    <xf numFmtId="0" fontId="86" fillId="0" borderId="27" xfId="625" applyFont="1" applyBorder="1" applyAlignment="1">
      <alignment horizontal="left"/>
    </xf>
    <xf numFmtId="0" fontId="86" fillId="64" borderId="27" xfId="625" applyFont="1" applyFill="1" applyBorder="1" applyAlignment="1">
      <alignment horizontal="center"/>
    </xf>
    <xf numFmtId="188" fontId="1" fillId="0" borderId="27" xfId="625" applyNumberFormat="1" applyBorder="1" applyAlignment="1">
      <alignment horizontal="center"/>
    </xf>
    <xf numFmtId="0" fontId="1" fillId="0" borderId="0" xfId="625" applyAlignment="1">
      <alignment horizontal="center"/>
    </xf>
    <xf numFmtId="188" fontId="1" fillId="0" borderId="191" xfId="626" applyNumberFormat="1" applyFont="1" applyBorder="1" applyAlignment="1">
      <alignment horizontal="right"/>
    </xf>
    <xf numFmtId="188" fontId="1" fillId="0" borderId="141" xfId="626" applyNumberFormat="1" applyFont="1" applyBorder="1" applyAlignment="1">
      <alignment horizontal="right"/>
    </xf>
    <xf numFmtId="188" fontId="1" fillId="0" borderId="27" xfId="626" applyNumberFormat="1" applyFont="1" applyBorder="1" applyAlignment="1">
      <alignment horizontal="center"/>
    </xf>
    <xf numFmtId="164" fontId="1" fillId="0" borderId="191" xfId="626" applyFont="1" applyBorder="1" applyAlignment="1">
      <alignment horizontal="center"/>
    </xf>
    <xf numFmtId="164" fontId="1" fillId="0" borderId="141" xfId="626" applyFont="1" applyBorder="1" applyAlignment="1">
      <alignment horizontal="center"/>
    </xf>
    <xf numFmtId="0" fontId="109" fillId="75" borderId="0" xfId="0" applyFont="1" applyFill="1" applyAlignment="1">
      <alignment vertical="center" wrapText="1"/>
    </xf>
    <xf numFmtId="0" fontId="49" fillId="75" borderId="0" xfId="0" applyFont="1" applyFill="1"/>
    <xf numFmtId="0" fontId="37" fillId="75" borderId="0" xfId="0" applyFont="1" applyFill="1"/>
  </cellXfs>
  <cellStyles count="629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4" xr:uid="{00000000-0005-0000-0000-00002A000000}"/>
    <cellStyle name="Calculation 2 3" xfId="351" xr:uid="{00000000-0005-0000-0000-00002B000000}"/>
    <cellStyle name="Calculation 2 3 2" xfId="559" xr:uid="{00000000-0005-0000-0000-00002C000000}"/>
    <cellStyle name="Calculation 2 4" xfId="354" xr:uid="{00000000-0005-0000-0000-00002D000000}"/>
    <cellStyle name="Calculation 2 4 2" xfId="562" xr:uid="{00000000-0005-0000-0000-00002E000000}"/>
    <cellStyle name="Calculation 2 5" xfId="339" xr:uid="{00000000-0005-0000-0000-00002F000000}"/>
    <cellStyle name="Calculation 2 5 2" xfId="549" xr:uid="{00000000-0005-0000-0000-000030000000}"/>
    <cellStyle name="Calculation 2 6" xfId="433" xr:uid="{00000000-0005-0000-0000-000031000000}"/>
    <cellStyle name="Calculation 2 6 2" xfId="590" xr:uid="{00000000-0005-0000-0000-000032000000}"/>
    <cellStyle name="Calculation 2 7" xfId="462" xr:uid="{00000000-0005-0000-0000-000033000000}"/>
    <cellStyle name="Calculation 3" xfId="434" xr:uid="{00000000-0005-0000-0000-000034000000}"/>
    <cellStyle name="Calculation 3 2" xfId="591" xr:uid="{00000000-0005-0000-0000-000035000000}"/>
    <cellStyle name="Calculation 4" xfId="452" xr:uid="{00000000-0005-0000-0000-000036000000}"/>
    <cellStyle name="Calculation 4 2" xfId="604" xr:uid="{00000000-0005-0000-0000-000037000000}"/>
    <cellStyle name="Calculation 5" xfId="359" xr:uid="{00000000-0005-0000-0000-000038000000}"/>
    <cellStyle name="Calculation 5 2" xfId="565" xr:uid="{00000000-0005-0000-0000-000039000000}"/>
    <cellStyle name="Calculation 6" xfId="381" xr:uid="{00000000-0005-0000-0000-00003A000000}"/>
    <cellStyle name="Calculation 6 2" xfId="574" xr:uid="{00000000-0005-0000-0000-00003B000000}"/>
    <cellStyle name="Calculation 7" xfId="461" xr:uid="{00000000-0005-0000-0000-00003C000000}"/>
    <cellStyle name="Calculation 7 2" xfId="612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6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0" xr:uid="{00000000-0005-0000-0000-00004B000000}"/>
    <cellStyle name="Excel Built-in Excel Built-in Total 2 2 3" xfId="321" xr:uid="{00000000-0005-0000-0000-00004C000000}"/>
    <cellStyle name="Excel Built-in Excel Built-in Total 2 2 3 2" xfId="531" xr:uid="{00000000-0005-0000-0000-00004D000000}"/>
    <cellStyle name="Excel Built-in Excel Built-in Total 2 2 4" xfId="346" xr:uid="{00000000-0005-0000-0000-00004E000000}"/>
    <cellStyle name="Excel Built-in Excel Built-in Total 2 2 4 2" xfId="555" xr:uid="{00000000-0005-0000-0000-00004F000000}"/>
    <cellStyle name="Excel Built-in Excel Built-in Total 2 2 5" xfId="370" xr:uid="{00000000-0005-0000-0000-000050000000}"/>
    <cellStyle name="Excel Built-in Excel Built-in Total 2 2 5 2" xfId="571" xr:uid="{00000000-0005-0000-0000-000051000000}"/>
    <cellStyle name="Excel Built-in Excel Built-in Total 2 2 6" xfId="396" xr:uid="{00000000-0005-0000-0000-000052000000}"/>
    <cellStyle name="Excel Built-in Excel Built-in Total 2 2 6 2" xfId="580" xr:uid="{00000000-0005-0000-0000-000053000000}"/>
    <cellStyle name="Excel Built-in Excel Built-in Total 2 2 7" xfId="469" xr:uid="{00000000-0005-0000-0000-000054000000}"/>
    <cellStyle name="Excel Built-in Excel Built-in Total 2 3" xfId="325" xr:uid="{00000000-0005-0000-0000-000055000000}"/>
    <cellStyle name="Excel Built-in Excel Built-in Total 2 3 2" xfId="535" xr:uid="{00000000-0005-0000-0000-000056000000}"/>
    <cellStyle name="Excel Built-in Excel Built-in Total 2 4" xfId="349" xr:uid="{00000000-0005-0000-0000-000057000000}"/>
    <cellStyle name="Excel Built-in Excel Built-in Total 2 4 2" xfId="558" xr:uid="{00000000-0005-0000-0000-000058000000}"/>
    <cellStyle name="Excel Built-in Excel Built-in Total 2 5" xfId="353" xr:uid="{00000000-0005-0000-0000-000059000000}"/>
    <cellStyle name="Excel Built-in Excel Built-in Total 2 5 2" xfId="561" xr:uid="{00000000-0005-0000-0000-00005A000000}"/>
    <cellStyle name="Excel Built-in Excel Built-in Total 2 6" xfId="357" xr:uid="{00000000-0005-0000-0000-00005B000000}"/>
    <cellStyle name="Excel Built-in Excel Built-in Total 2 6 2" xfId="564" xr:uid="{00000000-0005-0000-0000-00005C000000}"/>
    <cellStyle name="Excel Built-in Excel Built-in Total 2 7" xfId="443" xr:uid="{00000000-0005-0000-0000-00005D000000}"/>
    <cellStyle name="Excel Built-in Excel Built-in Total 2 7 2" xfId="596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29" xr:uid="{00000000-0005-0000-0000-000063000000}"/>
    <cellStyle name="Excel Built-in Excel Built-in Total 3 2 3" xfId="330" xr:uid="{00000000-0005-0000-0000-000064000000}"/>
    <cellStyle name="Excel Built-in Excel Built-in Total 3 2 3 2" xfId="540" xr:uid="{00000000-0005-0000-0000-000065000000}"/>
    <cellStyle name="Excel Built-in Excel Built-in Total 3 2 4" xfId="311" xr:uid="{00000000-0005-0000-0000-000066000000}"/>
    <cellStyle name="Excel Built-in Excel Built-in Total 3 2 4 2" xfId="522" xr:uid="{00000000-0005-0000-0000-000067000000}"/>
    <cellStyle name="Excel Built-in Excel Built-in Total 3 2 5" xfId="365" xr:uid="{00000000-0005-0000-0000-000068000000}"/>
    <cellStyle name="Excel Built-in Excel Built-in Total 3 2 5 2" xfId="569" xr:uid="{00000000-0005-0000-0000-000069000000}"/>
    <cellStyle name="Excel Built-in Excel Built-in Total 3 2 6" xfId="333" xr:uid="{00000000-0005-0000-0000-00006A000000}"/>
    <cellStyle name="Excel Built-in Excel Built-in Total 3 2 6 2" xfId="543" xr:uid="{00000000-0005-0000-0000-00006B000000}"/>
    <cellStyle name="Excel Built-in Excel Built-in Total 3 2 7" xfId="451" xr:uid="{00000000-0005-0000-0000-00006C000000}"/>
    <cellStyle name="Excel Built-in Excel Built-in Total 3 3" xfId="328" xr:uid="{00000000-0005-0000-0000-00006D000000}"/>
    <cellStyle name="Excel Built-in Excel Built-in Total 3 3 2" xfId="538" xr:uid="{00000000-0005-0000-0000-00006E000000}"/>
    <cellStyle name="Excel Built-in Excel Built-in Total 3 4" xfId="356" xr:uid="{00000000-0005-0000-0000-00006F000000}"/>
    <cellStyle name="Excel Built-in Excel Built-in Total 3 4 2" xfId="563" xr:uid="{00000000-0005-0000-0000-000070000000}"/>
    <cellStyle name="Excel Built-in Excel Built-in Total 3 5" xfId="457" xr:uid="{00000000-0005-0000-0000-000071000000}"/>
    <cellStyle name="Excel Built-in Excel Built-in Total 3 5 2" xfId="608" xr:uid="{00000000-0005-0000-0000-000072000000}"/>
    <cellStyle name="Excel Built-in Excel Built-in Total 3 6" xfId="308" xr:uid="{00000000-0005-0000-0000-000073000000}"/>
    <cellStyle name="Excel Built-in Excel Built-in Total 3 6 2" xfId="519" xr:uid="{00000000-0005-0000-0000-000074000000}"/>
    <cellStyle name="Excel Built-in Excel Built-in Total 3 7" xfId="468" xr:uid="{00000000-0005-0000-0000-000075000000}"/>
    <cellStyle name="Excel Built-in Excel Built-in Total 3 7 2" xfId="615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8" xr:uid="{00000000-0005-0000-0000-00007B000000}"/>
    <cellStyle name="Excel Built-in Excel Built-in Total 4 2 3" xfId="394" xr:uid="{00000000-0005-0000-0000-00007C000000}"/>
    <cellStyle name="Excel Built-in Excel Built-in Total 4 2 3 2" xfId="578" xr:uid="{00000000-0005-0000-0000-00007D000000}"/>
    <cellStyle name="Excel Built-in Excel Built-in Total 4 2 4" xfId="337" xr:uid="{00000000-0005-0000-0000-00007E000000}"/>
    <cellStyle name="Excel Built-in Excel Built-in Total 4 2 4 2" xfId="547" xr:uid="{00000000-0005-0000-0000-00007F000000}"/>
    <cellStyle name="Excel Built-in Excel Built-in Total 4 2 5" xfId="437" xr:uid="{00000000-0005-0000-0000-000080000000}"/>
    <cellStyle name="Excel Built-in Excel Built-in Total 4 2 5 2" xfId="593" xr:uid="{00000000-0005-0000-0000-000081000000}"/>
    <cellStyle name="Excel Built-in Excel Built-in Total 4 2 6" xfId="450" xr:uid="{00000000-0005-0000-0000-000082000000}"/>
    <cellStyle name="Excel Built-in Excel Built-in Total 4 2 6 2" xfId="603" xr:uid="{00000000-0005-0000-0000-000083000000}"/>
    <cellStyle name="Excel Built-in Excel Built-in Total 4 2 7" xfId="430" xr:uid="{00000000-0005-0000-0000-000084000000}"/>
    <cellStyle name="Excel Built-in Excel Built-in Total 4 3" xfId="393" xr:uid="{00000000-0005-0000-0000-000085000000}"/>
    <cellStyle name="Excel Built-in Excel Built-in Total 4 3 2" xfId="577" xr:uid="{00000000-0005-0000-0000-000086000000}"/>
    <cellStyle name="Excel Built-in Excel Built-in Total 4 4" xfId="361" xr:uid="{00000000-0005-0000-0000-000087000000}"/>
    <cellStyle name="Excel Built-in Excel Built-in Total 4 4 2" xfId="567" xr:uid="{00000000-0005-0000-0000-000088000000}"/>
    <cellStyle name="Excel Built-in Excel Built-in Total 4 5" xfId="374" xr:uid="{00000000-0005-0000-0000-000089000000}"/>
    <cellStyle name="Excel Built-in Excel Built-in Total 4 5 2" xfId="572" xr:uid="{00000000-0005-0000-0000-00008A000000}"/>
    <cellStyle name="Excel Built-in Excel Built-in Total 4 6" xfId="456" xr:uid="{00000000-0005-0000-0000-00008B000000}"/>
    <cellStyle name="Excel Built-in Excel Built-in Total 4 6 2" xfId="607" xr:uid="{00000000-0005-0000-0000-00008C000000}"/>
    <cellStyle name="Excel Built-in Excel Built-in Total 4 7" xfId="334" xr:uid="{00000000-0005-0000-0000-00008D000000}"/>
    <cellStyle name="Excel Built-in Excel Built-in Total 4 7 2" xfId="544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7" xr:uid="{00000000-0005-0000-0000-000092000000}"/>
    <cellStyle name="Excel Built-in Excel Built-in Total 5 3" xfId="431" xr:uid="{00000000-0005-0000-0000-000093000000}"/>
    <cellStyle name="Excel Built-in Excel Built-in Total 5 3 2" xfId="588" xr:uid="{00000000-0005-0000-0000-000094000000}"/>
    <cellStyle name="Excel Built-in Excel Built-in Total 5 4" xfId="323" xr:uid="{00000000-0005-0000-0000-000095000000}"/>
    <cellStyle name="Excel Built-in Excel Built-in Total 5 4 2" xfId="533" xr:uid="{00000000-0005-0000-0000-000096000000}"/>
    <cellStyle name="Excel Built-in Excel Built-in Total 5 5" xfId="312" xr:uid="{00000000-0005-0000-0000-000097000000}"/>
    <cellStyle name="Excel Built-in Excel Built-in Total 5 5 2" xfId="523" xr:uid="{00000000-0005-0000-0000-000098000000}"/>
    <cellStyle name="Excel Built-in Excel Built-in Total 5 6" xfId="414" xr:uid="{00000000-0005-0000-0000-000099000000}"/>
    <cellStyle name="Excel Built-in Excel Built-in Total 5 6 2" xfId="581" xr:uid="{00000000-0005-0000-0000-00009A000000}"/>
    <cellStyle name="Excel Built-in Excel Built-in Total 5 7" xfId="415" xr:uid="{00000000-0005-0000-0000-00009B000000}"/>
    <cellStyle name="Excel Built-in Excel Built-in Total 6" xfId="336" xr:uid="{00000000-0005-0000-0000-00009C000000}"/>
    <cellStyle name="Excel Built-in Excel Built-in Total 6 2" xfId="546" xr:uid="{00000000-0005-0000-0000-00009D000000}"/>
    <cellStyle name="Excel Built-in Excel Built-in Total 7" xfId="331" xr:uid="{00000000-0005-0000-0000-00009E000000}"/>
    <cellStyle name="Excel Built-in Excel Built-in Total 7 2" xfId="541" xr:uid="{00000000-0005-0000-0000-00009F000000}"/>
    <cellStyle name="Excel Built-in Excel Built-in Total 8" xfId="314" xr:uid="{00000000-0005-0000-0000-0000A0000000}"/>
    <cellStyle name="Excel Built-in Excel Built-in Total 8 2" xfId="524" xr:uid="{00000000-0005-0000-0000-0000A1000000}"/>
    <cellStyle name="Excel Built-in Excel Built-in Total 9" xfId="307" xr:uid="{00000000-0005-0000-0000-0000A2000000}"/>
    <cellStyle name="Excel Built-in Excel Built-in Total 9 2" xfId="518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7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6" xr:uid="{00000000-0005-0000-0000-0000BC000000}"/>
    <cellStyle name="Input 2 3" xfId="432" xr:uid="{00000000-0005-0000-0000-0000BD000000}"/>
    <cellStyle name="Input 2 3 2" xfId="589" xr:uid="{00000000-0005-0000-0000-0000BE000000}"/>
    <cellStyle name="Input 2 4" xfId="390" xr:uid="{00000000-0005-0000-0000-0000BF000000}"/>
    <cellStyle name="Input 2 4 2" xfId="576" xr:uid="{00000000-0005-0000-0000-0000C0000000}"/>
    <cellStyle name="Input 2 5" xfId="463" xr:uid="{00000000-0005-0000-0000-0000C1000000}"/>
    <cellStyle name="Input 2 5 2" xfId="613" xr:uid="{00000000-0005-0000-0000-0000C2000000}"/>
    <cellStyle name="Input 2 6" xfId="326" xr:uid="{00000000-0005-0000-0000-0000C3000000}"/>
    <cellStyle name="Input 2 6 2" xfId="536" xr:uid="{00000000-0005-0000-0000-0000C4000000}"/>
    <cellStyle name="Input 2 7" xfId="355" xr:uid="{00000000-0005-0000-0000-0000C5000000}"/>
    <cellStyle name="Input 3" xfId="352" xr:uid="{00000000-0005-0000-0000-0000C6000000}"/>
    <cellStyle name="Input 3 2" xfId="560" xr:uid="{00000000-0005-0000-0000-0000C7000000}"/>
    <cellStyle name="Input 4" xfId="329" xr:uid="{00000000-0005-0000-0000-0000C8000000}"/>
    <cellStyle name="Input 4 2" xfId="539" xr:uid="{00000000-0005-0000-0000-0000C9000000}"/>
    <cellStyle name="Input 5" xfId="435" xr:uid="{00000000-0005-0000-0000-0000CA000000}"/>
    <cellStyle name="Input 5 2" xfId="592" xr:uid="{00000000-0005-0000-0000-0000CB000000}"/>
    <cellStyle name="Input 6" xfId="460" xr:uid="{00000000-0005-0000-0000-0000CC000000}"/>
    <cellStyle name="Input 6 2" xfId="611" xr:uid="{00000000-0005-0000-0000-0000CD000000}"/>
    <cellStyle name="Input 7" xfId="470" xr:uid="{00000000-0005-0000-0000-0000CE000000}"/>
    <cellStyle name="Input 7 2" xfId="616" xr:uid="{00000000-0005-0000-0000-0000CF000000}"/>
    <cellStyle name="Input 8" xfId="467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0" xr:uid="{00000000-0005-0000-0000-0000DB000000}"/>
    <cellStyle name="Moeda 6 2 3" xfId="492" xr:uid="{00000000-0005-0000-0000-0000DC000000}"/>
    <cellStyle name="Moeda 6 3" xfId="392" xr:uid="{00000000-0005-0000-0000-0000DD000000}"/>
    <cellStyle name="Moeda 6 4" xfId="488" xr:uid="{00000000-0005-0000-0000-0000DE000000}"/>
    <cellStyle name="Moeda 7" xfId="243" xr:uid="{00000000-0005-0000-0000-0000DF000000}"/>
    <cellStyle name="Moeda 7 2" xfId="401" xr:uid="{00000000-0005-0000-0000-0000E0000000}"/>
    <cellStyle name="Moeda 7 3" xfId="493" xr:uid="{00000000-0005-0000-0000-0000E1000000}"/>
    <cellStyle name="Moeda 7 7" xfId="621" xr:uid="{00000000-0005-0000-0000-0000E2000000}"/>
    <cellStyle name="Moeda 8" xfId="244" xr:uid="{00000000-0005-0000-0000-0000E3000000}"/>
    <cellStyle name="Moeda 9 5" xfId="626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2" xr:uid="{00000000-0005-0000-0000-0000FC000000}"/>
    <cellStyle name="Normal 16 2 2 3" xfId="494" xr:uid="{00000000-0005-0000-0000-0000FD000000}"/>
    <cellStyle name="Normal 16 2 3" xfId="380" xr:uid="{00000000-0005-0000-0000-0000FE000000}"/>
    <cellStyle name="Normal 16 2 4" xfId="480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3" xr:uid="{00000000-0005-0000-0000-00000D010000}"/>
    <cellStyle name="Normal 2 2 3 3 2 3" xfId="495" xr:uid="{00000000-0005-0000-0000-00000E010000}"/>
    <cellStyle name="Normal 2 2 3 3 3" xfId="377" xr:uid="{00000000-0005-0000-0000-00000F010000}"/>
    <cellStyle name="Normal 2 2 3 3 4" xfId="478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4" xr:uid="{00000000-0005-0000-0000-000013010000}"/>
    <cellStyle name="Normal 2 2 4 2 3" xfId="496" xr:uid="{00000000-0005-0000-0000-000014010000}"/>
    <cellStyle name="Normal 2 2 4 3" xfId="372" xr:uid="{00000000-0005-0000-0000-000015010000}"/>
    <cellStyle name="Normal 2 2 4 4" xfId="475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5" xr:uid="{00000000-0005-0000-0000-00001C010000}"/>
    <cellStyle name="Normal 2 3 2 3 2 3" xfId="497" xr:uid="{00000000-0005-0000-0000-00001D010000}"/>
    <cellStyle name="Normal 2 3 2 3 3" xfId="378" xr:uid="{00000000-0005-0000-0000-00001E010000}"/>
    <cellStyle name="Normal 2 3 2 3 4" xfId="479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6" xr:uid="{00000000-0005-0000-0000-000023010000}"/>
    <cellStyle name="Normal 2 3 3 2 2 3" xfId="498" xr:uid="{00000000-0005-0000-0000-000024010000}"/>
    <cellStyle name="Normal 2 3 3 2 3" xfId="373" xr:uid="{00000000-0005-0000-0000-000025010000}"/>
    <cellStyle name="Normal 2 3 3 2 4" xfId="476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7" xr:uid="{00000000-0005-0000-0000-000029010000}"/>
    <cellStyle name="Normal 2 3 4 2 3" xfId="499" xr:uid="{00000000-0005-0000-0000-00002A010000}"/>
    <cellStyle name="Normal 2 3 4 3" xfId="383" xr:uid="{00000000-0005-0000-0000-00002B010000}"/>
    <cellStyle name="Normal 2 3 4 4" xfId="482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8" xr:uid="{00000000-0005-0000-0000-00002F010000}"/>
    <cellStyle name="Normal 2 3 5 2 3" xfId="500" xr:uid="{00000000-0005-0000-0000-000030010000}"/>
    <cellStyle name="Normal 2 3 5 3" xfId="368" xr:uid="{00000000-0005-0000-0000-000031010000}"/>
    <cellStyle name="Normal 2 3 5 4" xfId="473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09" xr:uid="{00000000-0005-0000-0000-00003A010000}"/>
    <cellStyle name="Normal 2 5 3 2 3" xfId="501" xr:uid="{00000000-0005-0000-0000-00003B010000}"/>
    <cellStyle name="Normal 2 5 3 3" xfId="376" xr:uid="{00000000-0005-0000-0000-00003C010000}"/>
    <cellStyle name="Normal 2 5 3 4" xfId="477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0" xr:uid="{00000000-0005-0000-0000-000040010000}"/>
    <cellStyle name="Normal 2 6 2 3" xfId="502" xr:uid="{00000000-0005-0000-0000-000041010000}"/>
    <cellStyle name="Normal 2 6 3" xfId="371" xr:uid="{00000000-0005-0000-0000-000042010000}"/>
    <cellStyle name="Normal 2 6 4" xfId="474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1" xr:uid="{00000000-0005-0000-0000-000046010000}"/>
    <cellStyle name="Normal 2 7 2 3" xfId="503" xr:uid="{00000000-0005-0000-0000-000047010000}"/>
    <cellStyle name="Normal 2 7 3" xfId="382" xr:uid="{00000000-0005-0000-0000-000048010000}"/>
    <cellStyle name="Normal 2 7 4" xfId="481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2" xr:uid="{00000000-0005-0000-0000-00004C010000}"/>
    <cellStyle name="Normal 2 8 2 3" xfId="504" xr:uid="{00000000-0005-0000-0000-00004D010000}"/>
    <cellStyle name="Normal 2 8 3" xfId="367" xr:uid="{00000000-0005-0000-0000-00004E010000}"/>
    <cellStyle name="Normal 2 8 4" xfId="472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3" xr:uid="{00000000-0005-0000-0000-000057010000}"/>
    <cellStyle name="Normal 23 3 3" xfId="505" xr:uid="{00000000-0005-0000-0000-000058010000}"/>
    <cellStyle name="Normal 23 4" xfId="364" xr:uid="{00000000-0005-0000-0000-000059010000}"/>
    <cellStyle name="Normal 23 5" xfId="471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6" xr:uid="{00000000-0005-0000-0000-000066010000}"/>
    <cellStyle name="Normal 29 2 3" xfId="506" xr:uid="{00000000-0005-0000-0000-000067010000}"/>
    <cellStyle name="Normal 29 3" xfId="387" xr:uid="{00000000-0005-0000-0000-000068010000}"/>
    <cellStyle name="Normal 29 4" xfId="485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7" xr:uid="{00000000-0005-0000-0000-000070010000}"/>
    <cellStyle name="Normal 3 3 2 2 3" xfId="507" xr:uid="{00000000-0005-0000-0000-000071010000}"/>
    <cellStyle name="Normal 3 3 2 3" xfId="385" xr:uid="{00000000-0005-0000-0000-000072010000}"/>
    <cellStyle name="Normal 3 3 2 4" xfId="484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8" xr:uid="{00000000-0005-0000-0000-000076010000}"/>
    <cellStyle name="Normal 30 2 3" xfId="508" xr:uid="{00000000-0005-0000-0000-000077010000}"/>
    <cellStyle name="Normal 30 3" xfId="389" xr:uid="{00000000-0005-0000-0000-000078010000}"/>
    <cellStyle name="Normal 30 4" xfId="486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19" xr:uid="{00000000-0005-0000-0000-00007C010000}"/>
    <cellStyle name="Normal 31 2 3" xfId="509" xr:uid="{00000000-0005-0000-0000-00007D010000}"/>
    <cellStyle name="Normal 31 3" xfId="391" xr:uid="{00000000-0005-0000-0000-00007E010000}"/>
    <cellStyle name="Normal 31 4" xfId="487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0" xr:uid="{00000000-0005-0000-0000-000082010000}"/>
    <cellStyle name="Normal 32 2 3" xfId="510" xr:uid="{00000000-0005-0000-0000-000083010000}"/>
    <cellStyle name="Normal 32 3" xfId="399" xr:uid="{00000000-0005-0000-0000-000084010000}"/>
    <cellStyle name="Normal 32 4" xfId="491" xr:uid="{00000000-0005-0000-0000-000085010000}"/>
    <cellStyle name="Normal 33" xfId="265" xr:uid="{00000000-0005-0000-0000-000086010000}"/>
    <cellStyle name="Normal 33 2" xfId="421" xr:uid="{00000000-0005-0000-0000-000087010000}"/>
    <cellStyle name="Normal 33 3" xfId="511" xr:uid="{00000000-0005-0000-0000-000088010000}"/>
    <cellStyle name="Normal 33 7" xfId="619" xr:uid="{00000000-0005-0000-0000-000089010000}"/>
    <cellStyle name="Normal 34" xfId="302" xr:uid="{00000000-0005-0000-0000-00008A010000}"/>
    <cellStyle name="Normal 35 5" xfId="625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2" xr:uid="{00000000-0005-0000-0000-00008F010000}"/>
    <cellStyle name="Normal 4 2 2 2 3" xfId="512" xr:uid="{00000000-0005-0000-0000-000090010000}"/>
    <cellStyle name="Normal 4 2 2 3" xfId="384" xr:uid="{00000000-0005-0000-0000-000091010000}"/>
    <cellStyle name="Normal 4 2 2 4" xfId="483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5 2" xfId="618" xr:uid="{00000000-0005-0000-0000-0000A4010000}"/>
    <cellStyle name="Normal_ORGANIZADO" xfId="624" xr:uid="{00000000-0005-0000-0000-0000A5010000}"/>
    <cellStyle name="Normal_Plan1" xfId="116" xr:uid="{00000000-0005-0000-0000-0000A6010000}"/>
    <cellStyle name="Normal_Plan1 2 2" xfId="620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3" xr:uid="{00000000-0005-0000-0000-0000AC010000}"/>
    <cellStyle name="Note 1 2 2 2 2" xfId="582" xr:uid="{00000000-0005-0000-0000-0000AD010000}"/>
    <cellStyle name="Note 1 2 2 3" xfId="444" xr:uid="{00000000-0005-0000-0000-0000AE010000}"/>
    <cellStyle name="Note 1 2 2 3 2" xfId="597" xr:uid="{00000000-0005-0000-0000-0000AF010000}"/>
    <cellStyle name="Note 1 2 2 4" xfId="341" xr:uid="{00000000-0005-0000-0000-0000B0010000}"/>
    <cellStyle name="Note 1 2 2 4 2" xfId="551" xr:uid="{00000000-0005-0000-0000-0000B1010000}"/>
    <cellStyle name="Note 1 2 2 5" xfId="379" xr:uid="{00000000-0005-0000-0000-0000B2010000}"/>
    <cellStyle name="Note 1 2 2 5 2" xfId="573" xr:uid="{00000000-0005-0000-0000-0000B3010000}"/>
    <cellStyle name="Note 1 2 2 6" xfId="306" xr:uid="{00000000-0005-0000-0000-0000B4010000}"/>
    <cellStyle name="Note 1 2 2 6 2" xfId="517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4" xr:uid="{00000000-0005-0000-0000-0000B8010000}"/>
    <cellStyle name="Note 1 3 2 2" xfId="583" xr:uid="{00000000-0005-0000-0000-0000B9010000}"/>
    <cellStyle name="Note 1 3 3" xfId="445" xr:uid="{00000000-0005-0000-0000-0000BA010000}"/>
    <cellStyle name="Note 1 3 3 2" xfId="598" xr:uid="{00000000-0005-0000-0000-0000BB010000}"/>
    <cellStyle name="Note 1 3 4" xfId="363" xr:uid="{00000000-0005-0000-0000-0000BC010000}"/>
    <cellStyle name="Note 1 3 4 2" xfId="568" xr:uid="{00000000-0005-0000-0000-0000BD010000}"/>
    <cellStyle name="Note 1 3 5" xfId="345" xr:uid="{00000000-0005-0000-0000-0000BE010000}"/>
    <cellStyle name="Note 1 3 5 2" xfId="554" xr:uid="{00000000-0005-0000-0000-0000BF010000}"/>
    <cellStyle name="Note 1 3 6" xfId="340" xr:uid="{00000000-0005-0000-0000-0000C0010000}"/>
    <cellStyle name="Note 1 3 6 2" xfId="550" xr:uid="{00000000-0005-0000-0000-0000C1010000}"/>
    <cellStyle name="Note 1 3 7" xfId="466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5" xr:uid="{00000000-0005-0000-0000-0000C6010000}"/>
    <cellStyle name="Note 2 2 2 2 2" xfId="584" xr:uid="{00000000-0005-0000-0000-0000C7010000}"/>
    <cellStyle name="Note 2 2 2 3" xfId="446" xr:uid="{00000000-0005-0000-0000-0000C8010000}"/>
    <cellStyle name="Note 2 2 2 3 2" xfId="599" xr:uid="{00000000-0005-0000-0000-0000C9010000}"/>
    <cellStyle name="Note 2 2 2 4" xfId="310" xr:uid="{00000000-0005-0000-0000-0000CA010000}"/>
    <cellStyle name="Note 2 2 2 4 2" xfId="521" xr:uid="{00000000-0005-0000-0000-0000CB010000}"/>
    <cellStyle name="Note 2 2 2 5" xfId="348" xr:uid="{00000000-0005-0000-0000-0000CC010000}"/>
    <cellStyle name="Note 2 2 2 5 2" xfId="557" xr:uid="{00000000-0005-0000-0000-0000CD010000}"/>
    <cellStyle name="Note 2 2 2 6" xfId="322" xr:uid="{00000000-0005-0000-0000-0000CE010000}"/>
    <cellStyle name="Note 2 2 2 6 2" xfId="532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6" xr:uid="{00000000-0005-0000-0000-0000D2010000}"/>
    <cellStyle name="Note 2 3 2 2" xfId="585" xr:uid="{00000000-0005-0000-0000-0000D3010000}"/>
    <cellStyle name="Note 2 3 3" xfId="447" xr:uid="{00000000-0005-0000-0000-0000D4010000}"/>
    <cellStyle name="Note 2 3 3 2" xfId="600" xr:uid="{00000000-0005-0000-0000-0000D5010000}"/>
    <cellStyle name="Note 2 3 4" xfId="454" xr:uid="{00000000-0005-0000-0000-0000D6010000}"/>
    <cellStyle name="Note 2 3 4 2" xfId="605" xr:uid="{00000000-0005-0000-0000-0000D7010000}"/>
    <cellStyle name="Note 2 3 5" xfId="335" xr:uid="{00000000-0005-0000-0000-0000D8010000}"/>
    <cellStyle name="Note 2 3 5 2" xfId="545" xr:uid="{00000000-0005-0000-0000-0000D9010000}"/>
    <cellStyle name="Note 2 3 6" xfId="309" xr:uid="{00000000-0005-0000-0000-0000DA010000}"/>
    <cellStyle name="Note 2 3 6 2" xfId="520" xr:uid="{00000000-0005-0000-0000-0000DB010000}"/>
    <cellStyle name="Note 2 3 7" xfId="436" xr:uid="{00000000-0005-0000-0000-0000DC010000}"/>
    <cellStyle name="Note 3" xfId="214" xr:uid="{00000000-0005-0000-0000-0000DD010000}"/>
    <cellStyle name="Note 3 2" xfId="271" xr:uid="{00000000-0005-0000-0000-0000DE010000}"/>
    <cellStyle name="Note 3 2 2" xfId="427" xr:uid="{00000000-0005-0000-0000-0000DF010000}"/>
    <cellStyle name="Note 3 2 2 2" xfId="586" xr:uid="{00000000-0005-0000-0000-0000E0010000}"/>
    <cellStyle name="Note 3 2 3" xfId="448" xr:uid="{00000000-0005-0000-0000-0000E1010000}"/>
    <cellStyle name="Note 3 2 3 2" xfId="601" xr:uid="{00000000-0005-0000-0000-0000E2010000}"/>
    <cellStyle name="Note 3 2 4" xfId="455" xr:uid="{00000000-0005-0000-0000-0000E3010000}"/>
    <cellStyle name="Note 3 2 4 2" xfId="606" xr:uid="{00000000-0005-0000-0000-0000E4010000}"/>
    <cellStyle name="Note 3 2 5" xfId="458" xr:uid="{00000000-0005-0000-0000-0000E5010000}"/>
    <cellStyle name="Note 3 2 5 2" xfId="609" xr:uid="{00000000-0005-0000-0000-0000E6010000}"/>
    <cellStyle name="Note 3 2 6" xfId="386" xr:uid="{00000000-0005-0000-0000-0000E7010000}"/>
    <cellStyle name="Note 3 2 6 2" xfId="575" xr:uid="{00000000-0005-0000-0000-0000E8010000}"/>
    <cellStyle name="Note 3 2 7" xfId="342" xr:uid="{00000000-0005-0000-0000-0000E9010000}"/>
    <cellStyle name="Note 4" xfId="272" xr:uid="{00000000-0005-0000-0000-0000EA010000}"/>
    <cellStyle name="Note 4 2" xfId="428" xr:uid="{00000000-0005-0000-0000-0000EB010000}"/>
    <cellStyle name="Note 4 2 2" xfId="587" xr:uid="{00000000-0005-0000-0000-0000EC010000}"/>
    <cellStyle name="Note 4 3" xfId="449" xr:uid="{00000000-0005-0000-0000-0000ED010000}"/>
    <cellStyle name="Note 4 3 2" xfId="602" xr:uid="{00000000-0005-0000-0000-0000EE010000}"/>
    <cellStyle name="Note 4 4" xfId="442" xr:uid="{00000000-0005-0000-0000-0000EF010000}"/>
    <cellStyle name="Note 4 4 2" xfId="595" xr:uid="{00000000-0005-0000-0000-0000F0010000}"/>
    <cellStyle name="Note 4 5" xfId="459" xr:uid="{00000000-0005-0000-0000-0000F1010000}"/>
    <cellStyle name="Note 4 5 2" xfId="610" xr:uid="{00000000-0005-0000-0000-0000F2010000}"/>
    <cellStyle name="Note 4 6" xfId="347" xr:uid="{00000000-0005-0000-0000-0000F3010000}"/>
    <cellStyle name="Note 4 6 2" xfId="556" xr:uid="{00000000-0005-0000-0000-0000F4010000}"/>
    <cellStyle name="Note 4 7" xfId="453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5" xr:uid="{00000000-0005-0000-0000-0000F9010000}"/>
    <cellStyle name="Output 2 3" xfId="395" xr:uid="{00000000-0005-0000-0000-0000FA010000}"/>
    <cellStyle name="Output 2 3 2" xfId="579" xr:uid="{00000000-0005-0000-0000-0000FB010000}"/>
    <cellStyle name="Output 2 4" xfId="332" xr:uid="{00000000-0005-0000-0000-0000FC010000}"/>
    <cellStyle name="Output 2 4 2" xfId="542" xr:uid="{00000000-0005-0000-0000-0000FD010000}"/>
    <cellStyle name="Output 2 5" xfId="327" xr:uid="{00000000-0005-0000-0000-0000FE010000}"/>
    <cellStyle name="Output 2 5 2" xfId="537" xr:uid="{00000000-0005-0000-0000-0000FF010000}"/>
    <cellStyle name="Output 2 6" xfId="464" xr:uid="{00000000-0005-0000-0000-000000020000}"/>
    <cellStyle name="Output 2 6 2" xfId="614" xr:uid="{00000000-0005-0000-0000-000001020000}"/>
    <cellStyle name="Output 2 7" xfId="305" xr:uid="{00000000-0005-0000-0000-000002020000}"/>
    <cellStyle name="Output 3" xfId="366" xr:uid="{00000000-0005-0000-0000-000003020000}"/>
    <cellStyle name="Output 3 2" xfId="570" xr:uid="{00000000-0005-0000-0000-000004020000}"/>
    <cellStyle name="Output 4" xfId="344" xr:uid="{00000000-0005-0000-0000-000005020000}"/>
    <cellStyle name="Output 4 2" xfId="553" xr:uid="{00000000-0005-0000-0000-000006020000}"/>
    <cellStyle name="Output 5" xfId="343" xr:uid="{00000000-0005-0000-0000-000007020000}"/>
    <cellStyle name="Output 5 2" xfId="552" xr:uid="{00000000-0005-0000-0000-000008020000}"/>
    <cellStyle name="Output 6" xfId="440" xr:uid="{00000000-0005-0000-0000-000009020000}"/>
    <cellStyle name="Output 6 2" xfId="594" xr:uid="{00000000-0005-0000-0000-00000A020000}"/>
    <cellStyle name="Output 7" xfId="338" xr:uid="{00000000-0005-0000-0000-00000B020000}"/>
    <cellStyle name="Output 7 2" xfId="548" xr:uid="{00000000-0005-0000-0000-00000C020000}"/>
    <cellStyle name="Output 8" xfId="465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29" xr:uid="{00000000-0005-0000-0000-000015020000}"/>
    <cellStyle name="Porcentagem 5 3" xfId="513" xr:uid="{00000000-0005-0000-0000-000016020000}"/>
    <cellStyle name="Porcentagem 5 7" xfId="623" xr:uid="{00000000-0005-0000-0000-000017020000}"/>
    <cellStyle name="Porcentagem 6 5" xfId="628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8" xr:uid="{00000000-0005-0000-0000-000054020000}"/>
    <cellStyle name="Separador de milhares 7 2 2 3" xfId="514" xr:uid="{00000000-0005-0000-0000-000055020000}"/>
    <cellStyle name="Separador de milhares 7 2 3" xfId="397" xr:uid="{00000000-0005-0000-0000-000056020000}"/>
    <cellStyle name="Separador de milhares 7 2 4" xfId="489" xr:uid="{00000000-0005-0000-0000-000057020000}"/>
    <cellStyle name="Separador de milhares 8" xfId="296" xr:uid="{00000000-0005-0000-0000-000058020000}"/>
    <cellStyle name="Separador de milhares 8 2" xfId="439" xr:uid="{00000000-0005-0000-0000-000059020000}"/>
    <cellStyle name="Separador de milhares 8 3" xfId="515" xr:uid="{00000000-0005-0000-0000-00005A020000}"/>
    <cellStyle name="Separador de milhares 8 7" xfId="622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7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1" xr:uid="{00000000-0005-0000-0000-00006D020000}"/>
    <cellStyle name="Vírgula 5 2 3" xfId="516" xr:uid="{00000000-0005-0000-0000-00006E020000}"/>
    <cellStyle name="Vírgula 5 3" xfId="398" xr:uid="{00000000-0005-0000-0000-00006F020000}"/>
    <cellStyle name="Vírgula 5 4" xfId="490" xr:uid="{00000000-0005-0000-0000-000070020000}"/>
    <cellStyle name="Warning Text" xfId="140" xr:uid="{00000000-0005-0000-0000-000071020000}"/>
  </cellStyles>
  <dxfs count="4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E107"/>
  <sheetViews>
    <sheetView showFormulas="1" showGridLines="0" tabSelected="1" topLeftCell="E1" zoomScale="54" zoomScaleNormal="54" workbookViewId="0">
      <selection activeCell="I34" sqref="I1:T34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8.5703125" style="5" bestFit="1" customWidth="1"/>
    <col min="11" max="11" width="8.5703125" style="5" customWidth="1"/>
    <col min="12" max="12" width="16.140625" style="5" bestFit="1" customWidth="1"/>
    <col min="13" max="13" width="16.85546875" style="5" customWidth="1"/>
    <col min="14" max="14" width="15.28515625" style="5" customWidth="1"/>
    <col min="15" max="15" width="27" style="5" hidden="1" customWidth="1"/>
    <col min="16" max="16" width="13.85546875" style="5" hidden="1" customWidth="1"/>
    <col min="17" max="17" width="17.140625" style="84" customWidth="1"/>
    <col min="18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12.85546875" style="5" customWidth="1" outlineLevel="1"/>
    <col min="161" max="161" width="20.7109375" style="5" customWidth="1" outlineLevel="1"/>
    <col min="162" max="163" width="20.7109375" style="6" customWidth="1"/>
    <col min="164" max="164" width="82.28515625" style="6" customWidth="1" outlineLevel="1"/>
    <col min="165" max="165" width="84.140625" style="5" customWidth="1" outlineLevel="1"/>
    <col min="166" max="166" width="24.5703125" style="5" customWidth="1" outlineLevel="1"/>
    <col min="167" max="167" width="24.7109375" style="5" customWidth="1" outlineLevel="1"/>
    <col min="168" max="196" width="20.7109375" style="5" customWidth="1" outlineLevel="1"/>
    <col min="197" max="198" width="20.7109375" style="96" customWidth="1" outlineLevel="1"/>
    <col min="199" max="227" width="20.7109375" style="5" customWidth="1" outlineLevel="1"/>
    <col min="228" max="228" width="9.140625" style="5" customWidth="1" outlineLevel="1"/>
    <col min="229" max="229" width="9.140625" style="5" customWidth="1"/>
    <col min="230" max="233" width="9.140625" style="5"/>
    <col min="234" max="234" width="21.85546875" style="6" customWidth="1"/>
    <col min="235" max="235" width="9.5703125" style="5" bestFit="1" customWidth="1"/>
    <col min="236" max="236" width="15.42578125" style="274" customWidth="1" outlineLevel="1"/>
    <col min="237" max="237" width="12.7109375" style="275" customWidth="1" outlineLevel="1"/>
    <col min="238" max="238" width="17.28515625" style="276" customWidth="1" outlineLevel="1"/>
    <col min="239" max="239" width="14.28515625" style="5" bestFit="1" customWidth="1"/>
    <col min="240" max="16384" width="9.140625" style="5"/>
  </cols>
  <sheetData>
    <row r="1" spans="1:239" ht="18" customHeight="1" thickBot="1" x14ac:dyDescent="0.3">
      <c r="A1" s="784" t="s">
        <v>3235</v>
      </c>
      <c r="B1" s="784"/>
      <c r="C1" s="784"/>
      <c r="D1" s="784"/>
      <c r="E1" s="784"/>
      <c r="F1" s="784"/>
      <c r="G1" s="281" t="str">
        <f>'BASE C'!E4</f>
        <v>ABRIL</v>
      </c>
      <c r="H1" s="281"/>
      <c r="I1" s="780" t="s">
        <v>37</v>
      </c>
      <c r="J1" s="780"/>
      <c r="K1" s="8"/>
      <c r="L1" s="8"/>
      <c r="M1" s="8"/>
      <c r="N1" s="8"/>
      <c r="O1" s="8"/>
      <c r="P1" s="8"/>
      <c r="T1" s="84" t="s">
        <v>38</v>
      </c>
      <c r="EK1"/>
      <c r="EL1" s="786" t="s">
        <v>39</v>
      </c>
      <c r="EM1"/>
      <c r="EN1"/>
      <c r="EO1"/>
    </row>
    <row r="2" spans="1:239" s="78" customFormat="1" ht="44.25" customHeight="1" thickBot="1" x14ac:dyDescent="0.25">
      <c r="A2" s="784"/>
      <c r="B2" s="784"/>
      <c r="C2" s="784"/>
      <c r="D2" s="784"/>
      <c r="E2" s="784"/>
      <c r="F2" s="784"/>
      <c r="G2" s="282" t="s">
        <v>167</v>
      </c>
      <c r="H2" s="283"/>
      <c r="I2" s="780"/>
      <c r="J2" s="780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786"/>
      <c r="EM2" s="9"/>
      <c r="EO2" s="9"/>
      <c r="EP2" s="93"/>
      <c r="EQ2" s="93"/>
      <c r="ER2" s="93"/>
      <c r="ES2" s="93"/>
      <c r="ET2" s="93"/>
      <c r="EU2" s="93"/>
      <c r="EV2" s="91"/>
      <c r="EW2" s="92"/>
      <c r="FF2" s="9"/>
      <c r="FG2" s="9"/>
      <c r="FH2" s="9"/>
      <c r="GO2" s="97"/>
      <c r="GP2" s="97"/>
      <c r="HZ2" s="9"/>
      <c r="IB2" s="274"/>
      <c r="IC2" s="277"/>
      <c r="ID2" s="274"/>
    </row>
    <row r="3" spans="1:239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>EJ3+1</f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HC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/>
      <c r="FF3" s="94">
        <f>FD3+1</f>
        <v>158</v>
      </c>
      <c r="FG3" s="94"/>
      <c r="FH3" s="94">
        <f>FF3+1</f>
        <v>159</v>
      </c>
      <c r="FI3" s="94">
        <f t="shared" si="3"/>
        <v>160</v>
      </c>
      <c r="FJ3" s="94">
        <f t="shared" si="3"/>
        <v>161</v>
      </c>
      <c r="FK3" s="94"/>
      <c r="FL3" s="94">
        <f>FJ3+1</f>
        <v>162</v>
      </c>
      <c r="FM3" s="94">
        <f t="shared" si="3"/>
        <v>163</v>
      </c>
      <c r="FN3" s="94">
        <f t="shared" si="3"/>
        <v>164</v>
      </c>
      <c r="FO3" s="94">
        <f t="shared" si="3"/>
        <v>165</v>
      </c>
      <c r="FP3" s="94">
        <f t="shared" si="3"/>
        <v>166</v>
      </c>
      <c r="FQ3" s="94">
        <f t="shared" si="3"/>
        <v>167</v>
      </c>
      <c r="FR3" s="94">
        <f t="shared" si="3"/>
        <v>168</v>
      </c>
      <c r="FS3" s="94">
        <f t="shared" si="3"/>
        <v>169</v>
      </c>
      <c r="FT3" s="94">
        <f t="shared" si="3"/>
        <v>170</v>
      </c>
      <c r="FU3" s="94">
        <f t="shared" si="3"/>
        <v>171</v>
      </c>
      <c r="FV3" s="94">
        <f t="shared" si="3"/>
        <v>172</v>
      </c>
      <c r="FW3" s="94">
        <f t="shared" si="3"/>
        <v>173</v>
      </c>
      <c r="FX3" s="94">
        <f t="shared" si="3"/>
        <v>174</v>
      </c>
      <c r="FY3" s="94">
        <f t="shared" si="3"/>
        <v>175</v>
      </c>
      <c r="FZ3" s="94">
        <f t="shared" si="3"/>
        <v>176</v>
      </c>
      <c r="GA3" s="94">
        <f t="shared" si="3"/>
        <v>177</v>
      </c>
      <c r="GB3" s="94">
        <f t="shared" si="3"/>
        <v>178</v>
      </c>
      <c r="GC3" s="94">
        <f t="shared" si="3"/>
        <v>179</v>
      </c>
      <c r="GD3" s="94">
        <f t="shared" si="3"/>
        <v>180</v>
      </c>
      <c r="GE3" s="94">
        <f t="shared" si="3"/>
        <v>181</v>
      </c>
      <c r="GF3" s="94">
        <f t="shared" si="3"/>
        <v>182</v>
      </c>
      <c r="GG3" s="94">
        <f t="shared" si="3"/>
        <v>183</v>
      </c>
      <c r="GH3" s="94">
        <f t="shared" si="3"/>
        <v>184</v>
      </c>
      <c r="GI3" s="94">
        <f t="shared" si="3"/>
        <v>185</v>
      </c>
      <c r="GJ3" s="94">
        <f t="shared" si="3"/>
        <v>186</v>
      </c>
      <c r="GK3" s="94">
        <f t="shared" si="3"/>
        <v>187</v>
      </c>
      <c r="GL3" s="94">
        <f t="shared" si="3"/>
        <v>188</v>
      </c>
      <c r="GM3" s="94">
        <f t="shared" si="3"/>
        <v>189</v>
      </c>
      <c r="GN3" s="94">
        <f t="shared" si="3"/>
        <v>190</v>
      </c>
      <c r="GO3" s="94">
        <f t="shared" si="3"/>
        <v>191</v>
      </c>
      <c r="GP3" s="94">
        <f t="shared" si="3"/>
        <v>192</v>
      </c>
      <c r="GQ3" s="94">
        <f t="shared" si="3"/>
        <v>193</v>
      </c>
      <c r="GR3" s="94">
        <f t="shared" si="3"/>
        <v>194</v>
      </c>
      <c r="GS3" s="94">
        <f t="shared" si="3"/>
        <v>195</v>
      </c>
      <c r="GT3" s="94">
        <f t="shared" si="3"/>
        <v>196</v>
      </c>
      <c r="GU3" s="94">
        <f t="shared" si="3"/>
        <v>197</v>
      </c>
      <c r="GV3" s="94">
        <f t="shared" si="3"/>
        <v>198</v>
      </c>
      <c r="GW3" s="94">
        <f t="shared" si="3"/>
        <v>199</v>
      </c>
      <c r="GX3" s="94">
        <f t="shared" si="3"/>
        <v>200</v>
      </c>
      <c r="GY3" s="94">
        <f t="shared" si="3"/>
        <v>201</v>
      </c>
      <c r="GZ3" s="94">
        <f t="shared" si="3"/>
        <v>202</v>
      </c>
      <c r="HA3" s="94">
        <f t="shared" si="3"/>
        <v>203</v>
      </c>
      <c r="HB3" s="94">
        <f t="shared" si="3"/>
        <v>204</v>
      </c>
      <c r="HC3" s="94">
        <f t="shared" si="3"/>
        <v>205</v>
      </c>
      <c r="HD3" s="94">
        <f t="shared" ref="HD3:ID3" si="4">HC3+1</f>
        <v>206</v>
      </c>
      <c r="HE3" s="94">
        <f t="shared" si="4"/>
        <v>207</v>
      </c>
      <c r="HF3" s="94">
        <f t="shared" si="4"/>
        <v>208</v>
      </c>
      <c r="HG3" s="94">
        <f t="shared" si="4"/>
        <v>209</v>
      </c>
      <c r="HH3" s="94">
        <f t="shared" si="4"/>
        <v>210</v>
      </c>
      <c r="HI3" s="94">
        <f t="shared" si="4"/>
        <v>211</v>
      </c>
      <c r="HJ3" s="94">
        <f t="shared" si="4"/>
        <v>212</v>
      </c>
      <c r="HK3" s="94">
        <f t="shared" si="4"/>
        <v>213</v>
      </c>
      <c r="HL3" s="94">
        <f t="shared" si="4"/>
        <v>214</v>
      </c>
      <c r="HM3" s="94">
        <f t="shared" si="4"/>
        <v>215</v>
      </c>
      <c r="HN3" s="94">
        <f t="shared" si="4"/>
        <v>216</v>
      </c>
      <c r="HO3" s="94">
        <f t="shared" si="4"/>
        <v>217</v>
      </c>
      <c r="HP3" s="94">
        <f t="shared" si="4"/>
        <v>218</v>
      </c>
      <c r="HQ3" s="94">
        <f t="shared" si="4"/>
        <v>219</v>
      </c>
      <c r="HR3" s="94">
        <f t="shared" si="4"/>
        <v>220</v>
      </c>
      <c r="HS3" s="94">
        <f t="shared" si="4"/>
        <v>221</v>
      </c>
      <c r="HT3" s="94">
        <f t="shared" si="4"/>
        <v>222</v>
      </c>
      <c r="HU3" s="94">
        <f t="shared" si="4"/>
        <v>223</v>
      </c>
      <c r="HV3" s="94">
        <f t="shared" si="4"/>
        <v>224</v>
      </c>
      <c r="HW3" s="94">
        <f t="shared" si="4"/>
        <v>225</v>
      </c>
      <c r="HX3" s="94">
        <f t="shared" si="4"/>
        <v>226</v>
      </c>
      <c r="HY3" s="94">
        <f t="shared" si="4"/>
        <v>227</v>
      </c>
      <c r="HZ3" s="94">
        <f t="shared" si="4"/>
        <v>228</v>
      </c>
      <c r="IA3" s="94">
        <f t="shared" si="4"/>
        <v>229</v>
      </c>
      <c r="IB3" s="94">
        <f t="shared" si="4"/>
        <v>230</v>
      </c>
      <c r="IC3" s="94">
        <f t="shared" si="4"/>
        <v>231</v>
      </c>
      <c r="ID3" s="94">
        <f t="shared" si="4"/>
        <v>232</v>
      </c>
    </row>
    <row r="4" spans="1:239" s="63" customFormat="1" ht="42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34" t="s">
        <v>47</v>
      </c>
      <c r="O4" s="287" t="s">
        <v>168</v>
      </c>
      <c r="P4" s="287" t="s">
        <v>169</v>
      </c>
      <c r="Q4" s="781" t="str">
        <f>F5</f>
        <v>01/04/2026</v>
      </c>
      <c r="R4" s="782"/>
      <c r="S4" s="782"/>
      <c r="T4" s="783"/>
      <c r="U4" s="781">
        <f>Q4+1</f>
        <v>46114</v>
      </c>
      <c r="V4" s="785"/>
      <c r="W4" s="785"/>
      <c r="X4" s="783"/>
      <c r="Y4" s="781">
        <f>U4+1</f>
        <v>46115</v>
      </c>
      <c r="Z4" s="785"/>
      <c r="AA4" s="785"/>
      <c r="AB4" s="783"/>
      <c r="AC4" s="781">
        <f>Y4+1</f>
        <v>46116</v>
      </c>
      <c r="AD4" s="785"/>
      <c r="AE4" s="785"/>
      <c r="AF4" s="783"/>
      <c r="AG4" s="781">
        <f>AC4+1</f>
        <v>46117</v>
      </c>
      <c r="AH4" s="785"/>
      <c r="AI4" s="785"/>
      <c r="AJ4" s="783"/>
      <c r="AK4" s="781">
        <f>AG4+1</f>
        <v>46118</v>
      </c>
      <c r="AL4" s="785"/>
      <c r="AM4" s="785"/>
      <c r="AN4" s="783"/>
      <c r="AO4" s="781">
        <f>AK4+1</f>
        <v>46119</v>
      </c>
      <c r="AP4" s="785"/>
      <c r="AQ4" s="785"/>
      <c r="AR4" s="783"/>
      <c r="AS4" s="781">
        <f>AO4+1</f>
        <v>46120</v>
      </c>
      <c r="AT4" s="785"/>
      <c r="AU4" s="785"/>
      <c r="AV4" s="783"/>
      <c r="AW4" s="781">
        <f>AS4+1</f>
        <v>46121</v>
      </c>
      <c r="AX4" s="785"/>
      <c r="AY4" s="785"/>
      <c r="AZ4" s="783"/>
      <c r="BA4" s="781">
        <f>AW4+1</f>
        <v>46122</v>
      </c>
      <c r="BB4" s="785"/>
      <c r="BC4" s="785"/>
      <c r="BD4" s="783"/>
      <c r="BE4" s="781">
        <f>BA4+1</f>
        <v>46123</v>
      </c>
      <c r="BF4" s="785"/>
      <c r="BG4" s="785"/>
      <c r="BH4" s="783"/>
      <c r="BI4" s="781">
        <f>BE4+1</f>
        <v>46124</v>
      </c>
      <c r="BJ4" s="785"/>
      <c r="BK4" s="785"/>
      <c r="BL4" s="783"/>
      <c r="BM4" s="781">
        <f>BI4+1</f>
        <v>46125</v>
      </c>
      <c r="BN4" s="785"/>
      <c r="BO4" s="785"/>
      <c r="BP4" s="783"/>
      <c r="BQ4" s="781">
        <f>BM4+1</f>
        <v>46126</v>
      </c>
      <c r="BR4" s="785"/>
      <c r="BS4" s="785"/>
      <c r="BT4" s="783"/>
      <c r="BU4" s="781">
        <f>BQ4+1</f>
        <v>46127</v>
      </c>
      <c r="BV4" s="785"/>
      <c r="BW4" s="785"/>
      <c r="BX4" s="783"/>
      <c r="BY4" s="781">
        <f>BU4+1</f>
        <v>46128</v>
      </c>
      <c r="BZ4" s="785"/>
      <c r="CA4" s="785"/>
      <c r="CB4" s="783"/>
      <c r="CC4" s="781">
        <f>BY4+1</f>
        <v>46129</v>
      </c>
      <c r="CD4" s="785"/>
      <c r="CE4" s="785"/>
      <c r="CF4" s="783"/>
      <c r="CG4" s="781">
        <f>CC4+1</f>
        <v>46130</v>
      </c>
      <c r="CH4" s="785"/>
      <c r="CI4" s="785"/>
      <c r="CJ4" s="783"/>
      <c r="CK4" s="781">
        <f>CG4+1</f>
        <v>46131</v>
      </c>
      <c r="CL4" s="785"/>
      <c r="CM4" s="785"/>
      <c r="CN4" s="783"/>
      <c r="CO4" s="781">
        <f>CK4+1</f>
        <v>46132</v>
      </c>
      <c r="CP4" s="785"/>
      <c r="CQ4" s="785"/>
      <c r="CR4" s="783"/>
      <c r="CS4" s="781">
        <f>CO4+1</f>
        <v>46133</v>
      </c>
      <c r="CT4" s="785"/>
      <c r="CU4" s="785"/>
      <c r="CV4" s="783"/>
      <c r="CW4" s="781">
        <f>CS4+1</f>
        <v>46134</v>
      </c>
      <c r="CX4" s="785"/>
      <c r="CY4" s="785"/>
      <c r="CZ4" s="783"/>
      <c r="DA4" s="781">
        <f>CW4+1</f>
        <v>46135</v>
      </c>
      <c r="DB4" s="785"/>
      <c r="DC4" s="785"/>
      <c r="DD4" s="783"/>
      <c r="DE4" s="781">
        <f>DA4+1</f>
        <v>46136</v>
      </c>
      <c r="DF4" s="785"/>
      <c r="DG4" s="785"/>
      <c r="DH4" s="783"/>
      <c r="DI4" s="781">
        <f>DE4+1</f>
        <v>46137</v>
      </c>
      <c r="DJ4" s="785"/>
      <c r="DK4" s="785"/>
      <c r="DL4" s="783"/>
      <c r="DM4" s="781">
        <f>DI4+1</f>
        <v>46138</v>
      </c>
      <c r="DN4" s="785"/>
      <c r="DO4" s="785"/>
      <c r="DP4" s="783"/>
      <c r="DQ4" s="781">
        <f>DM4+1</f>
        <v>46139</v>
      </c>
      <c r="DR4" s="785"/>
      <c r="DS4" s="785"/>
      <c r="DT4" s="783"/>
      <c r="DU4" s="781">
        <f>DQ4+1</f>
        <v>46140</v>
      </c>
      <c r="DV4" s="785"/>
      <c r="DW4" s="785"/>
      <c r="DX4" s="783"/>
      <c r="DY4" s="781">
        <f>DU4+1</f>
        <v>46141</v>
      </c>
      <c r="DZ4" s="785"/>
      <c r="EA4" s="785"/>
      <c r="EB4" s="783"/>
      <c r="EC4" s="781">
        <f>DY4+1</f>
        <v>46142</v>
      </c>
      <c r="ED4" s="785"/>
      <c r="EE4" s="785"/>
      <c r="EF4" s="783"/>
      <c r="EG4" s="781"/>
      <c r="EH4" s="785"/>
      <c r="EI4" s="785"/>
      <c r="EJ4" s="783"/>
      <c r="EK4" s="332" t="s">
        <v>48</v>
      </c>
      <c r="EL4" s="333" t="s">
        <v>49</v>
      </c>
      <c r="EM4" s="340" t="s">
        <v>62</v>
      </c>
      <c r="EN4" s="340" t="s">
        <v>63</v>
      </c>
      <c r="EO4" s="341" t="s">
        <v>64</v>
      </c>
      <c r="EP4" s="148" t="s">
        <v>3224</v>
      </c>
      <c r="EQ4" s="148" t="s">
        <v>3223</v>
      </c>
      <c r="ER4" s="148" t="s">
        <v>51</v>
      </c>
      <c r="ES4" s="149" t="s">
        <v>3225</v>
      </c>
      <c r="ET4" s="149" t="s">
        <v>3226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663"/>
      <c r="FF4" s="155" t="s">
        <v>66</v>
      </c>
      <c r="FG4" s="658"/>
      <c r="FH4" s="156">
        <v>30</v>
      </c>
      <c r="FI4" s="157">
        <f>FH4-1</f>
        <v>29</v>
      </c>
      <c r="FJ4" s="157">
        <f>FI4-1</f>
        <v>28</v>
      </c>
      <c r="FK4" s="708"/>
      <c r="FL4" s="157">
        <f>FJ4-1</f>
        <v>27</v>
      </c>
      <c r="FM4" s="157">
        <f t="shared" ref="FM4:GI4" si="5">FL4-1</f>
        <v>26</v>
      </c>
      <c r="FN4" s="157">
        <f t="shared" si="5"/>
        <v>25</v>
      </c>
      <c r="FO4" s="157">
        <f t="shared" si="5"/>
        <v>24</v>
      </c>
      <c r="FP4" s="157">
        <f t="shared" si="5"/>
        <v>23</v>
      </c>
      <c r="FQ4" s="157">
        <f t="shared" si="5"/>
        <v>22</v>
      </c>
      <c r="FR4" s="157">
        <f t="shared" si="5"/>
        <v>21</v>
      </c>
      <c r="FS4" s="157">
        <f t="shared" si="5"/>
        <v>20</v>
      </c>
      <c r="FT4" s="157">
        <f t="shared" si="5"/>
        <v>19</v>
      </c>
      <c r="FU4" s="157">
        <f t="shared" si="5"/>
        <v>18</v>
      </c>
      <c r="FV4" s="157">
        <f t="shared" si="5"/>
        <v>17</v>
      </c>
      <c r="FW4" s="157">
        <f t="shared" si="5"/>
        <v>16</v>
      </c>
      <c r="FX4" s="157">
        <f t="shared" si="5"/>
        <v>15</v>
      </c>
      <c r="FY4" s="157">
        <f t="shared" si="5"/>
        <v>14</v>
      </c>
      <c r="FZ4" s="157">
        <f t="shared" si="5"/>
        <v>13</v>
      </c>
      <c r="GA4" s="157">
        <f t="shared" si="5"/>
        <v>12</v>
      </c>
      <c r="GB4" s="157">
        <f t="shared" si="5"/>
        <v>11</v>
      </c>
      <c r="GC4" s="157">
        <f t="shared" si="5"/>
        <v>10</v>
      </c>
      <c r="GD4" s="157">
        <f t="shared" si="5"/>
        <v>9</v>
      </c>
      <c r="GE4" s="157">
        <f t="shared" si="5"/>
        <v>8</v>
      </c>
      <c r="GF4" s="157">
        <f t="shared" si="5"/>
        <v>7</v>
      </c>
      <c r="GG4" s="157">
        <f t="shared" si="5"/>
        <v>6</v>
      </c>
      <c r="GH4" s="157">
        <f t="shared" si="5"/>
        <v>5</v>
      </c>
      <c r="GI4" s="157">
        <f t="shared" si="5"/>
        <v>4</v>
      </c>
      <c r="GJ4" s="157">
        <f>GI4-1</f>
        <v>3</v>
      </c>
      <c r="GK4" s="157">
        <f>GJ4-1</f>
        <v>2</v>
      </c>
      <c r="GL4" s="157">
        <f>GK4-1</f>
        <v>1</v>
      </c>
      <c r="GM4" s="158">
        <v>1</v>
      </c>
      <c r="GN4" s="159" t="s">
        <v>65</v>
      </c>
      <c r="GO4" s="99" t="s">
        <v>67</v>
      </c>
      <c r="GP4" s="99" t="s">
        <v>68</v>
      </c>
      <c r="GQ4" s="160">
        <v>29</v>
      </c>
      <c r="GR4" s="160">
        <f>GQ4-1</f>
        <v>28</v>
      </c>
      <c r="GS4" s="160">
        <f>GR4-1</f>
        <v>27</v>
      </c>
      <c r="GT4" s="160">
        <f>GS4-1</f>
        <v>26</v>
      </c>
      <c r="GU4" s="160">
        <f>GT4-1</f>
        <v>25</v>
      </c>
      <c r="GV4" s="160">
        <f t="shared" ref="GV4:HO4" si="6">GU4-1</f>
        <v>24</v>
      </c>
      <c r="GW4" s="160">
        <f t="shared" si="6"/>
        <v>23</v>
      </c>
      <c r="GX4" s="160">
        <f t="shared" si="6"/>
        <v>22</v>
      </c>
      <c r="GY4" s="160">
        <f t="shared" si="6"/>
        <v>21</v>
      </c>
      <c r="GZ4" s="160">
        <f t="shared" si="6"/>
        <v>20</v>
      </c>
      <c r="HA4" s="160">
        <f t="shared" si="6"/>
        <v>19</v>
      </c>
      <c r="HB4" s="160">
        <f t="shared" si="6"/>
        <v>18</v>
      </c>
      <c r="HC4" s="160">
        <f t="shared" si="6"/>
        <v>17</v>
      </c>
      <c r="HD4" s="160">
        <f t="shared" si="6"/>
        <v>16</v>
      </c>
      <c r="HE4" s="160">
        <f t="shared" si="6"/>
        <v>15</v>
      </c>
      <c r="HF4" s="160">
        <f t="shared" si="6"/>
        <v>14</v>
      </c>
      <c r="HG4" s="160">
        <f t="shared" si="6"/>
        <v>13</v>
      </c>
      <c r="HH4" s="160">
        <f t="shared" si="6"/>
        <v>12</v>
      </c>
      <c r="HI4" s="160">
        <f t="shared" si="6"/>
        <v>11</v>
      </c>
      <c r="HJ4" s="160">
        <f t="shared" si="6"/>
        <v>10</v>
      </c>
      <c r="HK4" s="160">
        <f t="shared" si="6"/>
        <v>9</v>
      </c>
      <c r="HL4" s="160">
        <f t="shared" si="6"/>
        <v>8</v>
      </c>
      <c r="HM4" s="160">
        <f t="shared" si="6"/>
        <v>7</v>
      </c>
      <c r="HN4" s="160">
        <f t="shared" si="6"/>
        <v>6</v>
      </c>
      <c r="HO4" s="160">
        <f t="shared" si="6"/>
        <v>5</v>
      </c>
      <c r="HP4" s="160">
        <f>HO4-1</f>
        <v>4</v>
      </c>
      <c r="HQ4" s="160">
        <f>HP4-1</f>
        <v>3</v>
      </c>
      <c r="HR4" s="160">
        <f>HQ4-1</f>
        <v>2</v>
      </c>
      <c r="HS4" s="160">
        <f>HR4-1</f>
        <v>1</v>
      </c>
      <c r="HZ4" s="155" t="s">
        <v>66</v>
      </c>
      <c r="IB4" s="278" t="s">
        <v>62</v>
      </c>
      <c r="IC4" s="278" t="s">
        <v>63</v>
      </c>
      <c r="ID4" s="279" t="s">
        <v>64</v>
      </c>
    </row>
    <row r="5" spans="1:239" s="10" customFormat="1" ht="29.25" customHeight="1" thickBot="1" x14ac:dyDescent="0.25">
      <c r="A5" s="154"/>
      <c r="B5" s="161"/>
      <c r="C5" s="161"/>
      <c r="D5" s="161"/>
      <c r="E5" s="161"/>
      <c r="F5" s="359" t="s">
        <v>3227</v>
      </c>
      <c r="G5" s="360" t="s">
        <v>3228</v>
      </c>
      <c r="H5" s="162"/>
      <c r="I5" s="163"/>
      <c r="J5" s="164"/>
      <c r="K5" s="164"/>
      <c r="L5" s="164"/>
      <c r="M5" s="164"/>
      <c r="N5" s="335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3"/>
      <c r="EL5" s="445"/>
      <c r="EM5" s="340"/>
      <c r="EN5" s="340"/>
      <c r="EO5" s="341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664"/>
      <c r="FF5" s="169"/>
      <c r="FG5" s="658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70"/>
      <c r="GO5" s="98"/>
      <c r="GP5" s="98"/>
      <c r="HZ5" s="169"/>
      <c r="IB5" s="278"/>
      <c r="IC5" s="278"/>
      <c r="ID5" s="279"/>
    </row>
    <row r="6" spans="1:239" s="64" customFormat="1" ht="22.5" customHeight="1" x14ac:dyDescent="0.25">
      <c r="A6" t="s">
        <v>3236</v>
      </c>
      <c r="B6" s="516" t="s">
        <v>3237</v>
      </c>
      <c r="C6" s="517">
        <v>1</v>
      </c>
      <c r="D6" s="518" t="s">
        <v>3238</v>
      </c>
      <c r="E6" s="518" t="s">
        <v>3239</v>
      </c>
      <c r="F6" s="519" t="s">
        <v>3227</v>
      </c>
      <c r="G6" s="519" t="s">
        <v>3228</v>
      </c>
      <c r="H6" s="344" t="s">
        <v>1402</v>
      </c>
      <c r="I6" s="345" t="s">
        <v>1333</v>
      </c>
      <c r="J6" s="403" t="s">
        <v>3229</v>
      </c>
      <c r="K6" s="404" t="s">
        <v>3230</v>
      </c>
      <c r="L6" s="329">
        <f>CONTINUA!BV6</f>
        <v>0</v>
      </c>
      <c r="M6" s="329">
        <f>CONTINUA!BW6</f>
        <v>0</v>
      </c>
      <c r="N6" s="336"/>
      <c r="O6" s="288" t="s">
        <v>3488</v>
      </c>
      <c r="P6" s="330" t="s">
        <v>206</v>
      </c>
      <c r="Q6" s="394"/>
      <c r="R6" s="395"/>
      <c r="S6" s="394"/>
      <c r="T6" s="395"/>
      <c r="U6" s="394"/>
      <c r="V6" s="395"/>
      <c r="W6" s="394"/>
      <c r="X6" s="395"/>
      <c r="Y6" s="394"/>
      <c r="Z6" s="395"/>
      <c r="AA6" s="394"/>
      <c r="AB6" s="395"/>
      <c r="AC6" s="394"/>
      <c r="AD6" s="395"/>
      <c r="AE6" s="394"/>
      <c r="AF6" s="395"/>
      <c r="AG6" s="394"/>
      <c r="AH6" s="395"/>
      <c r="AI6" s="394"/>
      <c r="AJ6" s="395"/>
      <c r="AK6" s="394"/>
      <c r="AL6" s="395"/>
      <c r="AM6" s="394"/>
      <c r="AN6" s="395"/>
      <c r="AO6" s="394"/>
      <c r="AP6" s="395"/>
      <c r="AQ6" s="394"/>
      <c r="AR6" s="395"/>
      <c r="AS6" s="394"/>
      <c r="AT6" s="395"/>
      <c r="AU6" s="394"/>
      <c r="AV6" s="395"/>
      <c r="AW6" s="394"/>
      <c r="AX6" s="395"/>
      <c r="AY6" s="394"/>
      <c r="AZ6" s="395"/>
      <c r="BA6" s="394"/>
      <c r="BB6" s="395"/>
      <c r="BC6" s="394"/>
      <c r="BD6" s="395"/>
      <c r="BE6" s="394"/>
      <c r="BF6" s="395"/>
      <c r="BG6" s="394"/>
      <c r="BH6" s="395"/>
      <c r="BI6" s="394"/>
      <c r="BJ6" s="395"/>
      <c r="BK6" s="394"/>
      <c r="BL6" s="395"/>
      <c r="BM6" s="394"/>
      <c r="BN6" s="395"/>
      <c r="BO6" s="394"/>
      <c r="BP6" s="395"/>
      <c r="BQ6" s="394"/>
      <c r="BR6" s="395"/>
      <c r="BS6" s="394"/>
      <c r="BT6" s="395"/>
      <c r="BU6" s="394"/>
      <c r="BV6" s="395"/>
      <c r="BW6" s="394"/>
      <c r="BX6" s="395"/>
      <c r="BY6" s="394"/>
      <c r="BZ6" s="395"/>
      <c r="CA6" s="394"/>
      <c r="CB6" s="395"/>
      <c r="CC6" s="394"/>
      <c r="CD6" s="395"/>
      <c r="CE6" s="394"/>
      <c r="CF6" s="395"/>
      <c r="CG6" s="394"/>
      <c r="CH6" s="395"/>
      <c r="CI6" s="394"/>
      <c r="CJ6" s="395"/>
      <c r="CK6" s="394"/>
      <c r="CL6" s="395"/>
      <c r="CM6" s="394"/>
      <c r="CN6" s="395"/>
      <c r="CO6" s="394"/>
      <c r="CP6" s="395"/>
      <c r="CQ6" s="394"/>
      <c r="CR6" s="395"/>
      <c r="CS6" s="394"/>
      <c r="CT6" s="395"/>
      <c r="CU6" s="394"/>
      <c r="CV6" s="395"/>
      <c r="CW6" s="394"/>
      <c r="CX6" s="395"/>
      <c r="CY6" s="394"/>
      <c r="CZ6" s="395"/>
      <c r="DA6" s="394"/>
      <c r="DB6" s="395"/>
      <c r="DC6" s="394"/>
      <c r="DD6" s="395"/>
      <c r="DE6" s="394"/>
      <c r="DF6" s="395"/>
      <c r="DG6" s="394"/>
      <c r="DH6" s="395"/>
      <c r="DI6" s="394"/>
      <c r="DJ6" s="395"/>
      <c r="DK6" s="394"/>
      <c r="DL6" s="395"/>
      <c r="DM6" s="394"/>
      <c r="DN6" s="395"/>
      <c r="DO6" s="394"/>
      <c r="DP6" s="395"/>
      <c r="DQ6" s="394"/>
      <c r="DR6" s="395"/>
      <c r="DS6" s="394"/>
      <c r="DT6" s="395"/>
      <c r="DU6" s="394"/>
      <c r="DV6" s="395"/>
      <c r="DW6" s="394"/>
      <c r="DX6" s="395"/>
      <c r="DY6" s="394"/>
      <c r="DZ6" s="395"/>
      <c r="EA6" s="394"/>
      <c r="EB6" s="395"/>
      <c r="EC6" s="394"/>
      <c r="ED6" s="395"/>
      <c r="EE6" s="394"/>
      <c r="EF6" s="395"/>
      <c r="EG6" s="394"/>
      <c r="EH6" s="395"/>
      <c r="EI6" s="394"/>
      <c r="EJ6" s="441"/>
      <c r="EK6" s="504"/>
      <c r="EL6" s="507"/>
      <c r="EM6" s="514"/>
      <c r="EN6" s="514"/>
      <c r="EO6" s="514"/>
      <c r="EP6" s="171">
        <f>Q6</f>
        <v>0</v>
      </c>
      <c r="EQ6" s="171">
        <f>U6+Y6+AC6+AG6+AK6+AO6+AS6+AW6+BA6+BE6+BI6+BM6+BQ6+BU6+BY6+CC6+CG6+CK6+CO6+CS6+CW6+DA6+DE6+DI6+DM6+DQ6+DU6+DY6+EC6+EG6</f>
        <v>0</v>
      </c>
      <c r="ER6" s="171">
        <f>S6+W6+AA6+AE6+AI6+AM6+AQ6+AU6+AY6+BC6+BG6+BK6+BO6+BS6+BW6+CA6+CE6+CI6+CM6+CQ6+CU6+CY6+DC6+DG6+DK6+DO6+DS6+DW6+EA6+EE6+EI6</f>
        <v>0</v>
      </c>
      <c r="ES6" s="171">
        <f>R6</f>
        <v>0</v>
      </c>
      <c r="ET6" s="171">
        <f>V6+Z6+AD6+AH6+AL6+AP6+AT6+AX6+BB6+BF6+BJ6+BN6+BR6+BV6+BZ6+CD6+CH6+CL6+CP6+CT6+CX6+DB6+DF6+DJ6+DN6+DR6+DV6+DZ6+ED6+EH6</f>
        <v>0</v>
      </c>
      <c r="EU6" s="171">
        <f>T6+X6+AB6+AF6+AJ6+AN6+AR6+AV6+AZ6+BD6+BH6+BL6+BP6+BT6+BX6+CB6+CF6+CJ6+CN6+CR6+CV6+CZ6+DD6+DH6+DL6+DP6+DT6+DX6+EB6+EF6+EJ6</f>
        <v>0</v>
      </c>
      <c r="EV6" s="172">
        <f>EP6+EQ6+ES6+ET6+ER6+EU6</f>
        <v>0</v>
      </c>
      <c r="EW6" s="361">
        <f>IF(C6=4,IF(MAX(Q6:EJ8)&gt;0,(Especiall/30*(IF(($G6-$F6)=($G$5-$F$5),30,IF(DAY($G6)=31,($G6-$F6),($G6-$F6)+1)))),0),0)</f>
        <v>0</v>
      </c>
      <c r="EX6" s="248">
        <f>FH6</f>
        <v>0</v>
      </c>
      <c r="EY6" s="174">
        <f>(L6*regular)+(M6*Cadeirantee)</f>
        <v>0</v>
      </c>
      <c r="EZ6" s="249">
        <f>SUMIF(FI6:GM6,"&gt;0")</f>
        <v>603.52700000000004</v>
      </c>
      <c r="FA6" s="249">
        <f>SUMIF(FI6:GM6,"&lt;0")+SUMIF(GQ6:HS6,"&lt;0")</f>
        <v>-218.29700000000003</v>
      </c>
      <c r="FB6" s="174">
        <v>0</v>
      </c>
      <c r="FC6" s="175">
        <f>N6*km*'VALORES TABELA'!$B$13</f>
        <v>0</v>
      </c>
      <c r="FD6" s="250">
        <f>GO6</f>
        <v>0</v>
      </c>
      <c r="FE6" s="665"/>
      <c r="FF6" s="176">
        <f>(EW6+EW7+EW8+EW9+EX6+EX7+EX8+EX9+EY6+EY7+EY8+EY9+EY10+EZ6+EZ7+EZ8+EZ9+FA6+FA7+FA8+FA9+FC6+FC7+FC8+FC9+IB6-IC6-ID6+FD6+FD7+FD8+FD9+FB10)</f>
        <v>880.27037500000017</v>
      </c>
      <c r="FG6" s="659"/>
      <c r="FH6" s="177">
        <f>IF(C6=4,FH36,IF(C6=3,+L62,IF(C6=2,+L50+K69,IF(C6=1,IF(J20&lt;=15,+FH53,IF(J20&gt;=16,+FH78))))))</f>
        <v>0</v>
      </c>
      <c r="FI6" s="177">
        <f>IF(C6=4,SUM(U6+U7+U8+W6+W7+W8)*Percapita/30*FI$4+(V6+V7+V8+X6+X7+X8)*Cadeirante/30*FI$4,IF(C6=3,IF(U9+W9=10,Fixo/30*FI$4+(U6+U7+U8+W6+W7+W8)*Percapita/30*FI$4+(V9+X9)*Cadeirante/30*FI$4,IF(U9+W9&lt;=9,(U9+W9)*Crechee/30*FI$4)+(V9+X9)*Cadeirante/30*FI$4+(U6+U7+U8+W6+W7+W8)*Percapita/30*FI$4)+IF(U9+W9&gt;=11,Fixo/30*FI$4+(U9+W9-10)*Crechee/30*FI$4,0),IF(C6=2,IF(V6+V7+V8+V9+X6+X7+X8+X9=1,Cadeirante/30*FI$4,IF(V6+V7+V8+V9+X6+X7+X8+X9=2,Fixo/30*FI$4,IF(V6+V7+V8+V9+X6+X7+X8+X9&gt;2,Fixo/30*FI$4+(V6+V7+V8+V9+X6+X7+X8+X9-2)*Cadeirante/30*FI$4)))+(U6+U7+U8+W6+W7+W8)*Percapita/30*FI$4+(U9+W9)*Crechee/30*FI$4,IF(C6=1,IF(U6+U7+U8+V6+V7+V8+W6+W7+W8+X6+X7+X8&lt;=15,(U6+U7+U8+W6+W7+W8)*Percapita/30*FI$4,IF(U6+U7+U8+V6+V7+V8+W6+W7+W8+X6+X7+X8&gt;=16,Fixo/30*FI$4+(U6+U7+U8+V6+V7+V8+W6+W7+W8+X6+X7-16)*Percapita/30*FI$4))))))</f>
        <v>0</v>
      </c>
      <c r="FJ6" s="177">
        <f>IF(C6=4,SUM(Y6+Y7+Y8+AA6+AA7+AA8)*Percapita/30*FJ$4+(Z6+Z7+Z8+AB6+AB7+AB8)*Cadeirante/30*FJ$4,IF(C6=3,IF(Y9+AA9=10,Fixo/30*FJ$4+(Y6+Y7+Y8+AA6+AA7+AA8)*Percapita/30*FJ$4+(Z9+AB9)*Cadeirante/30*FJ$4,IF(Y9+AA9&lt;=9,(Y9+AA9)*Crechee/30*FJ$4)+(Z9+AB9)*Cadeirante/30*FJ$4+(Y6+Y7+Y8+AA6+AA7+AA8)*Percapita/30*FJ$4)+IF(Y9+AA9&gt;=11,Fixo/30*FJ$4+(Y9+AA9-10)*Crechee/30*FJ$4,0),IF(C6=2,IF(Z6+Z7+Z8+Z9+AB6+AB7+AB8+AB9=1,Cadeirante/30*FJ$4,IF(Z6+Z7+Z8+Z9+AB6+AB7+AB8+AB9=2,Fixo/30*FJ$4,IF(Z6+Z7+Z8+Z9+AB6+AB7+AB8+AB9&gt;2,Fixo/30*FJ$4+(Z6+Z7+Z8+Z9+AB6+AB7+AB8+AB9-2)*Cadeirante/30*FJ$4)))+(Y6+Y7+Y8+AA6+AA7+AA8)*Percapita/30*FJ$4+(Y9+AA9)*Crechee/30*FJ$4,IF(C6=1,IF(Y6+Y7+Y8+Z6+Z7+Z8+AA6+AA7+AA8+AB6+AB7+AB8&lt;=15,(Y6+Y7+Y8+AA6+AA7+AA8)*Percapita/30*FJ$4,IF(Y6+Y7+Y8+Z6+Z7+Z8+AA6+AA7+AA8+AB6+AB7+AB8&gt;=16,Fixo/30*FJ$4+(Y6+Y7+Y8+Z6+Z7+Z8+AA6+AA7+AA8+AB6+AB7-16)*Percapita/30*FJ$4))))))</f>
        <v>0</v>
      </c>
      <c r="FK6" s="177"/>
      <c r="FL6" s="177">
        <f>IF(C6=4,SUM(AC6+AC7+AC8+AE6+AE7+AE8)*Percapita/30*FL$4+(AD6+AD7+AD8+AF6+AF7+AF8)*Cadeirante/30*FL$4,IF(C6=3,IF(AC9+AE9=10,Fixo/30*FL$4+(AC6+AC7+AC8+AE6+AE7+AE8)*Percapita/30*FL$4+(AD9+AF9)*Cadeirante/30*FL$4,IF(AC9+AE9&lt;=9,(AC9+AE9)*Crechee/30*FL$4)+(AD9+AF9)*Cadeirante/30*FL$4+(AC6+AC7+AC8+AE6+AE7+AE8)*Percapita/30*FL$4)+IF(AC9+AE9&gt;=11,Fixo/30*FL$4+(AC9+AE9-10)*Crechee/30*FL$4,0),IF(C6=2,IF(AD6+AD7+AD8+AD9+AF6+AF7+AF8+AF9=1,Cadeirante/30*FL$4,IF(AD6+AD7+AD8+AD9+AF6+AF7+AF8+AF9=2,Fixo/30*FL$4,IF(AD6+AD7+AD8+AD9+AF6+AF7+AF8+AF9&gt;2,Fixo/30*FL$4+(AD6+AD7+AD8+AD9+AF6+AF7+AF8+AF9-2)*Cadeirante/30*FL$4)))+(AC6+AC7+AC8+AE6+AE7+AE8)*Percapita/30*FL$4+(AC9+AE9)*Crechee/30*FL$4,IF(C6=1,IF(AC6+AC7+AC8+AD6+AD7+AD8+AE6+AE7+AE8+AF6+AF7+AF8&lt;=15,(AC6+AC7+AC8+AE6+AE7+AE8)*Percapita/30*FL$4,IF(AC6+AC7+AC8+AD6+AD7+AD8+AE6+AE7+AE8+AF6+AF7+AF8&gt;=16,Fixo/30*FL$4+(AC6+AC7+AC8+AD6+AD7+AD8+AE6+AE7+AE8+AF6+AF7-16)*Percapita/30*FL$4))))))</f>
        <v>0</v>
      </c>
      <c r="FM6" s="177">
        <f>IF(C6=4,SUM(AG6+AG7+AG8+AI6+AI7+AI8)*Percapita/30*FM$4+(AH6+AH7+AH8+AJ6+AJ7+AJ8)*Cadeirante/30*FM$4,IF(C6=3,IF(AG9+AI9=10,Fixo/30*FM$4+(AG6+AG7+AG8+AI6+AI7+AI8)*Percapita/30*FM$4+(AH9+AJ9)*Cadeirante/30*FM$4,IF(AG9+AI9&lt;=9,(AG9+AI9)*Crechee/30*FM$4)+(AH9+AJ9)*Cadeirante/30*FM$4+(AG6+AG7+AG8+AI6+AI7+AI8)*Percapita/30*FM$4)+IF(AG9+AI9&gt;=11,Fixo/30*FM$4+(AG9+AI9-10)*Crechee/30*FM$4,0),IF(C6=2,IF(AH6+AH7+AH8+AH9+AJ6+AJ7+AJ8+AJ9=1,Cadeirante/30*FM$4,IF(AH6+AH7+AH8+AH9+AJ6+AJ7+AJ8+AJ9=2,Fixo/30*FM$4,IF(AH6+AH7+AH8+AH9+AJ6+AJ7+AJ8+AJ9&gt;2,Fixo/30*FM$4+(AH6+AH7+AH8+AH9+AJ6+AJ7+AJ8+AJ9-2)*Cadeirante/30*FM$4)))+(AG6+AG7+AG8+AI6+AI7+AI8)*Percapita/30*FM$4+(AG9+AI9)*Crechee/30*FM$4,IF(C6=1,IF(AG6+AG7+AG8+AH6+AH7+AH8+AI6+AI7+AI8+AJ6+AJ7+AJ8&lt;=15,(AG6+AG7+AG8+AI6+AI7+AI8)*Percapita/30*FM$4,IF(AG6+AG7+AG8+AH6+AH7+AH8+AI6+AI7+AI8+AJ6+AJ7+AJ8&gt;=16,Fixo/30*FM$4+(AG6+AG7+AG8+AH6+AH7+AH8+AI6+AI7+AI8+AJ6+AJ7-16)*Percapita/30*FM$4))))))</f>
        <v>0</v>
      </c>
      <c r="FN6" s="177">
        <f>IF(C6=4,SUM(AK6+AK7+AK8+AM6+AM7+AM8)*Percapita/30*FN$4+(AL6+AL7+AL8+AN6+AN7+AN8)*Cadeirante/30*FN$4,IF(C6=3,IF(AK9+AM9=10,Fixo/30*FN$4+(AK6+AK7+AK8+AM6+AM7+AM8)*Percapita/30*FN$4+(AL9+AN9)*Cadeirante/30*FN$4,IF(AK9+AM9&lt;=9,(AK9+AM9)*Crechee/30*FN$4)+(AL9+AN9)*Cadeirante/30*FN$4+(AK6+AK7+AK8+AM6+AM7+AM8)*Percapita/30*FN$4)+IF(AK9+AM9&gt;=11,Fixo/30*FN$4+(AK9+AM9-10)*Crechee/30*FN$4,0),IF(C6=2,IF(AL6+AL7+AL8+AL9+AN6+AN7+AN8+AN9=1,Cadeirante/30*FN$4,IF(AL6+AL7+AL8+AL9+AN6+AN7+AN8+AN9=2,Fixo/30*FN$4,IF(AL6+AL7+AL8+AL9+AN6+AN7+AN8+AN9&gt;2,Fixo/30*FN$4+(AL6+AL7+AL8+AL9+AN6+AN7+AN8+AN9-2)*Cadeirante/30*FN$4)))+(AK6+AK7+AK8+AM6+AM7+AM8)*Percapita/30*FN$4+(AK9+AM9)*Crechee/30*FN$4,IF(C6=1,IF(AK6+AK7+AK8+AL6+AL7+AL8+AM6+AM7+AM8+AN6+AN7+AN8&lt;=15,(AK6+AK7+AK8+AM6+AM7+AM8)*Percapita/30*FN$4,IF(AK6+AK7+AK8+AL6+AL7+AL8+AM6+AM7+AM8+AN6+AN7+AN8&gt;=16,Fixo/30*FN$4+(AK6+AK7+AK8+AL6+AL7+AL8+AM6+AM7+AM8+AN6+AN7-16)*Percapita/30*FN$4))))))</f>
        <v>0</v>
      </c>
      <c r="FO6" s="177">
        <f>IF(C6=4,SUM(AO6+AO7+AO8+AQ6+AQ7+AQ8)*Percapita/30*FO$4+(AP6+AP7+AP8+AR6+AR7+AR8)*Cadeirante/30*FO$4,IF(C6=3,IF(AO9+AQ9=10,Fixo/30*FO$4+(AO6+AO7+AO8+AQ6+AQ7+AQ8)*Percapita/30*FO$4+(AP9+AR9)*Cadeirante/30*FO$4,IF(AO9+AQ9&lt;=9,(AO9+AQ9)*Crechee/30*FO$4)+(AP9+AR9)*Cadeirante/30*FO$4+(AO6+AO7+AO8+AQ6+AQ7+AQ8)*Percapita/30*FO$4)+IF(AO9+AQ9&gt;=11,Fixo/30*FO$4+(AO9+AQ9-10)*Crechee/30*FO$4,0),IF(C6=2,IF(AP6+AP7+AP8+AP9+AR6+AR7+AR8+AR9=1,Cadeirante/30*FO$4,IF(AP6+AP7+AP8+AP9+AR6+AR7+AR8+AR9=2,Fixo/30*FO$4,IF(AP6+AP7+AP8+AP9+AR6+AR7+AR8+AR9&gt;2,Fixo/30*FO$4+(AP6+AP7+AP8+AP9+AR6+AR7+AR8+AR9-2)*Cadeirante/30*FO$4)))+(AO6+AO7+AO8+AQ6+AQ7+AQ8)*Percapita/30*FO$4+(AO9+AQ9)*Crechee/30*FO$4,IF(C6=1,IF(AO6+AO7+AO8+AP6+AP7+AP8+AQ6+AQ7+AQ8+AR6+AR7+AR8&lt;=15,(AO6+AO7+AO8+AQ6+AQ7+AQ8)*Percapita/30*FO$4,IF(AO6+AO7+AO8+AP6+AP7+AP8+AQ6+AQ7+AQ8+AR6+AR7+AR8&gt;=16,Fixo/30*FO$4+(AO6+AO7+AO8+AP6+AP7+AP8+AQ6+AQ7+AQ8+AR6+AR7-16)*Percapita/30*FO$4))))))</f>
        <v>308.18400000000003</v>
      </c>
      <c r="FP6" s="177">
        <f>IF(C6=4,SUM(AS6+AS7+AS8+AU6+AU7+AU8)*Percapita/30*FP$4+(AT6+AT7+AT8+AV6+AV7+AV8)*Cadeirante/30*FP$4,IF(C6=3,IF(AS9+AU9=10,Fixo/30*FP$4+(AS6+AS7+AS8+AU6+AU7+AU8)*Percapita/30*FP$4+(AT9+AV9)*Cadeirante/30*FP$4,IF(AS9+AU9&lt;=9,(AS9+AU9)*Crechee/30*FP$4)+(AT9+AV9)*Cadeirante/30*FP$4+(AS6+AS7+AS8+AU6+AU7+AU8)*Percapita/30*FP$4)+IF(AS9+AU9&gt;=11,Fixo/30*FP$4+(AS9+AU9-10)*Crechee/30*FP$4,0),IF(C6=2,IF(AT6+AT7+AT8+AT9+AV6+AV7+AV8+AV9=1,Cadeirante/30*FP$4,IF(AT6+AT7+AT8+AT9+AV6+AV7+AV8+AV9=2,Fixo/30*FP$4,IF(AT6+AT7+AT8+AT9+AV6+AV7+AV8+AV9&gt;2,Fixo/30*FP$4+(AT6+AT7+AT8+AT9+AV6+AV7+AV8+AV9-2)*Cadeirante/30*FP$4)))+(AS6+AS7+AS8+AU6+AU7+AU8)*Percapita/30*FP$4+(AS9+AU9)*Crechee/30*FP$4,IF(C6=1,IF(AS6+AS7+AS8+AT6+AT7+AT8+AU6+AU7+AU8+AV6+AV7+AV8&lt;=15,(AS6+AS7+AS8+AU6+AU7+AU8)*Percapita/30*FP$4,IF(AS6+AS7+AS8+AT6+AT7+AT8+AU6+AU7+AU8+AV6+AV7+AV8&gt;=16,Fixo/30*FP$4+(AS6+AS7+AS8+AT6+AT7+AT8+AU6+AU7+AU8+AV6+AV7-16)*Percapita/30*FP$4))))))</f>
        <v>295.34300000000002</v>
      </c>
      <c r="FQ6" s="177">
        <f>IF(C6=4,SUM(AW6+AW7+AW8+AY6+AY7+AY8)*Percapita/30*FQ$4+(AX6+AX7+AX8+AZ6+AZ7+AZ8)*Cadeirante/30*FQ$4,IF(C6=3,IF(AW9+AY9=10,Fixo/30*FQ$4+(AW6+AW7+AW8+AY6+AY7+AY8)*Percapita/30*FQ$4+(AX9+AZ9)*Cadeirante/30*FQ$4,IF(AW9+AY9&lt;=9,(AW9+AY9)*Crechee/30*FQ$4)+(AX9+AZ9)*Cadeirante/30*FQ$4+(AW6+AW7+AW8+AY6+AY7+AY8)*Percapita/30*FQ$4)+IF(AW9+AY9&gt;=11,Fixo/30*FQ$4+(AW9+AY9-10)*Crechee/30*FQ$4,0),IF(C6=2,IF(AX6+AX7+AX8+AX9+AZ6+AZ7+AZ8+AZ9=1,Cadeirante/30*FQ$4,IF(AX6+AX7+AX8+AX9+AZ6+AZ7+AZ8+AZ9=2,Fixo/30*FQ$4,IF(AX6+AX7+AX8+AX9+AZ6+AZ7+AZ8+AZ9&gt;2,Fixo/30*FQ$4+(AX6+AX7+AX8+AX9+AZ6+AZ7+AZ8+AZ9-2)*Cadeirante/30*FQ$4)))+(AW6+AW7+AW8+AY6+AY7+AY8)*Percapita/30*FQ$4+(AW9+AY9)*Crechee/30*FQ$4,IF(C6=1,IF(AW6+AW7+AW8+AX6+AX7+AX8+AY6+AY7+AY8+AZ6+AZ7+AZ8&lt;=15,(AW6+AW7+AW8+AY6+AY7+AY8)*Percapita/30*FQ$4,IF(AW6+AW7+AW8+AX6+AX7+AX8+AY6+AY7+AY8+AZ6+AZ7+AZ8&gt;=16,Fixo/30*FQ$4+(AW6+AW7+AW8+AX6+AX7+AX8+AY6+AY7+AY8+AZ6+AZ7-16)*Percapita/30*FQ$4))))))</f>
        <v>0</v>
      </c>
      <c r="FR6" s="177">
        <f>IF(C6=4,SUM(BA6+BA7+BA8+BC6+BC7+BC8)*Percapita/30*FR$4+(BB6+BB7+BB8+BD6+BD7+BD8)*Cadeirante/30*FR$4,IF(C6=3,IF(BA9+BC9=10,Fixo/30*FR$4+(BA6+BA7+BA8+BC6+BC7+BC8)*Percapita/30*FR$4+(BB9+BD9)*Cadeirante/30*FR$4,IF(BA9+BC9&lt;=9,(BA9+BC9)*Crechee/30*FR$4)+(BB9+BD9)*Cadeirante/30*FR$4+(BA6+BA7+BA8+BC6+BC7+BC8)*Percapita/30*FR$4)+IF(BA9+BC9&gt;=11,Fixo/30*FR$4+(BA9+BC9-10)*Crechee/30*FR$4,0),IF(C6=2,IF(BB6+BB7+BB8+BB9+BD6+BD7+BD8+BD9=1,Cadeirante/30*FR$4,IF(BB6+BB7+BB8+BB9+BD6+BD7+BD8+BD9=2,Fixo/30*FR$4,IF(BB6+BB7+BB8+BB9+BD6+BD7+BD8+BD9&gt;2,Fixo/30*FR$4+(BB6+BB7+BB8+BB9+BD6+BD7+BD8+BD9-2)*Cadeirante/30*FR$4)))+(BA6+BA7+BA8+BC6+BC7+BC8)*Percapita/30*FR$4+(BA9+BC9)*Crechee/30*FR$4,IF(C6=1,IF(BA6+BA7+BA8+BB6+BB7+BB8+BC6+BC7+BC8+BD6+BD7+BD8&lt;=15,(BA6+BA7+BA8+BC6+BC7+BC8)*Percapita/30*FR$4,IF(BA6+BA7+BA8+BB6+BB7+BB8+BC6+BC7+BC8+BD6+BD7+BD8&gt;=16,Fixo/30*FR$4+(BA6+BA7+BA8+BB6+BB7+BB8+BC6+BC7+BC8+BD6+BD7-16)*Percapita/30*FR$4))))))</f>
        <v>0</v>
      </c>
      <c r="FS6" s="177">
        <f>IF(C6=4,SUM(BE6+BE7+BE8+BG6+BG7+BG8)*Percapita/30*FS$4+(BF6+BF7+BF8+BH6+BH7+BH8)*Cadeirante/30*FS$4,IF(C6=3,IF(BE9+BG9=10,Fixo/30*FS$4+(BE6+BE7+BE8+BG6+BG7+BG8)*Percapita/30*FS$4+(BF9+BH9)*Cadeirante/30*FS$4,IF(BE9+BG9&lt;=9,(BE9+BG9)*Crechee/30*FS$4)+(BF9+BH9)*Cadeirante/30*FS$4+(BE6+BE7+BE8+BG6+BG7+BG8)*Percapita/30*FS$4)+IF(BE9+BG9&gt;=11,Fixo/30*FS$4+(BE9+BG9-10)*Crechee/30*FS$4,0),IF(C6=2,IF(BF6+BF7+BF8+BF9+BH6+BH7+BH8+BH9=1,Cadeirante/30*FS$4,IF(BF6+BF7+BF8+BF9+BH6+BH7+BH8+BH9=2,Fixo/30*FS$4,IF(BF6+BF7+BF8+BF9+BH6+BH7+BH8+BH9&gt;2,Fixo/30*FS$4+(BF6+BF7+BF8+BF9+BH6+BH7+BH8+BH9-2)*Cadeirante/30*FS$4)))+(BE6+BE7+BE8+BG6+BG7+BG8)*Percapita/30*FS$4+(BE9+BG9)*Crechee/30*FS$4,IF(C6=1,IF(BE6+BE7+BE8+BF6+BF7+BF8+BG6+BG7+BG8+BH6+BH7+BH8&lt;=15,(BE6+BE7+BE8+BG6+BG7+BG8)*Percapita/30*FS$4,IF(BE6+BE7+BE8+BF6+BF7+BF8+BG6+BG7+BG8+BH6+BH7+BH8&gt;=16,Fixo/30*FS$4+(BE6+BE7+BE8+BF6+BF7+BF8+BG6+BG7+BG8+BH6+BH7-16)*Percapita/30*FS$4))))))</f>
        <v>0</v>
      </c>
      <c r="FT6" s="177">
        <f>IF(C6=4,SUM(BI6+BI7+BI8+BK6+BK7+BK8)*Percapita/30*FT$4+(BJ6+BJ7+BJ8+BL6+BL7+BL8)*Cadeirante/30*FT$4,IF(C6=3,IF(BI9+BK9=10,Fixo/30*FT$4+(BI6+BI7+BI8+BK6+BK7+BK8)*Percapita/30*FT$4+(BJ9+BL9)*Cadeirante/30*FT$4,IF(BI9+BK9&lt;=9,(BI9+BK9)*Crechee/30*FT$4)+(BJ9+BL9)*Cadeirante/30*FT$4+(BI6+BI7+BI8+BK6+BK7+BK8)*Percapita/30*FT$4)+IF(BI9+BK9&gt;=11,Fixo/30*FT$4+(BI9+BK9-10)*Crechee/30*FT$4,0),IF(C6=2,IF(BJ6+BJ7+BJ8+BJ9+BL6+BL7+BL8+BL9=1,Cadeirante/30*FT$4,IF(BJ6+BJ7+BJ8+BJ9+BL6+BL7+BL8+BL9=2,Fixo/30*FT$4,IF(BJ6+BJ7+BJ8+BJ9+BL6+BL7+BL8+BL9&gt;2,Fixo/30*FT$4+(BJ6+BJ7+BJ8+BJ9+BL6+BL7+BL8+BL9-2)*Cadeirante/30*FT$4)))+(BI6+BI7+BI8+BK6+BK7+BK8)*Percapita/30*FT$4+(BI9+BK9)*Crechee/30*FT$4,IF(C6=1,IF(BI6+BI7+BI8+BJ6+BJ7+BJ8+BK6+BK7+BK8+BL6+BL7+BL8&lt;=15,(BI6+BI7+BI8+BK6+BK7+BK8)*Percapita/30*FT$4,IF(BI6+BI7+BI8+BJ6+BJ7+BJ8+BK6+BK7+BK8+BL6+BL7+BL8&gt;=16,Fixo/30*FT$4+(BI6+BI7+BI8+BJ6+BJ7+BJ8+BK6+BK7+BK8+BL6+BL7-16)*Percapita/30*FT$4))))))</f>
        <v>0</v>
      </c>
      <c r="FU6" s="177">
        <f>IF(C6=4,SUM(BM6+BM7+BM8+BO6+BO7+BO8)*Percapita/30*FU$4+(BN6+BN7+BN8+BP6+BP7+BP8)*Cadeirante/30*FU$4,IF(C6=3,IF(BM9+BO9=10,Fixo/30*FU$4+(BM6+BM7+BM8+BO6+BO7+BO8)*Percapita/30*FU$4+(BN9+BP9)*Cadeirante/30*FU$4,IF(BM9+BO9&lt;=9,(BM9+BO9)*Crechee/30*FU$4)+(BN9+BP9)*Cadeirante/30*FU$4+(BM6+BM7+BM8+BO6+BO7+BO8)*Percapita/30*FU$4)+IF(BM9+BO9&gt;=11,Fixo/30*FU$4+(BM9+BO9-10)*Crechee/30*FU$4,0),IF(C6=2,IF(BN6+BN7+BN8+BN9+BP6+BP7+BP8+BP9=1,Cadeirante/30*FU$4,IF(BN6+BN7+BN8+BN9+BP6+BP7+BP8+BP9=2,Fixo/30*FU$4,IF(BN6+BN7+BN8+BN9+BP6+BP7+BP8+BP9&gt;2,Fixo/30*FU$4+(BN6+BN7+BN8+BN9+BP6+BP7+BP8+BP9-2)*Cadeirante/30*FU$4)))+(BM6+BM7+BM8+BO6+BO7+BO8)*Percapita/30*FU$4+(BM9+BO9)*Crechee/30*FU$4,IF(C6=1,IF(BM6+BM7+BM8+BN6+BN7+BN8+BO6+BO7+BO8+BP6+BP7+BP8&lt;=15,(BM6+BM7+BM8+BO6+BO7+BO8)*Percapita/30*FU$4,IF(BM6+BM7+BM8+BN6+BN7+BN8+BO6+BO7+BO8+BP6+BP7+BP8&gt;=16,Fixo/30*FU$4+(BM6+BM7+BM8+BN6+BN7+BN8+BO6+BO7+BO8+BP6+BP7-16)*Percapita/30*FU$4))))))</f>
        <v>0</v>
      </c>
      <c r="FV6" s="177">
        <f>IF(C6=4,SUM(BQ6+BQ7+BQ8+BS6+BS7+BS8)*Percapita/30*FV$4+(BR6+BR7+BR8+BT6+BT7+BT8)*Cadeirante/30*FV$4,IF(C6=3,IF(BQ9+BS9=10,Fixo/30*FV$4+(BQ6+BQ7+BQ8+BS6+BS7+BS8)*Percapita/30*FV$4+(BR9+BT9)*Cadeirante/30*FV$4,IF(BQ9+BS9&lt;=9,(BQ9+BS9)*Crechee/30*FV$4)+(BR9+BT9)*Cadeirante/30*FV$4+(BQ6+BQ7+BQ8+BS6+BS7+BS8)*Percapita/30*FV$4)+IF(BQ9+BS9&gt;=11,Fixo/30*FV$4+(BQ9+BS9-10)*Crechee/30*FV$4,0),IF(C6=2,IF(BR6+BR7+BR8+BR9+BT6+BT7+BT8+BT9=1,Cadeirante/30*FV$4,IF(BR6+BR7+BR8+BR9+BT6+BT7+BT8+BT9=2,Fixo/30*FV$4,IF(BR6+BR7+BR8+BR9+BT6+BT7+BT8+BT9&gt;2,Fixo/30*FV$4+(BR6+BR7+BR8+BR9+BT6+BT7+BT8+BT9-2)*Cadeirante/30*FV$4)))+(BQ6+BQ7+BQ8+BS6+BS7+BS8)*Percapita/30*FV$4+(BQ9+BS9)*Crechee/30*FV$4,IF(C6=1,IF(BQ6+BQ7+BQ8+BR6+BR7+BR8+BS6+BS7+BS8+BT6+BT7+BT8&lt;=15,(BQ6+BQ7+BQ8+BS6+BS7+BS8)*Percapita/30*FV$4,IF(BQ6+BQ7+BQ8+BR6+BR7+BR8+BS6+BS7+BS8+BT6+BT7+BT8&gt;=16,Fixo/30*FV$4+(BQ6+BQ7+BQ8+BR6+BR7+BR8+BS6+BS7+BS8+BT6+BT7-16)*Percapita/30*FV$4))))))</f>
        <v>-218.29700000000003</v>
      </c>
      <c r="FW6" s="177">
        <f>IF(C6=4,SUM(BU6+BU7+BU8+BW6+BW7+BW8)*Percapita/30*FW$4+(BV6+BV7+BV8+BX6+BX7+BX8)*Cadeirante/30*FW$4,IF(C6=3,IF(BU9+BW9=10,Fixo/30*FW$4+(BU6+BU7+BU8+BW6+BW7+BW8)*Percapita/30*FW$4+(BV9+BX9)*Cadeirante/30*FW$4,IF(BU9+BW9&lt;=9,(BU9+BW9)*Crechee/30*FW$4)+(BV9+BX9)*Cadeirante/30*FW$4+(BU6+BU7+BU8+BW6+BW7+BW8)*Percapita/30*FW$4)+IF(BU9+BW9&gt;=11,Fixo/30*FW$4+(BU9+BW9-10)*Crechee/30*FW$4,0),IF(C6=2,IF(BV6+BV7+BV8+BV9+BX6+BX7+BX8+BX9=1,Cadeirante/30*FW$4,IF(BV6+BV7+BV8+BV9+BX6+BX7+BX8+BX9=2,Fixo/30*FW$4,IF(BV6+BV7+BV8+BV9+BX6+BX7+BX8+BX9&gt;2,Fixo/30*FW$4+(BV6+BV7+BV8+BV9+BX6+BX7+BX8+BX9-2)*Cadeirante/30*FW$4)))+(BU6+BU7+BU8+BW6+BW7+BW8)*Percapita/30*FW$4+(BU9+BW9)*Crechee/30*FW$4,IF(C6=1,IF(BU6+BU7+BU8+BV6+BV7+BV8+BW6+BW7+BW8+BX6+BX7+BX8&lt;=15,(BU6+BU7+BU8+BW6+BW7+BW8)*Percapita/30*FW$4,IF(BU6+BU7+BU8+BV6+BV7+BV8+BW6+BW7+BW8+BX6+BX7+BX8&gt;=16,Fixo/30*FW$4+(BU6+BU7+BU8+BV6+BV7+BV8+BW6+BW7+BW8+BX6+BX7-16)*Percapita/30*FW$4))))))</f>
        <v>0</v>
      </c>
      <c r="FX6" s="177">
        <f>IF(C6=4,SUM(BY6+BY7+BY8+CA6+CA7+CA8)*Percapita/30*FX$4+(BZ6+BZ7+BZ8+CB6+CB7+CB8)*Cadeirante/30*FX$4,IF(C6=3,IF(BY9+CA9=10,Fixo/30*FX$4+(BY6+BY7+BY8+CA6+CA7+CA8)*Percapita/30*FX$4+(BZ9+CB9)*Cadeirante/30*FX$4,IF(BY9+CA9&lt;=9,(BY9+CA9)*Crechee/30*FX$4)+(BZ9+CB9)*Cadeirante/30*FX$4+(BY6+BY7+BY8+CA6+CA7+CA8)*Percapita/30*FX$4)+IF(BY9+CA9&gt;=11,Fixo/30*FX$4+(BY9+CA9-10)*Crechee/30*FX$4,0),IF(C6=2,IF(BZ6+BZ7+BZ8+BZ9+CB6+CB7+CB8+CB9=1,Cadeirante/30*FX$4,IF(BZ6+BZ7+BZ8+BZ9+CB6+CB7+CB8+CB9=2,Fixo/30*FX$4,IF(BZ6+BZ7+BZ8+BZ9+CB6+CB7+CB8+CB9&gt;2,Fixo/30*FX$4+(BZ6+BZ7+BZ8+BZ9+CB6+CB7+CB8+CB9-2)*Cadeirante/30*FX$4)))+(BY6+BY7+BY8+CA6+CA7+CA8)*Percapita/30*FX$4+(BY9+CA9)*Crechee/30*FX$4,IF(C6=1,IF(BY6+BY7+BY8+BZ6+BZ7+BZ8+CA6+CA7+CA8+CB6+CB7+CB8&lt;=15,(BY6+BY7+BY8+CA6+CA7+CA8)*Percapita/30*FX$4,IF(BY6+BY7+BY8+BZ6+BZ7+BZ8+CA6+CA7+CA8+CB6+CB7+CB8&gt;=16,Fixo/30*FX$4+(BY6+BY7+BY8+BZ6+BZ7+BZ8+CA6+CA7+CA8+CB6+CB7-16)*Percapita/30*FX$4))))))</f>
        <v>0</v>
      </c>
      <c r="FY6" s="177">
        <f>IF(C6=4,SUM(CC6+CC7+CC8+CE6+CE7+CE8)*Percapita/30*FY$4+(CD6+CD7+CD8+CF6+CF7+CF8)*Cadeirante/30*FY$4,IF(C6=3,IF(CC9+CE9=10,Fixo/30*FY$4+(CC6+CC7+CC8+CE6+CE7+CE8)*Percapita/30*FY$4+(CD9+CF9)*Cadeirante/30*FY$4,IF(CC9+CE9&lt;=9,(CC9+CE9)*Crechee/30*FY$4)+(CD9+CF9)*Cadeirante/30*FY$4+(CC6+CC7+CC8+CE6+CE7+CE8)*Percapita/30*FY$4)+IF(CC9+CE9&gt;=11,Fixo/30*FY$4+(CC9+CE9-10)*Crechee/30*FY$4,0),IF(C6=2,IF(CD6+CD7+CD8+CD9+CF6+CF7+CF8+CF9=1,Cadeirante/30*FY$4,IF(CD6+CD7+CD8+CD9+CF6+CF7+CF8+CF9=2,Fixo/30*FY$4,IF(CD6+CD7+CD8+CD9+CF6+CF7+CF8+CF9&gt;2,Fixo/30*FY$4+(CD6+CD7+CD8+CD9+CF6+CF7+CF8+CF9-2)*Cadeirante/30*FY$4)))+(CC6+CC7+CC8+CE6+CE7+CE8)*Percapita/30*FY$4+(CC9+CE9)*Crechee/30*FY$4,IF(C6=1,IF(CC6+CC7+CC8+CD6+CD7+CD8+CE6+CE7+CE8+CF6+CF7+CF8&lt;=15,(CC6+CC7+CC8+CE6+CE7+CE8)*Percapita/30*FY$4,IF(CC6+CC7+CC8+CD6+CD7+CD8+CE6+CE7+CE8+CF6+CF7+CF8&gt;=16,Fixo/30*FY$4+(CC6+CC7+CC8+CD6+CD7+CD8+CE6+CE7+CE8+CF6+CF7-16)*Percapita/30*FY$4))))))</f>
        <v>0</v>
      </c>
      <c r="FZ6" s="177">
        <f>IF(C6=4,SUM(CG6+CG7+CG8+CI6+CI7+CI8)*Percapita/30*FZ$4+(CH6+CH7+CH8+CJ6+CJ7+CJ8)*Cadeirante/30*FZ$4,IF(C6=3,IF(CG9+CI9=10,Fixo/30*FZ$4+(CG6+CG7+CG8+CI6+CI7+CI8)*Percapita/30*FZ$4+(CH9+CJ9)*Cadeirante/30*FZ$4,IF(CG9+CI9&lt;=9,(CG9+CI9)*Crechee/30*FZ$4)+(CH9+CJ9)*Cadeirante/30*FZ$4+(CG6+CG7+CG8+CI6+CI7+CI8)*Percapita/30*FZ$4)+IF(CG9+CI9&gt;=11,Fixo/30*FZ$4+(CG9+CI9-10)*Crechee/30*FZ$4,0),IF(C6=2,IF(CH6+CH7+CH8+CH9+CJ6+CJ7+CJ8+CJ9=1,Cadeirante/30*FZ$4,IF(CH6+CH7+CH8+CH9+CJ6+CJ7+CJ8+CJ9=2,Fixo/30*FZ$4,IF(CH6+CH7+CH8+CH9+CJ6+CJ7+CJ8+CJ9&gt;2,Fixo/30*FZ$4+(CH6+CH7+CH8+CH9+CJ6+CJ7+CJ8+CJ9-2)*Cadeirante/30*FZ$4)))+(CG6+CG7+CG8+CI6+CI7+CI8)*Percapita/30*FZ$4+(CG9+CI9)*Crechee/30*FZ$4,IF(C6=1,IF(CG6+CG7+CG8+CH6+CH7+CH8+CI6+CI7+CI8+CJ6+CJ7+CJ8&lt;=15,(CG6+CG7+CG8+CI6+CI7+CI8)*Percapita/30*FZ$4,IF(CG6+CG7+CG8+CH6+CH7+CH8+CI6+CI7+CI8+CJ6+CJ7+CJ8&gt;=16,Fixo/30*FZ$4+(CG6+CG7+CG8+CH6+CH7+CH8+CI6+CI7+CI8+CJ6+CJ7-16)*Percapita/30*FZ$4))))))</f>
        <v>0</v>
      </c>
      <c r="GA6" s="177">
        <f>IF(C6=4,SUM(CK6+CK7+CK8+CM6+CM7+CM8)*Percapita/30*GA$4+(CL6+CL7+CL8+CN6+CN7+CN8)*Cadeirante/30*GA$4,IF(C6=3,IF(CK9+CM9=10,Fixo/30*GA$4+(CK6+CK7+CK8+CM6+CM7+CM8)*Percapita/30*GA$4+(CL9+CN9)*Cadeirante/30*GA$4,IF(CK9+CM9&lt;=9,(CK9+CM9)*Crechee/30*GA$4)+(CL9+CN9)*Cadeirante/30*GA$4+(CK6+CK7+CK8+CM6+CM7+CM8)*Percapita/30*GA$4)+IF(CK9+CM9&gt;=11,Fixo/30*GA$4+(CK9+CM9-10)*Crechee/30*GA$4,0),IF(C6=2,IF(CL6+CL7+CL8+CL9+CN6+CN7+CN8+CN9=1,Cadeirante/30*GA$4,IF(CL6+CL7+CL8+CL9+CN6+CN7+CN8+CN9=2,Fixo/30*GA$4,IF(CL6+CL7+CL8+CL9+CN6+CN7+CN8+CN9&gt;2,Fixo/30*GA$4+(CL6+CL7+CL8+CL9+CN6+CN7+CN8+CN9-2)*Cadeirante/30*GA$4)))+(CK6+CK7+CK8+CM6+CM7+CM8)*Percapita/30*GA$4+(CK9+CM9)*Crechee/30*GA$4,IF(C6=1,IF(CK6+CK7+CK8+CL6+CL7+CL8+CM6+CM7+CM8+CN6+CN7+CN8&lt;=15,(CK6+CK7+CK8+CM6+CM7+CM8)*Percapita/30*GA$4,IF(CK6+CK7+CK8+CL6+CL7+CL8+CM6+CM7+CM8+CN6+CN7+CN8&gt;=16,Fixo/30*GA$4+(CK6+CK7+CK8+CL6+CL7+CL8+CM6+CM7+CM8+CN6+CN7-16)*Percapita/30*GA$4))))))</f>
        <v>0</v>
      </c>
      <c r="GB6" s="177">
        <f>IF(C6=4,SUM(CO6+CO7+CO8+CQ6+CQ7+CQ8)*Percapita/30*GB$4+(CP6+CP7+CP8+CR6+CR7+CR8)*Cadeirante/30*GB$4,IF(C6=3,IF(CO9+CQ9=10,Fixo/30*GB$4+(CO6+CO7+CO8+CQ6+CQ7+CQ8)*Percapita/30*GB$4+(CP9+CR9)*Cadeirante/30*GB$4,IF(CO9+CQ9&lt;=9,(CO9+CQ9)*Crechee/30*GB$4)+(CP9+CR9)*Cadeirante/30*GB$4+(CO6+CO7+CO8+CQ6+CQ7+CQ8)*Percapita/30*GB$4)+IF(CO9+CQ9&gt;=11,Fixo/30*GB$4+(CO9+CQ9-10)*Crechee/30*GB$4,0),IF(C6=2,IF(CP6+CP7+CP8+CP9+CR6+CR7+CR8+CR9=1,Cadeirante/30*GB$4,IF(CP6+CP7+CP8+CP9+CR6+CR7+CR8+CR9=2,Fixo/30*GB$4,IF(CP6+CP7+CP8+CP9+CR6+CR7+CR8+CR9&gt;2,Fixo/30*GB$4+(CP6+CP7+CP8+CP9+CR6+CR7+CR8+CR9-2)*Cadeirante/30*GB$4)))+(CO6+CO7+CO8+CQ6+CQ7+CQ8)*Percapita/30*GB$4+(CO9+CQ9)*Crechee/30*GB$4,IF(C6=1,IF(CO6+CO7+CO8+CP6+CP7+CP8+CQ6+CQ7+CQ8+CR6+CR7+CR8&lt;=15,(CO6+CO7+CO8+CQ6+CQ7+CQ8)*Percapita/30*GB$4,IF(CO6+CO7+CO8+CP6+CP7+CP8+CQ6+CQ7+CQ8+CR6+CR7+CR8&gt;=16,Fixo/30*GB$4+(CO6+CO7+CO8+CP6+CP7+CP8+CQ6+CQ7+CQ8+CR6+CR7-16)*Percapita/30*GB$4))))))</f>
        <v>0</v>
      </c>
      <c r="GC6" s="177">
        <f>IF(C6=4,SUM(CS6+CS7+CS8+CU6+CU7+CU8)*Percapita/30*GC$4+(CT6+CT7+CT8+CV6+CV7+CV8)*Cadeirante/30*GC$4,IF(C6=3,IF(CS9+CU9=10,Fixo/30*GC$4+(CS6+CS7+CS8+CU6+CU7+CU8)*Percapita/30*GC$4+(CT9+CV9)*Cadeirante/30*GC$4,IF(CS9+CU9&lt;=9,(CS9+CU9)*Crechee/30*GC$4)+(CT9+CV9)*Cadeirante/30*GC$4+(CS6+CS7+CS8+CU6+CU7+CU8)*Percapita/30*GC$4)+IF(CS9+CU9&gt;=11,Fixo/30*GC$4+(CS9+CU9-10)*Crechee/30*GC$4,0),IF(C6=2,IF(CT6+CT7+CT8+CT9+CV6+CV7+CV8+CV9=1,Cadeirante/30*GC$4,IF(CT6+CT7+CT8+CT9+CV6+CV7+CV8+CV9=2,Fixo/30*GC$4,IF(CT6+CT7+CT8+CT9+CV6+CV7+CV8+CV9&gt;2,Fixo/30*GC$4+(CT6+CT7+CT8+CT9+CV6+CV7+CV8+CV9-2)*Cadeirante/30*GC$4)))+(CS6+CS7+CS8+CU6+CU7+CU8)*Percapita/30*GC$4+(CS9+CU9)*Crechee/30*GC$4,IF(C6=1,IF(CS6+CS7+CS8+CT6+CT7+CT8+CU6+CU7+CU8+CV6+CV7+CV8&lt;=15,(CS6+CS7+CS8+CU6+CU7+CU8)*Percapita/30*GC$4,IF(CS6+CS7+CS8+CT6+CT7+CT8+CU6+CU7+CU8+CV6+CV7+CV8&gt;=16,Fixo/30*GC$4+(CS6+CS7+CS8+CT6+CT7+CT8+CU6+CU7+CU8+CV6+CV7-16)*Percapita/30*GC$4))))))</f>
        <v>0</v>
      </c>
      <c r="GD6" s="177">
        <f>IF(C6=4,SUM(CW6+CW7+CW8+CY6+CY7+CY8)*Percapita/30*GD$4+(CX6+CX7+CX8+CZ6+CZ7+CZ8)*Cadeirante/30*GD$4,IF(C6=3,IF(CW9+CY9=10,Fixo/30*GD$4+(CW6+CW7+CW8+CY6+CY7+CY8)*Percapita/30*GD$4+(CX9+CZ9)*Cadeirante/30*GD$4,IF(CW9+CY9&lt;=9,(CW9+CY9)*Crechee/30*GD$4)+(CX9+CZ9)*Cadeirante/30*GD$4+(CW6+CW7+CW8+CY6+CY7+CY8)*Percapita/30*GD$4)+IF(CW9+CY9&gt;=11,Fixo/30*GD$4+(CW9+CY9-10)*Crechee/30*GD$4,0),IF(C6=2,IF(CX6+CX7+CX8+CX9+CZ6+CZ7+CZ8+CZ9=1,Cadeirante/30*GD$4,IF(CX6+CX7+CX8+CX9+CZ6+CZ7+CZ8+CZ9=2,Fixo/30*GD$4,IF(CX6+CX7+CX8+CX9+CZ6+CZ7+CZ8+CZ9&gt;2,Fixo/30*GD$4+(CX6+CX7+CX8+CX9+CZ6+CZ7+CZ8+CZ9-2)*Cadeirante/30*GD$4)))+(CW6+CW7+CW8+CY6+CY7+CY8)*Percapita/30*GD$4+(CW9+CY9)*Crechee/30*GD$4,IF(C6=1,IF(CW6+CW7+CW8+CX6+CX7+CX8+CY6+CY7+CY8+CZ6+CZ7+CZ8&lt;=15,(CW6+CW7+CW8+CY6+CY7+CY8)*Percapita/30*GD$4,IF(CW6+CW7+CW8+CX6+CX7+CX8+CY6+CY7+CY8+CZ6+CZ7+CZ8&gt;=16,Fixo/30*GD$4+(CW6+CW7+CW8+CX6+CX7+CX8+CY6+CY7+CY8+CZ6+CZ7-16)*Percapita/30*GD$4))))))</f>
        <v>0</v>
      </c>
      <c r="GE6" s="177">
        <f>IF(C6=4,SUM(DA6+DA7+DA8+DC6+DC7+DC8)*Percapita/30*GE$4+(DB6+DB7+DB8+DD6+DD7+DD8)*Cadeirante/30*GE$4,IF(C6=3,IF(DA9+DC9=10,Fixo/30*GE$4+(DA6+DA7+DA8+DC6+DC7+DC8)*Percapita/30*GE$4+(DB9+DD9)*Cadeirante/30*GE$4,IF(DA9+DC9&lt;=9,(DA9+DC9)*Crechee/30*GE$4)+(DB9+DD9)*Cadeirante/30*GE$4+(DA6+DA7+DA8+DC6+DC7+DC8)*Percapita/30*GE$4)+IF(DA9+DC9&gt;=11,Fixo/30*GE$4+(DA9+DC9-10)*Crechee/30*GE$4,0),IF(C6=2,IF(DB6+DB7+DB8+DB9+DD6+DD7+DD8+DD9=1,Cadeirante/30*GE$4,IF(DB6+DB7+DB8+DB9+DD6+DD7+DD8+DD9=2,Fixo/30*GE$4,IF(DB6+DB7+DB8+DB9+DD6+DD7+DD8+DD9&gt;2,Fixo/30*GE$4+(DB6+DB7+DB8+DB9+DD6+DD7+DD8+DD9-2)*Cadeirante/30*GE$4)))+(DA6+DA7+DA8+DC6+DC7+DC8)*Percapita/30*GE$4+(DA9+DC9)*Crechee/30*GE$4,IF(C6=1,IF(DA6+DA7+DA8+DB6+DB7+DB8+DC6+DC7+DC8+DD6+DD7+DD8&lt;=15,(DA6+DA7+DA8+DC6+DC7+DC8)*Percapita/30*GE$4,IF(DA6+DA7+DA8+DB6+DB7+DB8+DC6+DC7+DC8+DD6+DD7+DD8&gt;=16,Fixo/30*GE$4+(DA6+DA7+DA8+DB6+DB7+DB8+DC6+DC7+DC8+DD6+DD7-16)*Percapita/30*GE$4))))))</f>
        <v>0</v>
      </c>
      <c r="GF6" s="177">
        <f>IF(C6=4,SUM(DE6+DE7+DE8+DG6+DG7+DG8)*Percapita/30*GF$4+(DF6+DF7+DF8+DH6+DH7+DH8)*Cadeirante/30*GF$4,IF(C6=3,IF(DE9+DG9=10,Fixo/30*GF$4+(DE6+DE7+DE8+DG6+DG7+DG8)*Percapita/30*GF$4+(DF9+DH9)*Cadeirante/30*GF$4,IF(DE9+DG9&lt;=9,(DE9+DG9)*Crechee/30*GF$4)+(DF9+DH9)*Cadeirante/30*GF$4+(DE6+DE7+DE8+DG6+DG7+DG8)*Percapita/30*GF$4)+IF(DE9+DG9&gt;=11,Fixo/30*GF$4+(DE9+DG9-10)*Crechee/30*GF$4,0),IF(C6=2,IF(DF6+DF7+DF8+DF9+DH6+DH7+DH8+DH9=1,Cadeirante/30*GF$4,IF(DF6+DF7+DF8+DF9+DH6+DH7+DH8+DH9=2,Fixo/30*GF$4,IF(DF6+DF7+DF8+DF9+DH6+DH7+DH8+DH9&gt;2,Fixo/30*GF$4+(DF6+DF7+DF8+DF9+DH6+DH7+DH8+DH9-2)*Cadeirante/30*GF$4)))+(DE6+DE7+DE8+DG6+DG7+DG8)*Percapita/30*GF$4+(DE9+DG9)*Crechee/30*GF$4,IF(C6=1,IF(DE6+DE7+DE8+DF6+DF7+DF8+DG6+DG7+DG8+DH6+DH7+DH8&lt;=15,(DE6+DE7+DE8+DG6+DG7+DG8)*Percapita/30*GF$4,IF(DE6+DE7+DE8+DF6+DF7+DF8+DG6+DG7+DG8+DH6+DH7+DH8&gt;=16,Fixo/30*GF$4+(DE6+DE7+DE8+DF6+DF7+DF8+DG6+DG7+DG8+DH6+DH7-16)*Percapita/30*GF$4))))))</f>
        <v>0</v>
      </c>
      <c r="GG6" s="177">
        <f>IF(C6=4,SUM(DI6+DI7+DI8+DK6+DK7+DK8)*Percapita/30*GG$4+(DJ6+DJ7+DJ8+DL6+DL7+DL8)*Cadeirante/30*GG$4,IF(C6=3,IF(DI9+DK9=10,Fixo/30*GG$4+(DI6+DI7+DI8+DK6+DK7+DK8)*Percapita/30*GG$4+(DJ9+DL9)*Cadeirante/30*GG$4,IF(DI9+DK9&lt;=9,(DI9+DK9)*Crechee/30*GG$4)+(DJ9+DL9)*Cadeirante/30*GG$4+(DI6+DI7+DI8+DK6+DK7+DK8)*Percapita/30*GG$4)+IF(DI9+DK9&gt;=11,Fixo/30*GG$4+(DI9+DK9-10)*Crechee/30*GG$4,0),IF(C6=2,IF(DJ6+DJ7+DJ8+DJ9+DL6+DL7+DL8+DL9=1,Cadeirante/30*GG$4,IF(DJ6+DJ7+DJ8+DJ9+DL6+DL7+DL8+DL9=2,Fixo/30*GG$4,IF(DJ6+DJ7+DJ8+DJ9+DL6+DL7+DL8+DL9&gt;2,Fixo/30*GG$4+(DJ6+DJ7+DJ8+DJ9+DL6+DL7+DL8+DL9-2)*Cadeirante/30*GG$4)))+(DI6+DI7+DI8+DK6+DK7+DK8)*Percapita/30*GG$4+(DI9+DK9)*Crechee/30*GG$4,IF(C6=1,IF(DI6+DI7+DI8+DJ6+DJ7+DJ8+DK6+DK7+DK8+DL6+DL7+DL8&lt;=15,(DI6+DI7+DI8+DK6+DK7+DK8)*Percapita/30*GG$4,IF(DI6+DI7+DI8+DJ6+DJ7+DJ8+DK6+DK7+DK8+DL6+DL7+DL8&gt;=16,Fixo/30*GG$4+(DI6+DI7+DI8+DJ6+DJ7+DJ8+DK6+DK7+DK8+DL6+DL7-16)*Percapita/30*GG$4))))))</f>
        <v>0</v>
      </c>
      <c r="GH6" s="177">
        <f>IF(C6=4,SUM(DM6+DM7+DM8+DO6+DO7+DO8)*Percapita/30*GH$4+(DN6+DN7+DN8+DP6+DP7+DP8)*Cadeirante/30*GH$4,IF(C6=3,IF(DM9+DO9=10,Fixo/30*GH$4+(DM6+DM7+DM8+DO6+DO7+DO8)*Percapita/30*GH$4+(DN9+DP9)*Cadeirante/30*GH$4,IF(DM9+DO9&lt;=9,(DM9+DO9)*Crechee/30*GH$4)+(DN9+DP9)*Cadeirante/30*GH$4+(DM6+DM7+DM8+DO6+DO7+DO8)*Percapita/30*GH$4)+IF(DM9+DO9&gt;=11,Fixo/30*GH$4+(DM9+DO9-10)*Crechee/30*GH$4,0),IF(C6=2,IF(DN6+DN7+DN8+DN9+DP6+DP7+DP8+DP9=1,Cadeirante/30*GH$4,IF(DN6+DN7+DN8+DN9+DP6+DP7+DP8+DP9=2,Fixo/30*GH$4,IF(DN6+DN7+DN8+DN9+DP6+DP7+DP8+DP9&gt;2,Fixo/30*GH$4+(DN6+DN7+DN8+DN9+DP6+DP7+DP8+DP9-2)*Cadeirante/30*GH$4)))+(DM6+DM7+DM8+DO6+DO7+DO8)*Percapita/30*GH$4+(DM9+DO9)*Crechee/30*GH$4,IF(C6=1,IF(DM6+DM7+DM8+DN6+DN7+DN8+DO6+DO7+DO8+DP6+DP7+DP8&lt;=15,(DM6+DM7+DM8+DO6+DO7+DO8)*Percapita/30*GH$4,IF(DM6+DM7+DM8+DN6+DN7+DN8+DO6+DO7+DO8+DP6+DP7+DP8&gt;=16,Fixo/30*GH$4+(DM6+DM7+DM8+DN6+DN7+DN8+DO6+DO7+DO8+DP6+DP7-16)*Percapita/30*GH$4))))))</f>
        <v>0</v>
      </c>
      <c r="GI6" s="177">
        <f>IF(C6=4,SUM(DQ6+DQ7+DQ8+DS6+DS7+DS8)*Percapita/30*GI$4+(DR6+DR7+DR8+DT6+DT7+DT8)*Cadeirante/30*GI$4,IF(C6=3,IF(DQ9+DS9=10,Fixo/30*GI$4+(DQ6+DQ7+DQ8+DS6+DS7+DS8)*Percapita/30*GI$4+(DR9+DT9)*Cadeirante/30*GI$4,IF(DQ9+DS9&lt;=9,(DQ9+DS9)*Crechee/30*GI$4)+(DR9+DT9)*Cadeirante/30*GI$4+(DQ6+DQ7+DQ8+DS6+DS7+DS8)*Percapita/30*GI$4)+IF(DQ9+DS9&gt;=11,Fixo/30*GI$4+(DQ9+DS9-10)*Crechee/30*GI$4,0),IF(C6=2,IF(DR6+DR7+DR8+DR9+DT6+DT7+DT8+DT9=1,Cadeirante/30*GI$4,IF(DR6+DR7+DR8+DR9+DT6+DT7+DT8+DT9=2,Fixo/30*GI$4,IF(DR6+DR7+DR8+DR9+DT6+DT7+DT8+DT9&gt;2,Fixo/30*GI$4+(DR6+DR7+DR8+DR9+DT6+DT7+DT8+DT9-2)*Cadeirante/30*GI$4)))+(DQ6+DQ7+DQ8+DS6+DS7+DS8)*Percapita/30*GI$4+(DQ9+DS9)*Crechee/30*GI$4,IF(C6=1,IF(DQ6+DQ7+DQ8+DR6+DR7+DR8+DS6+DS7+DS8+DT6+DT7+DT8&lt;=15,(DQ6+DQ7+DQ8+DS6+DS7+DS8)*Percapita/30*GI$4,IF(DQ6+DQ7+DQ8+DR6+DR7+DR8+DS6+DS7+DS8+DT6+DT7+DT8&gt;=16,Fixo/30*GI$4+(DQ6+DQ7+DQ8+DR6+DR7+DR8+DS6+DS7+DS8+DT6+DT7-16)*Percapita/30*GI$4))))))</f>
        <v>0</v>
      </c>
      <c r="GJ6" s="177">
        <f>IF(C6=4,SUM(DU6+DU7+DU8+DW6+DW7+DW8)*Percapita/30*GJ$4+(DV6+DV7+DV8+DX6+DX7+DX8)*Cadeirante/30*GJ$4,IF(C6=3,IF(DU9+DW9=10,Fixo/30*GJ$4+(DU6+DU7+DU8+DW6+DW7+DW8)*Percapita/30*GJ$4+(DV9+DX9)*Cadeirante/30*GJ$4,IF(DU9+DW9&lt;=9,(DU9+DW9)*Crechee/30*GJ$4)+(DV9+DX9)*Cadeirante/30*GJ$4+(DU6+DU7+DU8+DW6+DW7+DW8)*Percapita/30*GJ$4)+IF(DU9+DW9&gt;=11,Fixo/30*GJ$4+(DU9+DW9-10)*Crechee/30*GJ$4,0),IF(C6=2,IF(DV6+DV7+DV8+DV9+DX6+DX7+DX8+DX9=1,Cadeirante/30*GJ$4,IF(DV6+DV7+DV8+DV9+DX6+DX7+DX8+DX9=2,Fixo/30*GJ$4,IF(DV6+DV7+DV8+DV9+DX6+DX7+DX8+DX9&gt;2,Fixo/30*GJ$4+(DV6+DV7+DV8+DV9+DX6+DX7+DX8+DX9-2)*Cadeirante/30*GJ$4)))+(DU6+DU7+DU8+DW6+DW7+DW8)*Percapita/30*GJ$4+(DU9+DW9)*Crechee/30*GJ$4,IF(C6=1,IF(DU6+DU7+DU8+DV6+DV7+DV8+DW6+DW7+DW8+DX6+DX7+DX8&lt;=15,(DU6+DU7+DU8+DW6+DW7+DW8)*Percapita/30*GJ$4,IF(DU6+DU7+DU8+DV6+DV7+DV8+DW6+DW7+DW8+DX6+DX7+DX8&gt;=16,Fixo/30*GJ$4+(DU6+DU7+DU8+DV6+DV7+DV8+DW6+DW7+DW8+DX6+DX7-16)*Percapita/30*GJ$4))))))</f>
        <v>0</v>
      </c>
      <c r="GK6" s="177">
        <f>IF(C6=4,SUM(DY6+DY7+DY8+EA6+EA7+EA8)*Percapita/30*GK$4+(DZ6+DZ7+DZ8+EB6+EB7+EB8)*Cadeirante/30*GK$4,IF(C6=3,IF(DY9+EA9=10,Fixo/30*GK$4+(DY6+DY7+DY8+EA6+EA7+EA8)*Percapita/30*GK$4+(DZ9+EB9)*Cadeirante/30*GK$4,IF(DY9+EA9&lt;=9,(DY9+EA9)*Crechee/30*GK$4)+(DZ9+EB9)*Cadeirante/30*GK$4+(DY6+DY7+DY8+EA6+EA7+EA8)*Percapita/30*GK$4)+IF(DY9+EA9&gt;=11,Fixo/30*GK$4+(DY9+EA9-10)*Crechee/30*GK$4,0),IF(C6=2,IF(DZ6+DZ7+DZ8+DZ9+EB6+EB7+EB8+EB9=1,Cadeirante/30*GK$4,IF(DZ6+DZ7+DZ8+DZ9+EB6+EB7+EB8+EB9=2,Fixo/30*GK$4,IF(DZ6+DZ7+DZ8+DZ9+EB6+EB7+EB8+EB9&gt;2,Fixo/30*GK$4+(DZ6+DZ7+DZ8+DZ9+EB6+EB7+EB8+EB9-2)*Cadeirante/30*GK$4)))+(DY6+DY7+DY8+EA6+EA7+EA8)*Percapita/30*GK$4+(DY9+EA9)*Crechee/30*GK$4,IF(C6=1,IF(DY6+DY7+DY8+DZ6+DZ7+DZ8+EA6+EA7+EA8+EB6+EB7+EB8&lt;=15,(DY6+DY7+DY8+EA6+EA7+EA8)*Percapita/30*GK$4,IF(DY6+DY7+DY8+DZ6+DZ7+DZ8+EA6+EA7+EA8+EB6+EB7+EB8&gt;=16,Fixo/30*GK$4+(DY6+DY7+DY8+DZ6+DZ7+DZ8+EA6+EA7+EA8+EB6+EB7-16)*Percapita/30*GK$4))))))</f>
        <v>0</v>
      </c>
      <c r="GL6" s="177">
        <f>IF(C6=4,SUM(EC6+EC7+EC8+EE6+EE7+EE8)*Percapita/30*GL$4+(ED6+ED7+ED8+EF6+EF7+EF8)*Cadeirante/30*GL$4,IF(C6=3,IF(EC9+EE9=10,Fixo/30*GL$4+(EC6+EC7+EC8+EE6+EE7+EE8)*Percapita/30*GL$4+(ED9+EF9)*Cadeirante/30*GL$4,IF(EC9+EE9&lt;=9,(EC9+EE9)*Crechee/30*GL$4)+(ED9+EF9)*Cadeirante/30*GL$4+(EC6+EC7+EC8+EE6+EE7+EE8)*Percapita/30*GL$4)+IF(EC9+EE9&gt;=11,Fixo/30*GL$4+(EC9+EE9-10)*Crechee/30*GL$4,0),IF(C6=2,IF(ED6+ED7+ED8+ED9+EF6+EF7+EF8+EF9=1,Cadeirante/30*GL$4,IF(ED6+ED7+ED8+ED9+EF6+EF7+EF8+EF9=2,Fixo/30*GL$4,IF(ED6+ED7+ED8+ED9+EF6+EF7+EF8+EF9&gt;2,Fixo/30*GL$4+(ED6+ED7+ED8+ED9+EF6+EF7+EF8+EF9-2)*Cadeirante/30*GL$4)))+(EC6+EC7+EC8+EE6+EE7+EE8)*Percapita/30*GL$4+(EC9+EE9)*Crechee/30*GL$4,IF(C6=1,IF(EC6+EC7+EC8+ED6+ED7+ED8+EE6+EE7+EE8+EF6+EF7+EF8&lt;=15,(EC6+EC7+EC8+EE6+EE7+EE8)*Percapita/30*GL$4,IF(EC6+EC7+EC8+ED6+ED7+ED8+EE6+EE7+EE8+EF6+EF7+EF8&gt;=16,Fixo/30*GL$4+(EC6+EC7+EC8+ED6+ED7+ED8+EE6+EE7+EE8+EF6+EF7-16)*Percapita/30*GL$4))))))</f>
        <v>0</v>
      </c>
      <c r="GM6" s="177">
        <f>IF(C6=4,SUM(EG6+EG7+EG8+EI6+EI7+EI8)*Percapita/30*GM$4+(EH6+EH7+EH8+EJ6+EJ7+EJ8)*Cadeirante/30*GM$4,IF(C6=3,IF(EG9+EI9=10,Fixo/30*GM$4+(EG6+EG7+EG8+EI6+EI7+EI8)*Percapita/30*GM$4+(EH9+EJ9)*Cadeirante/30*GM$4,IF(EG9+EI9&lt;=9,(EG9+EI9)*Crechee/30*GM$4)+(EH9+EJ9)*Cadeirante/30*GM$4+(EG6+EG7+EG8+EI6+EI7+EI8)*Percapita/30*GM$4)+IF(EG9+EI9&gt;=11,Fixo/30*GM$4+(EG9+EI9-10)*Crechee/30*GM$4,0),IF(C6=2,IF(EH6+EH7+EH8+EH9+EJ6+EJ7+EJ8+EJ9=1,Cadeirante/30*GM$4,IF(EH6+EH7+EH8+EH9+EJ6+EJ7+EJ8+EJ9=2,Fixo/30*GM$4,IF(EH6+EH7+EH8+EH9+EJ6+EJ7+EJ8+EJ9&gt;2,Fixo/30*GM$4+(EH6+EH7+EH8+EH9+EJ6+EJ7+EJ8+EJ9-2)*Cadeirante/30*GM$4)))+(EG6+EG7+EG8+EI6+EI7+EI8)*Percapita/30*GM$4+(EG9+EI9)*Crechee/30*GM$4,IF(C6=1,IF(EG6+EG7+EG8+EH6+EH7+EH8+EI6+EI7+EI8+EJ6+EJ7+EJ8&lt;=15,(EG6+EG7+EG8+EI6+EI7+EI8)*Percapita/30*GM$4,IF(EG6+EG7+EG8+EH6+EH7+EH8+EI6+EI7+EI8+EJ6+EJ7+EJ8&gt;=16,Fixo/30*GM$4+(EG6+EG7+EG8+EH6+EH7+EH8+EI6+EI7+EI8+EJ6+EJ7-16)*Percapita/30*GM$4))))))</f>
        <v>0</v>
      </c>
      <c r="GN6" s="178"/>
      <c r="GO6" s="103">
        <f>IF(J6="ADAPTADO",T6*Cadeirante/30*GP6+S6*Percapita/30*GP6,IF(J6="NORMAL",(S6+T6)*Percapita/30*GP6,IF(J6="CRECHE",0)))*-1</f>
        <v>0</v>
      </c>
      <c r="GP6" s="124"/>
      <c r="GQ6" s="104">
        <f>SUMIF(V6:V9,"&lt;0")*Cadeirante/30*GQ$4+SUMIF(X6:X9,"&lt;0")*Cadeirante/30*GQ$4</f>
        <v>0</v>
      </c>
      <c r="GR6" s="104">
        <f>SUMIF(Z6:Z9,"&lt;0")*Cadeirante/30*GR$4+SUMIF(AB6:AB9,"&lt;0")*Cadeirante/30*GR$4</f>
        <v>0</v>
      </c>
      <c r="GS6" s="104">
        <f>SUMIF(AD6:AD9,"&lt;0")*Cadeirante/30*GS$4+SUMIF(AF6:AF9,"&lt;0")*Cadeirante/30*GS$4</f>
        <v>0</v>
      </c>
      <c r="GT6" s="104">
        <f>SUMIF(AH6:AH9,"&lt;0")*Cadeirante/30*GT$4+SUMIF(AJ6:AJ9,"&lt;0")*Cadeirante/30*GT$4</f>
        <v>0</v>
      </c>
      <c r="GU6" s="104">
        <f>SUMIF(AL6:AL9,"&lt;0")*Cadeirante/30*GU$4+SUMIF(AN6:AN9,"&lt;0")*Cadeirante/30*GU$4</f>
        <v>0</v>
      </c>
      <c r="GV6" s="104">
        <f>SUMIF(AP6:AP9,"&lt;0")*Cadeirante/30*GV$4+SUMIF(AR6:AR9,"&lt;0")*Cadeirante/30*GV$4</f>
        <v>0</v>
      </c>
      <c r="GW6" s="104">
        <f>SUMIF(AT6:AT9,"&lt;0")*Cadeirante/30*GW$4+SUMIF(AV6:AV9,"&lt;0")*Cadeirante/30*GW$4</f>
        <v>0</v>
      </c>
      <c r="GX6" s="104">
        <f>SUMIF(AX6:AX9,"&lt;0")*Cadeirante/30*GX$4+SUMIF(AZ6:AZ9,"&lt;0")*Cadeirante/30*GX$4</f>
        <v>0</v>
      </c>
      <c r="GY6" s="104">
        <f>SUMIF(BB6:BB9,"&lt;0")*Cadeirante/30*GY$4+SUMIF(BD6:BD9,"&lt;0")*Cadeirante/30*GY$4</f>
        <v>0</v>
      </c>
      <c r="GZ6" s="104">
        <f>SUMIF(BF6:BF9,"&lt;0")*Cadeirante/30*GZ$4+SUMIF(BH6:BH9,"&lt;0")*Cadeirante/30*GZ$4</f>
        <v>0</v>
      </c>
      <c r="HA6" s="104">
        <f>SUMIF(BJ6:BJ9,"&lt;0")*Cadeirante/30*HA$4+SUMIF(BL6:BL9,"&lt;0")*Cadeirante/30*HA$4</f>
        <v>0</v>
      </c>
      <c r="HB6" s="104">
        <f>SUMIF(BN6:BN9,"&lt;0")*Cadeirante/30*HB$4+SUMIF(BP6:BP9,"&lt;0")*Cadeirante/30*HB$4</f>
        <v>0</v>
      </c>
      <c r="HC6" s="104">
        <f>SUMIF(BR6:BR9,"&lt;0")*Cadeirante/30*HC$4+SUMIF(BT6:BT9,"&lt;0")*Cadeirante/30*HC$4</f>
        <v>0</v>
      </c>
      <c r="HD6" s="104">
        <f>SUMIF(BV6:BV9,"&lt;0")*Cadeirante/30*HD$4+SUMIF(BX6:BX9,"&lt;0")*Cadeirante/30*HD$4</f>
        <v>0</v>
      </c>
      <c r="HE6" s="104">
        <f>SUMIF(BZ6:BZ9,"&lt;0")*Cadeirante/30*HE$4+SUMIF(CB6:CB9,"&lt;0")*Cadeirante/30*HE$4</f>
        <v>0</v>
      </c>
      <c r="HF6" s="104">
        <f>SUMIF(CD6:CD9,"&lt;0")*Cadeirante/30*HF$4+SUMIF(CF6:CF9,"&lt;0")*Cadeirante/30*HF$4</f>
        <v>0</v>
      </c>
      <c r="HG6" s="104">
        <f>SUMIF(CH6:CH9,"&lt;0")*Cadeirante/30*HG$4+SUMIF(CJ6:CJ9,"&lt;0")*Cadeirante/30*HG$4</f>
        <v>0</v>
      </c>
      <c r="HH6" s="104">
        <f>SUMIF(CL6:CL9,"&lt;0")*Cadeirante/30*HH$4+SUMIF(CN6:CN9,"&lt;0")*Cadeirante/30*HH$4</f>
        <v>0</v>
      </c>
      <c r="HI6" s="104">
        <f>SUMIF(CP6:CP9,"&lt;0")*Cadeirante/30*HI$4+SUMIF(CR6:CR9,"&lt;0")*Cadeirante/30*HI$4</f>
        <v>0</v>
      </c>
      <c r="HJ6" s="104">
        <f>SUMIF(CT6:CT9,"&lt;0")*Cadeirante/30*HJ$4+SUMIF(CV6:CV9,"&lt;0")*Cadeirante/30*HJ$4</f>
        <v>0</v>
      </c>
      <c r="HK6" s="104">
        <f>SUMIF(CX6:CX9,"&lt;0")*Cadeirante/30*HK$4+SUMIF(CZ6:CZ9,"&lt;0")*Cadeirante/30*HK$4</f>
        <v>0</v>
      </c>
      <c r="HL6" s="104">
        <f>SUMIF(DB6:DB9,"&lt;0")*Cadeirante/30*HL$4+SUMIF(DD6:DD9,"&lt;0")*Cadeirante/30*HL$4</f>
        <v>0</v>
      </c>
      <c r="HM6" s="104">
        <f>SUMIF(DF6:DF9,"&lt;0")*Cadeirante/30*HM$4+SUMIF(DH6:DH9,"&lt;0")*Cadeirante/30*HM$4</f>
        <v>0</v>
      </c>
      <c r="HN6" s="104">
        <f>SUMIF(DJ6:DJ9,"&lt;0")*Cadeirante/30*HN$4+SUMIF(DL6:DL9,"&lt;0")*Cadeirante/30*HN$4</f>
        <v>0</v>
      </c>
      <c r="HO6" s="104">
        <f>SUMIF(DN6:DN9,"&lt;0")*Cadeirante/30*HO$4+SUMIF(DP6:DP9,"&lt;0")*Cadeirante/30*HO$4</f>
        <v>0</v>
      </c>
      <c r="HP6" s="104">
        <f>SUMIF(DR6:DR9,"&lt;0")*Cadeirante/30*HP$4+SUMIF(DT6:DT9,"&lt;0")*Cadeirante/30*HP$4</f>
        <v>0</v>
      </c>
      <c r="HQ6" s="104">
        <f>SUMIF(DV6:DV9,"&lt;0")*Cadeirante/30*HQ$4+SUMIF(DX6:DX9,"&lt;0")*Cadeirante/30*HQ$4</f>
        <v>0</v>
      </c>
      <c r="HR6" s="104">
        <f>SUMIF(DZ6:DZ9,"&lt;0")*Cadeirante/30*HR$4+SUMIF(EB6:EB9,"&lt;0")*Cadeirante/30*HR$4</f>
        <v>0</v>
      </c>
      <c r="HS6" s="104">
        <f>SUMIF(ED6:ED9,"&lt;0")*Cadeirante/30*HS$4+SUMIF(EF6:EF9,"&lt;0")*Cadeirante/30*HS$4</f>
        <v>0</v>
      </c>
      <c r="HZ6" s="176">
        <v>17629.309999999998</v>
      </c>
      <c r="IB6" s="280">
        <f t="shared" ref="IB6:ID10" si="7">IF(ISTEXT(EM6), VALUE(EM6), EM6)</f>
        <v>0</v>
      </c>
      <c r="IC6" s="280">
        <f t="shared" si="7"/>
        <v>0</v>
      </c>
      <c r="ID6" s="280">
        <f t="shared" si="7"/>
        <v>0</v>
      </c>
      <c r="IE6" s="64" t="b">
        <f>HZ6=FF6</f>
        <v>0</v>
      </c>
    </row>
    <row r="7" spans="1:239" s="64" customFormat="1" ht="22.5" customHeight="1" x14ac:dyDescent="0.25">
      <c r="A7" s="362" t="s">
        <v>3236</v>
      </c>
      <c r="B7" s="363" t="s">
        <v>3237</v>
      </c>
      <c r="C7" s="364" t="s">
        <v>3658</v>
      </c>
      <c r="D7" s="365" t="s">
        <v>3238</v>
      </c>
      <c r="E7" s="365" t="s">
        <v>3239</v>
      </c>
      <c r="F7" s="366" t="s">
        <v>3227</v>
      </c>
      <c r="G7" s="366" t="s">
        <v>3228</v>
      </c>
      <c r="H7" s="367" t="s">
        <v>1402</v>
      </c>
      <c r="I7" s="368" t="s">
        <v>1333</v>
      </c>
      <c r="J7" s="403" t="s">
        <v>3229</v>
      </c>
      <c r="K7" s="415" t="s">
        <v>3231</v>
      </c>
      <c r="L7" s="329">
        <f>CONTINUA!BV7</f>
        <v>43</v>
      </c>
      <c r="M7" s="329">
        <f>CONTINUA!BW7</f>
        <v>1</v>
      </c>
      <c r="N7" s="336"/>
      <c r="O7" s="289" t="s">
        <v>3488</v>
      </c>
      <c r="P7" s="330" t="s">
        <v>206</v>
      </c>
      <c r="Q7" s="394"/>
      <c r="R7" s="395"/>
      <c r="S7" s="394"/>
      <c r="T7" s="395"/>
      <c r="U7" s="394"/>
      <c r="V7" s="395"/>
      <c r="W7" s="394"/>
      <c r="X7" s="395"/>
      <c r="Y7" s="394"/>
      <c r="Z7" s="395"/>
      <c r="AA7" s="394"/>
      <c r="AB7" s="395"/>
      <c r="AC7" s="394"/>
      <c r="AD7" s="395"/>
      <c r="AE7" s="394"/>
      <c r="AF7" s="395"/>
      <c r="AG7" s="394"/>
      <c r="AH7" s="395"/>
      <c r="AI7" s="394"/>
      <c r="AJ7" s="395"/>
      <c r="AK7" s="394"/>
      <c r="AL7" s="395"/>
      <c r="AM7" s="394"/>
      <c r="AN7" s="395"/>
      <c r="AO7" s="394">
        <v>1</v>
      </c>
      <c r="AP7" s="395"/>
      <c r="AQ7" s="394"/>
      <c r="AR7" s="395"/>
      <c r="AS7" s="394">
        <v>1</v>
      </c>
      <c r="AT7" s="395"/>
      <c r="AU7" s="394"/>
      <c r="AV7" s="395"/>
      <c r="AW7" s="394"/>
      <c r="AX7" s="395"/>
      <c r="AY7" s="394"/>
      <c r="AZ7" s="395"/>
      <c r="BA7" s="394"/>
      <c r="BB7" s="395"/>
      <c r="BC7" s="394"/>
      <c r="BD7" s="395"/>
      <c r="BE7" s="394"/>
      <c r="BF7" s="395"/>
      <c r="BG7" s="394"/>
      <c r="BH7" s="395"/>
      <c r="BI7" s="394"/>
      <c r="BJ7" s="395"/>
      <c r="BK7" s="394"/>
      <c r="BL7" s="395"/>
      <c r="BM7" s="394"/>
      <c r="BN7" s="395"/>
      <c r="BO7" s="394"/>
      <c r="BP7" s="395"/>
      <c r="BQ7" s="394">
        <v>-1</v>
      </c>
      <c r="BR7" s="395"/>
      <c r="BS7" s="394"/>
      <c r="BT7" s="395"/>
      <c r="BU7" s="394"/>
      <c r="BV7" s="395"/>
      <c r="BW7" s="394"/>
      <c r="BX7" s="395"/>
      <c r="BY7" s="394"/>
      <c r="BZ7" s="395"/>
      <c r="CA7" s="394"/>
      <c r="CB7" s="395"/>
      <c r="CC7" s="394"/>
      <c r="CD7" s="395"/>
      <c r="CE7" s="394"/>
      <c r="CF7" s="395"/>
      <c r="CG7" s="394"/>
      <c r="CH7" s="395"/>
      <c r="CI7" s="394"/>
      <c r="CJ7" s="395"/>
      <c r="CK7" s="394"/>
      <c r="CL7" s="395"/>
      <c r="CM7" s="394"/>
      <c r="CN7" s="395"/>
      <c r="CO7" s="394"/>
      <c r="CP7" s="395"/>
      <c r="CQ7" s="394"/>
      <c r="CR7" s="395"/>
      <c r="CS7" s="394"/>
      <c r="CT7" s="395"/>
      <c r="CU7" s="394"/>
      <c r="CV7" s="395"/>
      <c r="CW7" s="394"/>
      <c r="CX7" s="395"/>
      <c r="CY7" s="394"/>
      <c r="CZ7" s="395"/>
      <c r="DA7" s="394"/>
      <c r="DB7" s="395"/>
      <c r="DC7" s="394"/>
      <c r="DD7" s="395"/>
      <c r="DE7" s="394"/>
      <c r="DF7" s="395"/>
      <c r="DG7" s="394"/>
      <c r="DH7" s="395"/>
      <c r="DI7" s="394"/>
      <c r="DJ7" s="395"/>
      <c r="DK7" s="394"/>
      <c r="DL7" s="395"/>
      <c r="DM7" s="394"/>
      <c r="DN7" s="395"/>
      <c r="DO7" s="394"/>
      <c r="DP7" s="395"/>
      <c r="DQ7" s="394"/>
      <c r="DR7" s="395"/>
      <c r="DS7" s="394"/>
      <c r="DT7" s="395"/>
      <c r="DU7" s="394"/>
      <c r="DV7" s="395"/>
      <c r="DW7" s="394"/>
      <c r="DX7" s="395"/>
      <c r="DY7" s="394"/>
      <c r="DZ7" s="395"/>
      <c r="EA7" s="394"/>
      <c r="EB7" s="395"/>
      <c r="EC7" s="394"/>
      <c r="ED7" s="395"/>
      <c r="EE7" s="394"/>
      <c r="EF7" s="395"/>
      <c r="EG7" s="394"/>
      <c r="EH7" s="395"/>
      <c r="EI7" s="394"/>
      <c r="EJ7" s="441"/>
      <c r="EK7" s="505"/>
      <c r="EL7" s="508"/>
      <c r="EM7" s="442"/>
      <c r="EN7" s="338"/>
      <c r="EO7" s="339"/>
      <c r="EP7" s="171">
        <f>Q7</f>
        <v>0</v>
      </c>
      <c r="EQ7" s="171">
        <f>U7+Y7+AC7+AG7+AK7+AO7+AS7+AW7+BA7+BE7+BI7+BM7+BQ7+BU7+BY7+CC7+CG7+CK7+CO7+CS7+CW7+DA7+DE7+DI7+DM7+DQ7+DU7+DY7+EC7+EG7</f>
        <v>1</v>
      </c>
      <c r="ER7" s="171">
        <f>S7+W7+AA7+AE7+AI7+AM7+AQ7+AU7+AY7+BC7+BG7+BK7+BO7+BS7+BW7+CA7+CE7+CI7+CM7+CQ7+CU7+CY7+DC7+DG7+DK7+DO7+DS7+DW7+EA7+EE7+EI7</f>
        <v>0</v>
      </c>
      <c r="ES7" s="171">
        <f>R7</f>
        <v>0</v>
      </c>
      <c r="ET7" s="171">
        <f>V7+Z7+AD7+AH7+AL7+AP7+AT7+AX7+BB7+BF7+BJ7+BN7+BR7+BV7+BZ7+CD7+CH7+CL7+CP7+CT7+CX7+DB7+DF7+DJ7+DN7+DR7+DV7+DZ7+ED7+EH7</f>
        <v>0</v>
      </c>
      <c r="EU7" s="171">
        <f>T7+X7+AB7+AF7+AJ7+AN7+AR7+AV7+AZ7+BD7+BH7+BL7+BP7+BT7+BX7+CB7+CF7+CJ7+CN7+CR7+CV7+CZ7+DD7+DH7+DL7+DP7+DT7+DX7+EB7+EF7+EJ7</f>
        <v>0</v>
      </c>
      <c r="EV7" s="172">
        <f>EP7+EQ7+ES7+ET7+ER7+EU7</f>
        <v>1</v>
      </c>
      <c r="EW7" s="173"/>
      <c r="EX7" s="248">
        <f>FH7</f>
        <v>0</v>
      </c>
      <c r="EY7" s="174">
        <f>(L7*regular)+(M7*Cadeirantee)</f>
        <v>470.72037500000005</v>
      </c>
      <c r="EZ7" s="249">
        <f>SUMIF(FI7:GM7,"&gt;0")</f>
        <v>0</v>
      </c>
      <c r="FA7" s="249">
        <f>SUMIF(FI7:GM7,"&lt;0")+SUMIF(GQ7:HS7,"&lt;0")</f>
        <v>0</v>
      </c>
      <c r="FB7" s="174">
        <v>0</v>
      </c>
      <c r="FC7" s="126">
        <f>N7*km*'VALORES TABELA'!$B$13</f>
        <v>0</v>
      </c>
      <c r="FD7" s="250">
        <f>GO7</f>
        <v>0</v>
      </c>
      <c r="FE7" s="665"/>
      <c r="FF7" s="105"/>
      <c r="FG7" s="660"/>
      <c r="FH7" s="119"/>
      <c r="FI7" s="119"/>
      <c r="FJ7" s="119"/>
      <c r="FK7" s="70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119"/>
      <c r="GL7" s="119"/>
      <c r="GM7" s="119"/>
      <c r="GN7" s="251"/>
      <c r="GO7" s="103">
        <f>IF(J7="ADAPTADO",T7*Cadeirante/30*GP7+S7*Percapita/30*GP7,IF(J7="NORMAL",(S7+T7)*Percapita/30*GP7,IF(J7="CRECHE",0)))*-1</f>
        <v>0</v>
      </c>
      <c r="GP7" s="12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Q7" s="104"/>
      <c r="HR7" s="104"/>
      <c r="HS7" s="104"/>
      <c r="HZ7" s="105"/>
      <c r="IB7" s="280">
        <f t="shared" si="7"/>
        <v>0</v>
      </c>
      <c r="IC7" s="280">
        <f t="shared" si="7"/>
        <v>0</v>
      </c>
      <c r="ID7" s="280">
        <f t="shared" si="7"/>
        <v>0</v>
      </c>
    </row>
    <row r="8" spans="1:239" s="64" customFormat="1" ht="22.5" customHeight="1" x14ac:dyDescent="0.25">
      <c r="A8" s="362" t="s">
        <v>3236</v>
      </c>
      <c r="B8" s="363" t="s">
        <v>3237</v>
      </c>
      <c r="C8" s="369" t="s">
        <v>3240</v>
      </c>
      <c r="D8" s="365" t="s">
        <v>3238</v>
      </c>
      <c r="E8" s="365" t="s">
        <v>3239</v>
      </c>
      <c r="F8" s="370" t="s">
        <v>3227</v>
      </c>
      <c r="G8" s="370" t="s">
        <v>3228</v>
      </c>
      <c r="H8" s="367" t="s">
        <v>1402</v>
      </c>
      <c r="I8" s="368" t="s">
        <v>1333</v>
      </c>
      <c r="J8" s="403" t="s">
        <v>3229</v>
      </c>
      <c r="K8" s="416" t="s">
        <v>3232</v>
      </c>
      <c r="L8" s="329">
        <f>CONTINUA!BV8</f>
        <v>0</v>
      </c>
      <c r="M8" s="329">
        <f>CONTINUA!BW8</f>
        <v>0</v>
      </c>
      <c r="N8" s="336"/>
      <c r="O8" s="289" t="s">
        <v>3488</v>
      </c>
      <c r="P8" s="330" t="s">
        <v>206</v>
      </c>
      <c r="Q8" s="394">
        <v>8</v>
      </c>
      <c r="R8" s="395"/>
      <c r="S8" s="394">
        <v>2</v>
      </c>
      <c r="T8" s="395"/>
      <c r="U8" s="394"/>
      <c r="V8" s="395"/>
      <c r="W8" s="394"/>
      <c r="X8" s="395"/>
      <c r="Y8" s="394"/>
      <c r="Z8" s="395"/>
      <c r="AA8" s="394"/>
      <c r="AB8" s="395"/>
      <c r="AC8" s="394"/>
      <c r="AD8" s="395"/>
      <c r="AE8" s="394"/>
      <c r="AF8" s="395"/>
      <c r="AG8" s="394"/>
      <c r="AH8" s="395"/>
      <c r="AI8" s="394"/>
      <c r="AJ8" s="395"/>
      <c r="AK8" s="394"/>
      <c r="AL8" s="395"/>
      <c r="AM8" s="394"/>
      <c r="AN8" s="395"/>
      <c r="AO8" s="394"/>
      <c r="AP8" s="395"/>
      <c r="AQ8" s="394"/>
      <c r="AR8" s="395"/>
      <c r="AS8" s="394"/>
      <c r="AT8" s="395"/>
      <c r="AU8" s="394"/>
      <c r="AV8" s="395"/>
      <c r="AW8" s="394"/>
      <c r="AX8" s="395"/>
      <c r="AY8" s="394"/>
      <c r="AZ8" s="395"/>
      <c r="BA8" s="394"/>
      <c r="BB8" s="395"/>
      <c r="BC8" s="394"/>
      <c r="BD8" s="395"/>
      <c r="BE8" s="394"/>
      <c r="BF8" s="395"/>
      <c r="BG8" s="394"/>
      <c r="BH8" s="395"/>
      <c r="BI8" s="394"/>
      <c r="BJ8" s="395"/>
      <c r="BK8" s="394"/>
      <c r="BL8" s="395"/>
      <c r="BM8" s="394"/>
      <c r="BN8" s="395"/>
      <c r="BO8" s="394"/>
      <c r="BP8" s="395"/>
      <c r="BQ8" s="394"/>
      <c r="BR8" s="395"/>
      <c r="BS8" s="394"/>
      <c r="BT8" s="395"/>
      <c r="BU8" s="394"/>
      <c r="BV8" s="395"/>
      <c r="BW8" s="394"/>
      <c r="BX8" s="395"/>
      <c r="BY8" s="394"/>
      <c r="BZ8" s="395"/>
      <c r="CA8" s="394"/>
      <c r="CB8" s="395"/>
      <c r="CC8" s="394"/>
      <c r="CD8" s="395"/>
      <c r="CE8" s="394"/>
      <c r="CF8" s="395"/>
      <c r="CG8" s="394"/>
      <c r="CH8" s="395"/>
      <c r="CI8" s="394"/>
      <c r="CJ8" s="395"/>
      <c r="CK8" s="394"/>
      <c r="CL8" s="395"/>
      <c r="CM8" s="394"/>
      <c r="CN8" s="395"/>
      <c r="CO8" s="394"/>
      <c r="CP8" s="395"/>
      <c r="CQ8" s="394"/>
      <c r="CR8" s="395"/>
      <c r="CS8" s="394"/>
      <c r="CT8" s="395"/>
      <c r="CU8" s="394"/>
      <c r="CV8" s="395"/>
      <c r="CW8" s="394"/>
      <c r="CX8" s="395"/>
      <c r="CY8" s="394"/>
      <c r="CZ8" s="395"/>
      <c r="DA8" s="394"/>
      <c r="DB8" s="395"/>
      <c r="DC8" s="394"/>
      <c r="DD8" s="395"/>
      <c r="DE8" s="394"/>
      <c r="DF8" s="395"/>
      <c r="DG8" s="394"/>
      <c r="DH8" s="395"/>
      <c r="DI8" s="394"/>
      <c r="DJ8" s="395"/>
      <c r="DK8" s="394"/>
      <c r="DL8" s="395"/>
      <c r="DM8" s="394"/>
      <c r="DN8" s="395"/>
      <c r="DO8" s="394"/>
      <c r="DP8" s="395"/>
      <c r="DQ8" s="394"/>
      <c r="DR8" s="395"/>
      <c r="DS8" s="394"/>
      <c r="DT8" s="395"/>
      <c r="DU8" s="394"/>
      <c r="DV8" s="395"/>
      <c r="DW8" s="394"/>
      <c r="DX8" s="395"/>
      <c r="DY8" s="394"/>
      <c r="DZ8" s="395"/>
      <c r="EA8" s="394"/>
      <c r="EB8" s="395"/>
      <c r="EC8" s="394"/>
      <c r="ED8" s="395"/>
      <c r="EE8" s="394"/>
      <c r="EF8" s="395"/>
      <c r="EG8" s="394"/>
      <c r="EH8" s="395"/>
      <c r="EI8" s="394"/>
      <c r="EJ8" s="441"/>
      <c r="EK8" s="505"/>
      <c r="EL8" s="508"/>
      <c r="EM8" s="442"/>
      <c r="EN8" s="338"/>
      <c r="EO8" s="339"/>
      <c r="EP8" s="171">
        <f>Q8</f>
        <v>8</v>
      </c>
      <c r="EQ8" s="171">
        <f>U8+Y8+AC8+AG8+AK8+AO8+AS8+AW8+BA8+BE8+BI8+BM8+BQ8+BU8+BY8+CC8+CG8+CK8+CO8+CS8+CW8+DA8+DE8+DI8+DM8+DQ8+DU8+DY8+EC8+EG8</f>
        <v>0</v>
      </c>
      <c r="ER8" s="171">
        <f>S8+W8+AA8+AE8+AI8+AM8+AQ8+AU8+AY8+BC8+BG8+BK8+BO8+BS8+BW8+CA8+CE8+CI8+CM8+CQ8+CU8+CY8+DC8+DG8+DK8+DO8+DS8+DW8+EA8+EE8+EI8</f>
        <v>2</v>
      </c>
      <c r="ES8" s="171">
        <f>R8</f>
        <v>0</v>
      </c>
      <c r="ET8" s="171">
        <f>V8+Z8+AD8+AH8+AL8+AP8+AT8+AX8+BB8+BF8+BJ8+BN8+BR8+BV8+BZ8+CD8+CH8+CL8+CP8+CT8+CX8+DB8+DF8+DJ8+DN8+DR8+DV8+DZ8+ED8+EH8</f>
        <v>0</v>
      </c>
      <c r="EU8" s="171">
        <f>T8+X8+AB8+AF8+AJ8+AN8+AR8+AV8+AZ8+BD8+BH8+BL8+BP8+BT8+BX8+CB8+CF8+CJ8+CN8+CR8+CV8+CZ8+DD8+DH8+DL8+DP8+DT8+DX8+EB8+EF8+EJ8</f>
        <v>0</v>
      </c>
      <c r="EV8" s="172">
        <f>EP8+EQ8+ES8+ET8+ER8+EU8</f>
        <v>10</v>
      </c>
      <c r="EW8" s="125"/>
      <c r="EX8" s="248">
        <f>FH8</f>
        <v>0</v>
      </c>
      <c r="EY8" s="174">
        <f>(L8*regular)+(M8*Cadeirantee)</f>
        <v>0</v>
      </c>
      <c r="EZ8" s="249">
        <f>SUMIF(FI8:GM8,"&gt;0")</f>
        <v>0</v>
      </c>
      <c r="FA8" s="249">
        <f>SUMIF(FI8:GM8,"&lt;0")+SUMIF(GQ8:HS8,"&lt;0")</f>
        <v>0</v>
      </c>
      <c r="FB8" s="174">
        <v>0</v>
      </c>
      <c r="FC8" s="126">
        <f>N8*km*'VALORES TABELA'!$B$13</f>
        <v>0</v>
      </c>
      <c r="FD8" s="250">
        <f>GO8</f>
        <v>0</v>
      </c>
      <c r="FE8" s="665"/>
      <c r="FF8" s="105"/>
      <c r="FG8" s="661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108"/>
      <c r="GL8" s="108"/>
      <c r="GM8" s="108"/>
      <c r="GN8" s="251"/>
      <c r="GO8" s="103">
        <f>IF(J8="ADAPTADO",T8*Cadeirante/30*GP8+S8*Percapita/30*GP8,IF(J8="NORMAL",(S8+T8)*Percapita/30*GP8,IF(J8="CRECHE",0)))*-1</f>
        <v>0</v>
      </c>
      <c r="GP8" s="12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Q8" s="104"/>
      <c r="HR8" s="104"/>
      <c r="HS8" s="104"/>
      <c r="HZ8" s="105"/>
      <c r="IB8" s="280">
        <f t="shared" si="7"/>
        <v>0</v>
      </c>
      <c r="IC8" s="280">
        <f t="shared" si="7"/>
        <v>0</v>
      </c>
      <c r="ID8" s="280">
        <f t="shared" si="7"/>
        <v>0</v>
      </c>
    </row>
    <row r="9" spans="1:239" s="65" customFormat="1" ht="22.5" customHeight="1" x14ac:dyDescent="0.25">
      <c r="A9" s="362" t="s">
        <v>3236</v>
      </c>
      <c r="B9" s="363" t="s">
        <v>3237</v>
      </c>
      <c r="C9" s="369" t="s">
        <v>3240</v>
      </c>
      <c r="D9" s="365" t="s">
        <v>3238</v>
      </c>
      <c r="E9" s="365" t="s">
        <v>3239</v>
      </c>
      <c r="F9" s="370" t="s">
        <v>3227</v>
      </c>
      <c r="G9" s="370" t="s">
        <v>3228</v>
      </c>
      <c r="H9" s="367" t="s">
        <v>1402</v>
      </c>
      <c r="I9" s="368" t="s">
        <v>1333</v>
      </c>
      <c r="J9" s="403" t="s">
        <v>3229</v>
      </c>
      <c r="K9" s="417" t="s">
        <v>3233</v>
      </c>
      <c r="L9" s="329">
        <f>CONTINUA!BV9</f>
        <v>0</v>
      </c>
      <c r="M9" s="329">
        <f>CONTINUA!BW9</f>
        <v>0</v>
      </c>
      <c r="N9" s="336">
        <v>1</v>
      </c>
      <c r="O9" s="289" t="s">
        <v>3488</v>
      </c>
      <c r="P9" s="330" t="s">
        <v>206</v>
      </c>
      <c r="Q9" s="394"/>
      <c r="R9" s="395"/>
      <c r="S9" s="394"/>
      <c r="T9" s="395"/>
      <c r="U9" s="394"/>
      <c r="V9" s="395"/>
      <c r="W9" s="394"/>
      <c r="X9" s="395"/>
      <c r="Y9" s="394"/>
      <c r="Z9" s="395"/>
      <c r="AA9" s="394"/>
      <c r="AB9" s="395"/>
      <c r="AC9" s="394"/>
      <c r="AD9" s="395"/>
      <c r="AE9" s="394"/>
      <c r="AF9" s="395"/>
      <c r="AG9" s="394"/>
      <c r="AH9" s="395"/>
      <c r="AI9" s="394"/>
      <c r="AJ9" s="395"/>
      <c r="AK9" s="394"/>
      <c r="AL9" s="395"/>
      <c r="AM9" s="394"/>
      <c r="AN9" s="395"/>
      <c r="AO9" s="394"/>
      <c r="AP9" s="395"/>
      <c r="AQ9" s="394"/>
      <c r="AR9" s="395"/>
      <c r="AS9" s="394"/>
      <c r="AT9" s="395"/>
      <c r="AU9" s="394"/>
      <c r="AV9" s="395"/>
      <c r="AW9" s="394"/>
      <c r="AX9" s="395"/>
      <c r="AY9" s="394"/>
      <c r="AZ9" s="395"/>
      <c r="BA9" s="394"/>
      <c r="BB9" s="395"/>
      <c r="BC9" s="394"/>
      <c r="BD9" s="395"/>
      <c r="BE9" s="394"/>
      <c r="BF9" s="395"/>
      <c r="BG9" s="394"/>
      <c r="BH9" s="395"/>
      <c r="BI9" s="394"/>
      <c r="BJ9" s="395"/>
      <c r="BK9" s="394"/>
      <c r="BL9" s="395"/>
      <c r="BM9" s="394"/>
      <c r="BN9" s="395"/>
      <c r="BO9" s="394"/>
      <c r="BP9" s="395"/>
      <c r="BQ9" s="394"/>
      <c r="BR9" s="395"/>
      <c r="BS9" s="394"/>
      <c r="BT9" s="395"/>
      <c r="BU9" s="394"/>
      <c r="BV9" s="395"/>
      <c r="BW9" s="394"/>
      <c r="BX9" s="395"/>
      <c r="BY9" s="394"/>
      <c r="BZ9" s="395"/>
      <c r="CA9" s="394"/>
      <c r="CB9" s="395"/>
      <c r="CC9" s="394"/>
      <c r="CD9" s="395"/>
      <c r="CE9" s="394"/>
      <c r="CF9" s="395"/>
      <c r="CG9" s="394"/>
      <c r="CH9" s="395"/>
      <c r="CI9" s="394"/>
      <c r="CJ9" s="395"/>
      <c r="CK9" s="394"/>
      <c r="CL9" s="395"/>
      <c r="CM9" s="394"/>
      <c r="CN9" s="395"/>
      <c r="CO9" s="394"/>
      <c r="CP9" s="395"/>
      <c r="CQ9" s="394"/>
      <c r="CR9" s="395"/>
      <c r="CS9" s="394"/>
      <c r="CT9" s="395"/>
      <c r="CU9" s="394"/>
      <c r="CV9" s="395"/>
      <c r="CW9" s="394"/>
      <c r="CX9" s="395"/>
      <c r="CY9" s="394"/>
      <c r="CZ9" s="395"/>
      <c r="DA9" s="394"/>
      <c r="DB9" s="395"/>
      <c r="DC9" s="394"/>
      <c r="DD9" s="395"/>
      <c r="DE9" s="394"/>
      <c r="DF9" s="395"/>
      <c r="DG9" s="394"/>
      <c r="DH9" s="395"/>
      <c r="DI9" s="394"/>
      <c r="DJ9" s="395"/>
      <c r="DK9" s="394"/>
      <c r="DL9" s="395"/>
      <c r="DM9" s="394"/>
      <c r="DN9" s="395"/>
      <c r="DO9" s="394"/>
      <c r="DP9" s="395"/>
      <c r="DQ9" s="394"/>
      <c r="DR9" s="395"/>
      <c r="DS9" s="394"/>
      <c r="DT9" s="395"/>
      <c r="DU9" s="394"/>
      <c r="DV9" s="395"/>
      <c r="DW9" s="394"/>
      <c r="DX9" s="395"/>
      <c r="DY9" s="394"/>
      <c r="DZ9" s="395"/>
      <c r="EA9" s="394"/>
      <c r="EB9" s="395"/>
      <c r="EC9" s="394"/>
      <c r="ED9" s="395"/>
      <c r="EE9" s="394"/>
      <c r="EF9" s="395"/>
      <c r="EG9" s="394"/>
      <c r="EH9" s="395"/>
      <c r="EI9" s="394"/>
      <c r="EJ9" s="441"/>
      <c r="EK9" s="505"/>
      <c r="EL9" s="508"/>
      <c r="EM9" s="442"/>
      <c r="EN9" s="338"/>
      <c r="EO9" s="339"/>
      <c r="EP9" s="171">
        <f>Q9</f>
        <v>0</v>
      </c>
      <c r="EQ9" s="171">
        <f>U9+Y9+AC9+AG9+AK9+AO9+AS9+AW9+BA9+BE9+BI9+BM9+BQ9+BU9+BY9+CC9+CG9+CK9+CO9+CS9+CW9+DA9+DE9+DI9+DM9+DQ9+DU9+DY9+EC9+EG9</f>
        <v>0</v>
      </c>
      <c r="ER9" s="171">
        <f>S9+W9+AA9+AE9+AI9+AM9+AQ9+AU9+AY9+BC9+BG9+BK9+BO9+BS9+BW9+CA9+CE9+CI9+CM9+CQ9+CU9+CY9+DC9+DG9+DK9+DO9+DS9+DW9+EA9+EE9+EI9</f>
        <v>0</v>
      </c>
      <c r="ES9" s="171">
        <f>R9</f>
        <v>0</v>
      </c>
      <c r="ET9" s="171">
        <f>V9+Z9+AD9+AH9+AL9+AP9+AT9+AX9+BB9+BF9+BJ9+BN9+BR9+BV9+BZ9+CD9+CH9+CL9+CP9+CT9+CX9+DB9+DF9+DJ9+DN9+DR9+DV9+DZ9+ED9+EH9</f>
        <v>0</v>
      </c>
      <c r="EU9" s="171">
        <f>T9+X9+AB9+AF9+AJ9+AN9+AR9+AV9+AZ9+BD9+BH9+BL9+BP9+BT9+BX9+CB9+CF9+CJ9+CN9+CR9+CV9+CZ9+DD9+DH9+DL9+DP9+DT9+DX9+EB9+EF9+EJ9</f>
        <v>0</v>
      </c>
      <c r="EV9" s="172">
        <f>EP9+EQ9+ES9+ET9+ER9+EU9</f>
        <v>0</v>
      </c>
      <c r="EW9" s="127"/>
      <c r="EX9" s="248">
        <f>FH9</f>
        <v>0</v>
      </c>
      <c r="EY9" s="174">
        <f>(L9*regular)+(M9*Cadeirantee)</f>
        <v>0</v>
      </c>
      <c r="EZ9" s="249">
        <f>SUMIF(FI9:GM9,"&gt;0")</f>
        <v>0</v>
      </c>
      <c r="FA9" s="249">
        <f>SUMIF(FI9:GM9,"&lt;0")+SUMIF(GQ9:HS9,"&lt;0")</f>
        <v>0</v>
      </c>
      <c r="FB9" s="174">
        <v>0</v>
      </c>
      <c r="FC9" s="126">
        <f>N9*km*'VALORES TABELA'!$B$13</f>
        <v>24.32</v>
      </c>
      <c r="FD9" s="250">
        <f>GO9</f>
        <v>0</v>
      </c>
      <c r="FE9" s="665"/>
      <c r="FF9" s="105"/>
      <c r="FG9" s="660"/>
      <c r="FH9" s="118"/>
      <c r="FI9" s="118"/>
      <c r="FJ9" s="118"/>
      <c r="FK9" s="710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118"/>
      <c r="GL9" s="118"/>
      <c r="GM9" s="118"/>
      <c r="GN9" s="252"/>
      <c r="GO9" s="103">
        <f>IF(J9="ADAPTADO",T9*Cadeirante/30*GP9+S9*Percapita/30*GP9,IF(J9="NORMAL",(S9+T9)*Percapita/30*GP9,IF(J9="CRECHE",0)))*-1</f>
        <v>0</v>
      </c>
      <c r="GP9" s="12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104"/>
      <c r="HR9" s="104"/>
      <c r="HS9" s="104"/>
      <c r="HT9" s="64"/>
      <c r="HZ9" s="105"/>
      <c r="IB9" s="280">
        <f t="shared" si="7"/>
        <v>0</v>
      </c>
      <c r="IC9" s="280">
        <f t="shared" si="7"/>
        <v>0</v>
      </c>
      <c r="ID9" s="280">
        <f t="shared" si="7"/>
        <v>0</v>
      </c>
    </row>
    <row r="10" spans="1:239" s="106" customFormat="1" ht="22.5" customHeight="1" thickBot="1" x14ac:dyDescent="0.3">
      <c r="A10" s="371" t="s">
        <v>3236</v>
      </c>
      <c r="B10" s="372" t="s">
        <v>3237</v>
      </c>
      <c r="C10" s="373" t="s">
        <v>3240</v>
      </c>
      <c r="D10" s="374" t="s">
        <v>3238</v>
      </c>
      <c r="E10" s="374" t="s">
        <v>3239</v>
      </c>
      <c r="F10" s="375" t="s">
        <v>3227</v>
      </c>
      <c r="G10" s="375" t="s">
        <v>3228</v>
      </c>
      <c r="H10" s="376" t="s">
        <v>1402</v>
      </c>
      <c r="I10" s="377" t="s">
        <v>1333</v>
      </c>
      <c r="J10" s="403" t="s">
        <v>3229</v>
      </c>
      <c r="K10" s="418" t="s">
        <v>60</v>
      </c>
      <c r="L10" s="329">
        <f>CONTINUA!BV10</f>
        <v>0</v>
      </c>
      <c r="M10" s="329">
        <f>CONTINUA!BW10</f>
        <v>0</v>
      </c>
      <c r="N10" s="337"/>
      <c r="O10" s="290" t="s">
        <v>3488</v>
      </c>
      <c r="P10" s="330" t="s">
        <v>206</v>
      </c>
      <c r="Q10" s="394"/>
      <c r="R10" s="395"/>
      <c r="S10" s="394"/>
      <c r="T10" s="395"/>
      <c r="U10" s="394"/>
      <c r="V10" s="395"/>
      <c r="W10" s="394"/>
      <c r="X10" s="395"/>
      <c r="Y10" s="394"/>
      <c r="Z10" s="395"/>
      <c r="AA10" s="394"/>
      <c r="AB10" s="395"/>
      <c r="AC10" s="394"/>
      <c r="AD10" s="395"/>
      <c r="AE10" s="394"/>
      <c r="AF10" s="395"/>
      <c r="AG10" s="394"/>
      <c r="AH10" s="395"/>
      <c r="AI10" s="394"/>
      <c r="AJ10" s="395"/>
      <c r="AK10" s="394"/>
      <c r="AL10" s="395"/>
      <c r="AM10" s="394"/>
      <c r="AN10" s="395"/>
      <c r="AO10" s="394"/>
      <c r="AP10" s="395"/>
      <c r="AQ10" s="394"/>
      <c r="AR10" s="395"/>
      <c r="AS10" s="394"/>
      <c r="AT10" s="395"/>
      <c r="AU10" s="394"/>
      <c r="AV10" s="395"/>
      <c r="AW10" s="394"/>
      <c r="AX10" s="395"/>
      <c r="AY10" s="394"/>
      <c r="AZ10" s="395"/>
      <c r="BA10" s="394"/>
      <c r="BB10" s="395"/>
      <c r="BC10" s="394"/>
      <c r="BD10" s="395"/>
      <c r="BE10" s="394"/>
      <c r="BF10" s="395"/>
      <c r="BG10" s="394"/>
      <c r="BH10" s="395"/>
      <c r="BI10" s="394"/>
      <c r="BJ10" s="395"/>
      <c r="BK10" s="394"/>
      <c r="BL10" s="395"/>
      <c r="BM10" s="394"/>
      <c r="BN10" s="395"/>
      <c r="BO10" s="394"/>
      <c r="BP10" s="395"/>
      <c r="BQ10" s="394"/>
      <c r="BR10" s="395"/>
      <c r="BS10" s="394"/>
      <c r="BT10" s="395"/>
      <c r="BU10" s="394"/>
      <c r="BV10" s="395"/>
      <c r="BW10" s="394"/>
      <c r="BX10" s="395"/>
      <c r="BY10" s="394"/>
      <c r="BZ10" s="395"/>
      <c r="CA10" s="394"/>
      <c r="CB10" s="395"/>
      <c r="CC10" s="394"/>
      <c r="CD10" s="395"/>
      <c r="CE10" s="394"/>
      <c r="CF10" s="395"/>
      <c r="CG10" s="394"/>
      <c r="CH10" s="395"/>
      <c r="CI10" s="394"/>
      <c r="CJ10" s="395"/>
      <c r="CK10" s="394"/>
      <c r="CL10" s="395"/>
      <c r="CM10" s="394"/>
      <c r="CN10" s="395"/>
      <c r="CO10" s="394"/>
      <c r="CP10" s="395"/>
      <c r="CQ10" s="394"/>
      <c r="CR10" s="395"/>
      <c r="CS10" s="394"/>
      <c r="CT10" s="395"/>
      <c r="CU10" s="394"/>
      <c r="CV10" s="395"/>
      <c r="CW10" s="394"/>
      <c r="CX10" s="395"/>
      <c r="CY10" s="394"/>
      <c r="CZ10" s="395"/>
      <c r="DA10" s="394"/>
      <c r="DB10" s="395"/>
      <c r="DC10" s="394"/>
      <c r="DD10" s="395"/>
      <c r="DE10" s="394"/>
      <c r="DF10" s="395"/>
      <c r="DG10" s="394"/>
      <c r="DH10" s="395"/>
      <c r="DI10" s="394"/>
      <c r="DJ10" s="395"/>
      <c r="DK10" s="394"/>
      <c r="DL10" s="395"/>
      <c r="DM10" s="394"/>
      <c r="DN10" s="395"/>
      <c r="DO10" s="394"/>
      <c r="DP10" s="395"/>
      <c r="DQ10" s="394"/>
      <c r="DR10" s="395"/>
      <c r="DS10" s="394"/>
      <c r="DT10" s="395"/>
      <c r="DU10" s="394"/>
      <c r="DV10" s="395"/>
      <c r="DW10" s="394"/>
      <c r="DX10" s="395"/>
      <c r="DY10" s="394"/>
      <c r="DZ10" s="395"/>
      <c r="EA10" s="394"/>
      <c r="EB10" s="395"/>
      <c r="EC10" s="394"/>
      <c r="ED10" s="395"/>
      <c r="EE10" s="394"/>
      <c r="EF10" s="395"/>
      <c r="EG10" s="394"/>
      <c r="EH10" s="395"/>
      <c r="EI10" s="394"/>
      <c r="EJ10" s="441"/>
      <c r="EK10" s="506"/>
      <c r="EL10" s="509"/>
      <c r="EM10" s="444"/>
      <c r="EN10" s="342"/>
      <c r="EO10" s="342"/>
      <c r="EP10" s="179">
        <f>Q10</f>
        <v>0</v>
      </c>
      <c r="EQ10" s="179">
        <f>U10+Y10+AC10+AG10+AK10+AO10+AS10+AW10+BA10+BE10+BI10+BM10+BQ10+BU10+BY10+CC10+CG10+CK10+CO10+CS10+CW10+DA10+DE10+DI10+DM10+DQ10+DU10+DY10+EC10+EG10</f>
        <v>0</v>
      </c>
      <c r="ER10" s="179">
        <f>S10+W10+AA10+AE10+AI10+AM10+AQ10+AU10+AY10+BC10+BG10+BK10+BO10+BS10+BW10+CA10+CE10+CI10+CM10+CQ10+CU10+CY10+DC10+DG10+DK10+DO10+DS10+DW10+EA10+EE10+EI10</f>
        <v>0</v>
      </c>
      <c r="ES10" s="179">
        <f>R10</f>
        <v>0</v>
      </c>
      <c r="ET10" s="179">
        <f>V10+Z10+AD10+AH10+AL10+AP10+AT10+AX10+BB10+BF10+BJ10+BN10+BR10+BV10+BZ10+CD10+CH10+CL10+CP10+CT10+CX10+DB10+DF10+DJ10+DN10+DR10+DV10+DZ10+ED10+EH10</f>
        <v>0</v>
      </c>
      <c r="EU10" s="179">
        <f>T10+X10+AB10+AF10+AJ10+AN10+AR10+AV10+AZ10+BD10+BH10+BL10+BP10+BT10+BX10+CB10+CF10+CJ10+CN10+CR10+CV10+CZ10+DD10+DH10+DL10+DP10+DT10+DX10+EB10+EF10+EJ10</f>
        <v>0</v>
      </c>
      <c r="EV10" s="172">
        <f>EP10+EQ10+ES10+ET10+ER10+EU10</f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SUM(FH10:GL10)/2</f>
        <v>0</v>
      </c>
      <c r="FC10" s="256">
        <f>N10*km*'VALORES TABELA'!$B$13</f>
        <v>0</v>
      </c>
      <c r="FD10" s="250">
        <f>GO10</f>
        <v>0</v>
      </c>
      <c r="FE10" s="666"/>
      <c r="FF10" s="257"/>
      <c r="FG10" s="662"/>
      <c r="FH10" s="181">
        <f>((Q10+S10)*Percapita)+((R10+T10)*Cadeirante)</f>
        <v>0</v>
      </c>
      <c r="FI10" s="181">
        <f>((U10+W10)*Percapita/30*FI$4)+((V10+X10)*Cadeirante/30*FI$4)</f>
        <v>0</v>
      </c>
      <c r="FJ10" s="181">
        <f>((Y10+AA10)*Percapita/30*FJ$4)+((Z10+AB10)*Cadeirante/30*FJ$4)</f>
        <v>0</v>
      </c>
      <c r="FK10" s="711"/>
      <c r="FL10" s="181">
        <f>((AC10+AE10)*Percapita/30*FL$4)+((AD10+AF10)*Cadeirante/30*FL$4)</f>
        <v>0</v>
      </c>
      <c r="FM10" s="181">
        <f>((AG10+AI10)*Percapita/30*FM$4)+((AH10+AJ10)*Cadeirante/30*FM$4)</f>
        <v>0</v>
      </c>
      <c r="FN10" s="181">
        <f>((AK10+AM10)*Percapita/30*FN$4)+((AL10+AN10)*Cadeirante/30*FN$4)</f>
        <v>0</v>
      </c>
      <c r="FO10" s="181">
        <f>((AO10+AQ10)*Percapita/30*FO$4)+((AP10+AR10)*Cadeirante/30*FO$4)</f>
        <v>0</v>
      </c>
      <c r="FP10" s="181">
        <f>((AS10+AU10)*Percapita/30*FP$4)+((AT10+AV10)*Cadeirante/30*FP$4)</f>
        <v>0</v>
      </c>
      <c r="FQ10" s="181">
        <f>((AW10+AY10)*Percapita/30*FQ$4)+((AX10+AZ10)*Cadeirante/30*FQ$4)</f>
        <v>0</v>
      </c>
      <c r="FR10" s="181">
        <f>((BA10+BC10)*Percapita/30*FR$4)+((BB10+BD10)*Cadeirante/30*FR$4)</f>
        <v>0</v>
      </c>
      <c r="FS10" s="181">
        <f>((BE10+BG10)*Percapita/30*FS$4)+((BF10+BH10)*Cadeirante/30*FS$4)</f>
        <v>0</v>
      </c>
      <c r="FT10" s="181">
        <f>((BI10+BK10)*Percapita/30*FT$4)+((BJ10+BL10)*Cadeirante/30*FT$4)</f>
        <v>0</v>
      </c>
      <c r="FU10" s="181">
        <f>((BM10+BO10)*Percapita/30*FU$4)+((BN10+BP10)*Cadeirante/30*FU$4)</f>
        <v>0</v>
      </c>
      <c r="FV10" s="181">
        <f>((BQ10+BS10)*Percapita/30*FV$4)+((BR10+BT10)*Cadeirante/30*FV$4)</f>
        <v>0</v>
      </c>
      <c r="FW10" s="181">
        <f>((BU10+BW10)*Percapita/30*FW$4)+((BV10+BX10)*Cadeirante/30*FW$4)</f>
        <v>0</v>
      </c>
      <c r="FX10" s="181">
        <f>((BY10+CA10)*Percapita/30*FX$4)+((BZ10+CB10)*Cadeirante/30*FX$4)</f>
        <v>0</v>
      </c>
      <c r="FY10" s="181">
        <f>((CC10+CE10)*Percapita/30*FY$4)+((CD10+CF10)*Cadeirante/30*FY$4)</f>
        <v>0</v>
      </c>
      <c r="FZ10" s="181">
        <f>((CG10+CI10)*Percapita/30*FZ$4)+((CI10+CK10)*Cadeirante/30*FZ$4)</f>
        <v>0</v>
      </c>
      <c r="GA10" s="181">
        <f>((CK10+CM10)*Percapita/30*GA$4)+((CL10+CN10)*Cadeirante/30*GA$4)</f>
        <v>0</v>
      </c>
      <c r="GB10" s="181">
        <f>((CO10+CQ10)*Percapita/30*GB$4)+((CP10+CR10)*Cadeirante/30*GB$4)</f>
        <v>0</v>
      </c>
      <c r="GC10" s="181">
        <f>((CS10+CU10)*Percapita/30*GC$4)+((CT10+CV10)*Cadeirante/30*GC$4)</f>
        <v>0</v>
      </c>
      <c r="GD10" s="181">
        <f>((CW10+CY10)*Percapita/30*GD$4)+((CX10+CZ10)*Cadeirante/30*GD$4)</f>
        <v>0</v>
      </c>
      <c r="GE10" s="181">
        <f>((DA10+DC10)*Percapita/30*GE$4)+((DB10+DD10)*Cadeirante/30*GE$4)</f>
        <v>0</v>
      </c>
      <c r="GF10" s="181">
        <f>((DE10+DG10)*Percapita/30*GF$4)+((DF10+DH10)*Cadeirante/30*GF$4)</f>
        <v>0</v>
      </c>
      <c r="GG10" s="181">
        <f>((DI10+DK10)*Percapita/30*GG$4)+((DJ10+DL10)*Cadeirante/30*GG$4)</f>
        <v>0</v>
      </c>
      <c r="GH10" s="181">
        <f>((DM10+DO10)*Percapita/30*GH$4)+((DN10+DP10)*Cadeirante/30*GH$4)</f>
        <v>0</v>
      </c>
      <c r="GI10" s="181">
        <f>((DQ10+DS10)*Percapita/30*GI$4)+((DR10+DT10)*Cadeirante/30*GI$4)</f>
        <v>0</v>
      </c>
      <c r="GJ10" s="181">
        <f>((DU10+DW10)*Percapita/30*GJ$4)+((DV10+DX10)*Cadeirante/30*GJ$4)</f>
        <v>0</v>
      </c>
      <c r="GK10" s="181">
        <f>((DY10+EA10)*Percapita/30*GK$4)+((DZ10+EB10)*Cadeirante/30*GK$4)</f>
        <v>0</v>
      </c>
      <c r="GL10" s="181">
        <f>((EC10+EE10)*Percapita/30*GL$4)+((ED10+EF10)*Cadeirante/30*GL$4)</f>
        <v>0</v>
      </c>
      <c r="GM10" s="181">
        <f>((EG10+EI10)*Percapita)+((EH10+EJ10)*Cadeirante)</f>
        <v>0</v>
      </c>
      <c r="GN10" s="258"/>
      <c r="GO10" s="103">
        <f>IF(J10="ADAPTADO",T10*Cadeirante/30*GP10+S10*Percapita/30*GP10,IF(J10="NORMAL",(S10+T10)*Percapita/30*GP10,IF(J10="CRECHE",0)))*-1</f>
        <v>0</v>
      </c>
      <c r="GP10" s="124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182"/>
      <c r="HQ10" s="182"/>
      <c r="HR10" s="182"/>
      <c r="HS10" s="259"/>
      <c r="HT10" s="64"/>
      <c r="HZ10" s="257"/>
      <c r="IB10" s="280">
        <f t="shared" si="7"/>
        <v>0</v>
      </c>
      <c r="IC10" s="280">
        <f t="shared" si="7"/>
        <v>0</v>
      </c>
      <c r="ID10" s="280">
        <f t="shared" si="7"/>
        <v>0</v>
      </c>
    </row>
    <row r="11" spans="1:239" s="106" customFormat="1" ht="22.5" customHeight="1" x14ac:dyDescent="0.25">
      <c r="A11" s="668"/>
      <c r="B11" s="669"/>
      <c r="C11" s="670"/>
      <c r="D11" s="671"/>
      <c r="E11" s="671"/>
      <c r="F11" s="672"/>
      <c r="G11" s="672"/>
      <c r="H11" s="673"/>
      <c r="I11" s="674"/>
      <c r="J11" s="675"/>
      <c r="K11" s="676"/>
      <c r="L11" s="677"/>
      <c r="M11" s="677"/>
      <c r="N11" s="678"/>
      <c r="O11" s="679"/>
      <c r="P11" s="680"/>
      <c r="Q11" s="681"/>
      <c r="R11" s="682"/>
      <c r="S11" s="681"/>
      <c r="T11" s="682"/>
      <c r="U11" s="681"/>
      <c r="V11" s="682"/>
      <c r="W11" s="681"/>
      <c r="X11" s="682"/>
      <c r="Y11" s="681"/>
      <c r="Z11" s="682"/>
      <c r="AA11" s="681"/>
      <c r="AB11" s="682"/>
      <c r="AC11" s="681"/>
      <c r="AD11" s="682"/>
      <c r="AE11" s="681"/>
      <c r="AF11" s="682"/>
      <c r="AG11" s="681"/>
      <c r="AH11" s="682"/>
      <c r="AI11" s="681"/>
      <c r="AJ11" s="682"/>
      <c r="AK11" s="681"/>
      <c r="AL11" s="682"/>
      <c r="AM11" s="681"/>
      <c r="AN11" s="682"/>
      <c r="AO11" s="681"/>
      <c r="AP11" s="682"/>
      <c r="AQ11" s="681"/>
      <c r="AR11" s="682"/>
      <c r="AS11" s="681"/>
      <c r="AT11" s="682"/>
      <c r="AU11" s="681"/>
      <c r="AV11" s="682"/>
      <c r="AW11" s="681"/>
      <c r="AX11" s="682"/>
      <c r="AY11" s="681"/>
      <c r="AZ11" s="682"/>
      <c r="BA11" s="681"/>
      <c r="BB11" s="682"/>
      <c r="BC11" s="681"/>
      <c r="BD11" s="682"/>
      <c r="BE11" s="681"/>
      <c r="BF11" s="682"/>
      <c r="BG11" s="681"/>
      <c r="BH11" s="682"/>
      <c r="BI11" s="681"/>
      <c r="BJ11" s="682"/>
      <c r="BK11" s="681"/>
      <c r="BL11" s="682"/>
      <c r="BM11" s="681"/>
      <c r="BN11" s="682"/>
      <c r="BO11" s="681"/>
      <c r="BP11" s="682"/>
      <c r="BQ11" s="681"/>
      <c r="BR11" s="682"/>
      <c r="BS11" s="681"/>
      <c r="BT11" s="682"/>
      <c r="BU11" s="681"/>
      <c r="BV11" s="682"/>
      <c r="BW11" s="681"/>
      <c r="BX11" s="682"/>
      <c r="BY11" s="681"/>
      <c r="BZ11" s="682"/>
      <c r="CA11" s="681"/>
      <c r="CB11" s="682"/>
      <c r="CC11" s="681"/>
      <c r="CD11" s="682"/>
      <c r="CE11" s="681"/>
      <c r="CF11" s="682"/>
      <c r="CG11" s="681"/>
      <c r="CH11" s="682"/>
      <c r="CI11" s="681"/>
      <c r="CJ11" s="682"/>
      <c r="CK11" s="681"/>
      <c r="CL11" s="682"/>
      <c r="CM11" s="681"/>
      <c r="CN11" s="682"/>
      <c r="CO11" s="681"/>
      <c r="CP11" s="682"/>
      <c r="CQ11" s="681"/>
      <c r="CR11" s="682"/>
      <c r="CS11" s="681"/>
      <c r="CT11" s="682"/>
      <c r="CU11" s="681"/>
      <c r="CV11" s="682"/>
      <c r="CW11" s="681"/>
      <c r="CX11" s="682"/>
      <c r="CY11" s="681"/>
      <c r="CZ11" s="682"/>
      <c r="DA11" s="681"/>
      <c r="DB11" s="682"/>
      <c r="DC11" s="681"/>
      <c r="DD11" s="682"/>
      <c r="DE11" s="681"/>
      <c r="DF11" s="682"/>
      <c r="DG11" s="681"/>
      <c r="DH11" s="682"/>
      <c r="DI11" s="681"/>
      <c r="DJ11" s="682"/>
      <c r="DK11" s="681"/>
      <c r="DL11" s="682"/>
      <c r="DM11" s="681"/>
      <c r="DN11" s="682"/>
      <c r="DO11" s="681"/>
      <c r="DP11" s="682"/>
      <c r="DQ11" s="681"/>
      <c r="DR11" s="682"/>
      <c r="DS11" s="681"/>
      <c r="DT11" s="682"/>
      <c r="DU11" s="681"/>
      <c r="DV11" s="682"/>
      <c r="DW11" s="681"/>
      <c r="DX11" s="682"/>
      <c r="DY11" s="681"/>
      <c r="DZ11" s="682"/>
      <c r="EA11" s="681"/>
      <c r="EB11" s="682"/>
      <c r="EC11" s="681"/>
      <c r="ED11" s="682"/>
      <c r="EE11" s="681"/>
      <c r="EF11" s="682"/>
      <c r="EG11" s="681"/>
      <c r="EH11" s="682"/>
      <c r="EI11" s="681"/>
      <c r="EJ11" s="682"/>
      <c r="EK11" s="683"/>
      <c r="EL11" s="684"/>
      <c r="EM11" s="685"/>
      <c r="EN11" s="686"/>
      <c r="EO11" s="686"/>
      <c r="EP11" s="687"/>
      <c r="EQ11" s="687"/>
      <c r="ER11" s="687"/>
      <c r="ES11" s="687"/>
      <c r="ET11" s="687"/>
      <c r="EU11" s="687"/>
      <c r="EV11" s="688"/>
      <c r="EW11" s="689"/>
      <c r="EX11" s="690"/>
      <c r="EY11" s="691"/>
      <c r="EZ11" s="691"/>
      <c r="FA11" s="691"/>
      <c r="FB11" s="691"/>
      <c r="FC11" s="692"/>
      <c r="FD11" s="685"/>
      <c r="FE11" s="685"/>
      <c r="FF11" s="693"/>
      <c r="FG11" s="693"/>
      <c r="FH11" s="694"/>
      <c r="FI11" s="694"/>
      <c r="FJ11" s="694"/>
      <c r="FK11" s="694"/>
      <c r="FL11" s="694"/>
      <c r="FM11" s="694"/>
      <c r="FN11" s="694"/>
      <c r="FO11" s="694"/>
      <c r="FP11" s="694"/>
      <c r="FQ11" s="694"/>
      <c r="FR11" s="694"/>
      <c r="FS11" s="694"/>
      <c r="FT11" s="694"/>
      <c r="FU11" s="694"/>
      <c r="FV11" s="694"/>
      <c r="FW11" s="694"/>
      <c r="FX11" s="694"/>
      <c r="FY11" s="694"/>
      <c r="FZ11" s="694"/>
      <c r="GA11" s="694"/>
      <c r="GB11" s="694"/>
      <c r="GC11" s="694"/>
      <c r="GD11" s="694"/>
      <c r="GE11" s="694"/>
      <c r="GF11" s="694"/>
      <c r="GG11" s="694"/>
      <c r="GH11" s="694"/>
      <c r="GI11" s="694"/>
      <c r="GJ11" s="694"/>
      <c r="GK11" s="694"/>
      <c r="GL11" s="694"/>
      <c r="GM11" s="694"/>
      <c r="GN11" s="695"/>
      <c r="GO11" s="696"/>
      <c r="GP11" s="697"/>
      <c r="GQ11" s="698"/>
      <c r="GR11" s="698"/>
      <c r="GS11" s="698"/>
      <c r="GT11" s="698"/>
      <c r="GU11" s="698"/>
      <c r="GV11" s="698"/>
      <c r="GW11" s="698"/>
      <c r="GX11" s="698"/>
      <c r="GY11" s="698"/>
      <c r="GZ11" s="698"/>
      <c r="HA11" s="698"/>
      <c r="HB11" s="698"/>
      <c r="HC11" s="698"/>
      <c r="HD11" s="698"/>
      <c r="HE11" s="698"/>
      <c r="HF11" s="698"/>
      <c r="HG11" s="698"/>
      <c r="HH11" s="698"/>
      <c r="HI11" s="698"/>
      <c r="HJ11" s="698"/>
      <c r="HK11" s="698"/>
      <c r="HL11" s="698"/>
      <c r="HM11" s="698"/>
      <c r="HN11" s="698"/>
      <c r="HO11" s="698"/>
      <c r="HP11" s="698"/>
      <c r="HQ11" s="698"/>
      <c r="HR11" s="698"/>
      <c r="HS11" s="698"/>
      <c r="HT11" s="64"/>
      <c r="HZ11" s="693"/>
      <c r="IB11" s="699"/>
      <c r="IC11" s="699"/>
      <c r="ID11" s="699"/>
    </row>
    <row r="12" spans="1:239" x14ac:dyDescent="0.25">
      <c r="I12" s="79" t="s">
        <v>3682</v>
      </c>
      <c r="FG12" s="655"/>
      <c r="FH12" s="655"/>
    </row>
    <row r="13" spans="1:239" x14ac:dyDescent="0.25">
      <c r="I13" s="700" t="s">
        <v>3649</v>
      </c>
      <c r="J13" s="701">
        <f>Q6+Q7+Q8</f>
        <v>8</v>
      </c>
      <c r="K13" s="712"/>
    </row>
    <row r="14" spans="1:239" ht="33" customHeight="1" x14ac:dyDescent="0.25">
      <c r="I14" s="702" t="s">
        <v>3648</v>
      </c>
      <c r="J14" s="703">
        <f>+S6+S7+S8</f>
        <v>2</v>
      </c>
      <c r="K14" s="712"/>
      <c r="L14" s="5" t="s">
        <v>3685</v>
      </c>
    </row>
    <row r="15" spans="1:239" ht="81" customHeight="1" x14ac:dyDescent="0.35">
      <c r="I15" s="702" t="s">
        <v>3650</v>
      </c>
      <c r="J15" s="703">
        <f>+R6+R7+R8</f>
        <v>0</v>
      </c>
      <c r="K15" s="712"/>
      <c r="L15" s="763" t="s">
        <v>356</v>
      </c>
      <c r="M15" s="715" t="s">
        <v>3656</v>
      </c>
      <c r="N15" s="723" t="s">
        <v>19</v>
      </c>
      <c r="P15" s="84"/>
      <c r="Q15" s="1020" t="s">
        <v>3684</v>
      </c>
    </row>
    <row r="16" spans="1:239" x14ac:dyDescent="0.25">
      <c r="I16" s="702" t="s">
        <v>3651</v>
      </c>
      <c r="J16" s="703">
        <f>+T6+T7+T8</f>
        <v>0</v>
      </c>
      <c r="K16" s="712"/>
      <c r="L16" s="747" t="s">
        <v>3642</v>
      </c>
      <c r="M16" s="724">
        <f>IF(J21&lt;=15,J21*J28,0)</f>
        <v>3852.3</v>
      </c>
      <c r="N16" s="725"/>
      <c r="O16" s="726">
        <f>SUM(M16:N18)</f>
        <v>1540.92</v>
      </c>
      <c r="P16" s="84"/>
      <c r="Q16" s="1021"/>
    </row>
    <row r="17" spans="9:164" x14ac:dyDescent="0.25">
      <c r="I17" s="704" t="s">
        <v>3652</v>
      </c>
      <c r="J17" s="703">
        <f>R6+R7+R8+R9+T6+T7+T8+T9</f>
        <v>0</v>
      </c>
      <c r="K17" s="712"/>
      <c r="L17" s="748" t="s">
        <v>3657</v>
      </c>
      <c r="M17" s="727"/>
      <c r="N17" s="727" t="b">
        <f>IF(J21&gt;15,J27)</f>
        <v>0</v>
      </c>
      <c r="O17" s="728"/>
      <c r="P17" s="84"/>
      <c r="Q17" s="1022">
        <v>15</v>
      </c>
      <c r="FF17" s="5"/>
      <c r="FG17" s="5"/>
      <c r="FH17" s="5"/>
    </row>
    <row r="18" spans="9:164" x14ac:dyDescent="0.25">
      <c r="I18" s="704" t="s">
        <v>3653</v>
      </c>
      <c r="J18" s="705">
        <f>(R6+R7+R8+T6+T7+T8)</f>
        <v>0</v>
      </c>
      <c r="K18" s="713"/>
      <c r="L18" s="749" t="s">
        <v>3641</v>
      </c>
      <c r="M18" s="729">
        <f>(J21-16)*J28</f>
        <v>-2311.38</v>
      </c>
      <c r="N18" s="729"/>
      <c r="O18" s="730"/>
      <c r="P18" s="84"/>
      <c r="Q18" s="1022">
        <v>16</v>
      </c>
    </row>
    <row r="19" spans="9:164" x14ac:dyDescent="0.25">
      <c r="I19" s="704" t="s">
        <v>3654</v>
      </c>
      <c r="J19" s="705">
        <f>(Q9+S9)</f>
        <v>0</v>
      </c>
      <c r="K19" s="713"/>
    </row>
    <row r="20" spans="9:164" x14ac:dyDescent="0.25">
      <c r="I20" s="656" t="s">
        <v>3640</v>
      </c>
      <c r="J20" s="705">
        <f xml:space="preserve"> J13+J15+J14+J16</f>
        <v>10</v>
      </c>
      <c r="K20" s="713"/>
    </row>
    <row r="21" spans="9:164" x14ac:dyDescent="0.25">
      <c r="I21" s="657" t="s">
        <v>3655</v>
      </c>
      <c r="J21" s="706">
        <f>SUM(J13+J14)</f>
        <v>10</v>
      </c>
      <c r="K21" s="714"/>
    </row>
    <row r="22" spans="9:164" x14ac:dyDescent="0.25">
      <c r="I22" s="656" t="s">
        <v>3672</v>
      </c>
      <c r="J22" s="777">
        <f>SUM(N6:N10)</f>
        <v>1</v>
      </c>
      <c r="K22" s="714"/>
    </row>
    <row r="23" spans="9:164" x14ac:dyDescent="0.25">
      <c r="I23" s="656" t="s">
        <v>3679</v>
      </c>
      <c r="J23" s="778">
        <f>SUM(CONTINUA!L6:L10)</f>
        <v>1</v>
      </c>
    </row>
    <row r="24" spans="9:164" x14ac:dyDescent="0.25">
      <c r="I24" s="657" t="s">
        <v>3680</v>
      </c>
      <c r="J24" s="767">
        <f>SUM(CONTINUA!M6:M10)</f>
        <v>1</v>
      </c>
    </row>
    <row r="25" spans="9:164" x14ac:dyDescent="0.25">
      <c r="I25" s="5"/>
    </row>
    <row r="26" spans="9:164" x14ac:dyDescent="0.25">
      <c r="I26" s="79" t="s">
        <v>3683</v>
      </c>
      <c r="K26" s="712"/>
    </row>
    <row r="27" spans="9:164" x14ac:dyDescent="0.25">
      <c r="I27" s="654" t="s">
        <v>3639</v>
      </c>
      <c r="J27" s="701">
        <f>Fixo/30*FH$4</f>
        <v>7492.52</v>
      </c>
      <c r="K27" s="712"/>
      <c r="FF27" s="5"/>
      <c r="FG27" s="5"/>
    </row>
    <row r="28" spans="9:164" x14ac:dyDescent="0.25">
      <c r="I28" s="656" t="s">
        <v>3645</v>
      </c>
      <c r="J28" s="703">
        <f>Percapita/30*FH$4</f>
        <v>385.23</v>
      </c>
      <c r="K28" s="712"/>
      <c r="FF28" s="5"/>
      <c r="FG28" s="5"/>
    </row>
    <row r="29" spans="9:164" x14ac:dyDescent="0.25">
      <c r="I29" s="656" t="s">
        <v>3646</v>
      </c>
      <c r="J29" s="703">
        <f>Cadeirante/30*FH$4</f>
        <v>2043.65</v>
      </c>
      <c r="K29" s="712"/>
      <c r="FG29" s="5"/>
    </row>
    <row r="30" spans="9:164" x14ac:dyDescent="0.25">
      <c r="I30" s="656" t="s">
        <v>3647</v>
      </c>
      <c r="J30" s="703">
        <f>Crechee/30*FH$4</f>
        <v>621.14</v>
      </c>
      <c r="FG30" s="5"/>
    </row>
    <row r="31" spans="9:164" x14ac:dyDescent="0.25">
      <c r="I31" s="657" t="s">
        <v>3669</v>
      </c>
      <c r="J31" s="767">
        <v>11465.63</v>
      </c>
      <c r="FG31" s="5"/>
    </row>
    <row r="32" spans="9:164" x14ac:dyDescent="0.25">
      <c r="I32" s="654" t="s">
        <v>3672</v>
      </c>
      <c r="J32" s="779">
        <v>1.28</v>
      </c>
      <c r="FG32" s="5"/>
    </row>
    <row r="33" spans="9:170" x14ac:dyDescent="0.25">
      <c r="I33" s="656" t="s">
        <v>3679</v>
      </c>
      <c r="J33" s="778">
        <v>9.64</v>
      </c>
      <c r="FG33" s="5"/>
    </row>
    <row r="34" spans="9:170" x14ac:dyDescent="0.25">
      <c r="I34" s="657" t="s">
        <v>3680</v>
      </c>
      <c r="J34" s="767">
        <v>56.2</v>
      </c>
      <c r="FG34" s="5"/>
    </row>
    <row r="35" spans="9:170" x14ac:dyDescent="0.25">
      <c r="I35" s="5"/>
      <c r="FG35" s="5"/>
    </row>
    <row r="36" spans="9:170" x14ac:dyDescent="0.25">
      <c r="I36" s="5"/>
      <c r="FD36" s="764"/>
      <c r="FE36" s="764"/>
      <c r="FH36" s="765"/>
    </row>
    <row r="37" spans="9:170" ht="23.25" x14ac:dyDescent="0.35">
      <c r="I37" s="763" t="s">
        <v>356</v>
      </c>
      <c r="J37" s="715" t="s">
        <v>3656</v>
      </c>
      <c r="K37" s="723" t="s">
        <v>19</v>
      </c>
      <c r="L37" s="715"/>
      <c r="FD37" s="766"/>
      <c r="FE37" s="764"/>
    </row>
    <row r="38" spans="9:170" x14ac:dyDescent="0.25">
      <c r="I38" s="747" t="s">
        <v>3642</v>
      </c>
      <c r="J38" s="722">
        <f>J21*J28</f>
        <v>3852.3</v>
      </c>
      <c r="K38" s="716"/>
      <c r="L38" s="717"/>
      <c r="FD38" s="764"/>
      <c r="FE38" s="764"/>
    </row>
    <row r="39" spans="9:170" x14ac:dyDescent="0.25">
      <c r="I39" s="718" t="s">
        <v>3642</v>
      </c>
      <c r="J39" s="707"/>
      <c r="K39" s="718">
        <f>J27</f>
        <v>7492.52</v>
      </c>
      <c r="L39" s="719">
        <f>IF(C6=1,IF(J20&lt;=15,J38,IF(J20&gt;=16,J40+K39)))</f>
        <v>3852.3</v>
      </c>
      <c r="FG39" s="5"/>
    </row>
    <row r="40" spans="9:170" x14ac:dyDescent="0.25">
      <c r="I40" s="720" t="s">
        <v>3641</v>
      </c>
      <c r="J40" s="721">
        <f>(J20-16)*J28</f>
        <v>-2311.38</v>
      </c>
      <c r="K40" s="720"/>
      <c r="L40" s="721"/>
    </row>
    <row r="41" spans="9:170" x14ac:dyDescent="0.25">
      <c r="I41" s="275"/>
      <c r="J41" s="275"/>
      <c r="K41" s="275"/>
      <c r="L41" s="275"/>
    </row>
    <row r="45" spans="9:170" x14ac:dyDescent="0.25">
      <c r="I45" s="5"/>
    </row>
    <row r="46" spans="9:170" x14ac:dyDescent="0.25">
      <c r="I46" s="5"/>
    </row>
    <row r="47" spans="9:170" ht="20.25" x14ac:dyDescent="0.3">
      <c r="I47" s="750" t="s">
        <v>3659</v>
      </c>
      <c r="J47" s="731" t="s">
        <v>3656</v>
      </c>
      <c r="K47" s="732" t="s">
        <v>19</v>
      </c>
      <c r="L47" s="733"/>
    </row>
    <row r="48" spans="9:170" x14ac:dyDescent="0.25">
      <c r="I48" s="751" t="s">
        <v>3660</v>
      </c>
      <c r="J48" s="744"/>
      <c r="K48" s="734"/>
      <c r="L48" s="736" t="b">
        <f>IF(J17&gt;2,K49)</f>
        <v>0</v>
      </c>
      <c r="FF48" s="5"/>
      <c r="FG48" s="5"/>
      <c r="FN48" s="6">
        <f>-2</f>
        <v>-2</v>
      </c>
    </row>
    <row r="49" spans="9:161" x14ac:dyDescent="0.25">
      <c r="I49" s="751" t="s">
        <v>3661</v>
      </c>
      <c r="J49" s="734"/>
      <c r="K49" s="738">
        <f>J27+J50</f>
        <v>3405.2200000000003</v>
      </c>
      <c r="L49" s="739">
        <f>IF(J17=2,J27,F22)</f>
        <v>0</v>
      </c>
      <c r="M49" s="5">
        <v>1</v>
      </c>
    </row>
    <row r="50" spans="9:161" x14ac:dyDescent="0.25">
      <c r="I50" s="752" t="s">
        <v>3662</v>
      </c>
      <c r="J50" s="741">
        <f>(J17-2)*J29</f>
        <v>-4087.3</v>
      </c>
      <c r="K50" s="741"/>
      <c r="L50" s="742">
        <f>IF(J17=1,J29,+F38)</f>
        <v>0</v>
      </c>
      <c r="M50" s="5">
        <v>2</v>
      </c>
    </row>
    <row r="51" spans="9:161" x14ac:dyDescent="0.25">
      <c r="I51" s="735"/>
      <c r="J51" s="735"/>
      <c r="K51" s="735"/>
      <c r="L51" s="735"/>
    </row>
    <row r="52" spans="9:161" x14ac:dyDescent="0.25">
      <c r="I52" s="753" t="s">
        <v>3659</v>
      </c>
      <c r="J52" s="731" t="s">
        <v>3656</v>
      </c>
      <c r="K52" s="732" t="s">
        <v>19</v>
      </c>
      <c r="L52" s="733"/>
    </row>
    <row r="53" spans="9:161" x14ac:dyDescent="0.25">
      <c r="I53" s="751" t="s">
        <v>3660</v>
      </c>
      <c r="J53" s="737">
        <f>IF(J17=M49,J29,0)</f>
        <v>0</v>
      </c>
      <c r="K53" s="734"/>
      <c r="L53" s="736"/>
    </row>
    <row r="54" spans="9:161" x14ac:dyDescent="0.25">
      <c r="I54" s="751" t="s">
        <v>3661</v>
      </c>
      <c r="J54" s="737"/>
      <c r="K54" s="738">
        <f>IF(J17&gt;=M50,J27,0)</f>
        <v>0</v>
      </c>
      <c r="L54" s="739">
        <f>SUM(J53:K55)</f>
        <v>0</v>
      </c>
    </row>
    <row r="55" spans="9:161" x14ac:dyDescent="0.25">
      <c r="I55" s="752" t="s">
        <v>3662</v>
      </c>
      <c r="J55" s="743">
        <f>IF(J17&gt;M50,(J17-M50)*J29,0)</f>
        <v>0</v>
      </c>
      <c r="K55" s="741"/>
      <c r="L55" s="742"/>
    </row>
    <row r="56" spans="9:161" x14ac:dyDescent="0.25">
      <c r="I56" s="5"/>
    </row>
    <row r="57" spans="9:161" ht="20.25" x14ac:dyDescent="0.3">
      <c r="I57" s="746" t="s">
        <v>3663</v>
      </c>
    </row>
    <row r="58" spans="9:161" x14ac:dyDescent="0.25">
      <c r="I58" s="5"/>
    </row>
    <row r="59" spans="9:161" x14ac:dyDescent="0.25">
      <c r="I59" s="5"/>
    </row>
    <row r="60" spans="9:161" ht="20.25" x14ac:dyDescent="0.3">
      <c r="I60" s="750" t="s">
        <v>3664</v>
      </c>
      <c r="J60" s="731" t="s">
        <v>3656</v>
      </c>
      <c r="K60" s="732" t="s">
        <v>19</v>
      </c>
      <c r="L60" s="733"/>
    </row>
    <row r="61" spans="9:161" x14ac:dyDescent="0.25">
      <c r="I61" s="757" t="s">
        <v>3643</v>
      </c>
      <c r="J61" s="761">
        <f>J19*J30</f>
        <v>0</v>
      </c>
      <c r="K61" s="760"/>
      <c r="L61" s="736">
        <f>IF(J19&lt;=9,+J61)</f>
        <v>0</v>
      </c>
      <c r="FD61" s="754"/>
      <c r="FE61" s="754"/>
    </row>
    <row r="62" spans="9:161" x14ac:dyDescent="0.25">
      <c r="I62" s="735"/>
      <c r="J62" s="734"/>
      <c r="K62" s="739"/>
      <c r="L62" s="758" t="b">
        <f>IF(J19=10,J27)</f>
        <v>0</v>
      </c>
      <c r="M62" s="5">
        <v>9</v>
      </c>
    </row>
    <row r="63" spans="9:161" x14ac:dyDescent="0.25">
      <c r="I63" s="755" t="s">
        <v>3644</v>
      </c>
      <c r="J63" s="762">
        <f>(J19-10)*J30</f>
        <v>-6211.4</v>
      </c>
      <c r="K63" s="742">
        <f>J27+J63</f>
        <v>1281.1200000000008</v>
      </c>
      <c r="L63" s="759">
        <f>IF(J19&gt;=11,+K63,0)</f>
        <v>0</v>
      </c>
      <c r="M63" s="5">
        <v>10</v>
      </c>
    </row>
    <row r="64" spans="9:161" x14ac:dyDescent="0.25">
      <c r="I64" s="753" t="s">
        <v>3659</v>
      </c>
      <c r="J64" s="731" t="s">
        <v>3656</v>
      </c>
      <c r="K64" s="732" t="s">
        <v>19</v>
      </c>
      <c r="L64" s="733"/>
    </row>
    <row r="65" spans="9:164" x14ac:dyDescent="0.25">
      <c r="I65" s="751" t="s">
        <v>3665</v>
      </c>
      <c r="J65" s="737">
        <f>IF(J19&lt;=M62,J30*J19,0)</f>
        <v>0</v>
      </c>
      <c r="K65" s="734"/>
      <c r="L65" s="736"/>
    </row>
    <row r="66" spans="9:164" x14ac:dyDescent="0.25">
      <c r="I66" s="751" t="s">
        <v>3666</v>
      </c>
      <c r="J66" s="737"/>
      <c r="K66" s="738">
        <f>IF(J19&gt;=M63,J27,0)</f>
        <v>0</v>
      </c>
      <c r="L66" s="739">
        <f>SUM(J65:K67)</f>
        <v>0</v>
      </c>
    </row>
    <row r="67" spans="9:164" x14ac:dyDescent="0.25">
      <c r="I67" s="752" t="s">
        <v>3667</v>
      </c>
      <c r="J67" s="743">
        <f>IF(J19&gt;M63,(J19-M63)*J30,0)</f>
        <v>0</v>
      </c>
      <c r="K67" s="741"/>
      <c r="L67" s="742"/>
    </row>
    <row r="68" spans="9:164" x14ac:dyDescent="0.25">
      <c r="I68" s="5"/>
    </row>
    <row r="69" spans="9:164" x14ac:dyDescent="0.25">
      <c r="I69" s="5"/>
      <c r="K69" s="6"/>
    </row>
    <row r="70" spans="9:164" x14ac:dyDescent="0.25">
      <c r="I70" s="5"/>
      <c r="J70" s="667"/>
      <c r="K70" s="6"/>
    </row>
    <row r="71" spans="9:164" x14ac:dyDescent="0.25">
      <c r="I71" s="5"/>
    </row>
    <row r="72" spans="9:164" ht="20.25" x14ac:dyDescent="0.3">
      <c r="I72" s="745" t="s">
        <v>3668</v>
      </c>
      <c r="J72" s="768"/>
      <c r="K72" s="769"/>
      <c r="L72" s="770"/>
    </row>
    <row r="73" spans="9:164" x14ac:dyDescent="0.25">
      <c r="I73" s="756" t="s">
        <v>19</v>
      </c>
      <c r="J73" s="700" t="s">
        <v>3670</v>
      </c>
      <c r="K73" s="700" t="s">
        <v>3671</v>
      </c>
      <c r="L73" s="733"/>
    </row>
    <row r="74" spans="9:164" x14ac:dyDescent="0.25">
      <c r="I74" s="744"/>
      <c r="J74" s="744"/>
      <c r="K74" s="761"/>
      <c r="L74" s="736"/>
    </row>
    <row r="75" spans="9:164" x14ac:dyDescent="0.25">
      <c r="I75" s="734">
        <f>+J31</f>
        <v>11465.63</v>
      </c>
      <c r="J75" s="734">
        <f>+J21*J28</f>
        <v>3852.3</v>
      </c>
      <c r="K75" s="738">
        <f>+J17*J29</f>
        <v>0</v>
      </c>
      <c r="L75" s="739">
        <f>SUM(I75:K75)</f>
        <v>15317.93</v>
      </c>
      <c r="FH75" s="5"/>
    </row>
    <row r="76" spans="9:164" x14ac:dyDescent="0.25">
      <c r="I76" s="740"/>
      <c r="J76" s="741"/>
      <c r="K76" s="741"/>
      <c r="L76" s="742"/>
    </row>
    <row r="77" spans="9:164" x14ac:dyDescent="0.25">
      <c r="I77" s="744"/>
      <c r="J77" s="744"/>
      <c r="K77" s="744"/>
      <c r="L77" s="760"/>
    </row>
    <row r="78" spans="9:164" x14ac:dyDescent="0.25">
      <c r="I78" s="734">
        <f>IF((J13+J15+J14+J16)&gt;=1,J31,0)</f>
        <v>11465.63</v>
      </c>
      <c r="J78" s="734">
        <f>IF((J13+J14)&gt;=1,(J13+J14)*J28,0)</f>
        <v>3852.3</v>
      </c>
      <c r="K78" s="734">
        <f>IF((J15+J16)&gt;=1,(J15+J16)*J29,0)</f>
        <v>0</v>
      </c>
      <c r="L78" s="751">
        <f>SUM(I78:K78)</f>
        <v>15317.93</v>
      </c>
    </row>
    <row r="79" spans="9:164" x14ac:dyDescent="0.25">
      <c r="I79" s="734"/>
      <c r="J79" s="734"/>
      <c r="K79" s="734"/>
      <c r="L79" s="751"/>
      <c r="FH79" s="5"/>
    </row>
    <row r="80" spans="9:164" x14ac:dyDescent="0.25">
      <c r="I80" s="741"/>
      <c r="J80" s="741"/>
      <c r="K80" s="741"/>
      <c r="L80" s="771"/>
      <c r="FH80" s="5"/>
    </row>
    <row r="81" spans="9:164" x14ac:dyDescent="0.25">
      <c r="I81" s="5"/>
      <c r="FH81" s="5"/>
    </row>
    <row r="82" spans="9:164" x14ac:dyDescent="0.25">
      <c r="I82" s="5"/>
    </row>
    <row r="83" spans="9:164" x14ac:dyDescent="0.25">
      <c r="I83" s="5"/>
    </row>
    <row r="84" spans="9:164" ht="20.25" x14ac:dyDescent="0.3">
      <c r="I84" s="745" t="s">
        <v>3672</v>
      </c>
      <c r="J84" s="768"/>
      <c r="K84" s="769"/>
      <c r="L84" s="774"/>
    </row>
    <row r="85" spans="9:164" x14ac:dyDescent="0.25">
      <c r="I85" s="773" t="s">
        <v>19</v>
      </c>
      <c r="J85" s="737"/>
      <c r="K85" s="735"/>
      <c r="L85" s="744"/>
    </row>
    <row r="86" spans="9:164" x14ac:dyDescent="0.25">
      <c r="I86" s="734" t="s">
        <v>3673</v>
      </c>
      <c r="J86" s="737"/>
      <c r="K86" s="735"/>
      <c r="L86" s="734"/>
    </row>
    <row r="87" spans="9:164" x14ac:dyDescent="0.25">
      <c r="I87" s="741" t="s">
        <v>3674</v>
      </c>
      <c r="J87" s="743"/>
      <c r="K87" s="772"/>
      <c r="L87" s="741">
        <f>IF(J22&gt;0,J22*J32,0)</f>
        <v>1.28</v>
      </c>
    </row>
    <row r="88" spans="9:164" x14ac:dyDescent="0.25">
      <c r="I88" s="5"/>
    </row>
    <row r="89" spans="9:164" x14ac:dyDescent="0.25">
      <c r="I89" s="5"/>
    </row>
    <row r="90" spans="9:164" x14ac:dyDescent="0.25">
      <c r="I90" s="5"/>
    </row>
    <row r="91" spans="9:164" ht="20.25" x14ac:dyDescent="0.3">
      <c r="I91" s="745" t="s">
        <v>3675</v>
      </c>
      <c r="J91" s="775" t="s">
        <v>3681</v>
      </c>
      <c r="K91" s="776" t="s">
        <v>3677</v>
      </c>
      <c r="L91" s="774"/>
    </row>
    <row r="92" spans="9:164" x14ac:dyDescent="0.25">
      <c r="I92" s="773" t="s">
        <v>19</v>
      </c>
      <c r="J92" s="787" t="s">
        <v>3678</v>
      </c>
      <c r="K92" s="788"/>
      <c r="L92" s="744"/>
    </row>
    <row r="93" spans="9:164" x14ac:dyDescent="0.25">
      <c r="I93" s="744"/>
      <c r="J93" s="737"/>
      <c r="K93" s="735"/>
      <c r="L93" s="734"/>
    </row>
    <row r="94" spans="9:164" x14ac:dyDescent="0.25">
      <c r="I94" s="734" t="s">
        <v>3676</v>
      </c>
      <c r="J94" s="737">
        <f>IF(J23&gt;0,J23*J33,0)</f>
        <v>9.64</v>
      </c>
      <c r="K94" s="735">
        <f>IF(J24&gt;0,J24*J34,0)</f>
        <v>56.2</v>
      </c>
      <c r="L94" s="734">
        <f>SUM(J94:K94)</f>
        <v>65.84</v>
      </c>
    </row>
    <row r="95" spans="9:164" x14ac:dyDescent="0.25">
      <c r="I95" s="741"/>
      <c r="J95" s="743"/>
      <c r="K95" s="772"/>
      <c r="L95" s="741"/>
    </row>
    <row r="96" spans="9:164" x14ac:dyDescent="0.25">
      <c r="I96" s="5"/>
    </row>
    <row r="97" spans="9:9" x14ac:dyDescent="0.25">
      <c r="I97" s="5"/>
    </row>
    <row r="98" spans="9:9" x14ac:dyDescent="0.25">
      <c r="I98" s="5"/>
    </row>
    <row r="99" spans="9:9" x14ac:dyDescent="0.25">
      <c r="I99" s="5"/>
    </row>
    <row r="100" spans="9:9" x14ac:dyDescent="0.25">
      <c r="I100" s="5"/>
    </row>
    <row r="101" spans="9:9" x14ac:dyDescent="0.25">
      <c r="I101" s="5"/>
    </row>
    <row r="102" spans="9:9" x14ac:dyDescent="0.25">
      <c r="I102" s="5"/>
    </row>
    <row r="103" spans="9:9" x14ac:dyDescent="0.25">
      <c r="I103" s="5"/>
    </row>
    <row r="104" spans="9:9" x14ac:dyDescent="0.25">
      <c r="I104" s="5"/>
    </row>
    <row r="105" spans="9:9" x14ac:dyDescent="0.25">
      <c r="I105" s="5"/>
    </row>
    <row r="106" spans="9:9" x14ac:dyDescent="0.25">
      <c r="I106" s="5"/>
    </row>
    <row r="107" spans="9:9" x14ac:dyDescent="0.25">
      <c r="I107" s="5"/>
    </row>
  </sheetData>
  <sheetProtection autoFilter="0"/>
  <dataConsolidate/>
  <mergeCells count="35">
    <mergeCell ref="J92:K92"/>
    <mergeCell ref="DM4:DP4"/>
    <mergeCell ref="DI4:DL4"/>
    <mergeCell ref="DE4:DH4"/>
    <mergeCell ref="DA4:DD4"/>
    <mergeCell ref="EL1:EL2"/>
    <mergeCell ref="DY4:EB4"/>
    <mergeCell ref="EC4:EF4"/>
    <mergeCell ref="EG4:EJ4"/>
    <mergeCell ref="CC4:CF4"/>
    <mergeCell ref="CG4:CJ4"/>
    <mergeCell ref="AG4:AJ4"/>
    <mergeCell ref="AK4:AN4"/>
    <mergeCell ref="AO4:AR4"/>
    <mergeCell ref="AS4:AV4"/>
    <mergeCell ref="AW4:AZ4"/>
    <mergeCell ref="BA4:BD4"/>
    <mergeCell ref="BU4:BX4"/>
    <mergeCell ref="BQ4:BT4"/>
    <mergeCell ref="I1:J2"/>
    <mergeCell ref="Q4:T4"/>
    <mergeCell ref="A1:F2"/>
    <mergeCell ref="DQ4:DT4"/>
    <mergeCell ref="DU4:DX4"/>
    <mergeCell ref="CK4:CN4"/>
    <mergeCell ref="CO4:CR4"/>
    <mergeCell ref="CS4:CV4"/>
    <mergeCell ref="CW4:CZ4"/>
    <mergeCell ref="BY4:CB4"/>
    <mergeCell ref="BI4:BL4"/>
    <mergeCell ref="BM4:BP4"/>
    <mergeCell ref="U4:X4"/>
    <mergeCell ref="Y4:AB4"/>
    <mergeCell ref="AC4:AF4"/>
    <mergeCell ref="BE4:BH4"/>
  </mergeCells>
  <phoneticPr fontId="37" type="noConversion"/>
  <conditionalFormatting sqref="J6:J11">
    <cfRule type="cellIs" dxfId="46" priority="1" operator="equal">
      <formula>"CRECHE"</formula>
    </cfRule>
    <cfRule type="cellIs" dxfId="45" priority="2" operator="equal">
      <formula>"ADAPTADO"</formula>
    </cfRule>
  </conditionalFormatting>
  <conditionalFormatting sqref="EW5:EW11">
    <cfRule type="cellIs" dxfId="44" priority="8119" operator="greaterThan">
      <formula>0</formula>
    </cfRule>
  </conditionalFormatting>
  <dataValidations disablePrompts="1" count="1">
    <dataValidation type="custom" allowBlank="1" showInputMessage="1" showErrorMessage="1" errorTitle="Atenção!" error="Veículo não é Adaptado" sqref="EJ6:EJ11 V6:V11 X6:X11 Z6:Z11 AB6:AB11 AD6:AD11 AF6:AF11 AH6:AH11 AJ6:AJ11 AL6:AL11 AN6:AN11 AP6:AP11 AR6:AR11 AT6:AT11 AV6:AV11 AX6:AX11 AZ6:AZ11 BB6:BB11 BD6:BD11 BF6:BF11 BH6:BH11 BJ6:BJ11 BL6:BL11 BN6:BN11 BP6:BP11 BR6:BR11 BT6:BT11 BV6:BV11 BX6:BX11 BZ6:BZ11 CB6:CB11 CD6:CD11 CF6:CF11 CH6:CH11 CJ6:CJ11 CL6:CL11 CN6:CN11 CP6:CP11 CR6:CR11 CT6:CT11 CV6:CV11 CX6:CX11 CZ6:CZ11 DB6:DB11 DD6:DD11 DF6:DF11 DH6:DH11 DJ6:DJ11 DL6:DL11 DN6:DN11 DP6:DP11 DR6:DR11 DT6:DT11 DV6:DV11 DX6:DX11 DZ6:DZ11 EB6:EB11 ED6:ED11 EF6:EF11 EH6:EH11 R6:R11 T6:T11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0" t="s">
        <v>357</v>
      </c>
      <c r="B1" s="510" t="s">
        <v>358</v>
      </c>
    </row>
    <row r="2" spans="1:2" ht="15" hidden="1" x14ac:dyDescent="0.25">
      <c r="A2" s="511" t="s">
        <v>231</v>
      </c>
      <c r="B2" s="511" t="s">
        <v>359</v>
      </c>
    </row>
    <row r="3" spans="1:2" ht="15" hidden="1" x14ac:dyDescent="0.25">
      <c r="A3" s="511" t="s">
        <v>190</v>
      </c>
      <c r="B3" s="511" t="s">
        <v>360</v>
      </c>
    </row>
    <row r="4" spans="1:2" ht="15" hidden="1" x14ac:dyDescent="0.25">
      <c r="A4" s="511" t="s">
        <v>190</v>
      </c>
      <c r="B4" s="511" t="s">
        <v>360</v>
      </c>
    </row>
    <row r="5" spans="1:2" ht="15" hidden="1" x14ac:dyDescent="0.25">
      <c r="A5" s="511" t="s">
        <v>190</v>
      </c>
      <c r="B5" s="511" t="s">
        <v>360</v>
      </c>
    </row>
    <row r="6" spans="1:2" ht="15" hidden="1" x14ac:dyDescent="0.25">
      <c r="A6" s="511" t="s">
        <v>190</v>
      </c>
      <c r="B6" s="511" t="s">
        <v>360</v>
      </c>
    </row>
    <row r="7" spans="1:2" ht="15" hidden="1" x14ac:dyDescent="0.25">
      <c r="A7" s="511" t="s">
        <v>190</v>
      </c>
      <c r="B7" s="511" t="s">
        <v>360</v>
      </c>
    </row>
    <row r="8" spans="1:2" ht="15" hidden="1" x14ac:dyDescent="0.25">
      <c r="A8" s="511" t="s">
        <v>190</v>
      </c>
      <c r="B8" s="511" t="s">
        <v>360</v>
      </c>
    </row>
    <row r="9" spans="1:2" ht="15" hidden="1" x14ac:dyDescent="0.25">
      <c r="A9" s="511" t="s">
        <v>191</v>
      </c>
      <c r="B9" s="511" t="s">
        <v>361</v>
      </c>
    </row>
    <row r="10" spans="1:2" ht="15" hidden="1" x14ac:dyDescent="0.25">
      <c r="A10" s="511" t="s">
        <v>191</v>
      </c>
      <c r="B10" s="511" t="s">
        <v>361</v>
      </c>
    </row>
    <row r="11" spans="1:2" ht="15" hidden="1" x14ac:dyDescent="0.25">
      <c r="A11" s="511" t="s">
        <v>191</v>
      </c>
      <c r="B11" s="511" t="s">
        <v>361</v>
      </c>
    </row>
    <row r="12" spans="1:2" ht="15" hidden="1" x14ac:dyDescent="0.25">
      <c r="A12" s="511" t="s">
        <v>192</v>
      </c>
      <c r="B12" s="511" t="s">
        <v>362</v>
      </c>
    </row>
    <row r="13" spans="1:2" ht="15" hidden="1" x14ac:dyDescent="0.25">
      <c r="A13" s="511" t="s">
        <v>192</v>
      </c>
      <c r="B13" s="511" t="s">
        <v>362</v>
      </c>
    </row>
    <row r="14" spans="1:2" ht="15" hidden="1" x14ac:dyDescent="0.25">
      <c r="A14" s="511" t="s">
        <v>192</v>
      </c>
      <c r="B14" s="511" t="s">
        <v>362</v>
      </c>
    </row>
    <row r="15" spans="1:2" ht="15" hidden="1" x14ac:dyDescent="0.25">
      <c r="A15" s="511" t="s">
        <v>192</v>
      </c>
      <c r="B15" s="511" t="s">
        <v>362</v>
      </c>
    </row>
    <row r="16" spans="1:2" ht="15" hidden="1" x14ac:dyDescent="0.25">
      <c r="A16" s="511" t="s">
        <v>192</v>
      </c>
      <c r="B16" s="511" t="s">
        <v>362</v>
      </c>
    </row>
    <row r="17" spans="1:2" ht="15" hidden="1" x14ac:dyDescent="0.25">
      <c r="A17" s="511" t="s">
        <v>193</v>
      </c>
      <c r="B17" s="511" t="s">
        <v>363</v>
      </c>
    </row>
    <row r="18" spans="1:2" ht="15" hidden="1" x14ac:dyDescent="0.25">
      <c r="A18" s="511" t="s">
        <v>193</v>
      </c>
      <c r="B18" s="511" t="s">
        <v>363</v>
      </c>
    </row>
    <row r="19" spans="1:2" ht="15" hidden="1" x14ac:dyDescent="0.25">
      <c r="A19" s="511" t="s">
        <v>193</v>
      </c>
      <c r="B19" s="511" t="s">
        <v>363</v>
      </c>
    </row>
    <row r="20" spans="1:2" ht="15" hidden="1" x14ac:dyDescent="0.25">
      <c r="A20" s="511" t="s">
        <v>193</v>
      </c>
      <c r="B20" s="511" t="s">
        <v>363</v>
      </c>
    </row>
    <row r="21" spans="1:2" ht="15" hidden="1" x14ac:dyDescent="0.25">
      <c r="A21" s="511" t="s">
        <v>193</v>
      </c>
      <c r="B21" s="511" t="s">
        <v>363</v>
      </c>
    </row>
    <row r="22" spans="1:2" ht="15" hidden="1" x14ac:dyDescent="0.25">
      <c r="A22" s="511" t="s">
        <v>193</v>
      </c>
      <c r="B22" s="511" t="s">
        <v>363</v>
      </c>
    </row>
    <row r="23" spans="1:2" ht="15" hidden="1" x14ac:dyDescent="0.25">
      <c r="A23" s="511" t="s">
        <v>193</v>
      </c>
      <c r="B23" s="511" t="s">
        <v>363</v>
      </c>
    </row>
    <row r="24" spans="1:2" ht="15" hidden="1" x14ac:dyDescent="0.25">
      <c r="A24" s="511" t="s">
        <v>193</v>
      </c>
      <c r="B24" s="511" t="s">
        <v>363</v>
      </c>
    </row>
    <row r="25" spans="1:2" ht="15" hidden="1" x14ac:dyDescent="0.25">
      <c r="A25" s="511" t="s">
        <v>193</v>
      </c>
      <c r="B25" s="511" t="s">
        <v>363</v>
      </c>
    </row>
    <row r="26" spans="1:2" ht="15" hidden="1" x14ac:dyDescent="0.25">
      <c r="A26" s="511" t="s">
        <v>193</v>
      </c>
      <c r="B26" s="511" t="s">
        <v>363</v>
      </c>
    </row>
    <row r="27" spans="1:2" ht="15" hidden="1" x14ac:dyDescent="0.25">
      <c r="A27" s="511" t="s">
        <v>193</v>
      </c>
      <c r="B27" s="511" t="s">
        <v>363</v>
      </c>
    </row>
    <row r="28" spans="1:2" ht="15" hidden="1" x14ac:dyDescent="0.25">
      <c r="A28" s="511" t="s">
        <v>193</v>
      </c>
      <c r="B28" s="511" t="s">
        <v>363</v>
      </c>
    </row>
    <row r="29" spans="1:2" ht="15" hidden="1" x14ac:dyDescent="0.25">
      <c r="A29" s="511" t="s">
        <v>193</v>
      </c>
      <c r="B29" s="511" t="s">
        <v>363</v>
      </c>
    </row>
    <row r="30" spans="1:2" ht="15" hidden="1" x14ac:dyDescent="0.25">
      <c r="A30" s="511" t="s">
        <v>233</v>
      </c>
      <c r="B30" s="511" t="s">
        <v>364</v>
      </c>
    </row>
    <row r="31" spans="1:2" ht="15" hidden="1" x14ac:dyDescent="0.25">
      <c r="A31" s="511" t="s">
        <v>194</v>
      </c>
      <c r="B31" s="511" t="s">
        <v>365</v>
      </c>
    </row>
    <row r="32" spans="1:2" ht="15" hidden="1" x14ac:dyDescent="0.25">
      <c r="A32" s="511" t="s">
        <v>194</v>
      </c>
      <c r="B32" s="511" t="s">
        <v>365</v>
      </c>
    </row>
    <row r="33" spans="1:2" ht="15" hidden="1" x14ac:dyDescent="0.25">
      <c r="A33" s="511" t="s">
        <v>194</v>
      </c>
      <c r="B33" s="511" t="s">
        <v>365</v>
      </c>
    </row>
    <row r="34" spans="1:2" ht="15" hidden="1" x14ac:dyDescent="0.25">
      <c r="A34" s="511" t="s">
        <v>194</v>
      </c>
      <c r="B34" s="511" t="s">
        <v>365</v>
      </c>
    </row>
    <row r="35" spans="1:2" ht="15" hidden="1" x14ac:dyDescent="0.25">
      <c r="A35" s="511" t="s">
        <v>194</v>
      </c>
      <c r="B35" s="511" t="s">
        <v>365</v>
      </c>
    </row>
    <row r="36" spans="1:2" ht="15" hidden="1" x14ac:dyDescent="0.25">
      <c r="A36" s="511" t="s">
        <v>194</v>
      </c>
      <c r="B36" s="511" t="s">
        <v>365</v>
      </c>
    </row>
    <row r="37" spans="1:2" ht="15" hidden="1" x14ac:dyDescent="0.25">
      <c r="A37" s="511" t="s">
        <v>194</v>
      </c>
      <c r="B37" s="511" t="s">
        <v>365</v>
      </c>
    </row>
    <row r="38" spans="1:2" ht="15" hidden="1" x14ac:dyDescent="0.25">
      <c r="A38" s="511" t="s">
        <v>194</v>
      </c>
      <c r="B38" s="511" t="s">
        <v>365</v>
      </c>
    </row>
    <row r="39" spans="1:2" ht="15" hidden="1" x14ac:dyDescent="0.25">
      <c r="A39" s="511" t="s">
        <v>194</v>
      </c>
      <c r="B39" s="511" t="s">
        <v>365</v>
      </c>
    </row>
    <row r="40" spans="1:2" ht="15" hidden="1" x14ac:dyDescent="0.25">
      <c r="A40" s="511" t="s">
        <v>194</v>
      </c>
      <c r="B40" s="511" t="s">
        <v>365</v>
      </c>
    </row>
    <row r="41" spans="1:2" ht="15" hidden="1" x14ac:dyDescent="0.25">
      <c r="A41" s="511" t="s">
        <v>194</v>
      </c>
      <c r="B41" s="511" t="s">
        <v>365</v>
      </c>
    </row>
    <row r="42" spans="1:2" ht="15" hidden="1" x14ac:dyDescent="0.25">
      <c r="A42" s="511" t="s">
        <v>194</v>
      </c>
      <c r="B42" s="511" t="s">
        <v>365</v>
      </c>
    </row>
    <row r="43" spans="1:2" ht="15" hidden="1" x14ac:dyDescent="0.25">
      <c r="A43" s="511" t="s">
        <v>234</v>
      </c>
      <c r="B43" s="511" t="s">
        <v>366</v>
      </c>
    </row>
    <row r="44" spans="1:2" ht="15" hidden="1" x14ac:dyDescent="0.25">
      <c r="A44" s="511" t="s">
        <v>195</v>
      </c>
      <c r="B44" s="511" t="s">
        <v>367</v>
      </c>
    </row>
    <row r="45" spans="1:2" ht="15" hidden="1" x14ac:dyDescent="0.25">
      <c r="A45" s="511" t="s">
        <v>196</v>
      </c>
      <c r="B45" s="511" t="s">
        <v>368</v>
      </c>
    </row>
    <row r="46" spans="1:2" ht="15" hidden="1" x14ac:dyDescent="0.25">
      <c r="A46" s="511" t="s">
        <v>196</v>
      </c>
      <c r="B46" s="511" t="s">
        <v>368</v>
      </c>
    </row>
    <row r="47" spans="1:2" ht="15" hidden="1" x14ac:dyDescent="0.25">
      <c r="A47" s="511" t="s">
        <v>196</v>
      </c>
      <c r="B47" s="511" t="s">
        <v>368</v>
      </c>
    </row>
    <row r="48" spans="1:2" ht="15" hidden="1" x14ac:dyDescent="0.25">
      <c r="A48" s="511" t="s">
        <v>196</v>
      </c>
      <c r="B48" s="511" t="s">
        <v>368</v>
      </c>
    </row>
    <row r="49" spans="1:2" ht="15" hidden="1" x14ac:dyDescent="0.25">
      <c r="A49" s="511" t="s">
        <v>196</v>
      </c>
      <c r="B49" s="511" t="s">
        <v>368</v>
      </c>
    </row>
    <row r="50" spans="1:2" ht="15" hidden="1" x14ac:dyDescent="0.25">
      <c r="A50" s="511" t="s">
        <v>196</v>
      </c>
      <c r="B50" s="511" t="s">
        <v>368</v>
      </c>
    </row>
    <row r="51" spans="1:2" ht="15" hidden="1" x14ac:dyDescent="0.25">
      <c r="A51" s="511" t="s">
        <v>196</v>
      </c>
      <c r="B51" s="511" t="s">
        <v>368</v>
      </c>
    </row>
    <row r="52" spans="1:2" ht="15" hidden="1" x14ac:dyDescent="0.25">
      <c r="A52" s="511" t="s">
        <v>196</v>
      </c>
      <c r="B52" s="511" t="s">
        <v>368</v>
      </c>
    </row>
    <row r="53" spans="1:2" ht="15" hidden="1" x14ac:dyDescent="0.25">
      <c r="A53" s="511" t="s">
        <v>196</v>
      </c>
      <c r="B53" s="511" t="s">
        <v>368</v>
      </c>
    </row>
    <row r="54" spans="1:2" ht="15" hidden="1" x14ac:dyDescent="0.25">
      <c r="A54" s="511" t="s">
        <v>196</v>
      </c>
      <c r="B54" s="511" t="s">
        <v>368</v>
      </c>
    </row>
    <row r="55" spans="1:2" ht="15" hidden="1" x14ac:dyDescent="0.25">
      <c r="A55" s="511" t="s">
        <v>196</v>
      </c>
      <c r="B55" s="511" t="s">
        <v>368</v>
      </c>
    </row>
    <row r="56" spans="1:2" ht="15" hidden="1" x14ac:dyDescent="0.25">
      <c r="A56" s="511" t="s">
        <v>196</v>
      </c>
      <c r="B56" s="511" t="s">
        <v>368</v>
      </c>
    </row>
    <row r="57" spans="1:2" ht="15" hidden="1" x14ac:dyDescent="0.25">
      <c r="A57" s="511" t="s">
        <v>197</v>
      </c>
      <c r="B57" s="511" t="s">
        <v>369</v>
      </c>
    </row>
    <row r="58" spans="1:2" ht="15" hidden="1" x14ac:dyDescent="0.25">
      <c r="A58" s="511" t="s">
        <v>197</v>
      </c>
      <c r="B58" s="511" t="s">
        <v>369</v>
      </c>
    </row>
    <row r="59" spans="1:2" ht="15" hidden="1" x14ac:dyDescent="0.25">
      <c r="A59" s="511" t="s">
        <v>197</v>
      </c>
      <c r="B59" s="511" t="s">
        <v>369</v>
      </c>
    </row>
    <row r="60" spans="1:2" ht="15" hidden="1" x14ac:dyDescent="0.25">
      <c r="A60" s="511" t="s">
        <v>197</v>
      </c>
      <c r="B60" s="511" t="s">
        <v>369</v>
      </c>
    </row>
    <row r="61" spans="1:2" ht="15" hidden="1" x14ac:dyDescent="0.25">
      <c r="A61" s="511" t="s">
        <v>197</v>
      </c>
      <c r="B61" s="511" t="s">
        <v>369</v>
      </c>
    </row>
    <row r="62" spans="1:2" ht="15" hidden="1" x14ac:dyDescent="0.25">
      <c r="A62" s="511" t="s">
        <v>197</v>
      </c>
      <c r="B62" s="511" t="s">
        <v>369</v>
      </c>
    </row>
    <row r="63" spans="1:2" ht="15" hidden="1" x14ac:dyDescent="0.25">
      <c r="A63" s="511" t="s">
        <v>197</v>
      </c>
      <c r="B63" s="511" t="s">
        <v>369</v>
      </c>
    </row>
    <row r="64" spans="1:2" ht="15" hidden="1" x14ac:dyDescent="0.25">
      <c r="A64" s="511" t="s">
        <v>197</v>
      </c>
      <c r="B64" s="511" t="s">
        <v>369</v>
      </c>
    </row>
    <row r="65" spans="1:2" ht="15" hidden="1" x14ac:dyDescent="0.25">
      <c r="A65" s="511" t="s">
        <v>197</v>
      </c>
      <c r="B65" s="511" t="s">
        <v>369</v>
      </c>
    </row>
    <row r="66" spans="1:2" ht="15" hidden="1" x14ac:dyDescent="0.25">
      <c r="A66" s="511" t="s">
        <v>197</v>
      </c>
      <c r="B66" s="511" t="s">
        <v>369</v>
      </c>
    </row>
    <row r="67" spans="1:2" ht="15" hidden="1" x14ac:dyDescent="0.25">
      <c r="A67" s="511" t="s">
        <v>197</v>
      </c>
      <c r="B67" s="511" t="s">
        <v>369</v>
      </c>
    </row>
    <row r="68" spans="1:2" ht="15" hidden="1" x14ac:dyDescent="0.25">
      <c r="A68" s="511" t="s">
        <v>197</v>
      </c>
      <c r="B68" s="511" t="s">
        <v>369</v>
      </c>
    </row>
    <row r="69" spans="1:2" ht="15" hidden="1" x14ac:dyDescent="0.25">
      <c r="A69" s="511" t="s">
        <v>197</v>
      </c>
      <c r="B69" s="511" t="s">
        <v>369</v>
      </c>
    </row>
    <row r="70" spans="1:2" ht="15" hidden="1" x14ac:dyDescent="0.25">
      <c r="A70" s="511" t="s">
        <v>235</v>
      </c>
      <c r="B70" s="511" t="s">
        <v>370</v>
      </c>
    </row>
    <row r="71" spans="1:2" ht="15" hidden="1" x14ac:dyDescent="0.25">
      <c r="A71" s="511" t="s">
        <v>198</v>
      </c>
      <c r="B71" s="511" t="s">
        <v>371</v>
      </c>
    </row>
    <row r="72" spans="1:2" ht="15" hidden="1" x14ac:dyDescent="0.25">
      <c r="A72" s="511" t="s">
        <v>198</v>
      </c>
      <c r="B72" s="511" t="s">
        <v>371</v>
      </c>
    </row>
    <row r="73" spans="1:2" ht="15" hidden="1" x14ac:dyDescent="0.25">
      <c r="A73" s="511" t="s">
        <v>198</v>
      </c>
      <c r="B73" s="511" t="s">
        <v>371</v>
      </c>
    </row>
    <row r="74" spans="1:2" ht="15" hidden="1" x14ac:dyDescent="0.25">
      <c r="A74" s="511" t="s">
        <v>199</v>
      </c>
      <c r="B74" s="511" t="s">
        <v>372</v>
      </c>
    </row>
    <row r="75" spans="1:2" ht="15" hidden="1" x14ac:dyDescent="0.25">
      <c r="A75" s="511" t="s">
        <v>199</v>
      </c>
      <c r="B75" s="511" t="s">
        <v>372</v>
      </c>
    </row>
    <row r="76" spans="1:2" ht="15" hidden="1" x14ac:dyDescent="0.25">
      <c r="A76" s="511" t="s">
        <v>199</v>
      </c>
      <c r="B76" s="511" t="s">
        <v>372</v>
      </c>
    </row>
    <row r="77" spans="1:2" ht="15" hidden="1" x14ac:dyDescent="0.25">
      <c r="A77" s="511" t="s">
        <v>199</v>
      </c>
      <c r="B77" s="511" t="s">
        <v>372</v>
      </c>
    </row>
    <row r="78" spans="1:2" ht="15" hidden="1" x14ac:dyDescent="0.25">
      <c r="A78" s="511" t="s">
        <v>200</v>
      </c>
      <c r="B78" s="511" t="s">
        <v>373</v>
      </c>
    </row>
    <row r="79" spans="1:2" ht="15" hidden="1" x14ac:dyDescent="0.25">
      <c r="A79" s="511" t="s">
        <v>336</v>
      </c>
      <c r="B79" s="511" t="s">
        <v>336</v>
      </c>
    </row>
    <row r="80" spans="1:2" ht="15" hidden="1" x14ac:dyDescent="0.25">
      <c r="A80" s="511" t="s">
        <v>374</v>
      </c>
      <c r="B80" s="511" t="s">
        <v>374</v>
      </c>
    </row>
    <row r="81" spans="1:2" ht="15" hidden="1" x14ac:dyDescent="0.25">
      <c r="A81" s="511" t="s">
        <v>374</v>
      </c>
      <c r="B81" s="511" t="s">
        <v>374</v>
      </c>
    </row>
    <row r="82" spans="1:2" ht="15" hidden="1" x14ac:dyDescent="0.25">
      <c r="A82" s="511" t="s">
        <v>375</v>
      </c>
      <c r="B82" s="511" t="s">
        <v>375</v>
      </c>
    </row>
    <row r="83" spans="1:2" ht="15" hidden="1" x14ac:dyDescent="0.25">
      <c r="A83" s="511" t="s">
        <v>376</v>
      </c>
      <c r="B83" s="511" t="s">
        <v>376</v>
      </c>
    </row>
    <row r="84" spans="1:2" ht="15" hidden="1" x14ac:dyDescent="0.25">
      <c r="A84" s="511" t="s">
        <v>338</v>
      </c>
      <c r="B84" s="511" t="s">
        <v>338</v>
      </c>
    </row>
    <row r="85" spans="1:2" ht="15" hidden="1" x14ac:dyDescent="0.25">
      <c r="A85" s="511" t="s">
        <v>377</v>
      </c>
      <c r="B85" s="511" t="s">
        <v>377</v>
      </c>
    </row>
    <row r="86" spans="1:2" ht="15" hidden="1" x14ac:dyDescent="0.25">
      <c r="A86" s="511" t="s">
        <v>378</v>
      </c>
      <c r="B86" s="511" t="s">
        <v>378</v>
      </c>
    </row>
    <row r="87" spans="1:2" ht="15" hidden="1" x14ac:dyDescent="0.25">
      <c r="A87" s="511" t="s">
        <v>378</v>
      </c>
      <c r="B87" s="511" t="s">
        <v>378</v>
      </c>
    </row>
    <row r="88" spans="1:2" ht="15" hidden="1" x14ac:dyDescent="0.25">
      <c r="A88" s="511" t="s">
        <v>379</v>
      </c>
      <c r="B88" s="511" t="s">
        <v>379</v>
      </c>
    </row>
    <row r="89" spans="1:2" ht="15" hidden="1" x14ac:dyDescent="0.25">
      <c r="A89" s="511" t="s">
        <v>339</v>
      </c>
      <c r="B89" s="511" t="s">
        <v>339</v>
      </c>
    </row>
    <row r="90" spans="1:2" ht="15" hidden="1" x14ac:dyDescent="0.25">
      <c r="A90" s="511" t="s">
        <v>380</v>
      </c>
      <c r="B90" s="511" t="s">
        <v>380</v>
      </c>
    </row>
    <row r="91" spans="1:2" ht="15" hidden="1" x14ac:dyDescent="0.25">
      <c r="A91" s="511" t="s">
        <v>381</v>
      </c>
      <c r="B91" s="511" t="s">
        <v>381</v>
      </c>
    </row>
    <row r="92" spans="1:2" ht="15" hidden="1" x14ac:dyDescent="0.25">
      <c r="A92" s="511" t="s">
        <v>382</v>
      </c>
      <c r="B92" s="511" t="s">
        <v>382</v>
      </c>
    </row>
    <row r="93" spans="1:2" ht="15" hidden="1" x14ac:dyDescent="0.25">
      <c r="A93" s="511" t="s">
        <v>343</v>
      </c>
      <c r="B93" s="511" t="s">
        <v>343</v>
      </c>
    </row>
    <row r="94" spans="1:2" ht="15" hidden="1" x14ac:dyDescent="0.25">
      <c r="A94" s="511" t="s">
        <v>383</v>
      </c>
      <c r="B94" s="511" t="s">
        <v>383</v>
      </c>
    </row>
    <row r="95" spans="1:2" ht="15" hidden="1" x14ac:dyDescent="0.25">
      <c r="A95" s="511" t="s">
        <v>384</v>
      </c>
      <c r="B95" s="511" t="s">
        <v>384</v>
      </c>
    </row>
    <row r="96" spans="1:2" ht="15" hidden="1" x14ac:dyDescent="0.25">
      <c r="A96" s="511" t="s">
        <v>385</v>
      </c>
      <c r="B96" s="511" t="s">
        <v>385</v>
      </c>
    </row>
    <row r="97" spans="1:2" ht="15" hidden="1" x14ac:dyDescent="0.25">
      <c r="A97" s="511" t="s">
        <v>385</v>
      </c>
      <c r="B97" s="511" t="s">
        <v>385</v>
      </c>
    </row>
    <row r="98" spans="1:2" ht="15" hidden="1" x14ac:dyDescent="0.25">
      <c r="A98" s="511" t="s">
        <v>386</v>
      </c>
      <c r="B98" s="511" t="s">
        <v>386</v>
      </c>
    </row>
    <row r="99" spans="1:2" ht="15" hidden="1" x14ac:dyDescent="0.25">
      <c r="A99" s="511" t="s">
        <v>341</v>
      </c>
      <c r="B99" s="511" t="s">
        <v>341</v>
      </c>
    </row>
    <row r="100" spans="1:2" ht="15" hidden="1" x14ac:dyDescent="0.25">
      <c r="A100" s="511" t="s">
        <v>341</v>
      </c>
      <c r="B100" s="511" t="s">
        <v>341</v>
      </c>
    </row>
    <row r="101" spans="1:2" ht="15" hidden="1" x14ac:dyDescent="0.25">
      <c r="A101" s="511" t="s">
        <v>340</v>
      </c>
      <c r="B101" s="511" t="s">
        <v>340</v>
      </c>
    </row>
    <row r="102" spans="1:2" ht="15" hidden="1" x14ac:dyDescent="0.25">
      <c r="A102" s="511" t="s">
        <v>387</v>
      </c>
      <c r="B102" s="511" t="s">
        <v>387</v>
      </c>
    </row>
    <row r="103" spans="1:2" ht="15" hidden="1" x14ac:dyDescent="0.25">
      <c r="A103" s="511" t="s">
        <v>387</v>
      </c>
      <c r="B103" s="511" t="s">
        <v>387</v>
      </c>
    </row>
    <row r="104" spans="1:2" ht="15" hidden="1" x14ac:dyDescent="0.25">
      <c r="A104" s="511" t="s">
        <v>387</v>
      </c>
      <c r="B104" s="511" t="s">
        <v>387</v>
      </c>
    </row>
    <row r="105" spans="1:2" ht="15" hidden="1" x14ac:dyDescent="0.25">
      <c r="A105" s="511" t="s">
        <v>388</v>
      </c>
      <c r="B105" s="511" t="s">
        <v>388</v>
      </c>
    </row>
    <row r="106" spans="1:2" ht="15" hidden="1" x14ac:dyDescent="0.25">
      <c r="A106" s="511" t="s">
        <v>388</v>
      </c>
      <c r="B106" s="511" t="s">
        <v>388</v>
      </c>
    </row>
    <row r="107" spans="1:2" ht="15" hidden="1" x14ac:dyDescent="0.25">
      <c r="A107" s="511" t="s">
        <v>389</v>
      </c>
      <c r="B107" s="511" t="s">
        <v>389</v>
      </c>
    </row>
    <row r="108" spans="1:2" ht="15" hidden="1" x14ac:dyDescent="0.25">
      <c r="A108" s="511" t="s">
        <v>390</v>
      </c>
      <c r="B108" s="511" t="s">
        <v>390</v>
      </c>
    </row>
    <row r="109" spans="1:2" ht="15" hidden="1" x14ac:dyDescent="0.25">
      <c r="A109" s="511" t="s">
        <v>391</v>
      </c>
      <c r="B109" s="511" t="s">
        <v>391</v>
      </c>
    </row>
    <row r="110" spans="1:2" ht="15" hidden="1" x14ac:dyDescent="0.25">
      <c r="A110" s="511" t="s">
        <v>392</v>
      </c>
      <c r="B110" s="511" t="s">
        <v>392</v>
      </c>
    </row>
    <row r="111" spans="1:2" ht="15" hidden="1" x14ac:dyDescent="0.25">
      <c r="A111" s="511" t="s">
        <v>393</v>
      </c>
      <c r="B111" s="511" t="s">
        <v>393</v>
      </c>
    </row>
    <row r="112" spans="1:2" ht="15" hidden="1" x14ac:dyDescent="0.25">
      <c r="A112" s="511" t="s">
        <v>393</v>
      </c>
      <c r="B112" s="511" t="s">
        <v>393</v>
      </c>
    </row>
    <row r="113" spans="1:2" ht="15" hidden="1" x14ac:dyDescent="0.25">
      <c r="A113" s="511" t="s">
        <v>342</v>
      </c>
      <c r="B113" s="511" t="s">
        <v>342</v>
      </c>
    </row>
    <row r="114" spans="1:2" ht="15" hidden="1" x14ac:dyDescent="0.25">
      <c r="A114" s="511" t="s">
        <v>394</v>
      </c>
      <c r="B114" s="511" t="s">
        <v>394</v>
      </c>
    </row>
    <row r="115" spans="1:2" ht="15" hidden="1" x14ac:dyDescent="0.25">
      <c r="A115" s="511" t="s">
        <v>395</v>
      </c>
      <c r="B115" s="511" t="s">
        <v>395</v>
      </c>
    </row>
    <row r="116" spans="1:2" ht="15" hidden="1" x14ac:dyDescent="0.25">
      <c r="A116" s="511" t="s">
        <v>396</v>
      </c>
      <c r="B116" s="511" t="s">
        <v>396</v>
      </c>
    </row>
    <row r="117" spans="1:2" ht="15" hidden="1" x14ac:dyDescent="0.25">
      <c r="A117" s="511" t="s">
        <v>397</v>
      </c>
      <c r="B117" s="511" t="s">
        <v>397</v>
      </c>
    </row>
    <row r="118" spans="1:2" ht="15" hidden="1" x14ac:dyDescent="0.25">
      <c r="A118" s="511" t="s">
        <v>397</v>
      </c>
      <c r="B118" s="511" t="s">
        <v>397</v>
      </c>
    </row>
    <row r="119" spans="1:2" ht="15" hidden="1" x14ac:dyDescent="0.25">
      <c r="A119" s="511" t="s">
        <v>398</v>
      </c>
      <c r="B119" s="511" t="s">
        <v>398</v>
      </c>
    </row>
    <row r="120" spans="1:2" ht="15" hidden="1" x14ac:dyDescent="0.25">
      <c r="A120" s="511" t="s">
        <v>399</v>
      </c>
      <c r="B120" s="511" t="s">
        <v>399</v>
      </c>
    </row>
    <row r="121" spans="1:2" ht="15" hidden="1" x14ac:dyDescent="0.25">
      <c r="A121" s="511" t="s">
        <v>216</v>
      </c>
      <c r="B121" s="511" t="s">
        <v>400</v>
      </c>
    </row>
    <row r="122" spans="1:2" ht="15" hidden="1" x14ac:dyDescent="0.25">
      <c r="A122" s="511" t="s">
        <v>216</v>
      </c>
      <c r="B122" s="511" t="s">
        <v>400</v>
      </c>
    </row>
    <row r="123" spans="1:2" ht="15" hidden="1" x14ac:dyDescent="0.25">
      <c r="A123" s="511" t="s">
        <v>219</v>
      </c>
      <c r="B123" s="511" t="s">
        <v>401</v>
      </c>
    </row>
    <row r="124" spans="1:2" ht="15" hidden="1" x14ac:dyDescent="0.25">
      <c r="A124" s="511" t="s">
        <v>221</v>
      </c>
      <c r="B124" s="511" t="s">
        <v>402</v>
      </c>
    </row>
    <row r="125" spans="1:2" ht="15" hidden="1" x14ac:dyDescent="0.25">
      <c r="A125" s="511" t="s">
        <v>221</v>
      </c>
      <c r="B125" s="511" t="s">
        <v>402</v>
      </c>
    </row>
    <row r="126" spans="1:2" ht="15" hidden="1" x14ac:dyDescent="0.25">
      <c r="A126" s="511" t="s">
        <v>221</v>
      </c>
      <c r="B126" s="511" t="s">
        <v>402</v>
      </c>
    </row>
    <row r="127" spans="1:2" ht="15" hidden="1" x14ac:dyDescent="0.25">
      <c r="A127" s="511" t="s">
        <v>221</v>
      </c>
      <c r="B127" s="511" t="s">
        <v>402</v>
      </c>
    </row>
    <row r="128" spans="1:2" ht="15" hidden="1" x14ac:dyDescent="0.25">
      <c r="A128" s="511" t="s">
        <v>225</v>
      </c>
      <c r="B128" s="511" t="s">
        <v>403</v>
      </c>
    </row>
    <row r="129" spans="1:2" ht="15" hidden="1" x14ac:dyDescent="0.25">
      <c r="A129" s="511" t="s">
        <v>227</v>
      </c>
      <c r="B129" s="511" t="s">
        <v>404</v>
      </c>
    </row>
    <row r="130" spans="1:2" ht="15" hidden="1" x14ac:dyDescent="0.25">
      <c r="A130" s="511" t="s">
        <v>229</v>
      </c>
      <c r="B130" s="511" t="s">
        <v>405</v>
      </c>
    </row>
    <row r="131" spans="1:2" ht="15" hidden="1" x14ac:dyDescent="0.25">
      <c r="A131" s="511" t="s">
        <v>236</v>
      </c>
      <c r="B131" s="511" t="s">
        <v>406</v>
      </c>
    </row>
    <row r="132" spans="1:2" ht="15" hidden="1" x14ac:dyDescent="0.25">
      <c r="A132" s="511" t="s">
        <v>236</v>
      </c>
      <c r="B132" s="511" t="s">
        <v>406</v>
      </c>
    </row>
    <row r="133" spans="1:2" ht="15" hidden="1" x14ac:dyDescent="0.25">
      <c r="A133" s="511" t="s">
        <v>237</v>
      </c>
      <c r="B133" s="511" t="s">
        <v>407</v>
      </c>
    </row>
    <row r="134" spans="1:2" ht="15" hidden="1" x14ac:dyDescent="0.25">
      <c r="A134" s="511" t="s">
        <v>201</v>
      </c>
      <c r="B134" s="511" t="s">
        <v>408</v>
      </c>
    </row>
    <row r="135" spans="1:2" ht="15" hidden="1" x14ac:dyDescent="0.25">
      <c r="A135" s="511" t="s">
        <v>201</v>
      </c>
      <c r="B135" s="511" t="s">
        <v>408</v>
      </c>
    </row>
    <row r="136" spans="1:2" ht="15" hidden="1" x14ac:dyDescent="0.25">
      <c r="A136" s="511" t="s">
        <v>201</v>
      </c>
      <c r="B136" s="511" t="s">
        <v>408</v>
      </c>
    </row>
    <row r="137" spans="1:2" ht="15" hidden="1" x14ac:dyDescent="0.25">
      <c r="A137" s="511" t="s">
        <v>238</v>
      </c>
      <c r="B137" s="511" t="s">
        <v>409</v>
      </c>
    </row>
    <row r="138" spans="1:2" ht="15" hidden="1" x14ac:dyDescent="0.25">
      <c r="A138" s="511" t="s">
        <v>239</v>
      </c>
      <c r="B138" s="511" t="s">
        <v>410</v>
      </c>
    </row>
    <row r="139" spans="1:2" ht="15" hidden="1" x14ac:dyDescent="0.25">
      <c r="A139" s="511" t="s">
        <v>239</v>
      </c>
      <c r="B139" s="511" t="s">
        <v>410</v>
      </c>
    </row>
    <row r="140" spans="1:2" ht="15" hidden="1" x14ac:dyDescent="0.25">
      <c r="A140" s="511" t="s">
        <v>240</v>
      </c>
      <c r="B140" s="511" t="s">
        <v>411</v>
      </c>
    </row>
    <row r="141" spans="1:2" ht="15" hidden="1" x14ac:dyDescent="0.25">
      <c r="A141" s="511" t="s">
        <v>240</v>
      </c>
      <c r="B141" s="511" t="s">
        <v>411</v>
      </c>
    </row>
    <row r="142" spans="1:2" ht="15" hidden="1" x14ac:dyDescent="0.25">
      <c r="A142" s="511" t="s">
        <v>241</v>
      </c>
      <c r="B142" s="511" t="s">
        <v>412</v>
      </c>
    </row>
    <row r="143" spans="1:2" ht="15" hidden="1" x14ac:dyDescent="0.25">
      <c r="A143" s="511" t="s">
        <v>242</v>
      </c>
      <c r="B143" s="511" t="s">
        <v>413</v>
      </c>
    </row>
    <row r="144" spans="1:2" ht="15" hidden="1" x14ac:dyDescent="0.25">
      <c r="A144" s="511" t="s">
        <v>242</v>
      </c>
      <c r="B144" s="511" t="s">
        <v>413</v>
      </c>
    </row>
    <row r="145" spans="1:2" ht="15" hidden="1" x14ac:dyDescent="0.25">
      <c r="A145" s="511" t="s">
        <v>242</v>
      </c>
      <c r="B145" s="511" t="s">
        <v>413</v>
      </c>
    </row>
    <row r="146" spans="1:2" ht="15" hidden="1" x14ac:dyDescent="0.25">
      <c r="A146" s="511" t="s">
        <v>243</v>
      </c>
      <c r="B146" s="511" t="s">
        <v>414</v>
      </c>
    </row>
    <row r="147" spans="1:2" ht="15" hidden="1" x14ac:dyDescent="0.25">
      <c r="A147" s="511" t="s">
        <v>244</v>
      </c>
      <c r="B147" s="511" t="s">
        <v>339</v>
      </c>
    </row>
    <row r="148" spans="1:2" ht="15" hidden="1" x14ac:dyDescent="0.25">
      <c r="A148" s="511" t="s">
        <v>245</v>
      </c>
      <c r="B148" s="511" t="s">
        <v>415</v>
      </c>
    </row>
    <row r="149" spans="1:2" ht="15" hidden="1" x14ac:dyDescent="0.25">
      <c r="A149" s="511" t="s">
        <v>246</v>
      </c>
      <c r="B149" s="511" t="s">
        <v>416</v>
      </c>
    </row>
    <row r="150" spans="1:2" ht="15" hidden="1" x14ac:dyDescent="0.25">
      <c r="A150" s="511" t="s">
        <v>247</v>
      </c>
      <c r="B150" s="511" t="s">
        <v>417</v>
      </c>
    </row>
    <row r="151" spans="1:2" ht="15" hidden="1" x14ac:dyDescent="0.25">
      <c r="A151" s="511" t="s">
        <v>247</v>
      </c>
      <c r="B151" s="511" t="s">
        <v>417</v>
      </c>
    </row>
    <row r="152" spans="1:2" ht="15" hidden="1" x14ac:dyDescent="0.25">
      <c r="A152" s="511" t="s">
        <v>202</v>
      </c>
      <c r="B152" s="511" t="s">
        <v>418</v>
      </c>
    </row>
    <row r="153" spans="1:2" ht="15" hidden="1" x14ac:dyDescent="0.25">
      <c r="A153" s="511" t="s">
        <v>248</v>
      </c>
      <c r="B153" s="511" t="s">
        <v>419</v>
      </c>
    </row>
    <row r="154" spans="1:2" ht="15" hidden="1" x14ac:dyDescent="0.25">
      <c r="A154" s="511" t="s">
        <v>248</v>
      </c>
      <c r="B154" s="511" t="s">
        <v>419</v>
      </c>
    </row>
    <row r="155" spans="1:2" ht="15" hidden="1" x14ac:dyDescent="0.25">
      <c r="A155" s="511" t="s">
        <v>249</v>
      </c>
      <c r="B155" s="511" t="s">
        <v>420</v>
      </c>
    </row>
    <row r="156" spans="1:2" ht="15" hidden="1" x14ac:dyDescent="0.25">
      <c r="A156" s="511" t="s">
        <v>249</v>
      </c>
      <c r="B156" s="511" t="s">
        <v>420</v>
      </c>
    </row>
    <row r="157" spans="1:2" ht="15" hidden="1" x14ac:dyDescent="0.25">
      <c r="A157" s="511" t="s">
        <v>421</v>
      </c>
      <c r="B157" s="511" t="s">
        <v>422</v>
      </c>
    </row>
    <row r="158" spans="1:2" ht="15" hidden="1" x14ac:dyDescent="0.25">
      <c r="A158" s="511" t="s">
        <v>250</v>
      </c>
      <c r="B158" s="511" t="s">
        <v>423</v>
      </c>
    </row>
    <row r="159" spans="1:2" ht="15" hidden="1" x14ac:dyDescent="0.25">
      <c r="A159" s="511" t="s">
        <v>250</v>
      </c>
      <c r="B159" s="511" t="s">
        <v>423</v>
      </c>
    </row>
    <row r="160" spans="1:2" ht="15" hidden="1" x14ac:dyDescent="0.25">
      <c r="A160" s="511" t="s">
        <v>251</v>
      </c>
      <c r="B160" s="511" t="s">
        <v>424</v>
      </c>
    </row>
    <row r="161" spans="1:2" ht="15" hidden="1" x14ac:dyDescent="0.25">
      <c r="A161" s="511" t="s">
        <v>251</v>
      </c>
      <c r="B161" s="511" t="s">
        <v>424</v>
      </c>
    </row>
    <row r="162" spans="1:2" ht="15" hidden="1" x14ac:dyDescent="0.25">
      <c r="A162" s="511" t="s">
        <v>252</v>
      </c>
      <c r="B162" s="511" t="s">
        <v>425</v>
      </c>
    </row>
    <row r="163" spans="1:2" ht="15" hidden="1" x14ac:dyDescent="0.25">
      <c r="A163" s="511" t="s">
        <v>252</v>
      </c>
      <c r="B163" s="511" t="s">
        <v>425</v>
      </c>
    </row>
    <row r="164" spans="1:2" ht="15" hidden="1" x14ac:dyDescent="0.25">
      <c r="A164" s="511" t="s">
        <v>252</v>
      </c>
      <c r="B164" s="511" t="s">
        <v>425</v>
      </c>
    </row>
    <row r="165" spans="1:2" ht="15" hidden="1" x14ac:dyDescent="0.25">
      <c r="A165" s="511" t="s">
        <v>252</v>
      </c>
      <c r="B165" s="511" t="s">
        <v>425</v>
      </c>
    </row>
    <row r="166" spans="1:2" ht="15" hidden="1" x14ac:dyDescent="0.25">
      <c r="A166" s="511" t="s">
        <v>253</v>
      </c>
      <c r="B166" s="511" t="s">
        <v>426</v>
      </c>
    </row>
    <row r="167" spans="1:2" ht="15" hidden="1" x14ac:dyDescent="0.25">
      <c r="A167" s="511" t="s">
        <v>203</v>
      </c>
      <c r="B167" s="511" t="s">
        <v>427</v>
      </c>
    </row>
    <row r="168" spans="1:2" ht="15" hidden="1" x14ac:dyDescent="0.25">
      <c r="A168" s="511" t="s">
        <v>254</v>
      </c>
      <c r="B168" s="511" t="s">
        <v>428</v>
      </c>
    </row>
    <row r="169" spans="1:2" ht="15" hidden="1" x14ac:dyDescent="0.25">
      <c r="A169" s="511" t="s">
        <v>254</v>
      </c>
      <c r="B169" s="511" t="s">
        <v>428</v>
      </c>
    </row>
    <row r="170" spans="1:2" ht="15" hidden="1" x14ac:dyDescent="0.25">
      <c r="A170" s="511" t="s">
        <v>254</v>
      </c>
      <c r="B170" s="511" t="s">
        <v>428</v>
      </c>
    </row>
    <row r="171" spans="1:2" ht="15" hidden="1" x14ac:dyDescent="0.25">
      <c r="A171" s="511" t="s">
        <v>254</v>
      </c>
      <c r="B171" s="511" t="s">
        <v>428</v>
      </c>
    </row>
    <row r="172" spans="1:2" ht="15" hidden="1" x14ac:dyDescent="0.25">
      <c r="A172" s="511" t="s">
        <v>255</v>
      </c>
      <c r="B172" s="511" t="s">
        <v>429</v>
      </c>
    </row>
    <row r="173" spans="1:2" ht="15" hidden="1" x14ac:dyDescent="0.25">
      <c r="A173" s="511" t="s">
        <v>256</v>
      </c>
      <c r="B173" s="511" t="s">
        <v>430</v>
      </c>
    </row>
    <row r="174" spans="1:2" ht="15" hidden="1" x14ac:dyDescent="0.25">
      <c r="A174" s="511" t="s">
        <v>257</v>
      </c>
      <c r="B174" s="511" t="s">
        <v>431</v>
      </c>
    </row>
    <row r="175" spans="1:2" ht="15" hidden="1" x14ac:dyDescent="0.25">
      <c r="A175" s="511" t="s">
        <v>432</v>
      </c>
      <c r="B175" s="511" t="s">
        <v>433</v>
      </c>
    </row>
    <row r="176" spans="1:2" ht="15" hidden="1" x14ac:dyDescent="0.25">
      <c r="A176" s="511" t="s">
        <v>258</v>
      </c>
      <c r="B176" s="511" t="s">
        <v>434</v>
      </c>
    </row>
    <row r="177" spans="1:2" ht="15" hidden="1" x14ac:dyDescent="0.25">
      <c r="A177" s="511" t="s">
        <v>259</v>
      </c>
      <c r="B177" s="511" t="s">
        <v>435</v>
      </c>
    </row>
    <row r="178" spans="1:2" ht="15" hidden="1" x14ac:dyDescent="0.25">
      <c r="A178" s="511" t="s">
        <v>259</v>
      </c>
      <c r="B178" s="511" t="s">
        <v>435</v>
      </c>
    </row>
    <row r="179" spans="1:2" ht="15" hidden="1" x14ac:dyDescent="0.25">
      <c r="A179" s="511" t="s">
        <v>260</v>
      </c>
      <c r="B179" s="511" t="s">
        <v>436</v>
      </c>
    </row>
    <row r="180" spans="1:2" ht="15" hidden="1" x14ac:dyDescent="0.25">
      <c r="A180" s="511" t="s">
        <v>261</v>
      </c>
      <c r="B180" s="511" t="s">
        <v>437</v>
      </c>
    </row>
    <row r="181" spans="1:2" ht="15" hidden="1" x14ac:dyDescent="0.25">
      <c r="A181" s="511" t="s">
        <v>204</v>
      </c>
      <c r="B181" s="511" t="s">
        <v>438</v>
      </c>
    </row>
    <row r="182" spans="1:2" ht="15" hidden="1" x14ac:dyDescent="0.25">
      <c r="A182" s="511" t="s">
        <v>262</v>
      </c>
      <c r="B182" s="511" t="s">
        <v>439</v>
      </c>
    </row>
    <row r="183" spans="1:2" ht="15" hidden="1" x14ac:dyDescent="0.25">
      <c r="A183" s="511" t="s">
        <v>263</v>
      </c>
      <c r="B183" s="511" t="s">
        <v>440</v>
      </c>
    </row>
    <row r="184" spans="1:2" ht="15" hidden="1" x14ac:dyDescent="0.25">
      <c r="A184" s="511" t="s">
        <v>264</v>
      </c>
      <c r="B184" s="511" t="s">
        <v>441</v>
      </c>
    </row>
    <row r="185" spans="1:2" ht="15" hidden="1" x14ac:dyDescent="0.25">
      <c r="A185" s="511" t="s">
        <v>205</v>
      </c>
      <c r="B185" s="511" t="s">
        <v>442</v>
      </c>
    </row>
    <row r="186" spans="1:2" ht="15" hidden="1" x14ac:dyDescent="0.25">
      <c r="A186" s="511" t="s">
        <v>265</v>
      </c>
      <c r="B186" s="511" t="s">
        <v>443</v>
      </c>
    </row>
    <row r="187" spans="1:2" ht="15" hidden="1" x14ac:dyDescent="0.25">
      <c r="A187" s="511" t="s">
        <v>265</v>
      </c>
      <c r="B187" s="511" t="s">
        <v>443</v>
      </c>
    </row>
    <row r="188" spans="1:2" ht="15" hidden="1" x14ac:dyDescent="0.25">
      <c r="A188" s="511" t="s">
        <v>265</v>
      </c>
      <c r="B188" s="511" t="s">
        <v>443</v>
      </c>
    </row>
    <row r="189" spans="1:2" ht="15" hidden="1" x14ac:dyDescent="0.25">
      <c r="A189" s="511" t="s">
        <v>265</v>
      </c>
      <c r="B189" s="511" t="s">
        <v>443</v>
      </c>
    </row>
    <row r="190" spans="1:2" ht="15" hidden="1" x14ac:dyDescent="0.25">
      <c r="A190" s="511" t="s">
        <v>265</v>
      </c>
      <c r="B190" s="511" t="s">
        <v>443</v>
      </c>
    </row>
    <row r="191" spans="1:2" ht="15" hidden="1" x14ac:dyDescent="0.25">
      <c r="A191" s="511" t="s">
        <v>265</v>
      </c>
      <c r="B191" s="511" t="s">
        <v>443</v>
      </c>
    </row>
    <row r="192" spans="1:2" ht="15" hidden="1" x14ac:dyDescent="0.25">
      <c r="A192" s="511" t="s">
        <v>265</v>
      </c>
      <c r="B192" s="511" t="s">
        <v>443</v>
      </c>
    </row>
    <row r="193" spans="1:2" ht="15" hidden="1" x14ac:dyDescent="0.25">
      <c r="A193" s="511" t="s">
        <v>265</v>
      </c>
      <c r="B193" s="511" t="s">
        <v>443</v>
      </c>
    </row>
    <row r="194" spans="1:2" ht="15" hidden="1" x14ac:dyDescent="0.25">
      <c r="A194" s="511" t="s">
        <v>265</v>
      </c>
      <c r="B194" s="511" t="s">
        <v>443</v>
      </c>
    </row>
    <row r="195" spans="1:2" ht="15" hidden="1" x14ac:dyDescent="0.25">
      <c r="A195" s="511" t="s">
        <v>265</v>
      </c>
      <c r="B195" s="511" t="s">
        <v>443</v>
      </c>
    </row>
    <row r="196" spans="1:2" ht="15" hidden="1" x14ac:dyDescent="0.25">
      <c r="A196" s="511" t="s">
        <v>265</v>
      </c>
      <c r="B196" s="511" t="s">
        <v>443</v>
      </c>
    </row>
    <row r="197" spans="1:2" ht="15" hidden="1" x14ac:dyDescent="0.25">
      <c r="A197" s="511" t="s">
        <v>265</v>
      </c>
      <c r="B197" s="511" t="s">
        <v>443</v>
      </c>
    </row>
    <row r="198" spans="1:2" ht="15" hidden="1" x14ac:dyDescent="0.25">
      <c r="A198" s="511" t="s">
        <v>190</v>
      </c>
      <c r="B198" s="511" t="s">
        <v>360</v>
      </c>
    </row>
    <row r="199" spans="1:2" ht="15" hidden="1" x14ac:dyDescent="0.25">
      <c r="A199" s="511" t="s">
        <v>190</v>
      </c>
      <c r="B199" s="511" t="s">
        <v>360</v>
      </c>
    </row>
    <row r="200" spans="1:2" ht="15" hidden="1" x14ac:dyDescent="0.25">
      <c r="A200" s="511" t="s">
        <v>190</v>
      </c>
      <c r="B200" s="511" t="s">
        <v>360</v>
      </c>
    </row>
    <row r="201" spans="1:2" ht="15" hidden="1" x14ac:dyDescent="0.25">
      <c r="A201" s="511" t="s">
        <v>190</v>
      </c>
      <c r="B201" s="511" t="s">
        <v>360</v>
      </c>
    </row>
    <row r="202" spans="1:2" ht="15" hidden="1" x14ac:dyDescent="0.25">
      <c r="A202" s="511" t="s">
        <v>190</v>
      </c>
      <c r="B202" s="511" t="s">
        <v>360</v>
      </c>
    </row>
    <row r="203" spans="1:2" ht="15" hidden="1" x14ac:dyDescent="0.25">
      <c r="A203" s="511" t="s">
        <v>190</v>
      </c>
      <c r="B203" s="511" t="s">
        <v>360</v>
      </c>
    </row>
    <row r="204" spans="1:2" ht="15" hidden="1" x14ac:dyDescent="0.25">
      <c r="A204" s="511" t="s">
        <v>190</v>
      </c>
      <c r="B204" s="511" t="s">
        <v>360</v>
      </c>
    </row>
    <row r="205" spans="1:2" ht="15" hidden="1" x14ac:dyDescent="0.25">
      <c r="A205" s="511" t="s">
        <v>190</v>
      </c>
      <c r="B205" s="511" t="s">
        <v>360</v>
      </c>
    </row>
    <row r="206" spans="1:2" ht="15" hidden="1" x14ac:dyDescent="0.25">
      <c r="A206" s="511" t="s">
        <v>190</v>
      </c>
      <c r="B206" s="511" t="s">
        <v>360</v>
      </c>
    </row>
    <row r="207" spans="1:2" ht="15" hidden="1" x14ac:dyDescent="0.25">
      <c r="A207" s="511" t="s">
        <v>190</v>
      </c>
      <c r="B207" s="511" t="s">
        <v>360</v>
      </c>
    </row>
    <row r="208" spans="1:2" ht="15" hidden="1" x14ac:dyDescent="0.25">
      <c r="A208" s="511" t="s">
        <v>190</v>
      </c>
      <c r="B208" s="511" t="s">
        <v>360</v>
      </c>
    </row>
    <row r="209" spans="1:2" ht="15" hidden="1" x14ac:dyDescent="0.25">
      <c r="A209" s="511" t="s">
        <v>190</v>
      </c>
      <c r="B209" s="511" t="s">
        <v>360</v>
      </c>
    </row>
    <row r="210" spans="1:2" ht="15" hidden="1" x14ac:dyDescent="0.25">
      <c r="A210" s="511" t="s">
        <v>190</v>
      </c>
      <c r="B210" s="511" t="s">
        <v>360</v>
      </c>
    </row>
    <row r="211" spans="1:2" ht="15" hidden="1" x14ac:dyDescent="0.25">
      <c r="A211" s="511" t="s">
        <v>190</v>
      </c>
      <c r="B211" s="511" t="s">
        <v>360</v>
      </c>
    </row>
    <row r="212" spans="1:2" ht="15" hidden="1" x14ac:dyDescent="0.25">
      <c r="A212" s="511" t="s">
        <v>190</v>
      </c>
      <c r="B212" s="511" t="s">
        <v>360</v>
      </c>
    </row>
    <row r="213" spans="1:2" ht="15" hidden="1" x14ac:dyDescent="0.25">
      <c r="A213" s="511" t="s">
        <v>190</v>
      </c>
      <c r="B213" s="511" t="s">
        <v>360</v>
      </c>
    </row>
    <row r="214" spans="1:2" ht="15" hidden="1" x14ac:dyDescent="0.25">
      <c r="A214" s="511" t="s">
        <v>190</v>
      </c>
      <c r="B214" s="511" t="s">
        <v>360</v>
      </c>
    </row>
    <row r="215" spans="1:2" ht="15" hidden="1" x14ac:dyDescent="0.25">
      <c r="A215" s="511" t="s">
        <v>190</v>
      </c>
      <c r="B215" s="511" t="s">
        <v>360</v>
      </c>
    </row>
    <row r="216" spans="1:2" ht="15" hidden="1" x14ac:dyDescent="0.25">
      <c r="A216" s="511" t="s">
        <v>190</v>
      </c>
      <c r="B216" s="511" t="s">
        <v>360</v>
      </c>
    </row>
    <row r="217" spans="1:2" ht="15" hidden="1" x14ac:dyDescent="0.25">
      <c r="A217" s="511" t="s">
        <v>190</v>
      </c>
      <c r="B217" s="511" t="s">
        <v>360</v>
      </c>
    </row>
    <row r="218" spans="1:2" ht="15" hidden="1" x14ac:dyDescent="0.25">
      <c r="A218" s="511" t="s">
        <v>190</v>
      </c>
      <c r="B218" s="511" t="s">
        <v>360</v>
      </c>
    </row>
    <row r="219" spans="1:2" ht="15" hidden="1" x14ac:dyDescent="0.25">
      <c r="A219" s="511" t="s">
        <v>190</v>
      </c>
      <c r="B219" s="511" t="s">
        <v>360</v>
      </c>
    </row>
    <row r="220" spans="1:2" ht="15" hidden="1" x14ac:dyDescent="0.25">
      <c r="A220" s="511" t="s">
        <v>190</v>
      </c>
      <c r="B220" s="511" t="s">
        <v>360</v>
      </c>
    </row>
    <row r="221" spans="1:2" ht="15" hidden="1" x14ac:dyDescent="0.25">
      <c r="A221" s="511" t="s">
        <v>190</v>
      </c>
      <c r="B221" s="511" t="s">
        <v>360</v>
      </c>
    </row>
    <row r="222" spans="1:2" ht="15" hidden="1" x14ac:dyDescent="0.25">
      <c r="A222" s="511" t="s">
        <v>190</v>
      </c>
      <c r="B222" s="511" t="s">
        <v>360</v>
      </c>
    </row>
    <row r="223" spans="1:2" ht="15" hidden="1" x14ac:dyDescent="0.25">
      <c r="A223" s="511" t="s">
        <v>190</v>
      </c>
      <c r="B223" s="511" t="s">
        <v>360</v>
      </c>
    </row>
    <row r="224" spans="1:2" ht="15" hidden="1" x14ac:dyDescent="0.25">
      <c r="A224" s="511" t="s">
        <v>190</v>
      </c>
      <c r="B224" s="511" t="s">
        <v>360</v>
      </c>
    </row>
    <row r="225" spans="1:2" ht="15" hidden="1" x14ac:dyDescent="0.25">
      <c r="A225" s="511" t="s">
        <v>190</v>
      </c>
      <c r="B225" s="511" t="s">
        <v>360</v>
      </c>
    </row>
    <row r="226" spans="1:2" ht="15" hidden="1" x14ac:dyDescent="0.25">
      <c r="A226" s="511" t="s">
        <v>190</v>
      </c>
      <c r="B226" s="511" t="s">
        <v>360</v>
      </c>
    </row>
    <row r="227" spans="1:2" ht="15" hidden="1" x14ac:dyDescent="0.25">
      <c r="A227" s="511" t="s">
        <v>190</v>
      </c>
      <c r="B227" s="511" t="s">
        <v>360</v>
      </c>
    </row>
    <row r="228" spans="1:2" ht="15" hidden="1" x14ac:dyDescent="0.25">
      <c r="A228" s="511" t="s">
        <v>190</v>
      </c>
      <c r="B228" s="511" t="s">
        <v>360</v>
      </c>
    </row>
    <row r="229" spans="1:2" ht="15" hidden="1" x14ac:dyDescent="0.25">
      <c r="A229" s="511" t="s">
        <v>190</v>
      </c>
      <c r="B229" s="511" t="s">
        <v>360</v>
      </c>
    </row>
    <row r="230" spans="1:2" ht="15" hidden="1" x14ac:dyDescent="0.25">
      <c r="A230" s="511" t="s">
        <v>190</v>
      </c>
      <c r="B230" s="511" t="s">
        <v>360</v>
      </c>
    </row>
    <row r="231" spans="1:2" ht="15" hidden="1" x14ac:dyDescent="0.25">
      <c r="A231" s="511" t="s">
        <v>190</v>
      </c>
      <c r="B231" s="511" t="s">
        <v>360</v>
      </c>
    </row>
    <row r="232" spans="1:2" ht="15" hidden="1" x14ac:dyDescent="0.25">
      <c r="A232" s="511" t="s">
        <v>191</v>
      </c>
      <c r="B232" s="511" t="s">
        <v>361</v>
      </c>
    </row>
    <row r="233" spans="1:2" ht="15" hidden="1" x14ac:dyDescent="0.25">
      <c r="A233" s="511" t="s">
        <v>192</v>
      </c>
      <c r="B233" s="511" t="s">
        <v>362</v>
      </c>
    </row>
    <row r="234" spans="1:2" ht="15" hidden="1" x14ac:dyDescent="0.25">
      <c r="A234" s="511" t="s">
        <v>192</v>
      </c>
      <c r="B234" s="511" t="s">
        <v>362</v>
      </c>
    </row>
    <row r="235" spans="1:2" ht="15" hidden="1" x14ac:dyDescent="0.25">
      <c r="A235" s="511" t="s">
        <v>192</v>
      </c>
      <c r="B235" s="511" t="s">
        <v>362</v>
      </c>
    </row>
    <row r="236" spans="1:2" ht="15" hidden="1" x14ac:dyDescent="0.25">
      <c r="A236" s="511" t="s">
        <v>192</v>
      </c>
      <c r="B236" s="511" t="s">
        <v>362</v>
      </c>
    </row>
    <row r="237" spans="1:2" ht="15" hidden="1" x14ac:dyDescent="0.25">
      <c r="A237" s="511" t="s">
        <v>192</v>
      </c>
      <c r="B237" s="511" t="s">
        <v>362</v>
      </c>
    </row>
    <row r="238" spans="1:2" ht="15" hidden="1" x14ac:dyDescent="0.25">
      <c r="A238" s="511" t="s">
        <v>192</v>
      </c>
      <c r="B238" s="511" t="s">
        <v>362</v>
      </c>
    </row>
    <row r="239" spans="1:2" ht="15" hidden="1" x14ac:dyDescent="0.25">
      <c r="A239" s="511" t="s">
        <v>192</v>
      </c>
      <c r="B239" s="511" t="s">
        <v>362</v>
      </c>
    </row>
    <row r="240" spans="1:2" ht="15" hidden="1" x14ac:dyDescent="0.25">
      <c r="A240" s="511" t="s">
        <v>192</v>
      </c>
      <c r="B240" s="511" t="s">
        <v>362</v>
      </c>
    </row>
    <row r="241" spans="1:2" ht="15" hidden="1" x14ac:dyDescent="0.25">
      <c r="A241" s="511" t="s">
        <v>445</v>
      </c>
      <c r="B241" s="511" t="s">
        <v>446</v>
      </c>
    </row>
    <row r="242" spans="1:2" ht="15" hidden="1" x14ac:dyDescent="0.25">
      <c r="A242" s="512" t="s">
        <v>445</v>
      </c>
      <c r="B242" s="511" t="s">
        <v>446</v>
      </c>
    </row>
    <row r="243" spans="1:2" ht="15" hidden="1" x14ac:dyDescent="0.25">
      <c r="A243" s="511" t="s">
        <v>447</v>
      </c>
      <c r="B243" s="511" t="s">
        <v>448</v>
      </c>
    </row>
    <row r="244" spans="1:2" ht="15" hidden="1" x14ac:dyDescent="0.25">
      <c r="A244" s="511" t="s">
        <v>447</v>
      </c>
      <c r="B244" s="511" t="s">
        <v>448</v>
      </c>
    </row>
    <row r="245" spans="1:2" ht="15" hidden="1" x14ac:dyDescent="0.25">
      <c r="A245" s="511" t="s">
        <v>447</v>
      </c>
      <c r="B245" s="511" t="s">
        <v>448</v>
      </c>
    </row>
    <row r="246" spans="1:2" ht="15" hidden="1" x14ac:dyDescent="0.25">
      <c r="A246" s="511" t="s">
        <v>449</v>
      </c>
      <c r="B246" s="511" t="s">
        <v>450</v>
      </c>
    </row>
    <row r="247" spans="1:2" ht="15" hidden="1" x14ac:dyDescent="0.25">
      <c r="A247" s="511" t="s">
        <v>449</v>
      </c>
      <c r="B247" s="511" t="s">
        <v>450</v>
      </c>
    </row>
    <row r="248" spans="1:2" ht="15" hidden="1" x14ac:dyDescent="0.25">
      <c r="A248" s="511" t="s">
        <v>193</v>
      </c>
      <c r="B248" s="511" t="s">
        <v>363</v>
      </c>
    </row>
    <row r="249" spans="1:2" ht="15" hidden="1" x14ac:dyDescent="0.25">
      <c r="A249" s="511" t="s">
        <v>193</v>
      </c>
      <c r="B249" s="511" t="s">
        <v>363</v>
      </c>
    </row>
    <row r="250" spans="1:2" ht="15" hidden="1" x14ac:dyDescent="0.25">
      <c r="A250" s="511" t="s">
        <v>193</v>
      </c>
      <c r="B250" s="511" t="s">
        <v>363</v>
      </c>
    </row>
    <row r="251" spans="1:2" ht="15" hidden="1" x14ac:dyDescent="0.25">
      <c r="A251" s="511" t="s">
        <v>193</v>
      </c>
      <c r="B251" s="511" t="s">
        <v>363</v>
      </c>
    </row>
    <row r="252" spans="1:2" ht="15" hidden="1" x14ac:dyDescent="0.25">
      <c r="A252" s="511" t="s">
        <v>193</v>
      </c>
      <c r="B252" s="511" t="s">
        <v>363</v>
      </c>
    </row>
    <row r="253" spans="1:2" ht="15" hidden="1" x14ac:dyDescent="0.25">
      <c r="A253" s="511" t="s">
        <v>193</v>
      </c>
      <c r="B253" s="511" t="s">
        <v>363</v>
      </c>
    </row>
    <row r="254" spans="1:2" ht="15" hidden="1" x14ac:dyDescent="0.25">
      <c r="A254" s="511" t="s">
        <v>193</v>
      </c>
      <c r="B254" s="511" t="s">
        <v>363</v>
      </c>
    </row>
    <row r="255" spans="1:2" ht="15" hidden="1" x14ac:dyDescent="0.25">
      <c r="A255" s="511" t="s">
        <v>193</v>
      </c>
      <c r="B255" s="511" t="s">
        <v>363</v>
      </c>
    </row>
    <row r="256" spans="1:2" ht="15" hidden="1" x14ac:dyDescent="0.25">
      <c r="A256" s="511" t="s">
        <v>193</v>
      </c>
      <c r="B256" s="511" t="s">
        <v>363</v>
      </c>
    </row>
    <row r="257" spans="1:2" ht="15" hidden="1" x14ac:dyDescent="0.25">
      <c r="A257" s="511" t="s">
        <v>193</v>
      </c>
      <c r="B257" s="511" t="s">
        <v>363</v>
      </c>
    </row>
    <row r="258" spans="1:2" ht="15" hidden="1" x14ac:dyDescent="0.25">
      <c r="A258" s="511" t="s">
        <v>193</v>
      </c>
      <c r="B258" s="511" t="s">
        <v>363</v>
      </c>
    </row>
    <row r="259" spans="1:2" ht="15" hidden="1" x14ac:dyDescent="0.25">
      <c r="A259" s="511" t="s">
        <v>193</v>
      </c>
      <c r="B259" s="511" t="s">
        <v>363</v>
      </c>
    </row>
    <row r="260" spans="1:2" ht="15" hidden="1" x14ac:dyDescent="0.25">
      <c r="A260" s="511" t="s">
        <v>193</v>
      </c>
      <c r="B260" s="511" t="s">
        <v>363</v>
      </c>
    </row>
    <row r="261" spans="1:2" ht="15" hidden="1" x14ac:dyDescent="0.25">
      <c r="A261" s="511" t="s">
        <v>193</v>
      </c>
      <c r="B261" s="511" t="s">
        <v>363</v>
      </c>
    </row>
    <row r="262" spans="1:2" ht="15" hidden="1" x14ac:dyDescent="0.25">
      <c r="A262" s="511" t="s">
        <v>193</v>
      </c>
      <c r="B262" s="511" t="s">
        <v>363</v>
      </c>
    </row>
    <row r="263" spans="1:2" ht="15" hidden="1" x14ac:dyDescent="0.25">
      <c r="A263" s="511" t="s">
        <v>193</v>
      </c>
      <c r="B263" s="511" t="s">
        <v>363</v>
      </c>
    </row>
    <row r="264" spans="1:2" ht="15" hidden="1" x14ac:dyDescent="0.25">
      <c r="A264" s="511" t="s">
        <v>193</v>
      </c>
      <c r="B264" s="511" t="s">
        <v>363</v>
      </c>
    </row>
    <row r="265" spans="1:2" ht="15" hidden="1" x14ac:dyDescent="0.25">
      <c r="A265" s="511" t="s">
        <v>193</v>
      </c>
      <c r="B265" s="511" t="s">
        <v>363</v>
      </c>
    </row>
    <row r="266" spans="1:2" ht="15" hidden="1" x14ac:dyDescent="0.25">
      <c r="A266" s="511" t="s">
        <v>193</v>
      </c>
      <c r="B266" s="511" t="s">
        <v>363</v>
      </c>
    </row>
    <row r="267" spans="1:2" ht="15" hidden="1" x14ac:dyDescent="0.25">
      <c r="A267" s="511" t="s">
        <v>193</v>
      </c>
      <c r="B267" s="511" t="s">
        <v>363</v>
      </c>
    </row>
    <row r="268" spans="1:2" ht="15" hidden="1" x14ac:dyDescent="0.25">
      <c r="A268" s="511" t="s">
        <v>193</v>
      </c>
      <c r="B268" s="511" t="s">
        <v>363</v>
      </c>
    </row>
    <row r="269" spans="1:2" ht="15" hidden="1" x14ac:dyDescent="0.25">
      <c r="A269" s="511" t="s">
        <v>193</v>
      </c>
      <c r="B269" s="511" t="s">
        <v>363</v>
      </c>
    </row>
    <row r="270" spans="1:2" ht="15" hidden="1" x14ac:dyDescent="0.25">
      <c r="A270" s="511" t="s">
        <v>193</v>
      </c>
      <c r="B270" s="511" t="s">
        <v>363</v>
      </c>
    </row>
    <row r="271" spans="1:2" ht="15" hidden="1" x14ac:dyDescent="0.25">
      <c r="A271" s="511" t="s">
        <v>193</v>
      </c>
      <c r="B271" s="511" t="s">
        <v>363</v>
      </c>
    </row>
    <row r="272" spans="1:2" ht="15" hidden="1" x14ac:dyDescent="0.25">
      <c r="A272" s="511" t="s">
        <v>193</v>
      </c>
      <c r="B272" s="511" t="s">
        <v>363</v>
      </c>
    </row>
    <row r="273" spans="1:2" ht="15" hidden="1" x14ac:dyDescent="0.25">
      <c r="A273" s="511" t="s">
        <v>193</v>
      </c>
      <c r="B273" s="511" t="s">
        <v>363</v>
      </c>
    </row>
    <row r="274" spans="1:2" ht="15" hidden="1" x14ac:dyDescent="0.25">
      <c r="A274" s="511" t="s">
        <v>193</v>
      </c>
      <c r="B274" s="511" t="s">
        <v>363</v>
      </c>
    </row>
    <row r="275" spans="1:2" ht="15" hidden="1" x14ac:dyDescent="0.25">
      <c r="A275" s="511" t="s">
        <v>193</v>
      </c>
      <c r="B275" s="511" t="s">
        <v>363</v>
      </c>
    </row>
    <row r="276" spans="1:2" ht="15" hidden="1" x14ac:dyDescent="0.25">
      <c r="A276" s="511" t="s">
        <v>193</v>
      </c>
      <c r="B276" s="511" t="s">
        <v>363</v>
      </c>
    </row>
    <row r="277" spans="1:2" ht="15" hidden="1" x14ac:dyDescent="0.25">
      <c r="A277" s="511" t="s">
        <v>193</v>
      </c>
      <c r="B277" s="511" t="s">
        <v>363</v>
      </c>
    </row>
    <row r="278" spans="1:2" ht="15" hidden="1" x14ac:dyDescent="0.25">
      <c r="A278" s="511" t="s">
        <v>193</v>
      </c>
      <c r="B278" s="511" t="s">
        <v>363</v>
      </c>
    </row>
    <row r="279" spans="1:2" ht="15" hidden="1" x14ac:dyDescent="0.25">
      <c r="A279" s="511" t="s">
        <v>193</v>
      </c>
      <c r="B279" s="511" t="s">
        <v>363</v>
      </c>
    </row>
    <row r="280" spans="1:2" ht="15" hidden="1" x14ac:dyDescent="0.25">
      <c r="A280" s="511" t="s">
        <v>193</v>
      </c>
      <c r="B280" s="511" t="s">
        <v>363</v>
      </c>
    </row>
    <row r="281" spans="1:2" ht="15" hidden="1" x14ac:dyDescent="0.25">
      <c r="A281" s="511" t="s">
        <v>193</v>
      </c>
      <c r="B281" s="511" t="s">
        <v>363</v>
      </c>
    </row>
    <row r="282" spans="1:2" ht="15" hidden="1" x14ac:dyDescent="0.25">
      <c r="A282" s="511" t="s">
        <v>193</v>
      </c>
      <c r="B282" s="511" t="s">
        <v>363</v>
      </c>
    </row>
    <row r="283" spans="1:2" ht="15" hidden="1" x14ac:dyDescent="0.25">
      <c r="A283" s="511" t="s">
        <v>193</v>
      </c>
      <c r="B283" s="511" t="s">
        <v>363</v>
      </c>
    </row>
    <row r="284" spans="1:2" ht="15" hidden="1" x14ac:dyDescent="0.25">
      <c r="A284" s="511" t="s">
        <v>193</v>
      </c>
      <c r="B284" s="511" t="s">
        <v>363</v>
      </c>
    </row>
    <row r="285" spans="1:2" ht="15" hidden="1" x14ac:dyDescent="0.25">
      <c r="A285" s="511" t="s">
        <v>193</v>
      </c>
      <c r="B285" s="511" t="s">
        <v>363</v>
      </c>
    </row>
    <row r="286" spans="1:2" ht="15" hidden="1" x14ac:dyDescent="0.25">
      <c r="A286" s="511" t="s">
        <v>193</v>
      </c>
      <c r="B286" s="511" t="s">
        <v>363</v>
      </c>
    </row>
    <row r="287" spans="1:2" ht="15" hidden="1" x14ac:dyDescent="0.25">
      <c r="A287" s="511" t="s">
        <v>193</v>
      </c>
      <c r="B287" s="511" t="s">
        <v>363</v>
      </c>
    </row>
    <row r="288" spans="1:2" ht="15" hidden="1" x14ac:dyDescent="0.25">
      <c r="A288" s="511" t="s">
        <v>193</v>
      </c>
      <c r="B288" s="511" t="s">
        <v>363</v>
      </c>
    </row>
    <row r="289" spans="1:2" ht="15" hidden="1" x14ac:dyDescent="0.25">
      <c r="A289" s="511" t="s">
        <v>193</v>
      </c>
      <c r="B289" s="511" t="s">
        <v>363</v>
      </c>
    </row>
    <row r="290" spans="1:2" ht="15" hidden="1" x14ac:dyDescent="0.25">
      <c r="A290" s="511" t="s">
        <v>193</v>
      </c>
      <c r="B290" s="511" t="s">
        <v>363</v>
      </c>
    </row>
    <row r="291" spans="1:2" ht="15" hidden="1" x14ac:dyDescent="0.25">
      <c r="A291" s="511" t="s">
        <v>193</v>
      </c>
      <c r="B291" s="511" t="s">
        <v>363</v>
      </c>
    </row>
    <row r="292" spans="1:2" ht="15" hidden="1" x14ac:dyDescent="0.25">
      <c r="A292" s="511" t="s">
        <v>193</v>
      </c>
      <c r="B292" s="511" t="s">
        <v>363</v>
      </c>
    </row>
    <row r="293" spans="1:2" ht="15" hidden="1" x14ac:dyDescent="0.25">
      <c r="A293" s="511" t="s">
        <v>193</v>
      </c>
      <c r="B293" s="511" t="s">
        <v>363</v>
      </c>
    </row>
    <row r="294" spans="1:2" ht="15" hidden="1" x14ac:dyDescent="0.25">
      <c r="A294" s="511" t="s">
        <v>193</v>
      </c>
      <c r="B294" s="511" t="s">
        <v>363</v>
      </c>
    </row>
    <row r="295" spans="1:2" ht="15" hidden="1" x14ac:dyDescent="0.25">
      <c r="A295" s="511" t="s">
        <v>193</v>
      </c>
      <c r="B295" s="511" t="s">
        <v>363</v>
      </c>
    </row>
    <row r="296" spans="1:2" ht="15" hidden="1" x14ac:dyDescent="0.25">
      <c r="A296" s="511" t="s">
        <v>193</v>
      </c>
      <c r="B296" s="511" t="s">
        <v>363</v>
      </c>
    </row>
    <row r="297" spans="1:2" ht="15" hidden="1" x14ac:dyDescent="0.25">
      <c r="A297" s="511" t="s">
        <v>193</v>
      </c>
      <c r="B297" s="511" t="s">
        <v>363</v>
      </c>
    </row>
    <row r="298" spans="1:2" ht="15" hidden="1" x14ac:dyDescent="0.25">
      <c r="A298" s="511" t="s">
        <v>193</v>
      </c>
      <c r="B298" s="511" t="s">
        <v>363</v>
      </c>
    </row>
    <row r="299" spans="1:2" ht="15" hidden="1" x14ac:dyDescent="0.25">
      <c r="A299" s="511" t="s">
        <v>193</v>
      </c>
      <c r="B299" s="511" t="s">
        <v>363</v>
      </c>
    </row>
    <row r="300" spans="1:2" ht="15" hidden="1" x14ac:dyDescent="0.25">
      <c r="A300" s="511" t="s">
        <v>193</v>
      </c>
      <c r="B300" s="511" t="s">
        <v>363</v>
      </c>
    </row>
    <row r="301" spans="1:2" ht="15" hidden="1" x14ac:dyDescent="0.25">
      <c r="A301" s="511" t="s">
        <v>193</v>
      </c>
      <c r="B301" s="511" t="s">
        <v>363</v>
      </c>
    </row>
    <row r="302" spans="1:2" ht="15" hidden="1" x14ac:dyDescent="0.25">
      <c r="A302" s="511" t="s">
        <v>193</v>
      </c>
      <c r="B302" s="511" t="s">
        <v>363</v>
      </c>
    </row>
    <row r="303" spans="1:2" ht="15" hidden="1" x14ac:dyDescent="0.25">
      <c r="A303" s="511" t="s">
        <v>193</v>
      </c>
      <c r="B303" s="511" t="s">
        <v>363</v>
      </c>
    </row>
    <row r="304" spans="1:2" ht="15" hidden="1" x14ac:dyDescent="0.25">
      <c r="A304" s="511" t="s">
        <v>193</v>
      </c>
      <c r="B304" s="511" t="s">
        <v>363</v>
      </c>
    </row>
    <row r="305" spans="1:2" ht="15" hidden="1" x14ac:dyDescent="0.25">
      <c r="A305" s="511" t="s">
        <v>193</v>
      </c>
      <c r="B305" s="511" t="s">
        <v>363</v>
      </c>
    </row>
    <row r="306" spans="1:2" ht="15" hidden="1" x14ac:dyDescent="0.25">
      <c r="A306" s="511" t="s">
        <v>193</v>
      </c>
      <c r="B306" s="511" t="s">
        <v>363</v>
      </c>
    </row>
    <row r="307" spans="1:2" ht="15" hidden="1" x14ac:dyDescent="0.25">
      <c r="A307" s="511" t="s">
        <v>193</v>
      </c>
      <c r="B307" s="511" t="s">
        <v>363</v>
      </c>
    </row>
    <row r="308" spans="1:2" ht="15" hidden="1" x14ac:dyDescent="0.25">
      <c r="A308" s="511" t="s">
        <v>193</v>
      </c>
      <c r="B308" s="511" t="s">
        <v>363</v>
      </c>
    </row>
    <row r="309" spans="1:2" ht="15" hidden="1" x14ac:dyDescent="0.25">
      <c r="A309" s="511" t="s">
        <v>194</v>
      </c>
      <c r="B309" s="511" t="s">
        <v>365</v>
      </c>
    </row>
    <row r="310" spans="1:2" ht="15" hidden="1" x14ac:dyDescent="0.25">
      <c r="A310" s="511" t="s">
        <v>194</v>
      </c>
      <c r="B310" s="511" t="s">
        <v>365</v>
      </c>
    </row>
    <row r="311" spans="1:2" ht="15" hidden="1" x14ac:dyDescent="0.25">
      <c r="A311" s="511" t="s">
        <v>194</v>
      </c>
      <c r="B311" s="511" t="s">
        <v>365</v>
      </c>
    </row>
    <row r="312" spans="1:2" ht="15" hidden="1" x14ac:dyDescent="0.25">
      <c r="A312" s="511" t="s">
        <v>194</v>
      </c>
      <c r="B312" s="511" t="s">
        <v>365</v>
      </c>
    </row>
    <row r="313" spans="1:2" ht="15" hidden="1" x14ac:dyDescent="0.25">
      <c r="A313" s="511" t="s">
        <v>194</v>
      </c>
      <c r="B313" s="511" t="s">
        <v>365</v>
      </c>
    </row>
    <row r="314" spans="1:2" ht="15" hidden="1" x14ac:dyDescent="0.25">
      <c r="A314" s="511" t="s">
        <v>194</v>
      </c>
      <c r="B314" s="511" t="s">
        <v>365</v>
      </c>
    </row>
    <row r="315" spans="1:2" ht="15" hidden="1" x14ac:dyDescent="0.25">
      <c r="A315" s="511" t="s">
        <v>194</v>
      </c>
      <c r="B315" s="511" t="s">
        <v>365</v>
      </c>
    </row>
    <row r="316" spans="1:2" ht="15" hidden="1" x14ac:dyDescent="0.25">
      <c r="A316" s="511" t="s">
        <v>194</v>
      </c>
      <c r="B316" s="511" t="s">
        <v>365</v>
      </c>
    </row>
    <row r="317" spans="1:2" ht="15" hidden="1" x14ac:dyDescent="0.25">
      <c r="A317" s="511" t="s">
        <v>194</v>
      </c>
      <c r="B317" s="511" t="s">
        <v>365</v>
      </c>
    </row>
    <row r="318" spans="1:2" ht="15" hidden="1" x14ac:dyDescent="0.25">
      <c r="A318" s="511" t="s">
        <v>194</v>
      </c>
      <c r="B318" s="511" t="s">
        <v>365</v>
      </c>
    </row>
    <row r="319" spans="1:2" ht="15" hidden="1" x14ac:dyDescent="0.25">
      <c r="A319" s="511" t="s">
        <v>194</v>
      </c>
      <c r="B319" s="511" t="s">
        <v>365</v>
      </c>
    </row>
    <row r="320" spans="1:2" ht="15" hidden="1" x14ac:dyDescent="0.25">
      <c r="A320" s="511" t="s">
        <v>194</v>
      </c>
      <c r="B320" s="511" t="s">
        <v>365</v>
      </c>
    </row>
    <row r="321" spans="1:2" ht="15" hidden="1" x14ac:dyDescent="0.25">
      <c r="A321" s="511" t="s">
        <v>195</v>
      </c>
      <c r="B321" s="511" t="s">
        <v>367</v>
      </c>
    </row>
    <row r="322" spans="1:2" ht="15" hidden="1" x14ac:dyDescent="0.25">
      <c r="A322" s="511" t="s">
        <v>195</v>
      </c>
      <c r="B322" s="511" t="s">
        <v>367</v>
      </c>
    </row>
    <row r="323" spans="1:2" ht="15" hidden="1" x14ac:dyDescent="0.25">
      <c r="A323" s="511" t="s">
        <v>195</v>
      </c>
      <c r="B323" s="511" t="s">
        <v>367</v>
      </c>
    </row>
    <row r="324" spans="1:2" ht="15" hidden="1" x14ac:dyDescent="0.25">
      <c r="A324" s="511" t="s">
        <v>195</v>
      </c>
      <c r="B324" s="511" t="s">
        <v>367</v>
      </c>
    </row>
    <row r="325" spans="1:2" ht="15" hidden="1" x14ac:dyDescent="0.25">
      <c r="A325" s="511" t="s">
        <v>195</v>
      </c>
      <c r="B325" s="511" t="s">
        <v>367</v>
      </c>
    </row>
    <row r="326" spans="1:2" ht="15" hidden="1" x14ac:dyDescent="0.25">
      <c r="A326" s="511" t="s">
        <v>196</v>
      </c>
      <c r="B326" s="511" t="s">
        <v>368</v>
      </c>
    </row>
    <row r="327" spans="1:2" ht="15" hidden="1" x14ac:dyDescent="0.25">
      <c r="A327" s="511" t="s">
        <v>197</v>
      </c>
      <c r="B327" s="511" t="s">
        <v>369</v>
      </c>
    </row>
    <row r="328" spans="1:2" ht="15" hidden="1" x14ac:dyDescent="0.25">
      <c r="A328" s="511" t="s">
        <v>197</v>
      </c>
      <c r="B328" s="511" t="s">
        <v>369</v>
      </c>
    </row>
    <row r="329" spans="1:2" ht="15" hidden="1" x14ac:dyDescent="0.25">
      <c r="A329" s="511" t="s">
        <v>451</v>
      </c>
      <c r="B329" s="511" t="s">
        <v>452</v>
      </c>
    </row>
    <row r="330" spans="1:2" ht="15" hidden="1" x14ac:dyDescent="0.25">
      <c r="A330" s="512" t="s">
        <v>451</v>
      </c>
      <c r="B330" s="511" t="s">
        <v>452</v>
      </c>
    </row>
    <row r="331" spans="1:2" ht="15" hidden="1" x14ac:dyDescent="0.25">
      <c r="A331" s="511" t="s">
        <v>451</v>
      </c>
      <c r="B331" s="511" t="s">
        <v>452</v>
      </c>
    </row>
    <row r="332" spans="1:2" ht="15" hidden="1" x14ac:dyDescent="0.25">
      <c r="A332" s="511" t="s">
        <v>198</v>
      </c>
      <c r="B332" s="511" t="s">
        <v>371</v>
      </c>
    </row>
    <row r="333" spans="1:2" ht="15" hidden="1" x14ac:dyDescent="0.25">
      <c r="A333" s="511" t="s">
        <v>198</v>
      </c>
      <c r="B333" s="511" t="s">
        <v>371</v>
      </c>
    </row>
    <row r="334" spans="1:2" ht="15" hidden="1" x14ac:dyDescent="0.25">
      <c r="A334" s="511" t="s">
        <v>198</v>
      </c>
      <c r="B334" s="511" t="s">
        <v>371</v>
      </c>
    </row>
    <row r="335" spans="1:2" ht="15" hidden="1" x14ac:dyDescent="0.25">
      <c r="A335" s="511" t="s">
        <v>199</v>
      </c>
      <c r="B335" s="511" t="s">
        <v>372</v>
      </c>
    </row>
    <row r="336" spans="1:2" ht="15" hidden="1" x14ac:dyDescent="0.25">
      <c r="A336" s="511" t="s">
        <v>199</v>
      </c>
      <c r="B336" s="511" t="s">
        <v>372</v>
      </c>
    </row>
    <row r="337" spans="1:2" ht="15" hidden="1" x14ac:dyDescent="0.25">
      <c r="A337" s="511" t="s">
        <v>200</v>
      </c>
      <c r="B337" s="511" t="s">
        <v>373</v>
      </c>
    </row>
    <row r="338" spans="1:2" ht="15" hidden="1" x14ac:dyDescent="0.25">
      <c r="A338" s="511" t="s">
        <v>200</v>
      </c>
      <c r="B338" s="511" t="s">
        <v>373</v>
      </c>
    </row>
    <row r="339" spans="1:2" ht="15" hidden="1" x14ac:dyDescent="0.25">
      <c r="A339" s="511" t="s">
        <v>200</v>
      </c>
      <c r="B339" s="511" t="s">
        <v>373</v>
      </c>
    </row>
    <row r="340" spans="1:2" ht="15" hidden="1" x14ac:dyDescent="0.25">
      <c r="A340" s="511" t="s">
        <v>453</v>
      </c>
      <c r="B340" s="511" t="s">
        <v>453</v>
      </c>
    </row>
    <row r="341" spans="1:2" ht="15" hidden="1" x14ac:dyDescent="0.25">
      <c r="A341" s="511" t="s">
        <v>454</v>
      </c>
      <c r="B341" s="511" t="s">
        <v>454</v>
      </c>
    </row>
    <row r="342" spans="1:2" ht="15" hidden="1" x14ac:dyDescent="0.25">
      <c r="A342" s="511" t="s">
        <v>455</v>
      </c>
      <c r="B342" s="511" t="s">
        <v>455</v>
      </c>
    </row>
    <row r="343" spans="1:2" ht="15" hidden="1" x14ac:dyDescent="0.25">
      <c r="A343" s="511" t="s">
        <v>456</v>
      </c>
      <c r="B343" s="511" t="s">
        <v>456</v>
      </c>
    </row>
    <row r="344" spans="1:2" ht="15" hidden="1" x14ac:dyDescent="0.25">
      <c r="A344" s="511" t="s">
        <v>457</v>
      </c>
      <c r="B344" s="511" t="s">
        <v>457</v>
      </c>
    </row>
    <row r="345" spans="1:2" ht="15" hidden="1" x14ac:dyDescent="0.25">
      <c r="A345" s="511" t="s">
        <v>458</v>
      </c>
      <c r="B345" s="511" t="s">
        <v>458</v>
      </c>
    </row>
    <row r="346" spans="1:2" ht="15" hidden="1" x14ac:dyDescent="0.25">
      <c r="A346" s="511" t="s">
        <v>459</v>
      </c>
      <c r="B346" s="511" t="s">
        <v>459</v>
      </c>
    </row>
    <row r="347" spans="1:2" ht="15" hidden="1" x14ac:dyDescent="0.25">
      <c r="A347" s="511" t="s">
        <v>460</v>
      </c>
      <c r="B347" s="511" t="s">
        <v>460</v>
      </c>
    </row>
    <row r="348" spans="1:2" ht="15" hidden="1" x14ac:dyDescent="0.25">
      <c r="A348" s="511" t="s">
        <v>461</v>
      </c>
      <c r="B348" s="511" t="s">
        <v>461</v>
      </c>
    </row>
    <row r="349" spans="1:2" ht="15" hidden="1" x14ac:dyDescent="0.25">
      <c r="A349" s="511" t="s">
        <v>462</v>
      </c>
      <c r="B349" s="511" t="s">
        <v>462</v>
      </c>
    </row>
    <row r="350" spans="1:2" ht="15" hidden="1" x14ac:dyDescent="0.25">
      <c r="A350" s="511" t="s">
        <v>463</v>
      </c>
      <c r="B350" s="511" t="s">
        <v>463</v>
      </c>
    </row>
    <row r="351" spans="1:2" ht="15" hidden="1" x14ac:dyDescent="0.25">
      <c r="A351" s="511" t="s">
        <v>464</v>
      </c>
      <c r="B351" s="511" t="s">
        <v>464</v>
      </c>
    </row>
    <row r="352" spans="1:2" ht="15" hidden="1" x14ac:dyDescent="0.25">
      <c r="A352" s="511" t="s">
        <v>465</v>
      </c>
      <c r="B352" s="511" t="s">
        <v>465</v>
      </c>
    </row>
    <row r="353" spans="1:2" ht="15" hidden="1" x14ac:dyDescent="0.25">
      <c r="A353" s="511" t="s">
        <v>466</v>
      </c>
      <c r="B353" s="511" t="s">
        <v>466</v>
      </c>
    </row>
    <row r="354" spans="1:2" ht="15" hidden="1" x14ac:dyDescent="0.25">
      <c r="A354" s="511" t="s">
        <v>467</v>
      </c>
      <c r="B354" s="511" t="s">
        <v>467</v>
      </c>
    </row>
    <row r="355" spans="1:2" ht="15" hidden="1" x14ac:dyDescent="0.25">
      <c r="A355" s="511" t="s">
        <v>468</v>
      </c>
      <c r="B355" s="511" t="s">
        <v>468</v>
      </c>
    </row>
    <row r="356" spans="1:2" ht="15" hidden="1" x14ac:dyDescent="0.25">
      <c r="A356" s="511" t="s">
        <v>469</v>
      </c>
      <c r="B356" s="511" t="s">
        <v>469</v>
      </c>
    </row>
    <row r="357" spans="1:2" ht="15" hidden="1" x14ac:dyDescent="0.25">
      <c r="A357" s="511" t="s">
        <v>469</v>
      </c>
      <c r="B357" s="511" t="s">
        <v>469</v>
      </c>
    </row>
    <row r="358" spans="1:2" ht="15" hidden="1" x14ac:dyDescent="0.25">
      <c r="A358" s="511" t="s">
        <v>470</v>
      </c>
      <c r="B358" s="511" t="s">
        <v>470</v>
      </c>
    </row>
    <row r="359" spans="1:2" ht="15" hidden="1" x14ac:dyDescent="0.25">
      <c r="A359" s="511" t="s">
        <v>471</v>
      </c>
      <c r="B359" s="511" t="s">
        <v>471</v>
      </c>
    </row>
    <row r="360" spans="1:2" ht="15" hidden="1" x14ac:dyDescent="0.25">
      <c r="A360" s="511" t="s">
        <v>472</v>
      </c>
      <c r="B360" s="511" t="s">
        <v>472</v>
      </c>
    </row>
    <row r="361" spans="1:2" ht="15" hidden="1" x14ac:dyDescent="0.25">
      <c r="A361" s="511" t="s">
        <v>473</v>
      </c>
      <c r="B361" s="511" t="s">
        <v>473</v>
      </c>
    </row>
    <row r="362" spans="1:2" ht="15" hidden="1" x14ac:dyDescent="0.25">
      <c r="A362" s="511" t="s">
        <v>473</v>
      </c>
      <c r="B362" s="511" t="s">
        <v>473</v>
      </c>
    </row>
    <row r="363" spans="1:2" ht="15" hidden="1" x14ac:dyDescent="0.25">
      <c r="A363" s="511" t="s">
        <v>474</v>
      </c>
      <c r="B363" s="511" t="s">
        <v>474</v>
      </c>
    </row>
    <row r="364" spans="1:2" ht="15" hidden="1" x14ac:dyDescent="0.25">
      <c r="A364" s="511" t="s">
        <v>475</v>
      </c>
      <c r="B364" s="511" t="s">
        <v>475</v>
      </c>
    </row>
    <row r="365" spans="1:2" ht="15" hidden="1" x14ac:dyDescent="0.25">
      <c r="A365" s="511" t="s">
        <v>476</v>
      </c>
      <c r="B365" s="511" t="s">
        <v>476</v>
      </c>
    </row>
    <row r="366" spans="1:2" ht="15" hidden="1" x14ac:dyDescent="0.25">
      <c r="A366" s="511" t="s">
        <v>476</v>
      </c>
      <c r="B366" s="511" t="s">
        <v>476</v>
      </c>
    </row>
    <row r="367" spans="1:2" ht="15" hidden="1" x14ac:dyDescent="0.25">
      <c r="A367" s="511" t="s">
        <v>336</v>
      </c>
      <c r="B367" s="511" t="s">
        <v>336</v>
      </c>
    </row>
    <row r="368" spans="1:2" ht="15" hidden="1" x14ac:dyDescent="0.25">
      <c r="A368" s="511" t="s">
        <v>477</v>
      </c>
      <c r="B368" s="511" t="s">
        <v>477</v>
      </c>
    </row>
    <row r="369" spans="1:2" ht="15" hidden="1" x14ac:dyDescent="0.25">
      <c r="A369" s="511" t="s">
        <v>478</v>
      </c>
      <c r="B369" s="511" t="s">
        <v>478</v>
      </c>
    </row>
    <row r="370" spans="1:2" ht="15" hidden="1" x14ac:dyDescent="0.25">
      <c r="A370" s="511" t="s">
        <v>479</v>
      </c>
      <c r="B370" s="511" t="s">
        <v>479</v>
      </c>
    </row>
    <row r="371" spans="1:2" ht="15" hidden="1" x14ac:dyDescent="0.25">
      <c r="A371" s="511" t="s">
        <v>480</v>
      </c>
      <c r="B371" s="511" t="s">
        <v>480</v>
      </c>
    </row>
    <row r="372" spans="1:2" ht="15" hidden="1" x14ac:dyDescent="0.25">
      <c r="A372" s="511" t="s">
        <v>481</v>
      </c>
      <c r="B372" s="511" t="s">
        <v>481</v>
      </c>
    </row>
    <row r="373" spans="1:2" ht="15" hidden="1" x14ac:dyDescent="0.25">
      <c r="A373" s="511" t="s">
        <v>482</v>
      </c>
      <c r="B373" s="511" t="s">
        <v>482</v>
      </c>
    </row>
    <row r="374" spans="1:2" ht="15" hidden="1" x14ac:dyDescent="0.25">
      <c r="A374" s="511" t="s">
        <v>483</v>
      </c>
      <c r="B374" s="511" t="s">
        <v>483</v>
      </c>
    </row>
    <row r="375" spans="1:2" ht="15" hidden="1" x14ac:dyDescent="0.25">
      <c r="A375" s="511" t="s">
        <v>484</v>
      </c>
      <c r="B375" s="511" t="s">
        <v>484</v>
      </c>
    </row>
    <row r="376" spans="1:2" ht="15" hidden="1" x14ac:dyDescent="0.25">
      <c r="A376" s="511" t="s">
        <v>485</v>
      </c>
      <c r="B376" s="511" t="s">
        <v>485</v>
      </c>
    </row>
    <row r="377" spans="1:2" ht="15" hidden="1" x14ac:dyDescent="0.25">
      <c r="A377" s="511" t="s">
        <v>486</v>
      </c>
      <c r="B377" s="511" t="s">
        <v>486</v>
      </c>
    </row>
    <row r="378" spans="1:2" ht="15" hidden="1" x14ac:dyDescent="0.25">
      <c r="A378" s="511" t="s">
        <v>487</v>
      </c>
      <c r="B378" s="511" t="s">
        <v>487</v>
      </c>
    </row>
    <row r="379" spans="1:2" ht="15" hidden="1" x14ac:dyDescent="0.25">
      <c r="A379" s="511" t="s">
        <v>488</v>
      </c>
      <c r="B379" s="511" t="s">
        <v>488</v>
      </c>
    </row>
    <row r="380" spans="1:2" ht="15" hidden="1" x14ac:dyDescent="0.25">
      <c r="A380" s="511" t="s">
        <v>489</v>
      </c>
      <c r="B380" s="511" t="s">
        <v>489</v>
      </c>
    </row>
    <row r="381" spans="1:2" ht="15" hidden="1" x14ac:dyDescent="0.25">
      <c r="A381" s="511" t="s">
        <v>490</v>
      </c>
      <c r="B381" s="511" t="s">
        <v>490</v>
      </c>
    </row>
    <row r="382" spans="1:2" ht="15" hidden="1" x14ac:dyDescent="0.25">
      <c r="A382" s="511" t="s">
        <v>491</v>
      </c>
      <c r="B382" s="511" t="s">
        <v>491</v>
      </c>
    </row>
    <row r="383" spans="1:2" ht="15" hidden="1" x14ac:dyDescent="0.25">
      <c r="A383" s="511" t="s">
        <v>492</v>
      </c>
      <c r="B383" s="511" t="s">
        <v>492</v>
      </c>
    </row>
    <row r="384" spans="1:2" ht="15" hidden="1" x14ac:dyDescent="0.25">
      <c r="A384" s="511" t="s">
        <v>493</v>
      </c>
      <c r="B384" s="511" t="s">
        <v>493</v>
      </c>
    </row>
    <row r="385" spans="1:2" ht="15" hidden="1" x14ac:dyDescent="0.25">
      <c r="A385" s="511" t="s">
        <v>493</v>
      </c>
      <c r="B385" s="511" t="s">
        <v>493</v>
      </c>
    </row>
    <row r="386" spans="1:2" ht="15" hidden="1" x14ac:dyDescent="0.25">
      <c r="A386" s="511" t="s">
        <v>494</v>
      </c>
      <c r="B386" s="511" t="s">
        <v>494</v>
      </c>
    </row>
    <row r="387" spans="1:2" ht="15" hidden="1" x14ac:dyDescent="0.25">
      <c r="A387" s="511" t="s">
        <v>495</v>
      </c>
      <c r="B387" s="511" t="s">
        <v>495</v>
      </c>
    </row>
    <row r="388" spans="1:2" ht="15" hidden="1" x14ac:dyDescent="0.25">
      <c r="A388" s="511" t="s">
        <v>496</v>
      </c>
      <c r="B388" s="511" t="s">
        <v>496</v>
      </c>
    </row>
    <row r="389" spans="1:2" ht="15" hidden="1" x14ac:dyDescent="0.25">
      <c r="A389" s="511" t="s">
        <v>496</v>
      </c>
      <c r="B389" s="511" t="s">
        <v>496</v>
      </c>
    </row>
    <row r="390" spans="1:2" ht="15" hidden="1" x14ac:dyDescent="0.25">
      <c r="A390" s="511" t="s">
        <v>497</v>
      </c>
      <c r="B390" s="511" t="s">
        <v>497</v>
      </c>
    </row>
    <row r="391" spans="1:2" ht="15" hidden="1" x14ac:dyDescent="0.25">
      <c r="A391" s="511" t="s">
        <v>498</v>
      </c>
      <c r="B391" s="511" t="s">
        <v>498</v>
      </c>
    </row>
    <row r="392" spans="1:2" ht="15" hidden="1" x14ac:dyDescent="0.25">
      <c r="A392" s="511" t="s">
        <v>498</v>
      </c>
      <c r="B392" s="511" t="s">
        <v>498</v>
      </c>
    </row>
    <row r="393" spans="1:2" ht="15" hidden="1" x14ac:dyDescent="0.25">
      <c r="A393" s="511" t="s">
        <v>499</v>
      </c>
      <c r="B393" s="511" t="s">
        <v>499</v>
      </c>
    </row>
    <row r="394" spans="1:2" ht="15" hidden="1" x14ac:dyDescent="0.25">
      <c r="A394" s="511" t="s">
        <v>500</v>
      </c>
      <c r="B394" s="511" t="s">
        <v>500</v>
      </c>
    </row>
    <row r="395" spans="1:2" ht="15" hidden="1" x14ac:dyDescent="0.25">
      <c r="A395" s="511" t="s">
        <v>501</v>
      </c>
      <c r="B395" s="511" t="s">
        <v>501</v>
      </c>
    </row>
    <row r="396" spans="1:2" ht="15" hidden="1" x14ac:dyDescent="0.25">
      <c r="A396" s="511" t="s">
        <v>502</v>
      </c>
      <c r="B396" s="511" t="s">
        <v>502</v>
      </c>
    </row>
    <row r="397" spans="1:2" ht="15" hidden="1" x14ac:dyDescent="0.25">
      <c r="A397" s="511" t="s">
        <v>502</v>
      </c>
      <c r="B397" s="511" t="s">
        <v>502</v>
      </c>
    </row>
    <row r="398" spans="1:2" ht="15" hidden="1" x14ac:dyDescent="0.25">
      <c r="A398" s="511" t="s">
        <v>503</v>
      </c>
      <c r="B398" s="511" t="s">
        <v>503</v>
      </c>
    </row>
    <row r="399" spans="1:2" ht="15" hidden="1" x14ac:dyDescent="0.25">
      <c r="A399" s="511" t="s">
        <v>504</v>
      </c>
      <c r="B399" s="511" t="s">
        <v>504</v>
      </c>
    </row>
    <row r="400" spans="1:2" ht="15" hidden="1" x14ac:dyDescent="0.25">
      <c r="A400" s="511" t="s">
        <v>505</v>
      </c>
      <c r="B400" s="511" t="s">
        <v>505</v>
      </c>
    </row>
    <row r="401" spans="1:2" ht="15" hidden="1" x14ac:dyDescent="0.25">
      <c r="A401" s="511" t="s">
        <v>506</v>
      </c>
      <c r="B401" s="511" t="s">
        <v>506</v>
      </c>
    </row>
    <row r="402" spans="1:2" ht="15" hidden="1" x14ac:dyDescent="0.25">
      <c r="A402" s="511" t="s">
        <v>507</v>
      </c>
      <c r="B402" s="511" t="s">
        <v>507</v>
      </c>
    </row>
    <row r="403" spans="1:2" ht="15" hidden="1" x14ac:dyDescent="0.25">
      <c r="A403" s="511" t="s">
        <v>338</v>
      </c>
      <c r="B403" s="511" t="s">
        <v>338</v>
      </c>
    </row>
    <row r="404" spans="1:2" ht="15" hidden="1" x14ac:dyDescent="0.25">
      <c r="A404" s="511" t="s">
        <v>508</v>
      </c>
      <c r="B404" s="511" t="s">
        <v>508</v>
      </c>
    </row>
    <row r="405" spans="1:2" ht="15" hidden="1" x14ac:dyDescent="0.25">
      <c r="A405" s="511" t="s">
        <v>509</v>
      </c>
      <c r="B405" s="511" t="s">
        <v>509</v>
      </c>
    </row>
    <row r="406" spans="1:2" ht="15" hidden="1" x14ac:dyDescent="0.25">
      <c r="A406" s="511" t="s">
        <v>510</v>
      </c>
      <c r="B406" s="511" t="s">
        <v>510</v>
      </c>
    </row>
    <row r="407" spans="1:2" ht="15" hidden="1" x14ac:dyDescent="0.25">
      <c r="A407" s="511" t="s">
        <v>511</v>
      </c>
      <c r="B407" s="511" t="s">
        <v>511</v>
      </c>
    </row>
    <row r="408" spans="1:2" ht="15" hidden="1" x14ac:dyDescent="0.25">
      <c r="A408" s="511" t="s">
        <v>511</v>
      </c>
      <c r="B408" s="511" t="s">
        <v>511</v>
      </c>
    </row>
    <row r="409" spans="1:2" ht="15" hidden="1" x14ac:dyDescent="0.25">
      <c r="A409" s="511" t="s">
        <v>512</v>
      </c>
      <c r="B409" s="511" t="s">
        <v>512</v>
      </c>
    </row>
    <row r="410" spans="1:2" ht="15" hidden="1" x14ac:dyDescent="0.25">
      <c r="A410" s="511" t="s">
        <v>513</v>
      </c>
      <c r="B410" s="511" t="s">
        <v>513</v>
      </c>
    </row>
    <row r="411" spans="1:2" ht="15" hidden="1" x14ac:dyDescent="0.25">
      <c r="A411" s="511" t="s">
        <v>514</v>
      </c>
      <c r="B411" s="511" t="s">
        <v>514</v>
      </c>
    </row>
    <row r="412" spans="1:2" ht="15" hidden="1" x14ac:dyDescent="0.25">
      <c r="A412" s="511" t="s">
        <v>515</v>
      </c>
      <c r="B412" s="511" t="s">
        <v>515</v>
      </c>
    </row>
    <row r="413" spans="1:2" ht="15" hidden="1" x14ac:dyDescent="0.25">
      <c r="A413" s="511" t="s">
        <v>516</v>
      </c>
      <c r="B413" s="511" t="s">
        <v>516</v>
      </c>
    </row>
    <row r="414" spans="1:2" ht="15" hidden="1" x14ac:dyDescent="0.25">
      <c r="A414" s="511" t="s">
        <v>517</v>
      </c>
      <c r="B414" s="511" t="s">
        <v>517</v>
      </c>
    </row>
    <row r="415" spans="1:2" ht="15" hidden="1" x14ac:dyDescent="0.25">
      <c r="A415" s="511" t="s">
        <v>517</v>
      </c>
      <c r="B415" s="511" t="s">
        <v>517</v>
      </c>
    </row>
    <row r="416" spans="1:2" ht="15" hidden="1" x14ac:dyDescent="0.25">
      <c r="A416" s="511" t="s">
        <v>518</v>
      </c>
      <c r="B416" s="511" t="s">
        <v>518</v>
      </c>
    </row>
    <row r="417" spans="1:2" ht="15" hidden="1" x14ac:dyDescent="0.25">
      <c r="A417" s="511" t="s">
        <v>518</v>
      </c>
      <c r="B417" s="511" t="s">
        <v>518</v>
      </c>
    </row>
    <row r="418" spans="1:2" ht="15" hidden="1" x14ac:dyDescent="0.25">
      <c r="A418" s="511" t="s">
        <v>519</v>
      </c>
      <c r="B418" s="511" t="s">
        <v>519</v>
      </c>
    </row>
    <row r="419" spans="1:2" ht="15" hidden="1" x14ac:dyDescent="0.25">
      <c r="A419" s="511" t="s">
        <v>519</v>
      </c>
      <c r="B419" s="511" t="s">
        <v>519</v>
      </c>
    </row>
    <row r="420" spans="1:2" ht="15" hidden="1" x14ac:dyDescent="0.25">
      <c r="A420" s="511" t="s">
        <v>520</v>
      </c>
      <c r="B420" s="511" t="s">
        <v>520</v>
      </c>
    </row>
    <row r="421" spans="1:2" ht="15" hidden="1" x14ac:dyDescent="0.25">
      <c r="A421" s="511" t="s">
        <v>521</v>
      </c>
      <c r="B421" s="511" t="s">
        <v>521</v>
      </c>
    </row>
    <row r="422" spans="1:2" ht="15" hidden="1" x14ac:dyDescent="0.25">
      <c r="A422" s="511" t="s">
        <v>522</v>
      </c>
      <c r="B422" s="511" t="s">
        <v>522</v>
      </c>
    </row>
    <row r="423" spans="1:2" ht="15" hidden="1" x14ac:dyDescent="0.25">
      <c r="A423" s="511" t="s">
        <v>523</v>
      </c>
      <c r="B423" s="511" t="s">
        <v>523</v>
      </c>
    </row>
    <row r="424" spans="1:2" ht="15" hidden="1" x14ac:dyDescent="0.25">
      <c r="A424" s="511" t="s">
        <v>523</v>
      </c>
      <c r="B424" s="511" t="s">
        <v>523</v>
      </c>
    </row>
    <row r="425" spans="1:2" ht="15" hidden="1" x14ac:dyDescent="0.25">
      <c r="A425" s="511" t="s">
        <v>524</v>
      </c>
      <c r="B425" s="511" t="s">
        <v>524</v>
      </c>
    </row>
    <row r="426" spans="1:2" ht="15" hidden="1" x14ac:dyDescent="0.25">
      <c r="A426" s="511" t="s">
        <v>525</v>
      </c>
      <c r="B426" s="511" t="s">
        <v>525</v>
      </c>
    </row>
    <row r="427" spans="1:2" ht="15" hidden="1" x14ac:dyDescent="0.25">
      <c r="A427" s="511" t="s">
        <v>526</v>
      </c>
      <c r="B427" s="511" t="s">
        <v>526</v>
      </c>
    </row>
    <row r="428" spans="1:2" ht="15" hidden="1" x14ac:dyDescent="0.25">
      <c r="A428" s="511" t="s">
        <v>527</v>
      </c>
      <c r="B428" s="511" t="s">
        <v>527</v>
      </c>
    </row>
    <row r="429" spans="1:2" ht="15" hidden="1" x14ac:dyDescent="0.25">
      <c r="A429" s="511" t="s">
        <v>528</v>
      </c>
      <c r="B429" s="511" t="s">
        <v>528</v>
      </c>
    </row>
    <row r="430" spans="1:2" ht="15" hidden="1" x14ac:dyDescent="0.25">
      <c r="A430" s="511" t="s">
        <v>529</v>
      </c>
      <c r="B430" s="511" t="s">
        <v>529</v>
      </c>
    </row>
    <row r="431" spans="1:2" ht="15" hidden="1" x14ac:dyDescent="0.25">
      <c r="A431" s="511" t="s">
        <v>529</v>
      </c>
      <c r="B431" s="511" t="s">
        <v>529</v>
      </c>
    </row>
    <row r="432" spans="1:2" ht="15" hidden="1" x14ac:dyDescent="0.25">
      <c r="A432" s="511" t="s">
        <v>530</v>
      </c>
      <c r="B432" s="511" t="s">
        <v>530</v>
      </c>
    </row>
    <row r="433" spans="1:2" ht="15" hidden="1" x14ac:dyDescent="0.25">
      <c r="A433" s="511" t="s">
        <v>381</v>
      </c>
      <c r="B433" s="511" t="s">
        <v>381</v>
      </c>
    </row>
    <row r="434" spans="1:2" ht="15" hidden="1" x14ac:dyDescent="0.25">
      <c r="A434" s="511" t="s">
        <v>531</v>
      </c>
      <c r="B434" s="511" t="s">
        <v>531</v>
      </c>
    </row>
    <row r="435" spans="1:2" ht="15" hidden="1" x14ac:dyDescent="0.25">
      <c r="A435" s="511" t="s">
        <v>532</v>
      </c>
      <c r="B435" s="511" t="s">
        <v>532</v>
      </c>
    </row>
    <row r="436" spans="1:2" ht="15" hidden="1" x14ac:dyDescent="0.25">
      <c r="A436" s="511" t="s">
        <v>533</v>
      </c>
      <c r="B436" s="511" t="s">
        <v>533</v>
      </c>
    </row>
    <row r="437" spans="1:2" ht="15" hidden="1" x14ac:dyDescent="0.25">
      <c r="A437" s="511" t="s">
        <v>534</v>
      </c>
      <c r="B437" s="511" t="s">
        <v>534</v>
      </c>
    </row>
    <row r="438" spans="1:2" ht="15" hidden="1" x14ac:dyDescent="0.25">
      <c r="A438" s="511" t="s">
        <v>534</v>
      </c>
      <c r="B438" s="511" t="s">
        <v>534</v>
      </c>
    </row>
    <row r="439" spans="1:2" ht="15" hidden="1" x14ac:dyDescent="0.25">
      <c r="A439" s="511" t="s">
        <v>535</v>
      </c>
      <c r="B439" s="511" t="s">
        <v>535</v>
      </c>
    </row>
    <row r="440" spans="1:2" ht="15" hidden="1" x14ac:dyDescent="0.25">
      <c r="A440" s="511" t="s">
        <v>536</v>
      </c>
      <c r="B440" s="511" t="s">
        <v>536</v>
      </c>
    </row>
    <row r="441" spans="1:2" ht="15" hidden="1" x14ac:dyDescent="0.25">
      <c r="A441" s="511" t="s">
        <v>537</v>
      </c>
      <c r="B441" s="511" t="s">
        <v>537</v>
      </c>
    </row>
    <row r="442" spans="1:2" ht="15" hidden="1" x14ac:dyDescent="0.25">
      <c r="A442" s="511" t="s">
        <v>538</v>
      </c>
      <c r="B442" s="511" t="s">
        <v>538</v>
      </c>
    </row>
    <row r="443" spans="1:2" ht="15" hidden="1" x14ac:dyDescent="0.25">
      <c r="A443" s="511" t="s">
        <v>539</v>
      </c>
      <c r="B443" s="511" t="s">
        <v>539</v>
      </c>
    </row>
    <row r="444" spans="1:2" ht="15" hidden="1" x14ac:dyDescent="0.25">
      <c r="A444" s="511" t="s">
        <v>540</v>
      </c>
      <c r="B444" s="511" t="s">
        <v>540</v>
      </c>
    </row>
    <row r="445" spans="1:2" ht="15" hidden="1" x14ac:dyDescent="0.25">
      <c r="A445" s="511" t="s">
        <v>541</v>
      </c>
      <c r="B445" s="511" t="s">
        <v>541</v>
      </c>
    </row>
    <row r="446" spans="1:2" ht="15" hidden="1" x14ac:dyDescent="0.25">
      <c r="A446" s="511" t="s">
        <v>541</v>
      </c>
      <c r="B446" s="511" t="s">
        <v>541</v>
      </c>
    </row>
    <row r="447" spans="1:2" ht="15" hidden="1" x14ac:dyDescent="0.25">
      <c r="A447" s="511" t="s">
        <v>542</v>
      </c>
      <c r="B447" s="511" t="s">
        <v>542</v>
      </c>
    </row>
    <row r="448" spans="1:2" ht="15" hidden="1" x14ac:dyDescent="0.25">
      <c r="A448" s="511" t="s">
        <v>543</v>
      </c>
      <c r="B448" s="511" t="s">
        <v>543</v>
      </c>
    </row>
    <row r="449" spans="1:2" ht="15" hidden="1" x14ac:dyDescent="0.25">
      <c r="A449" s="511" t="s">
        <v>544</v>
      </c>
      <c r="B449" s="511" t="s">
        <v>544</v>
      </c>
    </row>
    <row r="450" spans="1:2" ht="15" hidden="1" x14ac:dyDescent="0.25">
      <c r="A450" s="511" t="s">
        <v>545</v>
      </c>
      <c r="B450" s="511" t="s">
        <v>545</v>
      </c>
    </row>
    <row r="451" spans="1:2" ht="15" hidden="1" x14ac:dyDescent="0.25">
      <c r="A451" s="511" t="s">
        <v>545</v>
      </c>
      <c r="B451" s="511" t="s">
        <v>545</v>
      </c>
    </row>
    <row r="452" spans="1:2" ht="15" hidden="1" x14ac:dyDescent="0.25">
      <c r="A452" s="511" t="s">
        <v>546</v>
      </c>
      <c r="B452" s="511" t="s">
        <v>546</v>
      </c>
    </row>
    <row r="453" spans="1:2" ht="15" hidden="1" x14ac:dyDescent="0.25">
      <c r="A453" s="511" t="s">
        <v>547</v>
      </c>
      <c r="B453" s="511" t="s">
        <v>547</v>
      </c>
    </row>
    <row r="454" spans="1:2" ht="15" hidden="1" x14ac:dyDescent="0.25">
      <c r="A454" s="511" t="s">
        <v>548</v>
      </c>
      <c r="B454" s="511" t="s">
        <v>548</v>
      </c>
    </row>
    <row r="455" spans="1:2" ht="15" hidden="1" x14ac:dyDescent="0.25">
      <c r="A455" s="511" t="s">
        <v>548</v>
      </c>
      <c r="B455" s="511" t="s">
        <v>548</v>
      </c>
    </row>
    <row r="456" spans="1:2" ht="15" hidden="1" x14ac:dyDescent="0.25">
      <c r="A456" s="511" t="s">
        <v>549</v>
      </c>
      <c r="B456" s="511" t="s">
        <v>549</v>
      </c>
    </row>
    <row r="457" spans="1:2" ht="15" hidden="1" x14ac:dyDescent="0.25">
      <c r="A457" s="511" t="s">
        <v>549</v>
      </c>
      <c r="B457" s="511" t="s">
        <v>549</v>
      </c>
    </row>
    <row r="458" spans="1:2" ht="15" hidden="1" x14ac:dyDescent="0.25">
      <c r="A458" s="511" t="s">
        <v>550</v>
      </c>
      <c r="B458" s="511" t="s">
        <v>550</v>
      </c>
    </row>
    <row r="459" spans="1:2" ht="15" hidden="1" x14ac:dyDescent="0.25">
      <c r="A459" s="511" t="s">
        <v>551</v>
      </c>
      <c r="B459" s="511" t="s">
        <v>551</v>
      </c>
    </row>
    <row r="460" spans="1:2" ht="15" hidden="1" x14ac:dyDescent="0.25">
      <c r="A460" s="511" t="s">
        <v>552</v>
      </c>
      <c r="B460" s="511" t="s">
        <v>552</v>
      </c>
    </row>
    <row r="461" spans="1:2" ht="15" hidden="1" x14ac:dyDescent="0.25">
      <c r="A461" s="511" t="s">
        <v>553</v>
      </c>
      <c r="B461" s="511" t="s">
        <v>553</v>
      </c>
    </row>
    <row r="462" spans="1:2" ht="15" hidden="1" x14ac:dyDescent="0.25">
      <c r="A462" s="511" t="s">
        <v>554</v>
      </c>
      <c r="B462" s="511" t="s">
        <v>554</v>
      </c>
    </row>
    <row r="463" spans="1:2" ht="15" hidden="1" x14ac:dyDescent="0.25">
      <c r="A463" s="511" t="s">
        <v>554</v>
      </c>
      <c r="B463" s="511" t="s">
        <v>554</v>
      </c>
    </row>
    <row r="464" spans="1:2" ht="15" hidden="1" x14ac:dyDescent="0.25">
      <c r="A464" s="511" t="s">
        <v>555</v>
      </c>
      <c r="B464" s="511" t="s">
        <v>555</v>
      </c>
    </row>
    <row r="465" spans="1:2" ht="15" hidden="1" x14ac:dyDescent="0.25">
      <c r="A465" s="511" t="s">
        <v>556</v>
      </c>
      <c r="B465" s="511" t="s">
        <v>556</v>
      </c>
    </row>
    <row r="466" spans="1:2" ht="15" hidden="1" x14ac:dyDescent="0.25">
      <c r="A466" s="511" t="s">
        <v>556</v>
      </c>
      <c r="B466" s="511" t="s">
        <v>556</v>
      </c>
    </row>
    <row r="467" spans="1:2" ht="15" hidden="1" x14ac:dyDescent="0.25">
      <c r="A467" s="511" t="s">
        <v>557</v>
      </c>
      <c r="B467" s="511" t="s">
        <v>557</v>
      </c>
    </row>
    <row r="468" spans="1:2" ht="15" hidden="1" x14ac:dyDescent="0.25">
      <c r="A468" s="511" t="s">
        <v>557</v>
      </c>
      <c r="B468" s="511" t="s">
        <v>557</v>
      </c>
    </row>
    <row r="469" spans="1:2" ht="15" hidden="1" x14ac:dyDescent="0.25">
      <c r="A469" s="511" t="s">
        <v>558</v>
      </c>
      <c r="B469" s="511" t="s">
        <v>558</v>
      </c>
    </row>
    <row r="470" spans="1:2" ht="15" hidden="1" x14ac:dyDescent="0.25">
      <c r="A470" s="511" t="s">
        <v>559</v>
      </c>
      <c r="B470" s="511" t="s">
        <v>559</v>
      </c>
    </row>
    <row r="471" spans="1:2" ht="15" hidden="1" x14ac:dyDescent="0.25">
      <c r="A471" s="511" t="s">
        <v>560</v>
      </c>
      <c r="B471" s="511" t="s">
        <v>560</v>
      </c>
    </row>
    <row r="472" spans="1:2" ht="15" hidden="1" x14ac:dyDescent="0.25">
      <c r="A472" s="511" t="s">
        <v>561</v>
      </c>
      <c r="B472" s="511" t="s">
        <v>561</v>
      </c>
    </row>
    <row r="473" spans="1:2" ht="15" hidden="1" x14ac:dyDescent="0.25">
      <c r="A473" s="511" t="s">
        <v>562</v>
      </c>
      <c r="B473" s="511" t="s">
        <v>562</v>
      </c>
    </row>
    <row r="474" spans="1:2" ht="15" hidden="1" x14ac:dyDescent="0.25">
      <c r="A474" s="511" t="s">
        <v>563</v>
      </c>
      <c r="B474" s="511" t="s">
        <v>563</v>
      </c>
    </row>
    <row r="475" spans="1:2" ht="15" hidden="1" x14ac:dyDescent="0.25">
      <c r="A475" s="511" t="s">
        <v>564</v>
      </c>
      <c r="B475" s="511" t="s">
        <v>564</v>
      </c>
    </row>
    <row r="476" spans="1:2" ht="15" hidden="1" x14ac:dyDescent="0.25">
      <c r="A476" s="511" t="s">
        <v>565</v>
      </c>
      <c r="B476" s="511" t="s">
        <v>565</v>
      </c>
    </row>
    <row r="477" spans="1:2" ht="15" hidden="1" x14ac:dyDescent="0.25">
      <c r="A477" s="511" t="s">
        <v>566</v>
      </c>
      <c r="B477" s="511" t="s">
        <v>566</v>
      </c>
    </row>
    <row r="478" spans="1:2" ht="15" hidden="1" x14ac:dyDescent="0.25">
      <c r="A478" s="511" t="s">
        <v>566</v>
      </c>
      <c r="B478" s="511" t="s">
        <v>566</v>
      </c>
    </row>
    <row r="479" spans="1:2" ht="15" hidden="1" x14ac:dyDescent="0.25">
      <c r="A479" s="511" t="s">
        <v>567</v>
      </c>
      <c r="B479" s="511" t="s">
        <v>567</v>
      </c>
    </row>
    <row r="480" spans="1:2" ht="15" hidden="1" x14ac:dyDescent="0.25">
      <c r="A480" s="511" t="s">
        <v>568</v>
      </c>
      <c r="B480" s="511" t="s">
        <v>568</v>
      </c>
    </row>
    <row r="481" spans="1:2" ht="15" hidden="1" x14ac:dyDescent="0.25">
      <c r="A481" s="511" t="s">
        <v>569</v>
      </c>
      <c r="B481" s="511" t="s">
        <v>569</v>
      </c>
    </row>
    <row r="482" spans="1:2" ht="15" hidden="1" x14ac:dyDescent="0.25">
      <c r="A482" s="511" t="s">
        <v>569</v>
      </c>
      <c r="B482" s="511" t="s">
        <v>569</v>
      </c>
    </row>
    <row r="483" spans="1:2" ht="15" hidden="1" x14ac:dyDescent="0.25">
      <c r="A483" s="511" t="s">
        <v>570</v>
      </c>
      <c r="B483" s="511" t="s">
        <v>570</v>
      </c>
    </row>
    <row r="484" spans="1:2" ht="15" hidden="1" x14ac:dyDescent="0.25">
      <c r="A484" s="511" t="s">
        <v>570</v>
      </c>
      <c r="B484" s="511" t="s">
        <v>570</v>
      </c>
    </row>
    <row r="485" spans="1:2" ht="15" hidden="1" x14ac:dyDescent="0.25">
      <c r="A485" s="511" t="s">
        <v>337</v>
      </c>
      <c r="B485" s="511" t="s">
        <v>337</v>
      </c>
    </row>
    <row r="486" spans="1:2" ht="15" hidden="1" x14ac:dyDescent="0.25">
      <c r="A486" s="511" t="s">
        <v>571</v>
      </c>
      <c r="B486" s="511" t="s">
        <v>571</v>
      </c>
    </row>
    <row r="487" spans="1:2" ht="15" hidden="1" x14ac:dyDescent="0.25">
      <c r="A487" s="511" t="s">
        <v>572</v>
      </c>
      <c r="B487" s="511" t="s">
        <v>572</v>
      </c>
    </row>
    <row r="488" spans="1:2" ht="15" hidden="1" x14ac:dyDescent="0.25">
      <c r="A488" s="511" t="s">
        <v>573</v>
      </c>
      <c r="B488" s="511" t="s">
        <v>573</v>
      </c>
    </row>
    <row r="489" spans="1:2" ht="15" hidden="1" x14ac:dyDescent="0.25">
      <c r="A489" s="511" t="s">
        <v>573</v>
      </c>
      <c r="B489" s="511" t="s">
        <v>573</v>
      </c>
    </row>
    <row r="490" spans="1:2" ht="15" hidden="1" x14ac:dyDescent="0.25">
      <c r="A490" s="511" t="s">
        <v>574</v>
      </c>
      <c r="B490" s="511" t="s">
        <v>574</v>
      </c>
    </row>
    <row r="491" spans="1:2" ht="15" hidden="1" x14ac:dyDescent="0.25">
      <c r="A491" s="511" t="s">
        <v>574</v>
      </c>
      <c r="B491" s="511" t="s">
        <v>574</v>
      </c>
    </row>
    <row r="492" spans="1:2" ht="15" hidden="1" x14ac:dyDescent="0.25">
      <c r="A492" s="511" t="s">
        <v>575</v>
      </c>
      <c r="B492" s="511" t="s">
        <v>575</v>
      </c>
    </row>
    <row r="493" spans="1:2" ht="15" hidden="1" x14ac:dyDescent="0.25">
      <c r="A493" s="511" t="s">
        <v>576</v>
      </c>
      <c r="B493" s="511" t="s">
        <v>576</v>
      </c>
    </row>
    <row r="494" spans="1:2" ht="15" hidden="1" x14ac:dyDescent="0.25">
      <c r="A494" s="511" t="s">
        <v>577</v>
      </c>
      <c r="B494" s="511" t="s">
        <v>577</v>
      </c>
    </row>
    <row r="495" spans="1:2" ht="15" hidden="1" x14ac:dyDescent="0.25">
      <c r="A495" s="511" t="s">
        <v>578</v>
      </c>
      <c r="B495" s="511" t="s">
        <v>578</v>
      </c>
    </row>
    <row r="496" spans="1:2" ht="15" hidden="1" x14ac:dyDescent="0.25">
      <c r="A496" s="511" t="s">
        <v>579</v>
      </c>
      <c r="B496" s="511" t="s">
        <v>579</v>
      </c>
    </row>
    <row r="497" spans="1:2" ht="15" hidden="1" x14ac:dyDescent="0.25">
      <c r="A497" s="511" t="s">
        <v>580</v>
      </c>
      <c r="B497" s="511" t="s">
        <v>580</v>
      </c>
    </row>
    <row r="498" spans="1:2" ht="15" hidden="1" x14ac:dyDescent="0.25">
      <c r="A498" s="511" t="s">
        <v>581</v>
      </c>
      <c r="B498" s="511" t="s">
        <v>581</v>
      </c>
    </row>
    <row r="499" spans="1:2" ht="15" hidden="1" x14ac:dyDescent="0.25">
      <c r="A499" s="511" t="s">
        <v>582</v>
      </c>
      <c r="B499" s="511" t="s">
        <v>582</v>
      </c>
    </row>
    <row r="500" spans="1:2" ht="15" hidden="1" x14ac:dyDescent="0.25">
      <c r="A500" s="511" t="s">
        <v>583</v>
      </c>
      <c r="B500" s="511" t="s">
        <v>583</v>
      </c>
    </row>
    <row r="501" spans="1:2" ht="15" hidden="1" x14ac:dyDescent="0.25">
      <c r="A501" s="511" t="s">
        <v>584</v>
      </c>
      <c r="B501" s="511" t="s">
        <v>584</v>
      </c>
    </row>
    <row r="502" spans="1:2" ht="15" hidden="1" x14ac:dyDescent="0.25">
      <c r="A502" s="511" t="s">
        <v>585</v>
      </c>
      <c r="B502" s="511" t="s">
        <v>585</v>
      </c>
    </row>
    <row r="503" spans="1:2" ht="15" hidden="1" x14ac:dyDescent="0.25">
      <c r="A503" s="511" t="s">
        <v>585</v>
      </c>
      <c r="B503" s="511" t="s">
        <v>585</v>
      </c>
    </row>
    <row r="504" spans="1:2" ht="15" hidden="1" x14ac:dyDescent="0.25">
      <c r="A504" s="511" t="s">
        <v>586</v>
      </c>
      <c r="B504" s="511" t="s">
        <v>586</v>
      </c>
    </row>
    <row r="505" spans="1:2" ht="15" hidden="1" x14ac:dyDescent="0.25">
      <c r="A505" s="511" t="s">
        <v>586</v>
      </c>
      <c r="B505" s="511" t="s">
        <v>586</v>
      </c>
    </row>
    <row r="506" spans="1:2" ht="15" hidden="1" x14ac:dyDescent="0.25">
      <c r="A506" s="511" t="s">
        <v>587</v>
      </c>
      <c r="B506" s="511" t="s">
        <v>587</v>
      </c>
    </row>
    <row r="507" spans="1:2" ht="15" hidden="1" x14ac:dyDescent="0.25">
      <c r="A507" s="511" t="s">
        <v>588</v>
      </c>
      <c r="B507" s="511" t="s">
        <v>588</v>
      </c>
    </row>
    <row r="508" spans="1:2" ht="15" hidden="1" x14ac:dyDescent="0.25">
      <c r="A508" s="511" t="s">
        <v>588</v>
      </c>
      <c r="B508" s="511" t="s">
        <v>588</v>
      </c>
    </row>
    <row r="509" spans="1:2" ht="15" hidden="1" x14ac:dyDescent="0.25">
      <c r="A509" s="511" t="s">
        <v>589</v>
      </c>
      <c r="B509" s="511" t="s">
        <v>589</v>
      </c>
    </row>
    <row r="510" spans="1:2" ht="15" hidden="1" x14ac:dyDescent="0.25">
      <c r="A510" s="511" t="s">
        <v>590</v>
      </c>
      <c r="B510" s="511" t="s">
        <v>590</v>
      </c>
    </row>
    <row r="511" spans="1:2" ht="15" hidden="1" x14ac:dyDescent="0.25">
      <c r="A511" s="511" t="s">
        <v>591</v>
      </c>
      <c r="B511" s="511" t="s">
        <v>591</v>
      </c>
    </row>
    <row r="512" spans="1:2" ht="15" hidden="1" x14ac:dyDescent="0.25">
      <c r="A512" s="511" t="s">
        <v>592</v>
      </c>
      <c r="B512" s="511" t="s">
        <v>592</v>
      </c>
    </row>
    <row r="513" spans="1:2" ht="15" hidden="1" x14ac:dyDescent="0.25">
      <c r="A513" s="511" t="s">
        <v>593</v>
      </c>
      <c r="B513" s="511" t="s">
        <v>593</v>
      </c>
    </row>
    <row r="514" spans="1:2" ht="15" hidden="1" x14ac:dyDescent="0.25">
      <c r="A514" s="511" t="s">
        <v>594</v>
      </c>
      <c r="B514" s="511" t="s">
        <v>594</v>
      </c>
    </row>
    <row r="515" spans="1:2" ht="15" hidden="1" x14ac:dyDescent="0.25">
      <c r="A515" s="511" t="s">
        <v>594</v>
      </c>
      <c r="B515" s="511" t="s">
        <v>594</v>
      </c>
    </row>
    <row r="516" spans="1:2" ht="15" hidden="1" x14ac:dyDescent="0.25">
      <c r="A516" s="511" t="s">
        <v>595</v>
      </c>
      <c r="B516" s="511" t="s">
        <v>595</v>
      </c>
    </row>
    <row r="517" spans="1:2" ht="15" hidden="1" x14ac:dyDescent="0.25">
      <c r="A517" s="511" t="s">
        <v>596</v>
      </c>
      <c r="B517" s="511" t="s">
        <v>596</v>
      </c>
    </row>
    <row r="518" spans="1:2" ht="15" hidden="1" x14ac:dyDescent="0.25">
      <c r="A518" s="511" t="s">
        <v>597</v>
      </c>
      <c r="B518" s="511" t="s">
        <v>597</v>
      </c>
    </row>
    <row r="519" spans="1:2" ht="15" hidden="1" x14ac:dyDescent="0.25">
      <c r="A519" s="511" t="s">
        <v>598</v>
      </c>
      <c r="B519" s="511" t="s">
        <v>598</v>
      </c>
    </row>
    <row r="520" spans="1:2" ht="15" hidden="1" x14ac:dyDescent="0.25">
      <c r="A520" s="511" t="s">
        <v>599</v>
      </c>
      <c r="B520" s="511" t="s">
        <v>599</v>
      </c>
    </row>
    <row r="521" spans="1:2" ht="15" hidden="1" x14ac:dyDescent="0.25">
      <c r="A521" s="511" t="s">
        <v>600</v>
      </c>
      <c r="B521" s="511" t="s">
        <v>600</v>
      </c>
    </row>
    <row r="522" spans="1:2" ht="15" hidden="1" x14ac:dyDescent="0.25">
      <c r="A522" s="511" t="s">
        <v>601</v>
      </c>
      <c r="B522" s="511" t="s">
        <v>601</v>
      </c>
    </row>
    <row r="523" spans="1:2" ht="15" hidden="1" x14ac:dyDescent="0.25">
      <c r="A523" s="511" t="s">
        <v>602</v>
      </c>
      <c r="B523" s="511" t="s">
        <v>602</v>
      </c>
    </row>
    <row r="524" spans="1:2" ht="15" hidden="1" x14ac:dyDescent="0.25">
      <c r="A524" s="511" t="s">
        <v>603</v>
      </c>
      <c r="B524" s="511" t="s">
        <v>603</v>
      </c>
    </row>
    <row r="525" spans="1:2" ht="15" hidden="1" x14ac:dyDescent="0.25">
      <c r="A525" s="511" t="s">
        <v>604</v>
      </c>
      <c r="B525" s="511" t="s">
        <v>604</v>
      </c>
    </row>
    <row r="526" spans="1:2" ht="15" hidden="1" x14ac:dyDescent="0.25">
      <c r="A526" s="511" t="s">
        <v>604</v>
      </c>
      <c r="B526" s="511" t="s">
        <v>604</v>
      </c>
    </row>
    <row r="527" spans="1:2" ht="15" hidden="1" x14ac:dyDescent="0.25">
      <c r="A527" s="511" t="s">
        <v>605</v>
      </c>
      <c r="B527" s="511" t="s">
        <v>605</v>
      </c>
    </row>
    <row r="528" spans="1:2" ht="15" hidden="1" x14ac:dyDescent="0.25">
      <c r="A528" s="511" t="s">
        <v>606</v>
      </c>
      <c r="B528" s="511" t="s">
        <v>606</v>
      </c>
    </row>
    <row r="529" spans="1:2" ht="15" hidden="1" x14ac:dyDescent="0.25">
      <c r="A529" s="511" t="s">
        <v>607</v>
      </c>
      <c r="B529" s="511" t="s">
        <v>607</v>
      </c>
    </row>
    <row r="530" spans="1:2" ht="15" hidden="1" x14ac:dyDescent="0.25">
      <c r="A530" s="511" t="s">
        <v>608</v>
      </c>
      <c r="B530" s="511" t="s">
        <v>608</v>
      </c>
    </row>
    <row r="531" spans="1:2" ht="15" hidden="1" x14ac:dyDescent="0.25">
      <c r="A531" s="511" t="s">
        <v>609</v>
      </c>
      <c r="B531" s="511" t="s">
        <v>609</v>
      </c>
    </row>
    <row r="532" spans="1:2" ht="15" hidden="1" x14ac:dyDescent="0.25">
      <c r="A532" s="511" t="s">
        <v>610</v>
      </c>
      <c r="B532" s="511" t="s">
        <v>610</v>
      </c>
    </row>
    <row r="533" spans="1:2" ht="15" hidden="1" x14ac:dyDescent="0.25">
      <c r="A533" s="511" t="s">
        <v>610</v>
      </c>
      <c r="B533" s="511" t="s">
        <v>610</v>
      </c>
    </row>
    <row r="534" spans="1:2" ht="15" hidden="1" x14ac:dyDescent="0.25">
      <c r="A534" s="511" t="s">
        <v>611</v>
      </c>
      <c r="B534" s="511" t="s">
        <v>611</v>
      </c>
    </row>
    <row r="535" spans="1:2" ht="15" hidden="1" x14ac:dyDescent="0.25">
      <c r="A535" s="511" t="s">
        <v>612</v>
      </c>
      <c r="B535" s="511" t="s">
        <v>612</v>
      </c>
    </row>
    <row r="536" spans="1:2" ht="15" hidden="1" x14ac:dyDescent="0.25">
      <c r="A536" s="511" t="s">
        <v>394</v>
      </c>
      <c r="B536" s="511" t="s">
        <v>394</v>
      </c>
    </row>
    <row r="537" spans="1:2" ht="15" hidden="1" x14ac:dyDescent="0.25">
      <c r="A537" s="511" t="s">
        <v>613</v>
      </c>
      <c r="B537" s="511" t="s">
        <v>613</v>
      </c>
    </row>
    <row r="538" spans="1:2" ht="15" hidden="1" x14ac:dyDescent="0.25">
      <c r="A538" s="511" t="s">
        <v>614</v>
      </c>
      <c r="B538" s="511" t="s">
        <v>614</v>
      </c>
    </row>
    <row r="539" spans="1:2" ht="15" hidden="1" x14ac:dyDescent="0.25">
      <c r="A539" s="511" t="s">
        <v>615</v>
      </c>
      <c r="B539" s="511" t="s">
        <v>615</v>
      </c>
    </row>
    <row r="540" spans="1:2" ht="15" hidden="1" x14ac:dyDescent="0.25">
      <c r="A540" s="511" t="s">
        <v>616</v>
      </c>
      <c r="B540" s="511" t="s">
        <v>616</v>
      </c>
    </row>
    <row r="541" spans="1:2" ht="15" hidden="1" x14ac:dyDescent="0.25">
      <c r="A541" s="511" t="s">
        <v>617</v>
      </c>
      <c r="B541" s="511" t="s">
        <v>617</v>
      </c>
    </row>
    <row r="542" spans="1:2" ht="15" hidden="1" x14ac:dyDescent="0.25">
      <c r="A542" s="511" t="s">
        <v>618</v>
      </c>
      <c r="B542" s="511" t="s">
        <v>618</v>
      </c>
    </row>
    <row r="543" spans="1:2" ht="15" hidden="1" x14ac:dyDescent="0.25">
      <c r="A543" s="511" t="s">
        <v>619</v>
      </c>
      <c r="B543" s="511" t="s">
        <v>619</v>
      </c>
    </row>
    <row r="544" spans="1:2" ht="15" hidden="1" x14ac:dyDescent="0.25">
      <c r="A544" s="511" t="s">
        <v>620</v>
      </c>
      <c r="B544" s="511" t="s">
        <v>620</v>
      </c>
    </row>
    <row r="545" spans="1:2" ht="15" hidden="1" x14ac:dyDescent="0.25">
      <c r="A545" s="511" t="s">
        <v>621</v>
      </c>
      <c r="B545" s="511" t="s">
        <v>621</v>
      </c>
    </row>
    <row r="546" spans="1:2" ht="15" hidden="1" x14ac:dyDescent="0.25">
      <c r="A546" s="511" t="s">
        <v>622</v>
      </c>
      <c r="B546" s="511" t="s">
        <v>622</v>
      </c>
    </row>
    <row r="547" spans="1:2" ht="15" hidden="1" x14ac:dyDescent="0.25">
      <c r="A547" s="511" t="s">
        <v>622</v>
      </c>
      <c r="B547" s="511" t="s">
        <v>622</v>
      </c>
    </row>
    <row r="548" spans="1:2" ht="15" hidden="1" x14ac:dyDescent="0.25">
      <c r="A548" s="511" t="s">
        <v>623</v>
      </c>
      <c r="B548" s="511" t="s">
        <v>623</v>
      </c>
    </row>
    <row r="549" spans="1:2" ht="15" hidden="1" x14ac:dyDescent="0.25">
      <c r="A549" s="511" t="s">
        <v>624</v>
      </c>
      <c r="B549" s="511" t="s">
        <v>624</v>
      </c>
    </row>
    <row r="550" spans="1:2" ht="15" hidden="1" x14ac:dyDescent="0.25">
      <c r="A550" s="511" t="s">
        <v>625</v>
      </c>
      <c r="B550" s="511" t="s">
        <v>625</v>
      </c>
    </row>
    <row r="551" spans="1:2" ht="15" hidden="1" x14ac:dyDescent="0.25">
      <c r="A551" s="511" t="s">
        <v>626</v>
      </c>
      <c r="B551" s="511" t="s">
        <v>626</v>
      </c>
    </row>
    <row r="552" spans="1:2" ht="15" hidden="1" x14ac:dyDescent="0.25">
      <c r="A552" s="511" t="s">
        <v>627</v>
      </c>
      <c r="B552" s="511" t="s">
        <v>627</v>
      </c>
    </row>
    <row r="553" spans="1:2" ht="15" hidden="1" x14ac:dyDescent="0.25">
      <c r="A553" s="511" t="s">
        <v>628</v>
      </c>
      <c r="B553" s="511" t="s">
        <v>628</v>
      </c>
    </row>
    <row r="554" spans="1:2" ht="15" hidden="1" x14ac:dyDescent="0.25">
      <c r="A554" s="511" t="s">
        <v>629</v>
      </c>
      <c r="B554" s="511" t="s">
        <v>629</v>
      </c>
    </row>
    <row r="555" spans="1:2" ht="15" hidden="1" x14ac:dyDescent="0.25">
      <c r="A555" s="511" t="s">
        <v>630</v>
      </c>
      <c r="B555" s="511" t="s">
        <v>630</v>
      </c>
    </row>
    <row r="556" spans="1:2" ht="15" hidden="1" x14ac:dyDescent="0.25">
      <c r="A556" s="511" t="s">
        <v>631</v>
      </c>
      <c r="B556" s="511" t="s">
        <v>631</v>
      </c>
    </row>
    <row r="557" spans="1:2" ht="15" hidden="1" x14ac:dyDescent="0.25">
      <c r="A557" s="511" t="s">
        <v>632</v>
      </c>
      <c r="B557" s="511" t="s">
        <v>632</v>
      </c>
    </row>
    <row r="558" spans="1:2" ht="15" hidden="1" x14ac:dyDescent="0.25">
      <c r="A558" s="511" t="s">
        <v>633</v>
      </c>
      <c r="B558" s="511" t="s">
        <v>633</v>
      </c>
    </row>
    <row r="559" spans="1:2" ht="15" hidden="1" x14ac:dyDescent="0.25">
      <c r="A559" s="511" t="s">
        <v>395</v>
      </c>
      <c r="B559" s="511" t="s">
        <v>395</v>
      </c>
    </row>
    <row r="560" spans="1:2" ht="15" hidden="1" x14ac:dyDescent="0.25">
      <c r="A560" s="511" t="s">
        <v>634</v>
      </c>
      <c r="B560" s="511" t="s">
        <v>634</v>
      </c>
    </row>
    <row r="561" spans="1:2" ht="15" hidden="1" x14ac:dyDescent="0.25">
      <c r="A561" s="511" t="s">
        <v>635</v>
      </c>
      <c r="B561" s="511" t="s">
        <v>635</v>
      </c>
    </row>
    <row r="562" spans="1:2" ht="15" hidden="1" x14ac:dyDescent="0.25">
      <c r="A562" s="511" t="s">
        <v>636</v>
      </c>
      <c r="B562" s="511" t="s">
        <v>636</v>
      </c>
    </row>
    <row r="563" spans="1:2" ht="15" hidden="1" x14ac:dyDescent="0.25">
      <c r="A563" s="511" t="s">
        <v>636</v>
      </c>
      <c r="B563" s="511" t="s">
        <v>636</v>
      </c>
    </row>
    <row r="564" spans="1:2" ht="15" hidden="1" x14ac:dyDescent="0.25">
      <c r="A564" s="511" t="s">
        <v>637</v>
      </c>
      <c r="B564" s="511" t="s">
        <v>637</v>
      </c>
    </row>
    <row r="565" spans="1:2" ht="15" hidden="1" x14ac:dyDescent="0.25">
      <c r="A565" s="511" t="s">
        <v>638</v>
      </c>
      <c r="B565" s="511" t="s">
        <v>638</v>
      </c>
    </row>
    <row r="566" spans="1:2" ht="15" hidden="1" x14ac:dyDescent="0.25">
      <c r="A566" s="511" t="s">
        <v>639</v>
      </c>
      <c r="B566" s="511" t="s">
        <v>640</v>
      </c>
    </row>
    <row r="567" spans="1:2" ht="15" hidden="1" x14ac:dyDescent="0.25">
      <c r="A567" s="511" t="s">
        <v>641</v>
      </c>
      <c r="B567" s="511" t="s">
        <v>642</v>
      </c>
    </row>
    <row r="568" spans="1:2" ht="15" hidden="1" x14ac:dyDescent="0.25">
      <c r="A568" s="511" t="s">
        <v>643</v>
      </c>
      <c r="B568" s="511" t="s">
        <v>644</v>
      </c>
    </row>
    <row r="569" spans="1:2" ht="15" hidden="1" x14ac:dyDescent="0.25">
      <c r="A569" s="511" t="s">
        <v>645</v>
      </c>
      <c r="B569" s="511" t="s">
        <v>646</v>
      </c>
    </row>
    <row r="570" spans="1:2" ht="15" hidden="1" x14ac:dyDescent="0.25">
      <c r="A570" s="511" t="s">
        <v>216</v>
      </c>
      <c r="B570" s="511" t="s">
        <v>400</v>
      </c>
    </row>
    <row r="571" spans="1:2" ht="15" hidden="1" x14ac:dyDescent="0.25">
      <c r="A571" s="511" t="s">
        <v>647</v>
      </c>
      <c r="B571" s="511" t="s">
        <v>648</v>
      </c>
    </row>
    <row r="572" spans="1:2" ht="15" hidden="1" x14ac:dyDescent="0.25">
      <c r="A572" s="511" t="s">
        <v>649</v>
      </c>
      <c r="B572" s="511" t="s">
        <v>650</v>
      </c>
    </row>
    <row r="573" spans="1:2" ht="15" hidden="1" x14ac:dyDescent="0.25">
      <c r="A573" s="511" t="s">
        <v>651</v>
      </c>
      <c r="B573" s="511" t="s">
        <v>652</v>
      </c>
    </row>
    <row r="574" spans="1:2" ht="15" hidden="1" x14ac:dyDescent="0.25">
      <c r="A574" s="511" t="s">
        <v>653</v>
      </c>
      <c r="B574" s="511" t="s">
        <v>654</v>
      </c>
    </row>
    <row r="575" spans="1:2" ht="15" hidden="1" x14ac:dyDescent="0.25">
      <c r="A575" s="511" t="s">
        <v>655</v>
      </c>
      <c r="B575" s="511" t="s">
        <v>656</v>
      </c>
    </row>
    <row r="576" spans="1:2" ht="15" hidden="1" x14ac:dyDescent="0.25">
      <c r="A576" s="511" t="s">
        <v>657</v>
      </c>
      <c r="B576" s="511" t="s">
        <v>658</v>
      </c>
    </row>
    <row r="577" spans="1:2" ht="15" hidden="1" x14ac:dyDescent="0.25">
      <c r="A577" s="511" t="s">
        <v>659</v>
      </c>
      <c r="B577" s="511" t="s">
        <v>660</v>
      </c>
    </row>
    <row r="578" spans="1:2" ht="15" hidden="1" x14ac:dyDescent="0.25">
      <c r="A578" s="511" t="s">
        <v>661</v>
      </c>
      <c r="B578" s="511" t="s">
        <v>662</v>
      </c>
    </row>
    <row r="579" spans="1:2" ht="15" hidden="1" x14ac:dyDescent="0.25">
      <c r="A579" s="511" t="s">
        <v>661</v>
      </c>
      <c r="B579" s="511" t="s">
        <v>662</v>
      </c>
    </row>
    <row r="580" spans="1:2" ht="15" hidden="1" x14ac:dyDescent="0.25">
      <c r="A580" s="511" t="s">
        <v>663</v>
      </c>
      <c r="B580" s="511" t="s">
        <v>664</v>
      </c>
    </row>
    <row r="581" spans="1:2" ht="15" hidden="1" x14ac:dyDescent="0.25">
      <c r="A581" s="511" t="s">
        <v>665</v>
      </c>
      <c r="B581" s="511" t="s">
        <v>666</v>
      </c>
    </row>
    <row r="582" spans="1:2" ht="15" hidden="1" x14ac:dyDescent="0.25">
      <c r="A582" s="511" t="s">
        <v>667</v>
      </c>
      <c r="B582" s="511" t="s">
        <v>668</v>
      </c>
    </row>
    <row r="583" spans="1:2" ht="15" hidden="1" x14ac:dyDescent="0.25">
      <c r="A583" s="511" t="s">
        <v>669</v>
      </c>
      <c r="B583" s="511" t="s">
        <v>670</v>
      </c>
    </row>
    <row r="584" spans="1:2" ht="15" hidden="1" x14ac:dyDescent="0.25">
      <c r="A584" s="511" t="s">
        <v>671</v>
      </c>
      <c r="B584" s="511" t="s">
        <v>672</v>
      </c>
    </row>
    <row r="585" spans="1:2" ht="15" hidden="1" x14ac:dyDescent="0.25">
      <c r="A585" s="511" t="s">
        <v>671</v>
      </c>
      <c r="B585" s="511" t="s">
        <v>672</v>
      </c>
    </row>
    <row r="586" spans="1:2" ht="15" hidden="1" x14ac:dyDescent="0.25">
      <c r="A586" s="511" t="s">
        <v>673</v>
      </c>
      <c r="B586" s="511" t="s">
        <v>674</v>
      </c>
    </row>
    <row r="587" spans="1:2" ht="15" hidden="1" x14ac:dyDescent="0.25">
      <c r="A587" s="511" t="s">
        <v>675</v>
      </c>
      <c r="B587" s="511" t="s">
        <v>676</v>
      </c>
    </row>
    <row r="588" spans="1:2" ht="15" hidden="1" x14ac:dyDescent="0.25">
      <c r="A588" s="511" t="s">
        <v>677</v>
      </c>
      <c r="B588" s="511" t="s">
        <v>678</v>
      </c>
    </row>
    <row r="589" spans="1:2" ht="15" hidden="1" x14ac:dyDescent="0.25">
      <c r="A589" s="511" t="s">
        <v>677</v>
      </c>
      <c r="B589" s="511" t="s">
        <v>678</v>
      </c>
    </row>
    <row r="590" spans="1:2" ht="15" hidden="1" x14ac:dyDescent="0.25">
      <c r="A590" s="511" t="s">
        <v>679</v>
      </c>
      <c r="B590" s="511" t="s">
        <v>680</v>
      </c>
    </row>
    <row r="591" spans="1:2" ht="15" hidden="1" x14ac:dyDescent="0.25">
      <c r="A591" s="511" t="s">
        <v>679</v>
      </c>
      <c r="B591" s="511" t="s">
        <v>680</v>
      </c>
    </row>
    <row r="592" spans="1:2" ht="15" hidden="1" x14ac:dyDescent="0.25">
      <c r="A592" s="511" t="s">
        <v>681</v>
      </c>
      <c r="B592" s="511" t="s">
        <v>682</v>
      </c>
    </row>
    <row r="593" spans="1:2" ht="15" hidden="1" x14ac:dyDescent="0.25">
      <c r="A593" s="511" t="s">
        <v>683</v>
      </c>
      <c r="B593" s="511" t="s">
        <v>684</v>
      </c>
    </row>
    <row r="594" spans="1:2" ht="15" hidden="1" x14ac:dyDescent="0.25">
      <c r="A594" s="511" t="s">
        <v>685</v>
      </c>
      <c r="B594" s="511" t="s">
        <v>686</v>
      </c>
    </row>
    <row r="595" spans="1:2" ht="15" hidden="1" x14ac:dyDescent="0.25">
      <c r="A595" s="511" t="s">
        <v>685</v>
      </c>
      <c r="B595" s="511" t="s">
        <v>686</v>
      </c>
    </row>
    <row r="596" spans="1:2" ht="15" hidden="1" x14ac:dyDescent="0.25">
      <c r="A596" s="511" t="s">
        <v>687</v>
      </c>
      <c r="B596" s="511" t="s">
        <v>688</v>
      </c>
    </row>
    <row r="597" spans="1:2" ht="15" hidden="1" x14ac:dyDescent="0.25">
      <c r="A597" s="511" t="s">
        <v>689</v>
      </c>
      <c r="B597" s="511" t="s">
        <v>690</v>
      </c>
    </row>
    <row r="598" spans="1:2" ht="15" hidden="1" x14ac:dyDescent="0.25">
      <c r="A598" s="511" t="s">
        <v>691</v>
      </c>
      <c r="B598" s="511" t="s">
        <v>692</v>
      </c>
    </row>
    <row r="599" spans="1:2" ht="15" hidden="1" x14ac:dyDescent="0.25">
      <c r="A599" s="511" t="s">
        <v>691</v>
      </c>
      <c r="B599" s="511" t="s">
        <v>692</v>
      </c>
    </row>
    <row r="600" spans="1:2" ht="15" hidden="1" x14ac:dyDescent="0.25">
      <c r="A600" s="511" t="s">
        <v>693</v>
      </c>
      <c r="B600" s="511" t="s">
        <v>694</v>
      </c>
    </row>
    <row r="601" spans="1:2" ht="15" hidden="1" x14ac:dyDescent="0.25">
      <c r="A601" s="511" t="s">
        <v>693</v>
      </c>
      <c r="B601" s="511" t="s">
        <v>694</v>
      </c>
    </row>
    <row r="602" spans="1:2" ht="15" hidden="1" x14ac:dyDescent="0.25">
      <c r="A602" s="511" t="s">
        <v>695</v>
      </c>
      <c r="B602" s="511" t="s">
        <v>696</v>
      </c>
    </row>
    <row r="603" spans="1:2" ht="15" hidden="1" x14ac:dyDescent="0.25">
      <c r="A603" s="511" t="s">
        <v>697</v>
      </c>
      <c r="B603" s="511" t="s">
        <v>698</v>
      </c>
    </row>
    <row r="604" spans="1:2" ht="15" hidden="1" x14ac:dyDescent="0.25">
      <c r="A604" s="511" t="s">
        <v>699</v>
      </c>
      <c r="B604" s="511" t="s">
        <v>700</v>
      </c>
    </row>
    <row r="605" spans="1:2" ht="15" hidden="1" x14ac:dyDescent="0.25">
      <c r="A605" s="511" t="s">
        <v>701</v>
      </c>
      <c r="B605" s="511" t="s">
        <v>702</v>
      </c>
    </row>
    <row r="606" spans="1:2" ht="15" hidden="1" x14ac:dyDescent="0.25">
      <c r="A606" s="511" t="s">
        <v>201</v>
      </c>
      <c r="B606" s="511" t="s">
        <v>408</v>
      </c>
    </row>
    <row r="607" spans="1:2" ht="15" hidden="1" x14ac:dyDescent="0.25">
      <c r="A607" s="511" t="s">
        <v>703</v>
      </c>
      <c r="B607" s="511" t="s">
        <v>704</v>
      </c>
    </row>
    <row r="608" spans="1:2" ht="15" hidden="1" x14ac:dyDescent="0.25">
      <c r="A608" s="511" t="s">
        <v>705</v>
      </c>
      <c r="B608" s="511" t="s">
        <v>706</v>
      </c>
    </row>
    <row r="609" spans="1:2" ht="15" hidden="1" x14ac:dyDescent="0.25">
      <c r="A609" s="511" t="s">
        <v>707</v>
      </c>
      <c r="B609" s="511" t="s">
        <v>708</v>
      </c>
    </row>
    <row r="610" spans="1:2" ht="15" hidden="1" x14ac:dyDescent="0.25">
      <c r="A610" s="511" t="s">
        <v>709</v>
      </c>
      <c r="B610" s="511" t="s">
        <v>710</v>
      </c>
    </row>
    <row r="611" spans="1:2" ht="15" hidden="1" x14ac:dyDescent="0.25">
      <c r="A611" s="511" t="s">
        <v>711</v>
      </c>
      <c r="B611" s="511" t="s">
        <v>712</v>
      </c>
    </row>
    <row r="612" spans="1:2" ht="15" hidden="1" x14ac:dyDescent="0.25">
      <c r="A612" s="511" t="s">
        <v>713</v>
      </c>
      <c r="B612" s="511" t="s">
        <v>714</v>
      </c>
    </row>
    <row r="613" spans="1:2" ht="15" hidden="1" x14ac:dyDescent="0.25">
      <c r="A613" s="511" t="s">
        <v>713</v>
      </c>
      <c r="B613" s="511" t="s">
        <v>714</v>
      </c>
    </row>
    <row r="614" spans="1:2" ht="15" hidden="1" x14ac:dyDescent="0.25">
      <c r="A614" s="511" t="s">
        <v>715</v>
      </c>
      <c r="B614" s="511" t="s">
        <v>716</v>
      </c>
    </row>
    <row r="615" spans="1:2" ht="15" hidden="1" x14ac:dyDescent="0.25">
      <c r="A615" s="511" t="s">
        <v>715</v>
      </c>
      <c r="B615" s="511" t="s">
        <v>716</v>
      </c>
    </row>
    <row r="616" spans="1:2" ht="15" hidden="1" x14ac:dyDescent="0.25">
      <c r="A616" s="511" t="s">
        <v>717</v>
      </c>
      <c r="B616" s="511" t="s">
        <v>718</v>
      </c>
    </row>
    <row r="617" spans="1:2" ht="15" hidden="1" x14ac:dyDescent="0.25">
      <c r="A617" s="511" t="s">
        <v>717</v>
      </c>
      <c r="B617" s="511" t="s">
        <v>718</v>
      </c>
    </row>
    <row r="618" spans="1:2" ht="15" hidden="1" x14ac:dyDescent="0.25">
      <c r="A618" s="511" t="s">
        <v>717</v>
      </c>
      <c r="B618" s="511" t="s">
        <v>718</v>
      </c>
    </row>
    <row r="619" spans="1:2" ht="15" hidden="1" x14ac:dyDescent="0.25">
      <c r="A619" s="511" t="s">
        <v>717</v>
      </c>
      <c r="B619" s="511" t="s">
        <v>718</v>
      </c>
    </row>
    <row r="620" spans="1:2" ht="15" hidden="1" x14ac:dyDescent="0.25">
      <c r="A620" s="511" t="s">
        <v>717</v>
      </c>
      <c r="B620" s="511" t="s">
        <v>718</v>
      </c>
    </row>
    <row r="621" spans="1:2" ht="15" hidden="1" x14ac:dyDescent="0.25">
      <c r="A621" s="511" t="s">
        <v>717</v>
      </c>
      <c r="B621" s="511" t="s">
        <v>718</v>
      </c>
    </row>
    <row r="622" spans="1:2" ht="15" hidden="1" x14ac:dyDescent="0.25">
      <c r="A622" s="511" t="s">
        <v>717</v>
      </c>
      <c r="B622" s="511" t="s">
        <v>718</v>
      </c>
    </row>
    <row r="623" spans="1:2" ht="15" hidden="1" x14ac:dyDescent="0.25">
      <c r="A623" s="511" t="s">
        <v>717</v>
      </c>
      <c r="B623" s="511" t="s">
        <v>718</v>
      </c>
    </row>
    <row r="624" spans="1:2" ht="15" hidden="1" x14ac:dyDescent="0.25">
      <c r="A624" s="511" t="s">
        <v>719</v>
      </c>
      <c r="B624" s="511" t="s">
        <v>720</v>
      </c>
    </row>
    <row r="625" spans="1:2" ht="15" hidden="1" x14ac:dyDescent="0.25">
      <c r="A625" s="511" t="s">
        <v>719</v>
      </c>
      <c r="B625" s="511" t="s">
        <v>720</v>
      </c>
    </row>
    <row r="626" spans="1:2" ht="15" hidden="1" x14ac:dyDescent="0.25">
      <c r="A626" s="511" t="s">
        <v>243</v>
      </c>
      <c r="B626" s="511" t="s">
        <v>414</v>
      </c>
    </row>
    <row r="627" spans="1:2" ht="15" hidden="1" x14ac:dyDescent="0.25">
      <c r="A627" s="511" t="s">
        <v>243</v>
      </c>
      <c r="B627" s="511" t="s">
        <v>414</v>
      </c>
    </row>
    <row r="628" spans="1:2" ht="15" hidden="1" x14ac:dyDescent="0.25">
      <c r="A628" s="511" t="s">
        <v>721</v>
      </c>
      <c r="B628" s="511" t="s">
        <v>722</v>
      </c>
    </row>
    <row r="629" spans="1:2" ht="15" hidden="1" x14ac:dyDescent="0.25">
      <c r="A629" s="511" t="s">
        <v>723</v>
      </c>
      <c r="B629" s="511" t="s">
        <v>724</v>
      </c>
    </row>
    <row r="630" spans="1:2" ht="15" hidden="1" x14ac:dyDescent="0.25">
      <c r="A630" s="511" t="s">
        <v>725</v>
      </c>
      <c r="B630" s="511" t="s">
        <v>726</v>
      </c>
    </row>
    <row r="631" spans="1:2" ht="15" hidden="1" x14ac:dyDescent="0.25">
      <c r="A631" s="511" t="s">
        <v>727</v>
      </c>
      <c r="B631" s="511" t="s">
        <v>728</v>
      </c>
    </row>
    <row r="632" spans="1:2" ht="15" hidden="1" x14ac:dyDescent="0.25">
      <c r="A632" s="511" t="s">
        <v>727</v>
      </c>
      <c r="B632" s="511" t="s">
        <v>728</v>
      </c>
    </row>
    <row r="633" spans="1:2" ht="15" hidden="1" x14ac:dyDescent="0.25">
      <c r="A633" s="511" t="s">
        <v>727</v>
      </c>
      <c r="B633" s="511" t="s">
        <v>728</v>
      </c>
    </row>
    <row r="634" spans="1:2" ht="15" hidden="1" x14ac:dyDescent="0.25">
      <c r="A634" s="511" t="s">
        <v>729</v>
      </c>
      <c r="B634" s="511" t="s">
        <v>730</v>
      </c>
    </row>
    <row r="635" spans="1:2" ht="15" hidden="1" x14ac:dyDescent="0.25">
      <c r="A635" s="511" t="s">
        <v>729</v>
      </c>
      <c r="B635" s="511" t="s">
        <v>730</v>
      </c>
    </row>
    <row r="636" spans="1:2" ht="15" hidden="1" x14ac:dyDescent="0.25">
      <c r="A636" s="511" t="s">
        <v>731</v>
      </c>
      <c r="B636" s="511" t="s">
        <v>732</v>
      </c>
    </row>
    <row r="637" spans="1:2" ht="15" hidden="1" x14ac:dyDescent="0.25">
      <c r="A637" s="511" t="s">
        <v>731</v>
      </c>
      <c r="B637" s="511" t="s">
        <v>732</v>
      </c>
    </row>
    <row r="638" spans="1:2" ht="15" hidden="1" x14ac:dyDescent="0.25">
      <c r="A638" s="511" t="s">
        <v>733</v>
      </c>
      <c r="B638" s="511" t="s">
        <v>734</v>
      </c>
    </row>
    <row r="639" spans="1:2" ht="15" hidden="1" x14ac:dyDescent="0.25">
      <c r="A639" s="511" t="s">
        <v>733</v>
      </c>
      <c r="B639" s="511" t="s">
        <v>734</v>
      </c>
    </row>
    <row r="640" spans="1:2" ht="15" hidden="1" x14ac:dyDescent="0.25">
      <c r="A640" s="511" t="s">
        <v>735</v>
      </c>
      <c r="B640" s="511" t="s">
        <v>736</v>
      </c>
    </row>
    <row r="641" spans="1:2" ht="15" hidden="1" x14ac:dyDescent="0.25">
      <c r="A641" s="511" t="s">
        <v>735</v>
      </c>
      <c r="B641" s="511" t="s">
        <v>736</v>
      </c>
    </row>
    <row r="642" spans="1:2" ht="15" hidden="1" x14ac:dyDescent="0.25">
      <c r="A642" s="511" t="s">
        <v>737</v>
      </c>
      <c r="B642" s="511" t="s">
        <v>738</v>
      </c>
    </row>
    <row r="643" spans="1:2" ht="15" hidden="1" x14ac:dyDescent="0.25">
      <c r="A643" s="513" t="s">
        <v>739</v>
      </c>
      <c r="B643" s="513" t="s">
        <v>740</v>
      </c>
    </row>
    <row r="644" spans="1:2" ht="15" hidden="1" x14ac:dyDescent="0.25">
      <c r="A644" s="511" t="s">
        <v>741</v>
      </c>
      <c r="B644" s="511" t="s">
        <v>742</v>
      </c>
    </row>
    <row r="645" spans="1:2" ht="15" hidden="1" x14ac:dyDescent="0.25">
      <c r="A645" s="511" t="s">
        <v>743</v>
      </c>
      <c r="B645" s="511" t="s">
        <v>744</v>
      </c>
    </row>
    <row r="646" spans="1:2" ht="15" hidden="1" x14ac:dyDescent="0.25">
      <c r="A646" s="511" t="s">
        <v>743</v>
      </c>
      <c r="B646" s="511" t="s">
        <v>744</v>
      </c>
    </row>
    <row r="647" spans="1:2" ht="15" hidden="1" x14ac:dyDescent="0.25">
      <c r="A647" s="511" t="s">
        <v>745</v>
      </c>
      <c r="B647" s="511" t="s">
        <v>746</v>
      </c>
    </row>
    <row r="648" spans="1:2" ht="15" hidden="1" x14ac:dyDescent="0.25">
      <c r="A648" s="511" t="s">
        <v>745</v>
      </c>
      <c r="B648" s="511" t="s">
        <v>746</v>
      </c>
    </row>
    <row r="649" spans="1:2" ht="15" hidden="1" x14ac:dyDescent="0.25">
      <c r="A649" s="511" t="s">
        <v>747</v>
      </c>
      <c r="B649" s="511" t="s">
        <v>748</v>
      </c>
    </row>
    <row r="650" spans="1:2" ht="15" hidden="1" x14ac:dyDescent="0.25">
      <c r="A650" s="511" t="s">
        <v>202</v>
      </c>
      <c r="B650" s="511" t="s">
        <v>418</v>
      </c>
    </row>
    <row r="651" spans="1:2" ht="15" hidden="1" x14ac:dyDescent="0.25">
      <c r="A651" s="512" t="s">
        <v>749</v>
      </c>
      <c r="B651" s="511" t="s">
        <v>750</v>
      </c>
    </row>
    <row r="652" spans="1:2" ht="15" hidden="1" x14ac:dyDescent="0.25">
      <c r="A652" s="511" t="s">
        <v>751</v>
      </c>
      <c r="B652" s="511" t="s">
        <v>752</v>
      </c>
    </row>
    <row r="653" spans="1:2" ht="15" hidden="1" x14ac:dyDescent="0.25">
      <c r="A653" s="511" t="s">
        <v>753</v>
      </c>
      <c r="B653" s="511" t="s">
        <v>754</v>
      </c>
    </row>
    <row r="654" spans="1:2" ht="15" hidden="1" x14ac:dyDescent="0.25">
      <c r="A654" s="511" t="s">
        <v>753</v>
      </c>
      <c r="B654" s="511" t="s">
        <v>754</v>
      </c>
    </row>
    <row r="655" spans="1:2" ht="15" hidden="1" x14ac:dyDescent="0.25">
      <c r="A655" s="511" t="s">
        <v>755</v>
      </c>
      <c r="B655" s="511" t="s">
        <v>756</v>
      </c>
    </row>
    <row r="656" spans="1:2" ht="15" hidden="1" x14ac:dyDescent="0.25">
      <c r="A656" s="511" t="s">
        <v>757</v>
      </c>
      <c r="B656" s="511" t="s">
        <v>758</v>
      </c>
    </row>
    <row r="657" spans="1:2" ht="15" hidden="1" x14ac:dyDescent="0.25">
      <c r="A657" s="511" t="s">
        <v>759</v>
      </c>
      <c r="B657" s="511" t="s">
        <v>760</v>
      </c>
    </row>
    <row r="658" spans="1:2" ht="15" hidden="1" x14ac:dyDescent="0.25">
      <c r="A658" s="511" t="s">
        <v>759</v>
      </c>
      <c r="B658" s="511" t="s">
        <v>760</v>
      </c>
    </row>
    <row r="659" spans="1:2" ht="15" hidden="1" x14ac:dyDescent="0.25">
      <c r="A659" s="511" t="s">
        <v>759</v>
      </c>
      <c r="B659" s="511" t="s">
        <v>760</v>
      </c>
    </row>
    <row r="660" spans="1:2" ht="15" hidden="1" x14ac:dyDescent="0.25">
      <c r="A660" s="511" t="s">
        <v>761</v>
      </c>
      <c r="B660" s="511" t="s">
        <v>762</v>
      </c>
    </row>
    <row r="661" spans="1:2" ht="15" hidden="1" x14ac:dyDescent="0.25">
      <c r="A661" s="511" t="s">
        <v>763</v>
      </c>
      <c r="B661" s="511" t="s">
        <v>764</v>
      </c>
    </row>
    <row r="662" spans="1:2" ht="15" hidden="1" x14ac:dyDescent="0.25">
      <c r="A662" s="511" t="s">
        <v>763</v>
      </c>
      <c r="B662" s="511" t="s">
        <v>764</v>
      </c>
    </row>
    <row r="663" spans="1:2" ht="15" hidden="1" x14ac:dyDescent="0.25">
      <c r="A663" s="511" t="s">
        <v>763</v>
      </c>
      <c r="B663" s="511" t="s">
        <v>764</v>
      </c>
    </row>
    <row r="664" spans="1:2" ht="15" hidden="1" x14ac:dyDescent="0.25">
      <c r="A664" s="511" t="s">
        <v>765</v>
      </c>
      <c r="B664" s="511" t="s">
        <v>766</v>
      </c>
    </row>
    <row r="665" spans="1:2" ht="15" hidden="1" x14ac:dyDescent="0.25">
      <c r="A665" s="511" t="s">
        <v>765</v>
      </c>
      <c r="B665" s="511" t="s">
        <v>766</v>
      </c>
    </row>
    <row r="666" spans="1:2" ht="15" hidden="1" x14ac:dyDescent="0.25">
      <c r="A666" s="511" t="s">
        <v>767</v>
      </c>
      <c r="B666" s="511" t="s">
        <v>768</v>
      </c>
    </row>
    <row r="667" spans="1:2" ht="15" hidden="1" x14ac:dyDescent="0.25">
      <c r="A667" s="511" t="s">
        <v>767</v>
      </c>
      <c r="B667" s="511" t="s">
        <v>768</v>
      </c>
    </row>
    <row r="668" spans="1:2" ht="15" hidden="1" x14ac:dyDescent="0.25">
      <c r="A668" s="511" t="s">
        <v>767</v>
      </c>
      <c r="B668" s="511" t="s">
        <v>768</v>
      </c>
    </row>
    <row r="669" spans="1:2" ht="15" hidden="1" x14ac:dyDescent="0.25">
      <c r="A669" s="512" t="s">
        <v>769</v>
      </c>
      <c r="B669" s="511" t="s">
        <v>770</v>
      </c>
    </row>
    <row r="670" spans="1:2" ht="15" hidden="1" x14ac:dyDescent="0.25">
      <c r="A670" s="511" t="s">
        <v>771</v>
      </c>
      <c r="B670" s="511" t="s">
        <v>772</v>
      </c>
    </row>
    <row r="671" spans="1:2" ht="15" hidden="1" x14ac:dyDescent="0.25">
      <c r="A671" s="511" t="s">
        <v>771</v>
      </c>
      <c r="B671" s="511" t="s">
        <v>772</v>
      </c>
    </row>
    <row r="672" spans="1:2" ht="15" hidden="1" x14ac:dyDescent="0.25">
      <c r="A672" s="511" t="s">
        <v>203</v>
      </c>
      <c r="B672" s="511" t="s">
        <v>427</v>
      </c>
    </row>
    <row r="673" spans="1:2" ht="15" hidden="1" x14ac:dyDescent="0.25">
      <c r="A673" s="511" t="s">
        <v>773</v>
      </c>
      <c r="B673" s="511" t="s">
        <v>774</v>
      </c>
    </row>
    <row r="674" spans="1:2" ht="15" hidden="1" x14ac:dyDescent="0.25">
      <c r="A674" s="511" t="s">
        <v>773</v>
      </c>
      <c r="B674" s="511" t="s">
        <v>774</v>
      </c>
    </row>
    <row r="675" spans="1:2" ht="15" hidden="1" x14ac:dyDescent="0.25">
      <c r="A675" s="511" t="s">
        <v>773</v>
      </c>
      <c r="B675" s="511" t="s">
        <v>774</v>
      </c>
    </row>
    <row r="676" spans="1:2" ht="15" hidden="1" x14ac:dyDescent="0.25">
      <c r="A676" s="511" t="s">
        <v>775</v>
      </c>
      <c r="B676" s="511" t="s">
        <v>776</v>
      </c>
    </row>
    <row r="677" spans="1:2" ht="15" hidden="1" x14ac:dyDescent="0.25">
      <c r="A677" s="511" t="s">
        <v>777</v>
      </c>
      <c r="B677" s="511" t="s">
        <v>778</v>
      </c>
    </row>
    <row r="678" spans="1:2" ht="15" hidden="1" x14ac:dyDescent="0.25">
      <c r="A678" s="511" t="s">
        <v>779</v>
      </c>
      <c r="B678" s="511" t="s">
        <v>780</v>
      </c>
    </row>
    <row r="679" spans="1:2" ht="15" hidden="1" x14ac:dyDescent="0.25">
      <c r="A679" s="511" t="s">
        <v>779</v>
      </c>
      <c r="B679" s="511" t="s">
        <v>780</v>
      </c>
    </row>
    <row r="680" spans="1:2" ht="15" hidden="1" x14ac:dyDescent="0.25">
      <c r="A680" s="511" t="s">
        <v>779</v>
      </c>
      <c r="B680" s="511" t="s">
        <v>780</v>
      </c>
    </row>
    <row r="681" spans="1:2" ht="15" hidden="1" x14ac:dyDescent="0.25">
      <c r="A681" s="511" t="s">
        <v>781</v>
      </c>
      <c r="B681" s="511" t="s">
        <v>782</v>
      </c>
    </row>
    <row r="682" spans="1:2" ht="15" hidden="1" x14ac:dyDescent="0.25">
      <c r="A682" s="511" t="s">
        <v>783</v>
      </c>
      <c r="B682" s="511" t="s">
        <v>784</v>
      </c>
    </row>
    <row r="683" spans="1:2" ht="15" hidden="1" x14ac:dyDescent="0.25">
      <c r="A683" s="511" t="s">
        <v>785</v>
      </c>
      <c r="B683" s="511" t="s">
        <v>786</v>
      </c>
    </row>
    <row r="684" spans="1:2" ht="15" hidden="1" x14ac:dyDescent="0.25">
      <c r="A684" s="511" t="s">
        <v>787</v>
      </c>
      <c r="B684" s="511" t="s">
        <v>788</v>
      </c>
    </row>
    <row r="685" spans="1:2" ht="15" hidden="1" x14ac:dyDescent="0.25">
      <c r="A685" s="511" t="s">
        <v>789</v>
      </c>
      <c r="B685" s="511" t="s">
        <v>790</v>
      </c>
    </row>
    <row r="686" spans="1:2" ht="15" hidden="1" x14ac:dyDescent="0.25">
      <c r="A686" s="511" t="s">
        <v>791</v>
      </c>
      <c r="B686" s="511" t="s">
        <v>792</v>
      </c>
    </row>
    <row r="687" spans="1:2" ht="15" hidden="1" x14ac:dyDescent="0.25">
      <c r="A687" s="511" t="s">
        <v>793</v>
      </c>
      <c r="B687" s="511" t="s">
        <v>794</v>
      </c>
    </row>
    <row r="688" spans="1:2" ht="15" hidden="1" x14ac:dyDescent="0.25">
      <c r="A688" s="511" t="s">
        <v>795</v>
      </c>
      <c r="B688" s="511" t="s">
        <v>796</v>
      </c>
    </row>
    <row r="689" spans="1:2" ht="15" hidden="1" x14ac:dyDescent="0.25">
      <c r="A689" s="511" t="s">
        <v>797</v>
      </c>
      <c r="B689" s="511" t="s">
        <v>798</v>
      </c>
    </row>
    <row r="690" spans="1:2" ht="15" hidden="1" x14ac:dyDescent="0.25">
      <c r="A690" s="511" t="s">
        <v>799</v>
      </c>
      <c r="B690" s="511" t="s">
        <v>800</v>
      </c>
    </row>
    <row r="691" spans="1:2" ht="15" hidden="1" x14ac:dyDescent="0.25">
      <c r="A691" s="511" t="s">
        <v>801</v>
      </c>
      <c r="B691" s="511" t="s">
        <v>802</v>
      </c>
    </row>
    <row r="692" spans="1:2" ht="15" hidden="1" x14ac:dyDescent="0.25">
      <c r="A692" s="511" t="s">
        <v>801</v>
      </c>
      <c r="B692" s="511" t="s">
        <v>802</v>
      </c>
    </row>
    <row r="693" spans="1:2" ht="15" hidden="1" x14ac:dyDescent="0.25">
      <c r="A693" s="511" t="s">
        <v>803</v>
      </c>
      <c r="B693" s="511" t="s">
        <v>804</v>
      </c>
    </row>
    <row r="694" spans="1:2" ht="15" hidden="1" x14ac:dyDescent="0.25">
      <c r="A694" s="511" t="s">
        <v>805</v>
      </c>
      <c r="B694" s="511" t="s">
        <v>806</v>
      </c>
    </row>
    <row r="695" spans="1:2" ht="15" hidden="1" x14ac:dyDescent="0.25">
      <c r="A695" s="511" t="s">
        <v>805</v>
      </c>
      <c r="B695" s="511" t="s">
        <v>806</v>
      </c>
    </row>
    <row r="696" spans="1:2" ht="15" hidden="1" x14ac:dyDescent="0.25">
      <c r="A696" s="511" t="s">
        <v>805</v>
      </c>
      <c r="B696" s="511" t="s">
        <v>806</v>
      </c>
    </row>
    <row r="697" spans="1:2" ht="15" hidden="1" x14ac:dyDescent="0.25">
      <c r="A697" s="511" t="s">
        <v>807</v>
      </c>
      <c r="B697" s="511" t="s">
        <v>808</v>
      </c>
    </row>
    <row r="698" spans="1:2" ht="15" hidden="1" x14ac:dyDescent="0.25">
      <c r="A698" s="511" t="s">
        <v>809</v>
      </c>
      <c r="B698" s="511" t="s">
        <v>810</v>
      </c>
    </row>
    <row r="699" spans="1:2" ht="15" hidden="1" x14ac:dyDescent="0.25">
      <c r="A699" s="512" t="s">
        <v>811</v>
      </c>
      <c r="B699" s="511" t="s">
        <v>812</v>
      </c>
    </row>
    <row r="700" spans="1:2" ht="15" hidden="1" x14ac:dyDescent="0.25">
      <c r="A700" s="512" t="s">
        <v>813</v>
      </c>
      <c r="B700" s="511" t="s">
        <v>814</v>
      </c>
    </row>
    <row r="701" spans="1:2" ht="15" hidden="1" x14ac:dyDescent="0.25">
      <c r="A701" s="511" t="s">
        <v>815</v>
      </c>
      <c r="B701" s="511" t="s">
        <v>816</v>
      </c>
    </row>
    <row r="702" spans="1:2" ht="15" hidden="1" x14ac:dyDescent="0.25">
      <c r="A702" s="512" t="s">
        <v>817</v>
      </c>
      <c r="B702" s="512" t="s">
        <v>818</v>
      </c>
    </row>
    <row r="703" spans="1:2" ht="15" hidden="1" x14ac:dyDescent="0.25">
      <c r="A703" s="511" t="s">
        <v>819</v>
      </c>
      <c r="B703" s="511" t="s">
        <v>820</v>
      </c>
    </row>
    <row r="704" spans="1:2" ht="15" hidden="1" x14ac:dyDescent="0.25">
      <c r="A704" s="511" t="s">
        <v>821</v>
      </c>
      <c r="B704" s="511" t="s">
        <v>822</v>
      </c>
    </row>
    <row r="705" spans="1:2" ht="15" hidden="1" x14ac:dyDescent="0.25">
      <c r="A705" s="511" t="s">
        <v>823</v>
      </c>
      <c r="B705" s="511" t="s">
        <v>824</v>
      </c>
    </row>
    <row r="706" spans="1:2" ht="15" hidden="1" x14ac:dyDescent="0.25">
      <c r="A706" s="511" t="s">
        <v>823</v>
      </c>
      <c r="B706" s="511" t="s">
        <v>824</v>
      </c>
    </row>
    <row r="707" spans="1:2" ht="15" hidden="1" x14ac:dyDescent="0.25">
      <c r="A707" s="511" t="s">
        <v>823</v>
      </c>
      <c r="B707" s="511" t="s">
        <v>824</v>
      </c>
    </row>
    <row r="708" spans="1:2" ht="15" hidden="1" x14ac:dyDescent="0.25">
      <c r="A708" s="512" t="s">
        <v>823</v>
      </c>
      <c r="B708" s="511" t="s">
        <v>824</v>
      </c>
    </row>
    <row r="709" spans="1:2" ht="15" hidden="1" x14ac:dyDescent="0.25">
      <c r="A709" s="511" t="s">
        <v>823</v>
      </c>
      <c r="B709" s="511" t="s">
        <v>824</v>
      </c>
    </row>
    <row r="710" spans="1:2" ht="15" hidden="1" x14ac:dyDescent="0.25">
      <c r="A710" s="511" t="s">
        <v>825</v>
      </c>
      <c r="B710" s="511" t="s">
        <v>826</v>
      </c>
    </row>
    <row r="711" spans="1:2" ht="15" hidden="1" x14ac:dyDescent="0.25">
      <c r="A711" s="511" t="s">
        <v>825</v>
      </c>
      <c r="B711" s="511" t="s">
        <v>826</v>
      </c>
    </row>
    <row r="712" spans="1:2" ht="15" hidden="1" x14ac:dyDescent="0.25">
      <c r="A712" s="511" t="s">
        <v>825</v>
      </c>
      <c r="B712" s="511" t="s">
        <v>826</v>
      </c>
    </row>
    <row r="713" spans="1:2" ht="15" hidden="1" x14ac:dyDescent="0.25">
      <c r="A713" s="511" t="s">
        <v>825</v>
      </c>
      <c r="B713" s="511" t="s">
        <v>826</v>
      </c>
    </row>
    <row r="714" spans="1:2" ht="15" hidden="1" x14ac:dyDescent="0.25">
      <c r="A714" s="511" t="s">
        <v>825</v>
      </c>
      <c r="B714" s="511" t="s">
        <v>826</v>
      </c>
    </row>
    <row r="715" spans="1:2" ht="15" hidden="1" x14ac:dyDescent="0.25">
      <c r="A715" s="511" t="s">
        <v>825</v>
      </c>
      <c r="B715" s="511" t="s">
        <v>826</v>
      </c>
    </row>
    <row r="716" spans="1:2" ht="15" hidden="1" x14ac:dyDescent="0.25">
      <c r="A716" s="511" t="s">
        <v>825</v>
      </c>
      <c r="B716" s="511" t="s">
        <v>826</v>
      </c>
    </row>
    <row r="717" spans="1:2" ht="15" hidden="1" x14ac:dyDescent="0.25">
      <c r="A717" s="511" t="s">
        <v>825</v>
      </c>
      <c r="B717" s="511" t="s">
        <v>826</v>
      </c>
    </row>
    <row r="718" spans="1:2" ht="15" hidden="1" x14ac:dyDescent="0.25">
      <c r="A718" s="511" t="s">
        <v>825</v>
      </c>
      <c r="B718" s="511" t="s">
        <v>826</v>
      </c>
    </row>
    <row r="719" spans="1:2" ht="15" hidden="1" x14ac:dyDescent="0.25">
      <c r="A719" s="511" t="s">
        <v>827</v>
      </c>
      <c r="B719" s="511" t="s">
        <v>828</v>
      </c>
    </row>
    <row r="720" spans="1:2" ht="15" hidden="1" x14ac:dyDescent="0.25">
      <c r="A720" s="511" t="s">
        <v>829</v>
      </c>
      <c r="B720" s="511" t="s">
        <v>830</v>
      </c>
    </row>
    <row r="721" spans="1:2" ht="15" hidden="1" x14ac:dyDescent="0.25">
      <c r="A721" s="511" t="s">
        <v>831</v>
      </c>
      <c r="B721" s="511" t="s">
        <v>832</v>
      </c>
    </row>
    <row r="722" spans="1:2" ht="15" hidden="1" x14ac:dyDescent="0.25">
      <c r="A722" s="511" t="s">
        <v>833</v>
      </c>
      <c r="B722" s="511" t="s">
        <v>834</v>
      </c>
    </row>
    <row r="723" spans="1:2" ht="15" hidden="1" x14ac:dyDescent="0.25">
      <c r="A723" s="511" t="s">
        <v>833</v>
      </c>
      <c r="B723" s="511" t="s">
        <v>834</v>
      </c>
    </row>
    <row r="724" spans="1:2" ht="15" hidden="1" x14ac:dyDescent="0.25">
      <c r="A724" s="511" t="s">
        <v>835</v>
      </c>
      <c r="B724" s="511" t="s">
        <v>836</v>
      </c>
    </row>
    <row r="725" spans="1:2" ht="15" hidden="1" x14ac:dyDescent="0.25">
      <c r="A725" s="511" t="s">
        <v>837</v>
      </c>
      <c r="B725" s="511" t="s">
        <v>838</v>
      </c>
    </row>
    <row r="726" spans="1:2" ht="15" hidden="1" x14ac:dyDescent="0.25">
      <c r="A726" s="511" t="s">
        <v>839</v>
      </c>
      <c r="B726" s="511" t="s">
        <v>840</v>
      </c>
    </row>
    <row r="727" spans="1:2" ht="15" hidden="1" x14ac:dyDescent="0.25">
      <c r="A727" s="511" t="s">
        <v>839</v>
      </c>
      <c r="B727" s="511" t="s">
        <v>840</v>
      </c>
    </row>
    <row r="728" spans="1:2" ht="15" hidden="1" x14ac:dyDescent="0.25">
      <c r="A728" s="511" t="s">
        <v>841</v>
      </c>
      <c r="B728" s="511" t="s">
        <v>842</v>
      </c>
    </row>
    <row r="729" spans="1:2" ht="15" hidden="1" x14ac:dyDescent="0.25">
      <c r="A729" s="511" t="s">
        <v>841</v>
      </c>
      <c r="B729" s="511" t="s">
        <v>842</v>
      </c>
    </row>
    <row r="730" spans="1:2" ht="15" hidden="1" x14ac:dyDescent="0.25">
      <c r="A730" s="511" t="s">
        <v>841</v>
      </c>
      <c r="B730" s="511" t="s">
        <v>842</v>
      </c>
    </row>
    <row r="731" spans="1:2" ht="15" hidden="1" x14ac:dyDescent="0.25">
      <c r="A731" s="511" t="s">
        <v>841</v>
      </c>
      <c r="B731" s="511" t="s">
        <v>842</v>
      </c>
    </row>
    <row r="732" spans="1:2" ht="15" hidden="1" x14ac:dyDescent="0.25">
      <c r="A732" s="511" t="s">
        <v>841</v>
      </c>
      <c r="B732" s="511" t="s">
        <v>842</v>
      </c>
    </row>
    <row r="733" spans="1:2" ht="15" hidden="1" x14ac:dyDescent="0.25">
      <c r="A733" s="511" t="s">
        <v>841</v>
      </c>
      <c r="B733" s="511" t="s">
        <v>842</v>
      </c>
    </row>
    <row r="734" spans="1:2" ht="15" hidden="1" x14ac:dyDescent="0.25">
      <c r="A734" s="511" t="s">
        <v>841</v>
      </c>
      <c r="B734" s="511" t="s">
        <v>842</v>
      </c>
    </row>
    <row r="735" spans="1:2" ht="15" hidden="1" x14ac:dyDescent="0.25">
      <c r="A735" s="511" t="s">
        <v>843</v>
      </c>
      <c r="B735" s="511" t="s">
        <v>844</v>
      </c>
    </row>
    <row r="736" spans="1:2" ht="15" hidden="1" x14ac:dyDescent="0.25">
      <c r="A736" s="511" t="s">
        <v>845</v>
      </c>
      <c r="B736" s="511" t="s">
        <v>846</v>
      </c>
    </row>
    <row r="737" spans="1:2" ht="15" hidden="1" x14ac:dyDescent="0.25">
      <c r="A737" s="511" t="s">
        <v>847</v>
      </c>
      <c r="B737" s="511" t="s">
        <v>848</v>
      </c>
    </row>
    <row r="738" spans="1:2" ht="15" hidden="1" x14ac:dyDescent="0.25">
      <c r="A738" s="511" t="s">
        <v>849</v>
      </c>
      <c r="B738" s="511" t="s">
        <v>850</v>
      </c>
    </row>
    <row r="739" spans="1:2" ht="15" hidden="1" x14ac:dyDescent="0.25">
      <c r="A739" s="511" t="s">
        <v>851</v>
      </c>
      <c r="B739" s="511" t="s">
        <v>852</v>
      </c>
    </row>
    <row r="740" spans="1:2" ht="15" hidden="1" x14ac:dyDescent="0.25">
      <c r="A740" s="511" t="s">
        <v>853</v>
      </c>
      <c r="B740" s="511" t="s">
        <v>854</v>
      </c>
    </row>
    <row r="741" spans="1:2" ht="15" hidden="1" x14ac:dyDescent="0.25">
      <c r="A741" s="511" t="s">
        <v>855</v>
      </c>
      <c r="B741" s="511" t="s">
        <v>856</v>
      </c>
    </row>
    <row r="742" spans="1:2" ht="15" hidden="1" x14ac:dyDescent="0.25">
      <c r="A742" s="511" t="s">
        <v>204</v>
      </c>
      <c r="B742" s="511" t="s">
        <v>438</v>
      </c>
    </row>
    <row r="743" spans="1:2" ht="15" hidden="1" x14ac:dyDescent="0.25">
      <c r="A743" s="511" t="s">
        <v>857</v>
      </c>
      <c r="B743" s="511" t="s">
        <v>858</v>
      </c>
    </row>
    <row r="744" spans="1:2" ht="15" hidden="1" x14ac:dyDescent="0.25">
      <c r="A744" s="511" t="s">
        <v>859</v>
      </c>
      <c r="B744" s="511" t="s">
        <v>860</v>
      </c>
    </row>
    <row r="745" spans="1:2" ht="15" hidden="1" x14ac:dyDescent="0.25">
      <c r="A745" s="511" t="s">
        <v>861</v>
      </c>
      <c r="B745" s="511" t="s">
        <v>862</v>
      </c>
    </row>
    <row r="746" spans="1:2" ht="15" hidden="1" x14ac:dyDescent="0.25">
      <c r="A746" s="511" t="s">
        <v>863</v>
      </c>
      <c r="B746" s="511" t="s">
        <v>864</v>
      </c>
    </row>
    <row r="747" spans="1:2" ht="15" hidden="1" x14ac:dyDescent="0.25">
      <c r="A747" s="511" t="s">
        <v>863</v>
      </c>
      <c r="B747" s="511" t="s">
        <v>864</v>
      </c>
    </row>
    <row r="748" spans="1:2" ht="15" hidden="1" x14ac:dyDescent="0.25">
      <c r="A748" s="511" t="s">
        <v>863</v>
      </c>
      <c r="B748" s="511" t="s">
        <v>864</v>
      </c>
    </row>
    <row r="749" spans="1:2" ht="15" hidden="1" x14ac:dyDescent="0.25">
      <c r="A749" s="511" t="s">
        <v>865</v>
      </c>
      <c r="B749" s="511" t="s">
        <v>866</v>
      </c>
    </row>
    <row r="750" spans="1:2" ht="15" hidden="1" x14ac:dyDescent="0.25">
      <c r="A750" s="511" t="s">
        <v>865</v>
      </c>
      <c r="B750" s="511" t="s">
        <v>866</v>
      </c>
    </row>
    <row r="751" spans="1:2" ht="15" hidden="1" x14ac:dyDescent="0.25">
      <c r="A751" s="511" t="s">
        <v>865</v>
      </c>
      <c r="B751" s="511" t="s">
        <v>866</v>
      </c>
    </row>
    <row r="752" spans="1:2" ht="15" hidden="1" x14ac:dyDescent="0.25">
      <c r="A752" s="511" t="s">
        <v>867</v>
      </c>
      <c r="B752" s="511" t="s">
        <v>868</v>
      </c>
    </row>
    <row r="753" spans="1:2" ht="15" hidden="1" x14ac:dyDescent="0.25">
      <c r="A753" s="511" t="s">
        <v>867</v>
      </c>
      <c r="B753" s="511" t="s">
        <v>868</v>
      </c>
    </row>
    <row r="754" spans="1:2" ht="15" hidden="1" x14ac:dyDescent="0.25">
      <c r="A754" s="511" t="s">
        <v>869</v>
      </c>
      <c r="B754" s="511" t="s">
        <v>870</v>
      </c>
    </row>
    <row r="755" spans="1:2" ht="15" hidden="1" x14ac:dyDescent="0.25">
      <c r="A755" s="511" t="s">
        <v>869</v>
      </c>
      <c r="B755" s="511" t="s">
        <v>870</v>
      </c>
    </row>
    <row r="756" spans="1:2" ht="15" hidden="1" x14ac:dyDescent="0.25">
      <c r="A756" s="511" t="s">
        <v>871</v>
      </c>
      <c r="B756" s="511" t="s">
        <v>872</v>
      </c>
    </row>
    <row r="757" spans="1:2" ht="15" hidden="1" x14ac:dyDescent="0.25">
      <c r="A757" s="511" t="s">
        <v>871</v>
      </c>
      <c r="B757" s="511" t="s">
        <v>872</v>
      </c>
    </row>
    <row r="758" spans="1:2" ht="15" hidden="1" x14ac:dyDescent="0.25">
      <c r="A758" s="511" t="s">
        <v>873</v>
      </c>
      <c r="B758" s="511" t="s">
        <v>874</v>
      </c>
    </row>
    <row r="759" spans="1:2" ht="15" hidden="1" x14ac:dyDescent="0.25">
      <c r="A759" s="511" t="s">
        <v>875</v>
      </c>
      <c r="B759" s="511" t="s">
        <v>876</v>
      </c>
    </row>
    <row r="760" spans="1:2" ht="15" hidden="1" x14ac:dyDescent="0.25">
      <c r="A760" s="511" t="s">
        <v>875</v>
      </c>
      <c r="B760" s="511" t="s">
        <v>876</v>
      </c>
    </row>
    <row r="761" spans="1:2" ht="15" hidden="1" x14ac:dyDescent="0.25">
      <c r="A761" s="511" t="s">
        <v>875</v>
      </c>
      <c r="B761" s="511" t="s">
        <v>876</v>
      </c>
    </row>
    <row r="762" spans="1:2" ht="15" hidden="1" x14ac:dyDescent="0.25">
      <c r="A762" s="511" t="s">
        <v>205</v>
      </c>
      <c r="B762" s="511" t="s">
        <v>442</v>
      </c>
    </row>
    <row r="763" spans="1:2" ht="15" hidden="1" x14ac:dyDescent="0.25">
      <c r="A763" s="511" t="s">
        <v>205</v>
      </c>
      <c r="B763" s="511" t="s">
        <v>442</v>
      </c>
    </row>
    <row r="764" spans="1:2" ht="15" hidden="1" x14ac:dyDescent="0.25">
      <c r="A764" s="512" t="s">
        <v>877</v>
      </c>
      <c r="B764" s="511" t="s">
        <v>878</v>
      </c>
    </row>
    <row r="765" spans="1:2" ht="15" hidden="1" x14ac:dyDescent="0.25">
      <c r="A765" s="511" t="s">
        <v>879</v>
      </c>
      <c r="B765" s="511" t="s">
        <v>880</v>
      </c>
    </row>
    <row r="766" spans="1:2" ht="15" hidden="1" x14ac:dyDescent="0.25">
      <c r="A766" s="511" t="s">
        <v>881</v>
      </c>
      <c r="B766" s="511" t="s">
        <v>816</v>
      </c>
    </row>
    <row r="767" spans="1:2" ht="15" hidden="1" x14ac:dyDescent="0.25">
      <c r="A767" s="511" t="s">
        <v>881</v>
      </c>
      <c r="B767" s="511" t="s">
        <v>816</v>
      </c>
    </row>
    <row r="768" spans="1:2" ht="15" hidden="1" x14ac:dyDescent="0.25">
      <c r="A768" s="511" t="s">
        <v>882</v>
      </c>
      <c r="B768" s="511" t="s">
        <v>883</v>
      </c>
    </row>
    <row r="769" spans="1:2" ht="15" hidden="1" x14ac:dyDescent="0.25">
      <c r="A769" s="511" t="s">
        <v>884</v>
      </c>
      <c r="B769" s="511" t="s">
        <v>885</v>
      </c>
    </row>
    <row r="770" spans="1:2" ht="15" hidden="1" x14ac:dyDescent="0.25">
      <c r="A770" s="511" t="s">
        <v>886</v>
      </c>
      <c r="B770" s="511" t="s">
        <v>887</v>
      </c>
    </row>
    <row r="771" spans="1:2" ht="15" hidden="1" x14ac:dyDescent="0.25">
      <c r="A771" s="511" t="s">
        <v>888</v>
      </c>
      <c r="B771" s="511" t="s">
        <v>889</v>
      </c>
    </row>
    <row r="772" spans="1:2" ht="15" hidden="1" x14ac:dyDescent="0.25">
      <c r="A772" s="511" t="s">
        <v>890</v>
      </c>
      <c r="B772" s="511" t="s">
        <v>891</v>
      </c>
    </row>
    <row r="773" spans="1:2" ht="15" hidden="1" x14ac:dyDescent="0.25">
      <c r="A773" s="511" t="s">
        <v>892</v>
      </c>
      <c r="B773" s="511" t="s">
        <v>893</v>
      </c>
    </row>
    <row r="774" spans="1:2" ht="15" hidden="1" x14ac:dyDescent="0.25">
      <c r="A774" s="511" t="s">
        <v>894</v>
      </c>
      <c r="B774" s="511" t="s">
        <v>895</v>
      </c>
    </row>
    <row r="775" spans="1:2" ht="15" hidden="1" x14ac:dyDescent="0.25">
      <c r="A775" s="511" t="s">
        <v>896</v>
      </c>
      <c r="B775" s="511" t="s">
        <v>897</v>
      </c>
    </row>
    <row r="776" spans="1:2" ht="15" hidden="1" x14ac:dyDescent="0.25">
      <c r="A776" s="511" t="s">
        <v>898</v>
      </c>
      <c r="B776" s="511" t="s">
        <v>899</v>
      </c>
    </row>
    <row r="777" spans="1:2" ht="15" hidden="1" x14ac:dyDescent="0.25">
      <c r="A777" s="511" t="s">
        <v>898</v>
      </c>
      <c r="B777" s="511" t="s">
        <v>899</v>
      </c>
    </row>
    <row r="778" spans="1:2" ht="15" hidden="1" x14ac:dyDescent="0.25">
      <c r="A778" s="511" t="s">
        <v>898</v>
      </c>
      <c r="B778" s="511" t="s">
        <v>899</v>
      </c>
    </row>
    <row r="779" spans="1:2" ht="15" hidden="1" x14ac:dyDescent="0.25">
      <c r="A779" s="511" t="s">
        <v>898</v>
      </c>
      <c r="B779" s="511" t="s">
        <v>899</v>
      </c>
    </row>
    <row r="780" spans="1:2" ht="15" hidden="1" x14ac:dyDescent="0.25">
      <c r="A780" s="511" t="s">
        <v>900</v>
      </c>
      <c r="B780" s="511" t="s">
        <v>901</v>
      </c>
    </row>
    <row r="781" spans="1:2" ht="15" hidden="1" x14ac:dyDescent="0.25">
      <c r="A781" s="511" t="s">
        <v>900</v>
      </c>
      <c r="B781" s="511" t="s">
        <v>901</v>
      </c>
    </row>
    <row r="782" spans="1:2" ht="15" hidden="1" x14ac:dyDescent="0.25">
      <c r="A782" s="511" t="s">
        <v>900</v>
      </c>
      <c r="B782" s="511" t="s">
        <v>901</v>
      </c>
    </row>
    <row r="783" spans="1:2" ht="15" hidden="1" x14ac:dyDescent="0.25">
      <c r="A783" s="511" t="s">
        <v>902</v>
      </c>
      <c r="B783" s="511" t="s">
        <v>903</v>
      </c>
    </row>
    <row r="784" spans="1:2" ht="15" hidden="1" x14ac:dyDescent="0.25">
      <c r="A784" s="511" t="s">
        <v>190</v>
      </c>
      <c r="B784" s="511" t="s">
        <v>360</v>
      </c>
    </row>
    <row r="785" spans="1:2" ht="15" hidden="1" x14ac:dyDescent="0.25">
      <c r="A785" s="511" t="s">
        <v>190</v>
      </c>
      <c r="B785" s="511" t="s">
        <v>360</v>
      </c>
    </row>
    <row r="786" spans="1:2" ht="15" hidden="1" x14ac:dyDescent="0.25">
      <c r="A786" s="511" t="s">
        <v>190</v>
      </c>
      <c r="B786" s="511" t="s">
        <v>360</v>
      </c>
    </row>
    <row r="787" spans="1:2" ht="15" hidden="1" x14ac:dyDescent="0.25">
      <c r="A787" s="511" t="s">
        <v>190</v>
      </c>
      <c r="B787" s="511" t="s">
        <v>360</v>
      </c>
    </row>
    <row r="788" spans="1:2" ht="15" hidden="1" x14ac:dyDescent="0.25">
      <c r="A788" s="511" t="s">
        <v>190</v>
      </c>
      <c r="B788" s="511" t="s">
        <v>360</v>
      </c>
    </row>
    <row r="789" spans="1:2" ht="15" hidden="1" x14ac:dyDescent="0.25">
      <c r="A789" s="511" t="s">
        <v>190</v>
      </c>
      <c r="B789" s="511" t="s">
        <v>360</v>
      </c>
    </row>
    <row r="790" spans="1:2" ht="15" hidden="1" x14ac:dyDescent="0.25">
      <c r="A790" s="511" t="s">
        <v>190</v>
      </c>
      <c r="B790" s="511" t="s">
        <v>360</v>
      </c>
    </row>
    <row r="791" spans="1:2" ht="15" hidden="1" x14ac:dyDescent="0.25">
      <c r="A791" s="511" t="s">
        <v>190</v>
      </c>
      <c r="B791" s="511" t="s">
        <v>360</v>
      </c>
    </row>
    <row r="792" spans="1:2" ht="15" hidden="1" x14ac:dyDescent="0.25">
      <c r="A792" s="511" t="s">
        <v>190</v>
      </c>
      <c r="B792" s="511" t="s">
        <v>360</v>
      </c>
    </row>
    <row r="793" spans="1:2" ht="15" hidden="1" x14ac:dyDescent="0.25">
      <c r="A793" s="511" t="s">
        <v>190</v>
      </c>
      <c r="B793" s="511" t="s">
        <v>360</v>
      </c>
    </row>
    <row r="794" spans="1:2" ht="15" hidden="1" x14ac:dyDescent="0.25">
      <c r="A794" s="511" t="s">
        <v>190</v>
      </c>
      <c r="B794" s="511" t="s">
        <v>360</v>
      </c>
    </row>
    <row r="795" spans="1:2" ht="15" hidden="1" x14ac:dyDescent="0.25">
      <c r="A795" s="511" t="s">
        <v>192</v>
      </c>
      <c r="B795" s="511" t="s">
        <v>362</v>
      </c>
    </row>
    <row r="796" spans="1:2" ht="15" hidden="1" x14ac:dyDescent="0.25">
      <c r="A796" s="511" t="s">
        <v>192</v>
      </c>
      <c r="B796" s="511" t="s">
        <v>362</v>
      </c>
    </row>
    <row r="797" spans="1:2" ht="15" hidden="1" x14ac:dyDescent="0.25">
      <c r="A797" s="511" t="s">
        <v>192</v>
      </c>
      <c r="B797" s="511" t="s">
        <v>362</v>
      </c>
    </row>
    <row r="798" spans="1:2" ht="15" hidden="1" x14ac:dyDescent="0.25">
      <c r="A798" s="511" t="s">
        <v>192</v>
      </c>
      <c r="B798" s="511" t="s">
        <v>362</v>
      </c>
    </row>
    <row r="799" spans="1:2" ht="15" hidden="1" x14ac:dyDescent="0.25">
      <c r="A799" s="511" t="s">
        <v>192</v>
      </c>
      <c r="B799" s="511" t="s">
        <v>362</v>
      </c>
    </row>
    <row r="800" spans="1:2" ht="15" hidden="1" x14ac:dyDescent="0.25">
      <c r="A800" s="511" t="s">
        <v>192</v>
      </c>
      <c r="B800" s="511" t="s">
        <v>362</v>
      </c>
    </row>
    <row r="801" spans="1:2" ht="15" hidden="1" x14ac:dyDescent="0.25">
      <c r="A801" s="511" t="s">
        <v>192</v>
      </c>
      <c r="B801" s="511" t="s">
        <v>362</v>
      </c>
    </row>
    <row r="802" spans="1:2" ht="15" hidden="1" x14ac:dyDescent="0.25">
      <c r="A802" s="511" t="s">
        <v>192</v>
      </c>
      <c r="B802" s="511" t="s">
        <v>362</v>
      </c>
    </row>
    <row r="803" spans="1:2" ht="15" hidden="1" x14ac:dyDescent="0.25">
      <c r="A803" s="511" t="s">
        <v>192</v>
      </c>
      <c r="B803" s="511" t="s">
        <v>362</v>
      </c>
    </row>
    <row r="804" spans="1:2" ht="15" hidden="1" x14ac:dyDescent="0.25">
      <c r="A804" s="511" t="s">
        <v>192</v>
      </c>
      <c r="B804" s="511" t="s">
        <v>362</v>
      </c>
    </row>
    <row r="805" spans="1:2" ht="15" hidden="1" x14ac:dyDescent="0.25">
      <c r="A805" s="511" t="s">
        <v>192</v>
      </c>
      <c r="B805" s="511" t="s">
        <v>362</v>
      </c>
    </row>
    <row r="806" spans="1:2" ht="15" hidden="1" x14ac:dyDescent="0.25">
      <c r="A806" s="511" t="s">
        <v>192</v>
      </c>
      <c r="B806" s="511" t="s">
        <v>362</v>
      </c>
    </row>
    <row r="807" spans="1:2" ht="15" hidden="1" x14ac:dyDescent="0.25">
      <c r="A807" s="511" t="s">
        <v>192</v>
      </c>
      <c r="B807" s="511" t="s">
        <v>362</v>
      </c>
    </row>
    <row r="808" spans="1:2" ht="15" hidden="1" x14ac:dyDescent="0.25">
      <c r="A808" s="511" t="s">
        <v>192</v>
      </c>
      <c r="B808" s="511" t="s">
        <v>362</v>
      </c>
    </row>
    <row r="809" spans="1:2" ht="15" hidden="1" x14ac:dyDescent="0.25">
      <c r="A809" s="511" t="s">
        <v>192</v>
      </c>
      <c r="B809" s="511" t="s">
        <v>362</v>
      </c>
    </row>
    <row r="810" spans="1:2" ht="15" hidden="1" x14ac:dyDescent="0.25">
      <c r="A810" s="511" t="s">
        <v>192</v>
      </c>
      <c r="B810" s="511" t="s">
        <v>362</v>
      </c>
    </row>
    <row r="811" spans="1:2" ht="15" hidden="1" x14ac:dyDescent="0.25">
      <c r="A811" s="511" t="s">
        <v>192</v>
      </c>
      <c r="B811" s="511" t="s">
        <v>362</v>
      </c>
    </row>
    <row r="812" spans="1:2" ht="15" hidden="1" x14ac:dyDescent="0.25">
      <c r="A812" s="511" t="s">
        <v>192</v>
      </c>
      <c r="B812" s="511" t="s">
        <v>362</v>
      </c>
    </row>
    <row r="813" spans="1:2" ht="15" hidden="1" x14ac:dyDescent="0.25">
      <c r="A813" s="511" t="s">
        <v>192</v>
      </c>
      <c r="B813" s="511" t="s">
        <v>362</v>
      </c>
    </row>
    <row r="814" spans="1:2" ht="15" hidden="1" x14ac:dyDescent="0.25">
      <c r="A814" s="511" t="s">
        <v>192</v>
      </c>
      <c r="B814" s="511" t="s">
        <v>362</v>
      </c>
    </row>
    <row r="815" spans="1:2" ht="15" hidden="1" x14ac:dyDescent="0.25">
      <c r="A815" s="511" t="s">
        <v>192</v>
      </c>
      <c r="B815" s="511" t="s">
        <v>362</v>
      </c>
    </row>
    <row r="816" spans="1:2" ht="15" hidden="1" x14ac:dyDescent="0.25">
      <c r="A816" s="511" t="s">
        <v>192</v>
      </c>
      <c r="B816" s="511" t="s">
        <v>362</v>
      </c>
    </row>
    <row r="817" spans="1:2" ht="15" hidden="1" x14ac:dyDescent="0.25">
      <c r="A817" s="511" t="s">
        <v>192</v>
      </c>
      <c r="B817" s="511" t="s">
        <v>362</v>
      </c>
    </row>
    <row r="818" spans="1:2" ht="15" hidden="1" x14ac:dyDescent="0.25">
      <c r="A818" s="511" t="s">
        <v>192</v>
      </c>
      <c r="B818" s="511" t="s">
        <v>362</v>
      </c>
    </row>
    <row r="819" spans="1:2" ht="15" hidden="1" x14ac:dyDescent="0.25">
      <c r="A819" s="511" t="s">
        <v>192</v>
      </c>
      <c r="B819" s="511" t="s">
        <v>362</v>
      </c>
    </row>
    <row r="820" spans="1:2" ht="15" hidden="1" x14ac:dyDescent="0.25">
      <c r="A820" s="511" t="s">
        <v>192</v>
      </c>
      <c r="B820" s="511" t="s">
        <v>362</v>
      </c>
    </row>
    <row r="821" spans="1:2" ht="15" hidden="1" x14ac:dyDescent="0.25">
      <c r="A821" s="511" t="s">
        <v>192</v>
      </c>
      <c r="B821" s="511" t="s">
        <v>362</v>
      </c>
    </row>
    <row r="822" spans="1:2" ht="15" hidden="1" x14ac:dyDescent="0.25">
      <c r="A822" s="511" t="s">
        <v>192</v>
      </c>
      <c r="B822" s="511" t="s">
        <v>362</v>
      </c>
    </row>
    <row r="823" spans="1:2" ht="15" hidden="1" x14ac:dyDescent="0.25">
      <c r="A823" s="511" t="s">
        <v>192</v>
      </c>
      <c r="B823" s="511" t="s">
        <v>362</v>
      </c>
    </row>
    <row r="824" spans="1:2" ht="15" hidden="1" x14ac:dyDescent="0.25">
      <c r="A824" s="511" t="s">
        <v>192</v>
      </c>
      <c r="B824" s="511" t="s">
        <v>362</v>
      </c>
    </row>
    <row r="825" spans="1:2" ht="15" hidden="1" x14ac:dyDescent="0.25">
      <c r="A825" s="511" t="s">
        <v>192</v>
      </c>
      <c r="B825" s="511" t="s">
        <v>362</v>
      </c>
    </row>
    <row r="826" spans="1:2" ht="15" hidden="1" x14ac:dyDescent="0.25">
      <c r="A826" s="511" t="s">
        <v>192</v>
      </c>
      <c r="B826" s="511" t="s">
        <v>362</v>
      </c>
    </row>
    <row r="827" spans="1:2" ht="15" hidden="1" x14ac:dyDescent="0.25">
      <c r="A827" s="511" t="s">
        <v>192</v>
      </c>
      <c r="B827" s="511" t="s">
        <v>362</v>
      </c>
    </row>
    <row r="828" spans="1:2" ht="15" hidden="1" x14ac:dyDescent="0.25">
      <c r="A828" s="511" t="s">
        <v>192</v>
      </c>
      <c r="B828" s="511" t="s">
        <v>362</v>
      </c>
    </row>
    <row r="829" spans="1:2" ht="15" hidden="1" x14ac:dyDescent="0.25">
      <c r="A829" s="511" t="s">
        <v>192</v>
      </c>
      <c r="B829" s="511" t="s">
        <v>362</v>
      </c>
    </row>
    <row r="830" spans="1:2" ht="15" hidden="1" x14ac:dyDescent="0.25">
      <c r="A830" s="511" t="s">
        <v>192</v>
      </c>
      <c r="B830" s="511" t="s">
        <v>362</v>
      </c>
    </row>
    <row r="831" spans="1:2" ht="15" hidden="1" x14ac:dyDescent="0.25">
      <c r="A831" s="511" t="s">
        <v>193</v>
      </c>
      <c r="B831" s="511" t="s">
        <v>363</v>
      </c>
    </row>
    <row r="832" spans="1:2" ht="15" hidden="1" x14ac:dyDescent="0.25">
      <c r="A832" s="511" t="s">
        <v>193</v>
      </c>
      <c r="B832" s="511" t="s">
        <v>363</v>
      </c>
    </row>
    <row r="833" spans="1:2" ht="15" hidden="1" x14ac:dyDescent="0.25">
      <c r="A833" s="511" t="s">
        <v>193</v>
      </c>
      <c r="B833" s="511" t="s">
        <v>363</v>
      </c>
    </row>
    <row r="834" spans="1:2" ht="15" hidden="1" x14ac:dyDescent="0.25">
      <c r="A834" s="511" t="s">
        <v>193</v>
      </c>
      <c r="B834" s="511" t="s">
        <v>363</v>
      </c>
    </row>
    <row r="835" spans="1:2" ht="15" hidden="1" x14ac:dyDescent="0.25">
      <c r="A835" s="511" t="s">
        <v>193</v>
      </c>
      <c r="B835" s="511" t="s">
        <v>363</v>
      </c>
    </row>
    <row r="836" spans="1:2" ht="15" hidden="1" x14ac:dyDescent="0.25">
      <c r="A836" s="511" t="s">
        <v>193</v>
      </c>
      <c r="B836" s="511" t="s">
        <v>363</v>
      </c>
    </row>
    <row r="837" spans="1:2" ht="15" hidden="1" x14ac:dyDescent="0.25">
      <c r="A837" s="511" t="s">
        <v>193</v>
      </c>
      <c r="B837" s="511" t="s">
        <v>363</v>
      </c>
    </row>
    <row r="838" spans="1:2" ht="15" hidden="1" x14ac:dyDescent="0.25">
      <c r="A838" s="511" t="s">
        <v>193</v>
      </c>
      <c r="B838" s="511" t="s">
        <v>363</v>
      </c>
    </row>
    <row r="839" spans="1:2" ht="15" hidden="1" x14ac:dyDescent="0.25">
      <c r="A839" s="511" t="s">
        <v>193</v>
      </c>
      <c r="B839" s="511" t="s">
        <v>363</v>
      </c>
    </row>
    <row r="840" spans="1:2" ht="15" hidden="1" x14ac:dyDescent="0.25">
      <c r="A840" s="511" t="s">
        <v>193</v>
      </c>
      <c r="B840" s="511" t="s">
        <v>363</v>
      </c>
    </row>
    <row r="841" spans="1:2" ht="15" hidden="1" x14ac:dyDescent="0.25">
      <c r="A841" s="511" t="s">
        <v>193</v>
      </c>
      <c r="B841" s="511" t="s">
        <v>363</v>
      </c>
    </row>
    <row r="842" spans="1:2" ht="15" hidden="1" x14ac:dyDescent="0.25">
      <c r="A842" s="511" t="s">
        <v>193</v>
      </c>
      <c r="B842" s="511" t="s">
        <v>363</v>
      </c>
    </row>
    <row r="843" spans="1:2" ht="15" hidden="1" x14ac:dyDescent="0.25">
      <c r="A843" s="511" t="s">
        <v>193</v>
      </c>
      <c r="B843" s="511" t="s">
        <v>363</v>
      </c>
    </row>
    <row r="844" spans="1:2" ht="15" hidden="1" x14ac:dyDescent="0.25">
      <c r="A844" s="511" t="s">
        <v>193</v>
      </c>
      <c r="B844" s="511" t="s">
        <v>363</v>
      </c>
    </row>
    <row r="845" spans="1:2" ht="15" hidden="1" x14ac:dyDescent="0.25">
      <c r="A845" s="511" t="s">
        <v>195</v>
      </c>
      <c r="B845" s="511" t="s">
        <v>367</v>
      </c>
    </row>
    <row r="846" spans="1:2" ht="15" hidden="1" x14ac:dyDescent="0.25">
      <c r="A846" s="511" t="s">
        <v>195</v>
      </c>
      <c r="B846" s="511" t="s">
        <v>367</v>
      </c>
    </row>
    <row r="847" spans="1:2" ht="15" hidden="1" x14ac:dyDescent="0.25">
      <c r="A847" s="511" t="s">
        <v>195</v>
      </c>
      <c r="B847" s="511" t="s">
        <v>367</v>
      </c>
    </row>
    <row r="848" spans="1:2" ht="15" hidden="1" x14ac:dyDescent="0.25">
      <c r="A848" s="511" t="s">
        <v>195</v>
      </c>
      <c r="B848" s="511" t="s">
        <v>367</v>
      </c>
    </row>
    <row r="849" spans="1:2" ht="15" hidden="1" x14ac:dyDescent="0.25">
      <c r="A849" s="511" t="s">
        <v>195</v>
      </c>
      <c r="B849" s="511" t="s">
        <v>367</v>
      </c>
    </row>
    <row r="850" spans="1:2" ht="15" hidden="1" x14ac:dyDescent="0.25">
      <c r="A850" s="511" t="s">
        <v>195</v>
      </c>
      <c r="B850" s="511" t="s">
        <v>367</v>
      </c>
    </row>
    <row r="851" spans="1:2" ht="15" hidden="1" x14ac:dyDescent="0.25">
      <c r="A851" s="511" t="s">
        <v>195</v>
      </c>
      <c r="B851" s="511" t="s">
        <v>367</v>
      </c>
    </row>
    <row r="852" spans="1:2" ht="15" hidden="1" x14ac:dyDescent="0.25">
      <c r="A852" s="511" t="s">
        <v>196</v>
      </c>
      <c r="B852" s="511" t="s">
        <v>368</v>
      </c>
    </row>
    <row r="853" spans="1:2" ht="15" hidden="1" x14ac:dyDescent="0.25">
      <c r="A853" s="511" t="s">
        <v>197</v>
      </c>
      <c r="B853" s="511" t="s">
        <v>369</v>
      </c>
    </row>
    <row r="854" spans="1:2" ht="15" hidden="1" x14ac:dyDescent="0.25">
      <c r="A854" s="511" t="s">
        <v>197</v>
      </c>
      <c r="B854" s="511" t="s">
        <v>369</v>
      </c>
    </row>
    <row r="855" spans="1:2" ht="15" hidden="1" x14ac:dyDescent="0.25">
      <c r="A855" s="511" t="s">
        <v>197</v>
      </c>
      <c r="B855" s="511" t="s">
        <v>369</v>
      </c>
    </row>
    <row r="856" spans="1:2" ht="15" hidden="1" x14ac:dyDescent="0.25">
      <c r="A856" s="511" t="s">
        <v>197</v>
      </c>
      <c r="B856" s="511" t="s">
        <v>369</v>
      </c>
    </row>
    <row r="857" spans="1:2" ht="15" hidden="1" x14ac:dyDescent="0.25">
      <c r="A857" s="511" t="s">
        <v>197</v>
      </c>
      <c r="B857" s="511" t="s">
        <v>369</v>
      </c>
    </row>
    <row r="858" spans="1:2" ht="15" hidden="1" x14ac:dyDescent="0.25">
      <c r="A858" s="511" t="s">
        <v>904</v>
      </c>
      <c r="B858" s="511" t="s">
        <v>905</v>
      </c>
    </row>
    <row r="859" spans="1:2" ht="15" hidden="1" x14ac:dyDescent="0.25">
      <c r="A859" s="511" t="s">
        <v>451</v>
      </c>
      <c r="B859" s="511" t="s">
        <v>452</v>
      </c>
    </row>
    <row r="860" spans="1:2" ht="15" hidden="1" x14ac:dyDescent="0.25">
      <c r="A860" s="511" t="s">
        <v>451</v>
      </c>
      <c r="B860" s="511" t="s">
        <v>452</v>
      </c>
    </row>
    <row r="861" spans="1:2" ht="15" hidden="1" x14ac:dyDescent="0.25">
      <c r="A861" s="511" t="s">
        <v>451</v>
      </c>
      <c r="B861" s="511" t="s">
        <v>452</v>
      </c>
    </row>
    <row r="862" spans="1:2" ht="15" hidden="1" x14ac:dyDescent="0.25">
      <c r="A862" s="511" t="s">
        <v>451</v>
      </c>
      <c r="B862" s="511" t="s">
        <v>452</v>
      </c>
    </row>
    <row r="863" spans="1:2" ht="15" hidden="1" x14ac:dyDescent="0.25">
      <c r="A863" s="511" t="s">
        <v>451</v>
      </c>
      <c r="B863" s="511" t="s">
        <v>452</v>
      </c>
    </row>
    <row r="864" spans="1:2" ht="15" hidden="1" x14ac:dyDescent="0.25">
      <c r="A864" s="511" t="s">
        <v>451</v>
      </c>
      <c r="B864" s="511" t="s">
        <v>452</v>
      </c>
    </row>
    <row r="865" spans="1:2" ht="15" hidden="1" x14ac:dyDescent="0.25">
      <c r="A865" s="511" t="s">
        <v>451</v>
      </c>
      <c r="B865" s="511" t="s">
        <v>452</v>
      </c>
    </row>
    <row r="866" spans="1:2" ht="15" hidden="1" x14ac:dyDescent="0.25">
      <c r="A866" s="511" t="s">
        <v>451</v>
      </c>
      <c r="B866" s="511" t="s">
        <v>452</v>
      </c>
    </row>
    <row r="867" spans="1:2" ht="15" hidden="1" x14ac:dyDescent="0.25">
      <c r="A867" s="511" t="s">
        <v>451</v>
      </c>
      <c r="B867" s="511" t="s">
        <v>452</v>
      </c>
    </row>
    <row r="868" spans="1:2" ht="15" hidden="1" x14ac:dyDescent="0.25">
      <c r="A868" s="511" t="s">
        <v>451</v>
      </c>
      <c r="B868" s="511" t="s">
        <v>452</v>
      </c>
    </row>
    <row r="869" spans="1:2" ht="15" hidden="1" x14ac:dyDescent="0.25">
      <c r="A869" s="511" t="s">
        <v>451</v>
      </c>
      <c r="B869" s="511" t="s">
        <v>452</v>
      </c>
    </row>
    <row r="870" spans="1:2" ht="15" hidden="1" x14ac:dyDescent="0.25">
      <c r="A870" s="511" t="s">
        <v>451</v>
      </c>
      <c r="B870" s="511" t="s">
        <v>452</v>
      </c>
    </row>
    <row r="871" spans="1:2" ht="15" hidden="1" x14ac:dyDescent="0.25">
      <c r="A871" s="511" t="s">
        <v>451</v>
      </c>
      <c r="B871" s="511" t="s">
        <v>452</v>
      </c>
    </row>
    <row r="872" spans="1:2" ht="15" hidden="1" x14ac:dyDescent="0.25">
      <c r="A872" s="511" t="s">
        <v>906</v>
      </c>
      <c r="B872" s="511" t="s">
        <v>907</v>
      </c>
    </row>
    <row r="873" spans="1:2" ht="15" hidden="1" x14ac:dyDescent="0.25">
      <c r="A873" s="511" t="s">
        <v>906</v>
      </c>
      <c r="B873" s="511" t="s">
        <v>907</v>
      </c>
    </row>
    <row r="874" spans="1:2" ht="15" hidden="1" x14ac:dyDescent="0.25">
      <c r="A874" s="511" t="s">
        <v>906</v>
      </c>
      <c r="B874" s="511" t="s">
        <v>907</v>
      </c>
    </row>
    <row r="875" spans="1:2" ht="15" hidden="1" x14ac:dyDescent="0.25">
      <c r="A875" s="511" t="s">
        <v>906</v>
      </c>
      <c r="B875" s="511" t="s">
        <v>907</v>
      </c>
    </row>
    <row r="876" spans="1:2" ht="15" hidden="1" x14ac:dyDescent="0.25">
      <c r="A876" s="511" t="s">
        <v>906</v>
      </c>
      <c r="B876" s="511" t="s">
        <v>907</v>
      </c>
    </row>
    <row r="877" spans="1:2" ht="15" hidden="1" x14ac:dyDescent="0.25">
      <c r="A877" s="511" t="s">
        <v>906</v>
      </c>
      <c r="B877" s="511" t="s">
        <v>907</v>
      </c>
    </row>
    <row r="878" spans="1:2" ht="15" hidden="1" x14ac:dyDescent="0.25">
      <c r="A878" s="511" t="s">
        <v>906</v>
      </c>
      <c r="B878" s="511" t="s">
        <v>907</v>
      </c>
    </row>
    <row r="879" spans="1:2" ht="15" hidden="1" x14ac:dyDescent="0.25">
      <c r="A879" s="511" t="s">
        <v>906</v>
      </c>
      <c r="B879" s="511" t="s">
        <v>907</v>
      </c>
    </row>
    <row r="880" spans="1:2" ht="15" hidden="1" x14ac:dyDescent="0.25">
      <c r="A880" s="511" t="s">
        <v>906</v>
      </c>
      <c r="B880" s="511" t="s">
        <v>907</v>
      </c>
    </row>
    <row r="881" spans="1:2" ht="15" hidden="1" x14ac:dyDescent="0.25">
      <c r="A881" s="511" t="s">
        <v>906</v>
      </c>
      <c r="B881" s="511" t="s">
        <v>907</v>
      </c>
    </row>
    <row r="882" spans="1:2" ht="15" hidden="1" x14ac:dyDescent="0.25">
      <c r="A882" s="511" t="s">
        <v>198</v>
      </c>
      <c r="B882" s="511" t="s">
        <v>371</v>
      </c>
    </row>
    <row r="883" spans="1:2" ht="15" hidden="1" x14ac:dyDescent="0.25">
      <c r="A883" s="511" t="s">
        <v>198</v>
      </c>
      <c r="B883" s="511" t="s">
        <v>371</v>
      </c>
    </row>
    <row r="884" spans="1:2" ht="15" hidden="1" x14ac:dyDescent="0.25">
      <c r="A884" s="511" t="s">
        <v>198</v>
      </c>
      <c r="B884" s="511" t="s">
        <v>371</v>
      </c>
    </row>
    <row r="885" spans="1:2" ht="15" hidden="1" x14ac:dyDescent="0.25">
      <c r="A885" s="511" t="s">
        <v>198</v>
      </c>
      <c r="B885" s="511" t="s">
        <v>371</v>
      </c>
    </row>
    <row r="886" spans="1:2" ht="15" hidden="1" x14ac:dyDescent="0.25">
      <c r="A886" s="511" t="s">
        <v>199</v>
      </c>
      <c r="B886" s="511" t="s">
        <v>372</v>
      </c>
    </row>
    <row r="887" spans="1:2" ht="15" hidden="1" x14ac:dyDescent="0.25">
      <c r="A887" s="511" t="s">
        <v>200</v>
      </c>
      <c r="B887" s="511" t="s">
        <v>373</v>
      </c>
    </row>
    <row r="888" spans="1:2" ht="15" hidden="1" x14ac:dyDescent="0.25">
      <c r="A888" s="511" t="s">
        <v>908</v>
      </c>
      <c r="B888" s="511" t="s">
        <v>908</v>
      </c>
    </row>
    <row r="889" spans="1:2" ht="15" hidden="1" x14ac:dyDescent="0.25">
      <c r="A889" s="511" t="s">
        <v>909</v>
      </c>
      <c r="B889" s="511" t="s">
        <v>909</v>
      </c>
    </row>
    <row r="890" spans="1:2" ht="15" hidden="1" x14ac:dyDescent="0.25">
      <c r="A890" s="511" t="s">
        <v>909</v>
      </c>
      <c r="B890" s="511" t="s">
        <v>909</v>
      </c>
    </row>
    <row r="891" spans="1:2" ht="15" hidden="1" x14ac:dyDescent="0.25">
      <c r="A891" s="511" t="s">
        <v>910</v>
      </c>
      <c r="B891" s="511" t="s">
        <v>910</v>
      </c>
    </row>
    <row r="892" spans="1:2" ht="15" hidden="1" x14ac:dyDescent="0.25">
      <c r="A892" s="511" t="s">
        <v>910</v>
      </c>
      <c r="B892" s="511" t="s">
        <v>910</v>
      </c>
    </row>
    <row r="893" spans="1:2" ht="15" hidden="1" x14ac:dyDescent="0.25">
      <c r="A893" s="511" t="s">
        <v>911</v>
      </c>
      <c r="B893" s="511" t="s">
        <v>911</v>
      </c>
    </row>
    <row r="894" spans="1:2" ht="15" hidden="1" x14ac:dyDescent="0.25">
      <c r="A894" s="511" t="s">
        <v>912</v>
      </c>
      <c r="B894" s="511" t="s">
        <v>912</v>
      </c>
    </row>
    <row r="895" spans="1:2" ht="15" hidden="1" x14ac:dyDescent="0.25">
      <c r="A895" s="511" t="s">
        <v>913</v>
      </c>
      <c r="B895" s="511" t="s">
        <v>913</v>
      </c>
    </row>
    <row r="896" spans="1:2" ht="15" hidden="1" x14ac:dyDescent="0.25">
      <c r="A896" s="511" t="s">
        <v>914</v>
      </c>
      <c r="B896" s="511" t="s">
        <v>914</v>
      </c>
    </row>
    <row r="897" spans="1:2" ht="15" hidden="1" x14ac:dyDescent="0.25">
      <c r="A897" s="511" t="s">
        <v>915</v>
      </c>
      <c r="B897" s="511" t="s">
        <v>915</v>
      </c>
    </row>
    <row r="898" spans="1:2" ht="15" hidden="1" x14ac:dyDescent="0.25">
      <c r="A898" s="511" t="s">
        <v>916</v>
      </c>
      <c r="B898" s="511" t="s">
        <v>916</v>
      </c>
    </row>
    <row r="899" spans="1:2" ht="15" hidden="1" x14ac:dyDescent="0.25">
      <c r="A899" s="511" t="s">
        <v>916</v>
      </c>
      <c r="B899" s="511" t="s">
        <v>916</v>
      </c>
    </row>
    <row r="900" spans="1:2" ht="15" hidden="1" x14ac:dyDescent="0.25">
      <c r="A900" s="511" t="s">
        <v>917</v>
      </c>
      <c r="B900" s="511" t="s">
        <v>917</v>
      </c>
    </row>
    <row r="901" spans="1:2" ht="15" hidden="1" x14ac:dyDescent="0.25">
      <c r="A901" s="511" t="s">
        <v>918</v>
      </c>
      <c r="B901" s="511" t="s">
        <v>918</v>
      </c>
    </row>
    <row r="902" spans="1:2" ht="15" hidden="1" x14ac:dyDescent="0.25">
      <c r="A902" s="511" t="s">
        <v>919</v>
      </c>
      <c r="B902" s="511" t="s">
        <v>919</v>
      </c>
    </row>
    <row r="903" spans="1:2" ht="15" hidden="1" x14ac:dyDescent="0.25">
      <c r="A903" s="511" t="s">
        <v>920</v>
      </c>
      <c r="B903" s="511" t="s">
        <v>920</v>
      </c>
    </row>
    <row r="904" spans="1:2" ht="15" hidden="1" x14ac:dyDescent="0.25">
      <c r="A904" s="511" t="s">
        <v>921</v>
      </c>
      <c r="B904" s="511" t="s">
        <v>921</v>
      </c>
    </row>
    <row r="905" spans="1:2" ht="15" hidden="1" x14ac:dyDescent="0.25">
      <c r="A905" s="511" t="s">
        <v>922</v>
      </c>
      <c r="B905" s="511" t="s">
        <v>922</v>
      </c>
    </row>
    <row r="906" spans="1:2" ht="15" hidden="1" x14ac:dyDescent="0.25">
      <c r="A906" s="511" t="s">
        <v>923</v>
      </c>
      <c r="B906" s="511" t="s">
        <v>923</v>
      </c>
    </row>
    <row r="907" spans="1:2" ht="15" hidden="1" x14ac:dyDescent="0.25">
      <c r="A907" s="511" t="s">
        <v>924</v>
      </c>
      <c r="B907" s="511" t="s">
        <v>924</v>
      </c>
    </row>
    <row r="908" spans="1:2" ht="15" hidden="1" x14ac:dyDescent="0.25">
      <c r="A908" s="511" t="s">
        <v>925</v>
      </c>
      <c r="B908" s="511" t="s">
        <v>925</v>
      </c>
    </row>
    <row r="909" spans="1:2" ht="15" hidden="1" x14ac:dyDescent="0.25">
      <c r="A909" s="511" t="s">
        <v>926</v>
      </c>
      <c r="B909" s="511" t="s">
        <v>926</v>
      </c>
    </row>
    <row r="910" spans="1:2" ht="15" hidden="1" x14ac:dyDescent="0.25">
      <c r="A910" s="511" t="s">
        <v>927</v>
      </c>
      <c r="B910" s="511" t="s">
        <v>927</v>
      </c>
    </row>
    <row r="911" spans="1:2" ht="15" hidden="1" x14ac:dyDescent="0.25">
      <c r="A911" s="511" t="s">
        <v>928</v>
      </c>
      <c r="B911" s="511" t="s">
        <v>928</v>
      </c>
    </row>
    <row r="912" spans="1:2" ht="15" hidden="1" x14ac:dyDescent="0.25">
      <c r="A912" s="511" t="s">
        <v>929</v>
      </c>
      <c r="B912" s="511" t="s">
        <v>929</v>
      </c>
    </row>
    <row r="913" spans="1:2" ht="15" hidden="1" x14ac:dyDescent="0.25">
      <c r="A913" s="511" t="s">
        <v>930</v>
      </c>
      <c r="B913" s="511" t="s">
        <v>930</v>
      </c>
    </row>
    <row r="914" spans="1:2" ht="15" hidden="1" x14ac:dyDescent="0.25">
      <c r="A914" s="511" t="s">
        <v>931</v>
      </c>
      <c r="B914" s="511" t="s">
        <v>931</v>
      </c>
    </row>
    <row r="915" spans="1:2" ht="15" hidden="1" x14ac:dyDescent="0.25">
      <c r="A915" s="511" t="s">
        <v>932</v>
      </c>
      <c r="B915" s="511" t="s">
        <v>932</v>
      </c>
    </row>
    <row r="916" spans="1:2" ht="15" hidden="1" x14ac:dyDescent="0.25">
      <c r="A916" s="511" t="s">
        <v>933</v>
      </c>
      <c r="B916" s="511" t="s">
        <v>933</v>
      </c>
    </row>
    <row r="917" spans="1:2" ht="15" hidden="1" x14ac:dyDescent="0.25">
      <c r="A917" s="511" t="s">
        <v>934</v>
      </c>
      <c r="B917" s="511" t="s">
        <v>934</v>
      </c>
    </row>
    <row r="918" spans="1:2" ht="15" hidden="1" x14ac:dyDescent="0.25">
      <c r="A918" s="511" t="s">
        <v>935</v>
      </c>
      <c r="B918" s="511" t="s">
        <v>935</v>
      </c>
    </row>
    <row r="919" spans="1:2" ht="15" hidden="1" x14ac:dyDescent="0.25">
      <c r="A919" s="511" t="s">
        <v>936</v>
      </c>
      <c r="B919" s="511" t="s">
        <v>936</v>
      </c>
    </row>
    <row r="920" spans="1:2" ht="15" hidden="1" x14ac:dyDescent="0.25">
      <c r="A920" s="511" t="s">
        <v>937</v>
      </c>
      <c r="B920" s="511" t="s">
        <v>937</v>
      </c>
    </row>
    <row r="921" spans="1:2" ht="15" hidden="1" x14ac:dyDescent="0.25">
      <c r="A921" s="511" t="s">
        <v>937</v>
      </c>
      <c r="B921" s="511" t="s">
        <v>937</v>
      </c>
    </row>
    <row r="922" spans="1:2" ht="15" hidden="1" x14ac:dyDescent="0.25">
      <c r="A922" s="511" t="s">
        <v>938</v>
      </c>
      <c r="B922" s="511" t="s">
        <v>938</v>
      </c>
    </row>
    <row r="923" spans="1:2" ht="15" hidden="1" x14ac:dyDescent="0.25">
      <c r="A923" s="511" t="s">
        <v>939</v>
      </c>
      <c r="B923" s="511" t="s">
        <v>939</v>
      </c>
    </row>
    <row r="924" spans="1:2" ht="15" hidden="1" x14ac:dyDescent="0.25">
      <c r="A924" s="511" t="s">
        <v>940</v>
      </c>
      <c r="B924" s="511" t="s">
        <v>940</v>
      </c>
    </row>
    <row r="925" spans="1:2" ht="15" hidden="1" x14ac:dyDescent="0.25">
      <c r="A925" s="511" t="s">
        <v>941</v>
      </c>
      <c r="B925" s="511" t="s">
        <v>941</v>
      </c>
    </row>
    <row r="926" spans="1:2" ht="15" hidden="1" x14ac:dyDescent="0.25">
      <c r="A926" s="511" t="s">
        <v>942</v>
      </c>
      <c r="B926" s="511" t="s">
        <v>942</v>
      </c>
    </row>
    <row r="927" spans="1:2" ht="15" hidden="1" x14ac:dyDescent="0.25">
      <c r="A927" s="511" t="s">
        <v>943</v>
      </c>
      <c r="B927" s="511" t="s">
        <v>943</v>
      </c>
    </row>
    <row r="928" spans="1:2" ht="15" hidden="1" x14ac:dyDescent="0.25">
      <c r="A928" s="511" t="s">
        <v>944</v>
      </c>
      <c r="B928" s="511" t="s">
        <v>944</v>
      </c>
    </row>
    <row r="929" spans="1:2" ht="15" hidden="1" x14ac:dyDescent="0.25">
      <c r="A929" s="511" t="s">
        <v>945</v>
      </c>
      <c r="B929" s="511" t="s">
        <v>945</v>
      </c>
    </row>
    <row r="930" spans="1:2" ht="15" hidden="1" x14ac:dyDescent="0.25">
      <c r="A930" s="511" t="s">
        <v>946</v>
      </c>
      <c r="B930" s="511" t="s">
        <v>946</v>
      </c>
    </row>
    <row r="931" spans="1:2" ht="15" hidden="1" x14ac:dyDescent="0.25">
      <c r="A931" s="511" t="s">
        <v>947</v>
      </c>
      <c r="B931" s="511" t="s">
        <v>947</v>
      </c>
    </row>
    <row r="932" spans="1:2" ht="15" hidden="1" x14ac:dyDescent="0.25">
      <c r="A932" s="511" t="s">
        <v>947</v>
      </c>
      <c r="B932" s="511" t="s">
        <v>947</v>
      </c>
    </row>
    <row r="933" spans="1:2" ht="15" hidden="1" x14ac:dyDescent="0.25">
      <c r="A933" s="511" t="s">
        <v>948</v>
      </c>
      <c r="B933" s="511" t="s">
        <v>948</v>
      </c>
    </row>
    <row r="934" spans="1:2" ht="15" hidden="1" x14ac:dyDescent="0.25">
      <c r="A934" s="511" t="s">
        <v>949</v>
      </c>
      <c r="B934" s="511" t="s">
        <v>949</v>
      </c>
    </row>
    <row r="935" spans="1:2" ht="15" hidden="1" x14ac:dyDescent="0.25">
      <c r="A935" s="511" t="s">
        <v>950</v>
      </c>
      <c r="B935" s="511" t="s">
        <v>950</v>
      </c>
    </row>
    <row r="936" spans="1:2" ht="15" hidden="1" x14ac:dyDescent="0.25">
      <c r="A936" s="511" t="s">
        <v>951</v>
      </c>
      <c r="B936" s="511" t="s">
        <v>951</v>
      </c>
    </row>
    <row r="937" spans="1:2" ht="15" hidden="1" x14ac:dyDescent="0.25">
      <c r="A937" s="511" t="s">
        <v>952</v>
      </c>
      <c r="B937" s="511" t="s">
        <v>952</v>
      </c>
    </row>
    <row r="938" spans="1:2" ht="15" hidden="1" x14ac:dyDescent="0.25">
      <c r="A938" s="511" t="s">
        <v>953</v>
      </c>
      <c r="B938" s="511" t="s">
        <v>953</v>
      </c>
    </row>
    <row r="939" spans="1:2" ht="15" hidden="1" x14ac:dyDescent="0.25">
      <c r="A939" s="511" t="s">
        <v>954</v>
      </c>
      <c r="B939" s="511" t="s">
        <v>954</v>
      </c>
    </row>
    <row r="940" spans="1:2" ht="15" hidden="1" x14ac:dyDescent="0.25">
      <c r="A940" s="511" t="s">
        <v>955</v>
      </c>
      <c r="B940" s="511" t="s">
        <v>955</v>
      </c>
    </row>
    <row r="941" spans="1:2" ht="15" hidden="1" x14ac:dyDescent="0.25">
      <c r="A941" s="511" t="s">
        <v>956</v>
      </c>
      <c r="B941" s="511" t="s">
        <v>956</v>
      </c>
    </row>
    <row r="942" spans="1:2" ht="15" hidden="1" x14ac:dyDescent="0.25">
      <c r="A942" s="511" t="s">
        <v>957</v>
      </c>
      <c r="B942" s="511" t="s">
        <v>957</v>
      </c>
    </row>
    <row r="943" spans="1:2" ht="15" hidden="1" x14ac:dyDescent="0.25">
      <c r="A943" s="511" t="s">
        <v>957</v>
      </c>
      <c r="B943" s="511" t="s">
        <v>957</v>
      </c>
    </row>
    <row r="944" spans="1:2" ht="15" hidden="1" x14ac:dyDescent="0.25">
      <c r="A944" s="511" t="s">
        <v>958</v>
      </c>
      <c r="B944" s="511" t="s">
        <v>958</v>
      </c>
    </row>
    <row r="945" spans="1:2" ht="15" hidden="1" x14ac:dyDescent="0.25">
      <c r="A945" s="511" t="s">
        <v>959</v>
      </c>
      <c r="B945" s="511" t="s">
        <v>959</v>
      </c>
    </row>
    <row r="946" spans="1:2" ht="15" hidden="1" x14ac:dyDescent="0.25">
      <c r="A946" s="511" t="s">
        <v>960</v>
      </c>
      <c r="B946" s="511" t="s">
        <v>960</v>
      </c>
    </row>
    <row r="947" spans="1:2" ht="15" hidden="1" x14ac:dyDescent="0.25">
      <c r="A947" s="511" t="s">
        <v>960</v>
      </c>
      <c r="B947" s="511" t="s">
        <v>960</v>
      </c>
    </row>
    <row r="948" spans="1:2" ht="15" hidden="1" x14ac:dyDescent="0.25">
      <c r="A948" s="511" t="s">
        <v>961</v>
      </c>
      <c r="B948" s="511" t="s">
        <v>961</v>
      </c>
    </row>
    <row r="949" spans="1:2" ht="15" hidden="1" x14ac:dyDescent="0.25">
      <c r="A949" s="511" t="s">
        <v>962</v>
      </c>
      <c r="B949" s="511" t="s">
        <v>962</v>
      </c>
    </row>
    <row r="950" spans="1:2" ht="15" hidden="1" x14ac:dyDescent="0.25">
      <c r="A950" s="511" t="s">
        <v>963</v>
      </c>
      <c r="B950" s="511" t="s">
        <v>963</v>
      </c>
    </row>
    <row r="951" spans="1:2" ht="15" hidden="1" x14ac:dyDescent="0.25">
      <c r="A951" s="511" t="s">
        <v>964</v>
      </c>
      <c r="B951" s="511" t="s">
        <v>964</v>
      </c>
    </row>
    <row r="952" spans="1:2" ht="15" hidden="1" x14ac:dyDescent="0.25">
      <c r="A952" s="511" t="s">
        <v>965</v>
      </c>
      <c r="B952" s="511" t="s">
        <v>965</v>
      </c>
    </row>
    <row r="953" spans="1:2" ht="15" hidden="1" x14ac:dyDescent="0.25">
      <c r="A953" s="511" t="s">
        <v>966</v>
      </c>
      <c r="B953" s="511" t="s">
        <v>966</v>
      </c>
    </row>
    <row r="954" spans="1:2" ht="15" hidden="1" x14ac:dyDescent="0.25">
      <c r="A954" s="511" t="s">
        <v>967</v>
      </c>
      <c r="B954" s="511" t="s">
        <v>967</v>
      </c>
    </row>
    <row r="955" spans="1:2" ht="15" hidden="1" x14ac:dyDescent="0.25">
      <c r="A955" s="511" t="s">
        <v>968</v>
      </c>
      <c r="B955" s="511" t="s">
        <v>968</v>
      </c>
    </row>
    <row r="956" spans="1:2" ht="15" hidden="1" x14ac:dyDescent="0.25">
      <c r="A956" s="511" t="s">
        <v>969</v>
      </c>
      <c r="B956" s="511" t="s">
        <v>969</v>
      </c>
    </row>
    <row r="957" spans="1:2" ht="15" hidden="1" x14ac:dyDescent="0.25">
      <c r="A957" s="511" t="s">
        <v>970</v>
      </c>
      <c r="B957" s="511" t="s">
        <v>970</v>
      </c>
    </row>
    <row r="958" spans="1:2" ht="15" hidden="1" x14ac:dyDescent="0.25">
      <c r="A958" s="511" t="s">
        <v>971</v>
      </c>
      <c r="B958" s="511" t="s">
        <v>971</v>
      </c>
    </row>
    <row r="959" spans="1:2" ht="15" hidden="1" x14ac:dyDescent="0.25">
      <c r="A959" s="511" t="s">
        <v>972</v>
      </c>
      <c r="B959" s="511" t="s">
        <v>972</v>
      </c>
    </row>
    <row r="960" spans="1:2" ht="15" hidden="1" x14ac:dyDescent="0.25">
      <c r="A960" s="511" t="s">
        <v>973</v>
      </c>
      <c r="B960" s="511" t="s">
        <v>973</v>
      </c>
    </row>
    <row r="961" spans="1:2" ht="15" hidden="1" x14ac:dyDescent="0.25">
      <c r="A961" s="511" t="s">
        <v>974</v>
      </c>
      <c r="B961" s="511" t="s">
        <v>974</v>
      </c>
    </row>
    <row r="962" spans="1:2" ht="15" hidden="1" x14ac:dyDescent="0.25">
      <c r="A962" s="511" t="s">
        <v>975</v>
      </c>
      <c r="B962" s="511" t="s">
        <v>975</v>
      </c>
    </row>
    <row r="963" spans="1:2" ht="15" hidden="1" x14ac:dyDescent="0.25">
      <c r="A963" s="511" t="s">
        <v>976</v>
      </c>
      <c r="B963" s="511" t="s">
        <v>976</v>
      </c>
    </row>
    <row r="964" spans="1:2" ht="15" hidden="1" x14ac:dyDescent="0.25">
      <c r="A964" s="511" t="s">
        <v>977</v>
      </c>
      <c r="B964" s="511" t="s">
        <v>977</v>
      </c>
    </row>
    <row r="965" spans="1:2" ht="15" hidden="1" x14ac:dyDescent="0.25">
      <c r="A965" s="511" t="s">
        <v>978</v>
      </c>
      <c r="B965" s="511" t="s">
        <v>978</v>
      </c>
    </row>
    <row r="966" spans="1:2" ht="15" hidden="1" x14ac:dyDescent="0.25">
      <c r="A966" s="511" t="s">
        <v>979</v>
      </c>
      <c r="B966" s="511" t="s">
        <v>979</v>
      </c>
    </row>
    <row r="967" spans="1:2" ht="15" hidden="1" x14ac:dyDescent="0.25">
      <c r="A967" s="511" t="s">
        <v>980</v>
      </c>
      <c r="B967" s="511" t="s">
        <v>980</v>
      </c>
    </row>
    <row r="968" spans="1:2" ht="15" hidden="1" x14ac:dyDescent="0.25">
      <c r="A968" s="511" t="s">
        <v>981</v>
      </c>
      <c r="B968" s="511" t="s">
        <v>981</v>
      </c>
    </row>
    <row r="969" spans="1:2" ht="15" hidden="1" x14ac:dyDescent="0.25">
      <c r="A969" s="511" t="s">
        <v>981</v>
      </c>
      <c r="B969" s="511" t="s">
        <v>981</v>
      </c>
    </row>
    <row r="970" spans="1:2" ht="15" hidden="1" x14ac:dyDescent="0.25">
      <c r="A970" s="511" t="s">
        <v>982</v>
      </c>
      <c r="B970" s="511" t="s">
        <v>982</v>
      </c>
    </row>
    <row r="971" spans="1:2" ht="15" hidden="1" x14ac:dyDescent="0.25">
      <c r="A971" s="511" t="s">
        <v>982</v>
      </c>
      <c r="B971" s="511" t="s">
        <v>982</v>
      </c>
    </row>
    <row r="972" spans="1:2" ht="15" hidden="1" x14ac:dyDescent="0.25">
      <c r="A972" s="511" t="s">
        <v>983</v>
      </c>
      <c r="B972" s="511" t="s">
        <v>983</v>
      </c>
    </row>
    <row r="973" spans="1:2" ht="15" hidden="1" x14ac:dyDescent="0.25">
      <c r="A973" s="511" t="s">
        <v>984</v>
      </c>
      <c r="B973" s="511" t="s">
        <v>984</v>
      </c>
    </row>
    <row r="974" spans="1:2" ht="15" hidden="1" x14ac:dyDescent="0.25">
      <c r="A974" s="511" t="s">
        <v>985</v>
      </c>
      <c r="B974" s="511" t="s">
        <v>985</v>
      </c>
    </row>
    <row r="975" spans="1:2" ht="15" hidden="1" x14ac:dyDescent="0.25">
      <c r="A975" s="511" t="s">
        <v>986</v>
      </c>
      <c r="B975" s="511" t="s">
        <v>986</v>
      </c>
    </row>
    <row r="976" spans="1:2" ht="15" hidden="1" x14ac:dyDescent="0.25">
      <c r="A976" s="511" t="s">
        <v>987</v>
      </c>
      <c r="B976" s="511" t="s">
        <v>987</v>
      </c>
    </row>
    <row r="977" spans="1:2" ht="15" hidden="1" x14ac:dyDescent="0.25">
      <c r="A977" s="511" t="s">
        <v>987</v>
      </c>
      <c r="B977" s="511" t="s">
        <v>987</v>
      </c>
    </row>
    <row r="978" spans="1:2" ht="15" hidden="1" x14ac:dyDescent="0.25">
      <c r="A978" s="511" t="s">
        <v>988</v>
      </c>
      <c r="B978" s="511" t="s">
        <v>988</v>
      </c>
    </row>
    <row r="979" spans="1:2" ht="15" hidden="1" x14ac:dyDescent="0.25">
      <c r="A979" s="511" t="s">
        <v>989</v>
      </c>
      <c r="B979" s="511" t="s">
        <v>989</v>
      </c>
    </row>
    <row r="980" spans="1:2" ht="15" hidden="1" x14ac:dyDescent="0.25">
      <c r="A980" s="511" t="s">
        <v>990</v>
      </c>
      <c r="B980" s="511" t="s">
        <v>990</v>
      </c>
    </row>
    <row r="981" spans="1:2" ht="15" hidden="1" x14ac:dyDescent="0.25">
      <c r="A981" s="511" t="s">
        <v>991</v>
      </c>
      <c r="B981" s="511" t="s">
        <v>991</v>
      </c>
    </row>
    <row r="982" spans="1:2" ht="15" hidden="1" x14ac:dyDescent="0.25">
      <c r="A982" s="511" t="s">
        <v>992</v>
      </c>
      <c r="B982" s="511" t="s">
        <v>992</v>
      </c>
    </row>
    <row r="983" spans="1:2" ht="15" hidden="1" x14ac:dyDescent="0.25">
      <c r="A983" s="511" t="s">
        <v>993</v>
      </c>
      <c r="B983" s="511" t="s">
        <v>993</v>
      </c>
    </row>
    <row r="984" spans="1:2" ht="15" hidden="1" x14ac:dyDescent="0.25">
      <c r="A984" s="511" t="s">
        <v>994</v>
      </c>
      <c r="B984" s="511" t="s">
        <v>994</v>
      </c>
    </row>
    <row r="985" spans="1:2" ht="15" hidden="1" x14ac:dyDescent="0.25">
      <c r="A985" s="511" t="s">
        <v>995</v>
      </c>
      <c r="B985" s="511" t="s">
        <v>995</v>
      </c>
    </row>
    <row r="986" spans="1:2" ht="15" hidden="1" x14ac:dyDescent="0.25">
      <c r="A986" s="511" t="s">
        <v>996</v>
      </c>
      <c r="B986" s="511" t="s">
        <v>996</v>
      </c>
    </row>
    <row r="987" spans="1:2" ht="15" hidden="1" x14ac:dyDescent="0.25">
      <c r="A987" s="511" t="s">
        <v>996</v>
      </c>
      <c r="B987" s="511" t="s">
        <v>996</v>
      </c>
    </row>
    <row r="988" spans="1:2" ht="15" hidden="1" x14ac:dyDescent="0.25">
      <c r="A988" s="511" t="s">
        <v>997</v>
      </c>
      <c r="B988" s="511" t="s">
        <v>997</v>
      </c>
    </row>
    <row r="989" spans="1:2" ht="15" hidden="1" x14ac:dyDescent="0.25">
      <c r="A989" s="511" t="s">
        <v>998</v>
      </c>
      <c r="B989" s="511" t="s">
        <v>998</v>
      </c>
    </row>
    <row r="990" spans="1:2" ht="15" hidden="1" x14ac:dyDescent="0.25">
      <c r="A990" s="511" t="s">
        <v>998</v>
      </c>
      <c r="B990" s="511" t="s">
        <v>998</v>
      </c>
    </row>
    <row r="991" spans="1:2" ht="15" hidden="1" x14ac:dyDescent="0.25">
      <c r="A991" s="511" t="s">
        <v>999</v>
      </c>
      <c r="B991" s="511" t="s">
        <v>999</v>
      </c>
    </row>
    <row r="992" spans="1:2" ht="15" hidden="1" x14ac:dyDescent="0.25">
      <c r="A992" s="511" t="s">
        <v>1000</v>
      </c>
      <c r="B992" s="511" t="s">
        <v>1000</v>
      </c>
    </row>
    <row r="993" spans="1:2" ht="15" hidden="1" x14ac:dyDescent="0.25">
      <c r="A993" s="511" t="s">
        <v>1001</v>
      </c>
      <c r="B993" s="511" t="s">
        <v>1001</v>
      </c>
    </row>
    <row r="994" spans="1:2" ht="15" hidden="1" x14ac:dyDescent="0.25">
      <c r="A994" s="511" t="s">
        <v>1001</v>
      </c>
      <c r="B994" s="511" t="s">
        <v>1001</v>
      </c>
    </row>
    <row r="995" spans="1:2" ht="15" hidden="1" x14ac:dyDescent="0.25">
      <c r="A995" s="511" t="s">
        <v>1002</v>
      </c>
      <c r="B995" s="511" t="s">
        <v>1002</v>
      </c>
    </row>
    <row r="996" spans="1:2" ht="15" hidden="1" x14ac:dyDescent="0.25">
      <c r="A996" s="511" t="s">
        <v>1003</v>
      </c>
      <c r="B996" s="511" t="s">
        <v>1003</v>
      </c>
    </row>
    <row r="997" spans="1:2" ht="15" hidden="1" x14ac:dyDescent="0.25">
      <c r="A997" s="511" t="s">
        <v>1004</v>
      </c>
      <c r="B997" s="511" t="s">
        <v>1004</v>
      </c>
    </row>
    <row r="998" spans="1:2" ht="15" hidden="1" x14ac:dyDescent="0.25">
      <c r="A998" s="511" t="s">
        <v>1005</v>
      </c>
      <c r="B998" s="511" t="s">
        <v>1005</v>
      </c>
    </row>
    <row r="999" spans="1:2" ht="15" hidden="1" x14ac:dyDescent="0.25">
      <c r="A999" s="511" t="s">
        <v>1006</v>
      </c>
      <c r="B999" s="511" t="s">
        <v>1006</v>
      </c>
    </row>
    <row r="1000" spans="1:2" ht="15" hidden="1" x14ac:dyDescent="0.25">
      <c r="A1000" s="511" t="s">
        <v>1007</v>
      </c>
      <c r="B1000" s="511" t="s">
        <v>1007</v>
      </c>
    </row>
    <row r="1001" spans="1:2" ht="15" hidden="1" x14ac:dyDescent="0.25">
      <c r="A1001" s="511" t="s">
        <v>1007</v>
      </c>
      <c r="B1001" s="511" t="s">
        <v>1007</v>
      </c>
    </row>
    <row r="1002" spans="1:2" ht="15" hidden="1" x14ac:dyDescent="0.25">
      <c r="A1002" s="511" t="s">
        <v>1008</v>
      </c>
      <c r="B1002" s="511" t="s">
        <v>1008</v>
      </c>
    </row>
    <row r="1003" spans="1:2" ht="15" hidden="1" x14ac:dyDescent="0.25">
      <c r="A1003" s="511" t="s">
        <v>1009</v>
      </c>
      <c r="B1003" s="511" t="s">
        <v>1009</v>
      </c>
    </row>
    <row r="1004" spans="1:2" ht="15" hidden="1" x14ac:dyDescent="0.25">
      <c r="A1004" s="511" t="s">
        <v>1009</v>
      </c>
      <c r="B1004" s="511" t="s">
        <v>1009</v>
      </c>
    </row>
    <row r="1005" spans="1:2" ht="15" hidden="1" x14ac:dyDescent="0.25">
      <c r="A1005" s="511" t="s">
        <v>1010</v>
      </c>
      <c r="B1005" s="511" t="s">
        <v>1010</v>
      </c>
    </row>
    <row r="1006" spans="1:2" ht="15" hidden="1" x14ac:dyDescent="0.25">
      <c r="A1006" s="511" t="s">
        <v>1011</v>
      </c>
      <c r="B1006" s="511" t="s">
        <v>1011</v>
      </c>
    </row>
    <row r="1007" spans="1:2" ht="15" hidden="1" x14ac:dyDescent="0.25">
      <c r="A1007" s="511" t="s">
        <v>1012</v>
      </c>
      <c r="B1007" s="511" t="s">
        <v>1012</v>
      </c>
    </row>
    <row r="1008" spans="1:2" ht="15" hidden="1" x14ac:dyDescent="0.25">
      <c r="A1008" s="511" t="s">
        <v>1013</v>
      </c>
      <c r="B1008" s="511" t="s">
        <v>1013</v>
      </c>
    </row>
    <row r="1009" spans="1:2" ht="15" hidden="1" x14ac:dyDescent="0.25">
      <c r="A1009" s="511" t="s">
        <v>1014</v>
      </c>
      <c r="B1009" s="511" t="s">
        <v>1014</v>
      </c>
    </row>
    <row r="1010" spans="1:2" ht="15" hidden="1" x14ac:dyDescent="0.25">
      <c r="A1010" s="511" t="s">
        <v>1015</v>
      </c>
      <c r="B1010" s="511" t="s">
        <v>1015</v>
      </c>
    </row>
    <row r="1011" spans="1:2" ht="15" hidden="1" x14ac:dyDescent="0.25">
      <c r="A1011" s="511" t="s">
        <v>1016</v>
      </c>
      <c r="B1011" s="511" t="s">
        <v>1016</v>
      </c>
    </row>
    <row r="1012" spans="1:2" ht="15" hidden="1" x14ac:dyDescent="0.25">
      <c r="A1012" s="511" t="s">
        <v>1017</v>
      </c>
      <c r="B1012" s="511" t="s">
        <v>1017</v>
      </c>
    </row>
    <row r="1013" spans="1:2" ht="15" hidden="1" x14ac:dyDescent="0.25">
      <c r="A1013" s="511" t="s">
        <v>1017</v>
      </c>
      <c r="B1013" s="511" t="s">
        <v>1017</v>
      </c>
    </row>
    <row r="1014" spans="1:2" ht="15" hidden="1" x14ac:dyDescent="0.25">
      <c r="A1014" s="511" t="s">
        <v>1018</v>
      </c>
      <c r="B1014" s="511" t="s">
        <v>1018</v>
      </c>
    </row>
    <row r="1015" spans="1:2" ht="15" hidden="1" x14ac:dyDescent="0.25">
      <c r="A1015" s="511" t="s">
        <v>1019</v>
      </c>
      <c r="B1015" s="511" t="s">
        <v>1019</v>
      </c>
    </row>
    <row r="1016" spans="1:2" ht="15" hidden="1" x14ac:dyDescent="0.25">
      <c r="A1016" s="511" t="s">
        <v>1020</v>
      </c>
      <c r="B1016" s="511" t="s">
        <v>1020</v>
      </c>
    </row>
    <row r="1017" spans="1:2" ht="15" hidden="1" x14ac:dyDescent="0.25">
      <c r="A1017" s="511" t="s">
        <v>1021</v>
      </c>
      <c r="B1017" s="511" t="s">
        <v>1021</v>
      </c>
    </row>
    <row r="1018" spans="1:2" ht="15" hidden="1" x14ac:dyDescent="0.25">
      <c r="A1018" s="511" t="s">
        <v>1022</v>
      </c>
      <c r="B1018" s="511" t="s">
        <v>1022</v>
      </c>
    </row>
    <row r="1019" spans="1:2" ht="15" hidden="1" x14ac:dyDescent="0.25">
      <c r="A1019" s="511" t="s">
        <v>1023</v>
      </c>
      <c r="B1019" s="511" t="s">
        <v>1023</v>
      </c>
    </row>
    <row r="1020" spans="1:2" ht="15" hidden="1" x14ac:dyDescent="0.25">
      <c r="A1020" s="511" t="s">
        <v>1024</v>
      </c>
      <c r="B1020" s="511" t="s">
        <v>1024</v>
      </c>
    </row>
    <row r="1021" spans="1:2" ht="15" hidden="1" x14ac:dyDescent="0.25">
      <c r="A1021" s="511" t="s">
        <v>1025</v>
      </c>
      <c r="B1021" s="511" t="s">
        <v>1025</v>
      </c>
    </row>
    <row r="1022" spans="1:2" ht="15" hidden="1" x14ac:dyDescent="0.25">
      <c r="A1022" s="511" t="s">
        <v>1026</v>
      </c>
      <c r="B1022" s="511" t="s">
        <v>1026</v>
      </c>
    </row>
    <row r="1023" spans="1:2" ht="15" hidden="1" x14ac:dyDescent="0.25">
      <c r="A1023" s="511" t="s">
        <v>1027</v>
      </c>
      <c r="B1023" s="511" t="s">
        <v>1027</v>
      </c>
    </row>
    <row r="1024" spans="1:2" ht="15" hidden="1" x14ac:dyDescent="0.25">
      <c r="A1024" s="511" t="s">
        <v>1028</v>
      </c>
      <c r="B1024" s="511" t="s">
        <v>1028</v>
      </c>
    </row>
    <row r="1025" spans="1:2" ht="15" hidden="1" x14ac:dyDescent="0.25">
      <c r="A1025" s="511" t="s">
        <v>1029</v>
      </c>
      <c r="B1025" s="511" t="s">
        <v>1029</v>
      </c>
    </row>
    <row r="1026" spans="1:2" ht="15" hidden="1" x14ac:dyDescent="0.25">
      <c r="A1026" s="511" t="s">
        <v>1030</v>
      </c>
      <c r="B1026" s="511" t="s">
        <v>1030</v>
      </c>
    </row>
    <row r="1027" spans="1:2" ht="15" hidden="1" x14ac:dyDescent="0.25">
      <c r="A1027" s="511" t="s">
        <v>1031</v>
      </c>
      <c r="B1027" s="511" t="s">
        <v>1031</v>
      </c>
    </row>
    <row r="1028" spans="1:2" ht="15" hidden="1" x14ac:dyDescent="0.25">
      <c r="A1028" s="511" t="s">
        <v>1032</v>
      </c>
      <c r="B1028" s="511" t="s">
        <v>1032</v>
      </c>
    </row>
    <row r="1029" spans="1:2" ht="15" hidden="1" x14ac:dyDescent="0.25">
      <c r="A1029" s="511" t="s">
        <v>1033</v>
      </c>
      <c r="B1029" s="511" t="s">
        <v>1033</v>
      </c>
    </row>
    <row r="1030" spans="1:2" ht="15" hidden="1" x14ac:dyDescent="0.25">
      <c r="A1030" s="511" t="s">
        <v>1034</v>
      </c>
      <c r="B1030" s="511" t="s">
        <v>1034</v>
      </c>
    </row>
    <row r="1031" spans="1:2" ht="15" hidden="1" x14ac:dyDescent="0.25">
      <c r="A1031" s="511" t="s">
        <v>1035</v>
      </c>
      <c r="B1031" s="511" t="s">
        <v>1035</v>
      </c>
    </row>
    <row r="1032" spans="1:2" ht="15" hidden="1" x14ac:dyDescent="0.25">
      <c r="A1032" s="511" t="s">
        <v>1036</v>
      </c>
      <c r="B1032" s="511" t="s">
        <v>1036</v>
      </c>
    </row>
    <row r="1033" spans="1:2" ht="15" hidden="1" x14ac:dyDescent="0.25">
      <c r="A1033" s="511" t="s">
        <v>1037</v>
      </c>
      <c r="B1033" s="511" t="s">
        <v>1037</v>
      </c>
    </row>
    <row r="1034" spans="1:2" ht="15" hidden="1" x14ac:dyDescent="0.25">
      <c r="A1034" s="511" t="s">
        <v>1037</v>
      </c>
      <c r="B1034" s="511" t="s">
        <v>1037</v>
      </c>
    </row>
    <row r="1035" spans="1:2" ht="15" hidden="1" x14ac:dyDescent="0.25">
      <c r="A1035" s="511" t="s">
        <v>1038</v>
      </c>
      <c r="B1035" s="511" t="s">
        <v>1038</v>
      </c>
    </row>
    <row r="1036" spans="1:2" ht="15" hidden="1" x14ac:dyDescent="0.25">
      <c r="A1036" s="511" t="s">
        <v>1039</v>
      </c>
      <c r="B1036" s="511" t="s">
        <v>1039</v>
      </c>
    </row>
    <row r="1037" spans="1:2" ht="15" hidden="1" x14ac:dyDescent="0.25">
      <c r="A1037" s="511" t="s">
        <v>1040</v>
      </c>
      <c r="B1037" s="511" t="s">
        <v>1040</v>
      </c>
    </row>
    <row r="1038" spans="1:2" ht="15" hidden="1" x14ac:dyDescent="0.25">
      <c r="A1038" s="511" t="s">
        <v>1040</v>
      </c>
      <c r="B1038" s="511" t="s">
        <v>1040</v>
      </c>
    </row>
    <row r="1039" spans="1:2" ht="15" hidden="1" x14ac:dyDescent="0.25">
      <c r="A1039" s="511" t="s">
        <v>1041</v>
      </c>
      <c r="B1039" s="511" t="s">
        <v>1041</v>
      </c>
    </row>
    <row r="1040" spans="1:2" ht="15" hidden="1" x14ac:dyDescent="0.25">
      <c r="A1040" s="511" t="s">
        <v>1042</v>
      </c>
      <c r="B1040" s="511" t="s">
        <v>1042</v>
      </c>
    </row>
    <row r="1041" spans="1:2" ht="15" hidden="1" x14ac:dyDescent="0.25">
      <c r="A1041" s="511" t="s">
        <v>1043</v>
      </c>
      <c r="B1041" s="511" t="s">
        <v>1043</v>
      </c>
    </row>
    <row r="1042" spans="1:2" ht="15" hidden="1" x14ac:dyDescent="0.25">
      <c r="A1042" s="511" t="s">
        <v>1044</v>
      </c>
      <c r="B1042" s="511" t="s">
        <v>1044</v>
      </c>
    </row>
    <row r="1043" spans="1:2" ht="15" hidden="1" x14ac:dyDescent="0.25">
      <c r="A1043" s="511" t="s">
        <v>1045</v>
      </c>
      <c r="B1043" s="511" t="s">
        <v>1045</v>
      </c>
    </row>
    <row r="1044" spans="1:2" ht="15" hidden="1" x14ac:dyDescent="0.25">
      <c r="A1044" s="511" t="s">
        <v>1046</v>
      </c>
      <c r="B1044" s="511" t="s">
        <v>1046</v>
      </c>
    </row>
    <row r="1045" spans="1:2" ht="15" hidden="1" x14ac:dyDescent="0.25">
      <c r="A1045" s="511" t="s">
        <v>1046</v>
      </c>
      <c r="B1045" s="511" t="s">
        <v>1046</v>
      </c>
    </row>
    <row r="1046" spans="1:2" ht="15" hidden="1" x14ac:dyDescent="0.25">
      <c r="A1046" s="511" t="s">
        <v>1047</v>
      </c>
      <c r="B1046" s="511" t="s">
        <v>1047</v>
      </c>
    </row>
    <row r="1047" spans="1:2" ht="15" hidden="1" x14ac:dyDescent="0.25">
      <c r="A1047" s="511" t="s">
        <v>1048</v>
      </c>
      <c r="B1047" s="511" t="s">
        <v>1048</v>
      </c>
    </row>
    <row r="1048" spans="1:2" ht="15" hidden="1" x14ac:dyDescent="0.25">
      <c r="A1048" s="511" t="s">
        <v>1049</v>
      </c>
      <c r="B1048" s="511" t="s">
        <v>1049</v>
      </c>
    </row>
    <row r="1049" spans="1:2" ht="15" hidden="1" x14ac:dyDescent="0.25">
      <c r="A1049" s="511" t="s">
        <v>1050</v>
      </c>
      <c r="B1049" s="511" t="s">
        <v>1050</v>
      </c>
    </row>
    <row r="1050" spans="1:2" ht="15" hidden="1" x14ac:dyDescent="0.25">
      <c r="A1050" s="511" t="s">
        <v>1051</v>
      </c>
      <c r="B1050" s="511" t="s">
        <v>1051</v>
      </c>
    </row>
    <row r="1051" spans="1:2" ht="15" hidden="1" x14ac:dyDescent="0.25">
      <c r="A1051" s="511" t="s">
        <v>1051</v>
      </c>
      <c r="B1051" s="511" t="s">
        <v>1051</v>
      </c>
    </row>
    <row r="1052" spans="1:2" ht="15" hidden="1" x14ac:dyDescent="0.25">
      <c r="A1052" s="511" t="s">
        <v>1052</v>
      </c>
      <c r="B1052" s="511" t="s">
        <v>1052</v>
      </c>
    </row>
    <row r="1053" spans="1:2" ht="15" hidden="1" x14ac:dyDescent="0.25">
      <c r="A1053" s="511" t="s">
        <v>1052</v>
      </c>
      <c r="B1053" s="511" t="s">
        <v>1052</v>
      </c>
    </row>
    <row r="1054" spans="1:2" ht="15" hidden="1" x14ac:dyDescent="0.25">
      <c r="A1054" s="511" t="s">
        <v>1053</v>
      </c>
      <c r="B1054" s="511" t="s">
        <v>1053</v>
      </c>
    </row>
    <row r="1055" spans="1:2" ht="15" hidden="1" x14ac:dyDescent="0.25">
      <c r="A1055" s="511" t="s">
        <v>1054</v>
      </c>
      <c r="B1055" s="511" t="s">
        <v>1054</v>
      </c>
    </row>
    <row r="1056" spans="1:2" ht="15" hidden="1" x14ac:dyDescent="0.25">
      <c r="A1056" s="511" t="s">
        <v>1055</v>
      </c>
      <c r="B1056" s="511" t="s">
        <v>1055</v>
      </c>
    </row>
    <row r="1057" spans="1:2" ht="15" hidden="1" x14ac:dyDescent="0.25">
      <c r="A1057" s="511" t="s">
        <v>1055</v>
      </c>
      <c r="B1057" s="511" t="s">
        <v>1055</v>
      </c>
    </row>
    <row r="1058" spans="1:2" ht="15" hidden="1" x14ac:dyDescent="0.25">
      <c r="A1058" s="511" t="s">
        <v>1056</v>
      </c>
      <c r="B1058" s="511" t="s">
        <v>1056</v>
      </c>
    </row>
    <row r="1059" spans="1:2" ht="15" hidden="1" x14ac:dyDescent="0.25">
      <c r="A1059" s="511" t="s">
        <v>1057</v>
      </c>
      <c r="B1059" s="511" t="s">
        <v>1057</v>
      </c>
    </row>
    <row r="1060" spans="1:2" ht="15" hidden="1" x14ac:dyDescent="0.25">
      <c r="A1060" s="511" t="s">
        <v>1058</v>
      </c>
      <c r="B1060" s="511" t="s">
        <v>1058</v>
      </c>
    </row>
    <row r="1061" spans="1:2" ht="15" hidden="1" x14ac:dyDescent="0.25">
      <c r="A1061" s="511" t="s">
        <v>1059</v>
      </c>
      <c r="B1061" s="511" t="s">
        <v>1059</v>
      </c>
    </row>
    <row r="1062" spans="1:2" ht="15" hidden="1" x14ac:dyDescent="0.25">
      <c r="A1062" s="511" t="s">
        <v>1060</v>
      </c>
      <c r="B1062" s="511" t="s">
        <v>1060</v>
      </c>
    </row>
    <row r="1063" spans="1:2" ht="15" hidden="1" x14ac:dyDescent="0.25">
      <c r="A1063" s="511" t="s">
        <v>1061</v>
      </c>
      <c r="B1063" s="511" t="s">
        <v>1061</v>
      </c>
    </row>
    <row r="1064" spans="1:2" ht="15" hidden="1" x14ac:dyDescent="0.25">
      <c r="A1064" s="511" t="s">
        <v>1062</v>
      </c>
      <c r="B1064" s="511" t="s">
        <v>1062</v>
      </c>
    </row>
    <row r="1065" spans="1:2" ht="15" hidden="1" x14ac:dyDescent="0.25">
      <c r="A1065" s="511" t="s">
        <v>1063</v>
      </c>
      <c r="B1065" s="511" t="s">
        <v>1063</v>
      </c>
    </row>
    <row r="1066" spans="1:2" ht="15" hidden="1" x14ac:dyDescent="0.25">
      <c r="A1066" s="511" t="s">
        <v>1063</v>
      </c>
      <c r="B1066" s="511" t="s">
        <v>1063</v>
      </c>
    </row>
    <row r="1067" spans="1:2" ht="15" hidden="1" x14ac:dyDescent="0.25">
      <c r="A1067" s="511" t="s">
        <v>1064</v>
      </c>
      <c r="B1067" s="511" t="s">
        <v>1064</v>
      </c>
    </row>
    <row r="1068" spans="1:2" ht="15" hidden="1" x14ac:dyDescent="0.25">
      <c r="A1068" s="511" t="s">
        <v>1065</v>
      </c>
      <c r="B1068" s="511" t="s">
        <v>1065</v>
      </c>
    </row>
    <row r="1069" spans="1:2" ht="15" hidden="1" x14ac:dyDescent="0.25">
      <c r="A1069" s="511" t="s">
        <v>1066</v>
      </c>
      <c r="B1069" s="511" t="s">
        <v>1066</v>
      </c>
    </row>
    <row r="1070" spans="1:2" ht="15" hidden="1" x14ac:dyDescent="0.25">
      <c r="A1070" s="511" t="s">
        <v>1067</v>
      </c>
      <c r="B1070" s="511" t="s">
        <v>1067</v>
      </c>
    </row>
    <row r="1071" spans="1:2" ht="15" hidden="1" x14ac:dyDescent="0.25">
      <c r="A1071" s="511" t="s">
        <v>1067</v>
      </c>
      <c r="B1071" s="511" t="s">
        <v>1067</v>
      </c>
    </row>
    <row r="1072" spans="1:2" ht="15" hidden="1" x14ac:dyDescent="0.25">
      <c r="A1072" s="511" t="s">
        <v>1068</v>
      </c>
      <c r="B1072" s="511" t="s">
        <v>1068</v>
      </c>
    </row>
    <row r="1073" spans="1:2" ht="15" hidden="1" x14ac:dyDescent="0.25">
      <c r="A1073" s="511" t="s">
        <v>1068</v>
      </c>
      <c r="B1073" s="511" t="s">
        <v>1068</v>
      </c>
    </row>
    <row r="1074" spans="1:2" ht="15" hidden="1" x14ac:dyDescent="0.25">
      <c r="A1074" s="511" t="s">
        <v>1069</v>
      </c>
      <c r="B1074" s="511" t="s">
        <v>1069</v>
      </c>
    </row>
    <row r="1075" spans="1:2" ht="15" hidden="1" x14ac:dyDescent="0.25">
      <c r="A1075" s="511" t="s">
        <v>1070</v>
      </c>
      <c r="B1075" s="511" t="s">
        <v>1070</v>
      </c>
    </row>
    <row r="1076" spans="1:2" ht="15" hidden="1" x14ac:dyDescent="0.25">
      <c r="A1076" s="511" t="s">
        <v>1071</v>
      </c>
      <c r="B1076" s="511" t="s">
        <v>1071</v>
      </c>
    </row>
    <row r="1077" spans="1:2" ht="15" hidden="1" x14ac:dyDescent="0.25">
      <c r="A1077" s="511" t="s">
        <v>1072</v>
      </c>
      <c r="B1077" s="511" t="s">
        <v>1072</v>
      </c>
    </row>
    <row r="1078" spans="1:2" ht="15" hidden="1" x14ac:dyDescent="0.25">
      <c r="A1078" s="511" t="s">
        <v>1073</v>
      </c>
      <c r="B1078" s="511" t="s">
        <v>1073</v>
      </c>
    </row>
    <row r="1079" spans="1:2" ht="15" hidden="1" x14ac:dyDescent="0.25">
      <c r="A1079" s="511" t="s">
        <v>1074</v>
      </c>
      <c r="B1079" s="511" t="s">
        <v>1074</v>
      </c>
    </row>
    <row r="1080" spans="1:2" ht="15" hidden="1" x14ac:dyDescent="0.25">
      <c r="A1080" s="511" t="s">
        <v>1075</v>
      </c>
      <c r="B1080" s="511" t="s">
        <v>1075</v>
      </c>
    </row>
    <row r="1081" spans="1:2" ht="15" hidden="1" x14ac:dyDescent="0.25">
      <c r="A1081" s="511" t="s">
        <v>1076</v>
      </c>
      <c r="B1081" s="511" t="s">
        <v>1076</v>
      </c>
    </row>
    <row r="1082" spans="1:2" ht="15" hidden="1" x14ac:dyDescent="0.25">
      <c r="A1082" s="511" t="s">
        <v>1077</v>
      </c>
      <c r="B1082" s="511" t="s">
        <v>1077</v>
      </c>
    </row>
    <row r="1083" spans="1:2" ht="15" hidden="1" x14ac:dyDescent="0.25">
      <c r="A1083" s="511" t="s">
        <v>1078</v>
      </c>
      <c r="B1083" s="511" t="s">
        <v>1078</v>
      </c>
    </row>
    <row r="1084" spans="1:2" ht="15" hidden="1" x14ac:dyDescent="0.25">
      <c r="A1084" s="511" t="s">
        <v>1079</v>
      </c>
      <c r="B1084" s="511" t="s">
        <v>1079</v>
      </c>
    </row>
    <row r="1085" spans="1:2" ht="15" hidden="1" x14ac:dyDescent="0.25">
      <c r="A1085" s="511" t="s">
        <v>1080</v>
      </c>
      <c r="B1085" s="511" t="s">
        <v>1080</v>
      </c>
    </row>
    <row r="1086" spans="1:2" ht="15" hidden="1" x14ac:dyDescent="0.25">
      <c r="A1086" s="511" t="s">
        <v>1081</v>
      </c>
      <c r="B1086" s="511" t="s">
        <v>1081</v>
      </c>
    </row>
    <row r="1087" spans="1:2" ht="15" hidden="1" x14ac:dyDescent="0.25">
      <c r="A1087" s="511" t="s">
        <v>1082</v>
      </c>
      <c r="B1087" s="511" t="s">
        <v>1082</v>
      </c>
    </row>
    <row r="1088" spans="1:2" ht="15" hidden="1" x14ac:dyDescent="0.25">
      <c r="A1088" s="511" t="s">
        <v>1083</v>
      </c>
      <c r="B1088" s="511" t="s">
        <v>1083</v>
      </c>
    </row>
    <row r="1089" spans="1:2" ht="15" hidden="1" x14ac:dyDescent="0.25">
      <c r="A1089" s="511" t="s">
        <v>1084</v>
      </c>
      <c r="B1089" s="511" t="s">
        <v>1084</v>
      </c>
    </row>
    <row r="1090" spans="1:2" ht="15" hidden="1" x14ac:dyDescent="0.25">
      <c r="A1090" s="511" t="s">
        <v>1085</v>
      </c>
      <c r="B1090" s="511" t="s">
        <v>1085</v>
      </c>
    </row>
    <row r="1091" spans="1:2" ht="15" hidden="1" x14ac:dyDescent="0.25">
      <c r="A1091" s="511" t="s">
        <v>1086</v>
      </c>
      <c r="B1091" s="511" t="s">
        <v>1086</v>
      </c>
    </row>
    <row r="1092" spans="1:2" ht="15" hidden="1" x14ac:dyDescent="0.25">
      <c r="A1092" s="511" t="s">
        <v>1087</v>
      </c>
      <c r="B1092" s="511" t="s">
        <v>1087</v>
      </c>
    </row>
    <row r="1093" spans="1:2" ht="15" hidden="1" x14ac:dyDescent="0.25">
      <c r="A1093" s="511" t="s">
        <v>1088</v>
      </c>
      <c r="B1093" s="511" t="s">
        <v>1088</v>
      </c>
    </row>
    <row r="1094" spans="1:2" ht="15" hidden="1" x14ac:dyDescent="0.25">
      <c r="A1094" s="511" t="s">
        <v>1089</v>
      </c>
      <c r="B1094" s="511" t="s">
        <v>1089</v>
      </c>
    </row>
    <row r="1095" spans="1:2" ht="15" hidden="1" x14ac:dyDescent="0.25">
      <c r="A1095" s="511" t="s">
        <v>1090</v>
      </c>
      <c r="B1095" s="511" t="s">
        <v>1090</v>
      </c>
    </row>
    <row r="1096" spans="1:2" ht="15" hidden="1" x14ac:dyDescent="0.25">
      <c r="A1096" s="511" t="s">
        <v>1091</v>
      </c>
      <c r="B1096" s="511" t="s">
        <v>1091</v>
      </c>
    </row>
    <row r="1097" spans="1:2" ht="15" hidden="1" x14ac:dyDescent="0.25">
      <c r="A1097" s="511" t="s">
        <v>1092</v>
      </c>
      <c r="B1097" s="511" t="s">
        <v>1092</v>
      </c>
    </row>
    <row r="1098" spans="1:2" ht="15" hidden="1" x14ac:dyDescent="0.25">
      <c r="A1098" s="511" t="s">
        <v>1092</v>
      </c>
      <c r="B1098" s="511" t="s">
        <v>1092</v>
      </c>
    </row>
    <row r="1099" spans="1:2" ht="15" hidden="1" x14ac:dyDescent="0.25">
      <c r="A1099" s="511" t="s">
        <v>1093</v>
      </c>
      <c r="B1099" s="511" t="s">
        <v>1093</v>
      </c>
    </row>
    <row r="1100" spans="1:2" ht="15" hidden="1" x14ac:dyDescent="0.25">
      <c r="A1100" s="511" t="s">
        <v>1094</v>
      </c>
      <c r="B1100" s="511" t="s">
        <v>1094</v>
      </c>
    </row>
    <row r="1101" spans="1:2" ht="15" hidden="1" x14ac:dyDescent="0.25">
      <c r="A1101" s="511" t="s">
        <v>1095</v>
      </c>
      <c r="B1101" s="511" t="s">
        <v>1095</v>
      </c>
    </row>
    <row r="1102" spans="1:2" ht="15" hidden="1" x14ac:dyDescent="0.25">
      <c r="A1102" s="511" t="s">
        <v>1096</v>
      </c>
      <c r="B1102" s="511" t="s">
        <v>1096</v>
      </c>
    </row>
    <row r="1103" spans="1:2" ht="15" hidden="1" x14ac:dyDescent="0.25">
      <c r="A1103" s="511" t="s">
        <v>1096</v>
      </c>
      <c r="B1103" s="511" t="s">
        <v>1096</v>
      </c>
    </row>
    <row r="1104" spans="1:2" ht="15" hidden="1" x14ac:dyDescent="0.25">
      <c r="A1104" s="511" t="s">
        <v>1097</v>
      </c>
      <c r="B1104" s="511" t="s">
        <v>1097</v>
      </c>
    </row>
    <row r="1105" spans="1:2" ht="15" hidden="1" x14ac:dyDescent="0.25">
      <c r="A1105" s="511" t="s">
        <v>1098</v>
      </c>
      <c r="B1105" s="511" t="s">
        <v>1098</v>
      </c>
    </row>
    <row r="1106" spans="1:2" ht="15" hidden="1" x14ac:dyDescent="0.25">
      <c r="A1106" s="511" t="s">
        <v>1099</v>
      </c>
      <c r="B1106" s="511" t="s">
        <v>1099</v>
      </c>
    </row>
    <row r="1107" spans="1:2" ht="15" hidden="1" x14ac:dyDescent="0.25">
      <c r="A1107" s="511" t="s">
        <v>1099</v>
      </c>
      <c r="B1107" s="511" t="s">
        <v>1099</v>
      </c>
    </row>
    <row r="1108" spans="1:2" ht="15" hidden="1" x14ac:dyDescent="0.25">
      <c r="A1108" s="511" t="s">
        <v>1100</v>
      </c>
      <c r="B1108" s="511" t="s">
        <v>1100</v>
      </c>
    </row>
    <row r="1109" spans="1:2" ht="15" hidden="1" x14ac:dyDescent="0.25">
      <c r="A1109" s="511" t="s">
        <v>1100</v>
      </c>
      <c r="B1109" s="511" t="s">
        <v>1100</v>
      </c>
    </row>
    <row r="1110" spans="1:2" ht="15" hidden="1" x14ac:dyDescent="0.25">
      <c r="A1110" s="511" t="s">
        <v>1101</v>
      </c>
      <c r="B1110" s="511" t="s">
        <v>1101</v>
      </c>
    </row>
    <row r="1111" spans="1:2" ht="15" hidden="1" x14ac:dyDescent="0.25">
      <c r="A1111" s="511" t="s">
        <v>1101</v>
      </c>
      <c r="B1111" s="511" t="s">
        <v>1101</v>
      </c>
    </row>
    <row r="1112" spans="1:2" ht="15" hidden="1" x14ac:dyDescent="0.25">
      <c r="A1112" s="511" t="s">
        <v>1102</v>
      </c>
      <c r="B1112" s="511" t="s">
        <v>1102</v>
      </c>
    </row>
    <row r="1113" spans="1:2" ht="15" hidden="1" x14ac:dyDescent="0.25">
      <c r="A1113" s="511" t="s">
        <v>1103</v>
      </c>
      <c r="B1113" s="511" t="s">
        <v>1103</v>
      </c>
    </row>
    <row r="1114" spans="1:2" ht="15" hidden="1" x14ac:dyDescent="0.25">
      <c r="A1114" s="511" t="s">
        <v>1104</v>
      </c>
      <c r="B1114" s="511" t="s">
        <v>1104</v>
      </c>
    </row>
    <row r="1115" spans="1:2" ht="15" hidden="1" x14ac:dyDescent="0.25">
      <c r="A1115" s="511" t="s">
        <v>1105</v>
      </c>
      <c r="B1115" s="511" t="s">
        <v>1105</v>
      </c>
    </row>
    <row r="1116" spans="1:2" ht="15" hidden="1" x14ac:dyDescent="0.25">
      <c r="A1116" s="511" t="s">
        <v>1105</v>
      </c>
      <c r="B1116" s="511" t="s">
        <v>1105</v>
      </c>
    </row>
    <row r="1117" spans="1:2" ht="15" hidden="1" x14ac:dyDescent="0.25">
      <c r="A1117" s="511" t="s">
        <v>1106</v>
      </c>
      <c r="B1117" s="511" t="s">
        <v>1106</v>
      </c>
    </row>
    <row r="1118" spans="1:2" ht="15" hidden="1" x14ac:dyDescent="0.25">
      <c r="A1118" s="511" t="s">
        <v>1107</v>
      </c>
      <c r="B1118" s="511" t="s">
        <v>1107</v>
      </c>
    </row>
    <row r="1119" spans="1:2" ht="15" hidden="1" x14ac:dyDescent="0.25">
      <c r="A1119" s="511" t="s">
        <v>1108</v>
      </c>
      <c r="B1119" s="511" t="s">
        <v>1108</v>
      </c>
    </row>
    <row r="1120" spans="1:2" ht="15" hidden="1" x14ac:dyDescent="0.25">
      <c r="A1120" s="511" t="s">
        <v>1109</v>
      </c>
      <c r="B1120" s="511" t="s">
        <v>1109</v>
      </c>
    </row>
    <row r="1121" spans="1:2" ht="15" hidden="1" x14ac:dyDescent="0.25">
      <c r="A1121" s="511" t="s">
        <v>1110</v>
      </c>
      <c r="B1121" s="511" t="s">
        <v>1110</v>
      </c>
    </row>
    <row r="1122" spans="1:2" ht="15" hidden="1" x14ac:dyDescent="0.25">
      <c r="A1122" s="511" t="s">
        <v>1111</v>
      </c>
      <c r="B1122" s="511" t="s">
        <v>1111</v>
      </c>
    </row>
    <row r="1123" spans="1:2" ht="15" hidden="1" x14ac:dyDescent="0.25">
      <c r="A1123" s="511" t="s">
        <v>1112</v>
      </c>
      <c r="B1123" s="511" t="s">
        <v>1112</v>
      </c>
    </row>
    <row r="1124" spans="1:2" ht="15" hidden="1" x14ac:dyDescent="0.25">
      <c r="A1124" s="511" t="s">
        <v>1113</v>
      </c>
      <c r="B1124" s="511" t="s">
        <v>1113</v>
      </c>
    </row>
    <row r="1125" spans="1:2" ht="15" hidden="1" x14ac:dyDescent="0.25">
      <c r="A1125" s="511" t="s">
        <v>1114</v>
      </c>
      <c r="B1125" s="511" t="s">
        <v>1115</v>
      </c>
    </row>
    <row r="1126" spans="1:2" ht="15" hidden="1" x14ac:dyDescent="0.25">
      <c r="A1126" s="511" t="s">
        <v>1114</v>
      </c>
      <c r="B1126" s="511" t="s">
        <v>1115</v>
      </c>
    </row>
    <row r="1127" spans="1:2" ht="15" hidden="1" x14ac:dyDescent="0.25">
      <c r="A1127" s="511" t="s">
        <v>1116</v>
      </c>
      <c r="B1127" s="511" t="s">
        <v>1117</v>
      </c>
    </row>
    <row r="1128" spans="1:2" ht="15" hidden="1" x14ac:dyDescent="0.25">
      <c r="A1128" s="511" t="s">
        <v>1118</v>
      </c>
      <c r="B1128" s="511" t="s">
        <v>1119</v>
      </c>
    </row>
    <row r="1129" spans="1:2" ht="15" hidden="1" x14ac:dyDescent="0.25">
      <c r="A1129" s="511" t="s">
        <v>1120</v>
      </c>
      <c r="B1129" s="511" t="s">
        <v>1121</v>
      </c>
    </row>
    <row r="1130" spans="1:2" ht="15" hidden="1" x14ac:dyDescent="0.25">
      <c r="A1130" s="512" t="s">
        <v>1120</v>
      </c>
      <c r="B1130" s="511" t="s">
        <v>1121</v>
      </c>
    </row>
    <row r="1131" spans="1:2" ht="15" hidden="1" x14ac:dyDescent="0.25">
      <c r="A1131" s="511" t="s">
        <v>1122</v>
      </c>
      <c r="B1131" s="511" t="s">
        <v>1123</v>
      </c>
    </row>
    <row r="1132" spans="1:2" ht="15" hidden="1" x14ac:dyDescent="0.25">
      <c r="A1132" s="511" t="s">
        <v>1124</v>
      </c>
      <c r="B1132" s="511" t="s">
        <v>1125</v>
      </c>
    </row>
    <row r="1133" spans="1:2" ht="15" hidden="1" x14ac:dyDescent="0.25">
      <c r="A1133" s="511" t="s">
        <v>1124</v>
      </c>
      <c r="B1133" s="511" t="s">
        <v>1125</v>
      </c>
    </row>
    <row r="1134" spans="1:2" ht="15" hidden="1" x14ac:dyDescent="0.25">
      <c r="A1134" s="511" t="s">
        <v>669</v>
      </c>
      <c r="B1134" s="511" t="s">
        <v>670</v>
      </c>
    </row>
    <row r="1135" spans="1:2" ht="15" hidden="1" x14ac:dyDescent="0.25">
      <c r="A1135" s="511" t="s">
        <v>1126</v>
      </c>
      <c r="B1135" s="511" t="s">
        <v>1127</v>
      </c>
    </row>
    <row r="1136" spans="1:2" ht="15" hidden="1" x14ac:dyDescent="0.25">
      <c r="A1136" s="511" t="s">
        <v>1128</v>
      </c>
      <c r="B1136" s="511" t="s">
        <v>1129</v>
      </c>
    </row>
    <row r="1137" spans="1:2" ht="15" hidden="1" x14ac:dyDescent="0.25">
      <c r="A1137" s="511" t="s">
        <v>1130</v>
      </c>
      <c r="B1137" s="511" t="s">
        <v>1131</v>
      </c>
    </row>
    <row r="1138" spans="1:2" ht="15" hidden="1" x14ac:dyDescent="0.25">
      <c r="A1138" s="511" t="s">
        <v>673</v>
      </c>
      <c r="B1138" s="511" t="s">
        <v>674</v>
      </c>
    </row>
    <row r="1139" spans="1:2" ht="15" hidden="1" x14ac:dyDescent="0.25">
      <c r="A1139" s="511" t="s">
        <v>673</v>
      </c>
      <c r="B1139" s="511" t="s">
        <v>674</v>
      </c>
    </row>
    <row r="1140" spans="1:2" ht="15" hidden="1" x14ac:dyDescent="0.25">
      <c r="A1140" s="511" t="s">
        <v>673</v>
      </c>
      <c r="B1140" s="511" t="s">
        <v>674</v>
      </c>
    </row>
    <row r="1141" spans="1:2" ht="15" hidden="1" x14ac:dyDescent="0.25">
      <c r="A1141" s="511" t="s">
        <v>1132</v>
      </c>
      <c r="B1141" s="511" t="s">
        <v>1133</v>
      </c>
    </row>
    <row r="1142" spans="1:2" ht="15" hidden="1" x14ac:dyDescent="0.25">
      <c r="A1142" s="511" t="s">
        <v>1132</v>
      </c>
      <c r="B1142" s="511" t="s">
        <v>1133</v>
      </c>
    </row>
    <row r="1143" spans="1:2" ht="15" hidden="1" x14ac:dyDescent="0.25">
      <c r="A1143" s="511" t="s">
        <v>1134</v>
      </c>
      <c r="B1143" s="511" t="s">
        <v>1135</v>
      </c>
    </row>
    <row r="1144" spans="1:2" ht="15" hidden="1" x14ac:dyDescent="0.25">
      <c r="A1144" s="511" t="s">
        <v>1134</v>
      </c>
      <c r="B1144" s="511" t="s">
        <v>1135</v>
      </c>
    </row>
    <row r="1145" spans="1:2" ht="15" hidden="1" x14ac:dyDescent="0.25">
      <c r="A1145" s="511" t="s">
        <v>1136</v>
      </c>
      <c r="B1145" s="511" t="s">
        <v>1137</v>
      </c>
    </row>
    <row r="1146" spans="1:2" ht="15" hidden="1" x14ac:dyDescent="0.25">
      <c r="A1146" s="511" t="s">
        <v>1138</v>
      </c>
      <c r="B1146" s="511" t="s">
        <v>1139</v>
      </c>
    </row>
    <row r="1147" spans="1:2" ht="15" hidden="1" x14ac:dyDescent="0.25">
      <c r="A1147" s="511" t="s">
        <v>1138</v>
      </c>
      <c r="B1147" s="511" t="s">
        <v>1139</v>
      </c>
    </row>
    <row r="1148" spans="1:2" ht="15" hidden="1" x14ac:dyDescent="0.25">
      <c r="A1148" s="511" t="s">
        <v>1140</v>
      </c>
      <c r="B1148" s="511" t="s">
        <v>1141</v>
      </c>
    </row>
    <row r="1149" spans="1:2" ht="15" hidden="1" x14ac:dyDescent="0.25">
      <c r="A1149" s="511" t="s">
        <v>1140</v>
      </c>
      <c r="B1149" s="511" t="s">
        <v>1141</v>
      </c>
    </row>
    <row r="1150" spans="1:2" ht="15" hidden="1" x14ac:dyDescent="0.25">
      <c r="A1150" s="511" t="s">
        <v>1142</v>
      </c>
      <c r="B1150" s="511" t="s">
        <v>1143</v>
      </c>
    </row>
    <row r="1151" spans="1:2" ht="15" hidden="1" x14ac:dyDescent="0.25">
      <c r="A1151" s="511" t="s">
        <v>1144</v>
      </c>
      <c r="B1151" s="511" t="s">
        <v>1145</v>
      </c>
    </row>
    <row r="1152" spans="1:2" ht="15" hidden="1" x14ac:dyDescent="0.25">
      <c r="A1152" s="511" t="s">
        <v>1146</v>
      </c>
      <c r="B1152" s="511" t="s">
        <v>1147</v>
      </c>
    </row>
    <row r="1153" spans="1:2" ht="15" hidden="1" x14ac:dyDescent="0.25">
      <c r="A1153" s="511" t="s">
        <v>1148</v>
      </c>
      <c r="B1153" s="511" t="s">
        <v>1149</v>
      </c>
    </row>
    <row r="1154" spans="1:2" ht="15" hidden="1" x14ac:dyDescent="0.25">
      <c r="A1154" s="511" t="s">
        <v>719</v>
      </c>
      <c r="B1154" s="511" t="s">
        <v>720</v>
      </c>
    </row>
    <row r="1155" spans="1:2" ht="15" hidden="1" x14ac:dyDescent="0.25">
      <c r="A1155" s="511" t="s">
        <v>719</v>
      </c>
      <c r="B1155" s="511" t="s">
        <v>720</v>
      </c>
    </row>
    <row r="1156" spans="1:2" ht="15" hidden="1" x14ac:dyDescent="0.25">
      <c r="A1156" s="511" t="s">
        <v>719</v>
      </c>
      <c r="B1156" s="511" t="s">
        <v>720</v>
      </c>
    </row>
    <row r="1157" spans="1:2" ht="15" hidden="1" x14ac:dyDescent="0.25">
      <c r="A1157" s="511" t="s">
        <v>719</v>
      </c>
      <c r="B1157" s="511" t="s">
        <v>720</v>
      </c>
    </row>
    <row r="1158" spans="1:2" ht="15" hidden="1" x14ac:dyDescent="0.25">
      <c r="A1158" s="511" t="s">
        <v>719</v>
      </c>
      <c r="B1158" s="511" t="s">
        <v>720</v>
      </c>
    </row>
    <row r="1159" spans="1:2" ht="15" hidden="1" x14ac:dyDescent="0.25">
      <c r="A1159" s="511" t="s">
        <v>1150</v>
      </c>
      <c r="B1159" s="511" t="s">
        <v>1151</v>
      </c>
    </row>
    <row r="1160" spans="1:2" ht="15" hidden="1" x14ac:dyDescent="0.25">
      <c r="A1160" s="511" t="s">
        <v>1152</v>
      </c>
      <c r="B1160" s="511" t="s">
        <v>1153</v>
      </c>
    </row>
    <row r="1161" spans="1:2" ht="15" hidden="1" x14ac:dyDescent="0.25">
      <c r="A1161" s="511" t="s">
        <v>1154</v>
      </c>
      <c r="B1161" s="511" t="s">
        <v>1155</v>
      </c>
    </row>
    <row r="1162" spans="1:2" ht="15" hidden="1" x14ac:dyDescent="0.25">
      <c r="A1162" s="511" t="s">
        <v>1156</v>
      </c>
      <c r="B1162" s="511" t="s">
        <v>1157</v>
      </c>
    </row>
    <row r="1163" spans="1:2" ht="15" hidden="1" x14ac:dyDescent="0.25">
      <c r="A1163" s="511" t="s">
        <v>1158</v>
      </c>
      <c r="B1163" s="511" t="s">
        <v>1159</v>
      </c>
    </row>
    <row r="1164" spans="1:2" ht="15" hidden="1" x14ac:dyDescent="0.25">
      <c r="A1164" s="511" t="s">
        <v>1160</v>
      </c>
      <c r="B1164" s="511" t="s">
        <v>1161</v>
      </c>
    </row>
    <row r="1165" spans="1:2" ht="15" hidden="1" x14ac:dyDescent="0.25">
      <c r="A1165" s="511" t="s">
        <v>1162</v>
      </c>
      <c r="B1165" s="511" t="s">
        <v>1163</v>
      </c>
    </row>
    <row r="1166" spans="1:2" ht="15" hidden="1" x14ac:dyDescent="0.25">
      <c r="A1166" s="511" t="s">
        <v>1164</v>
      </c>
      <c r="B1166" s="511" t="s">
        <v>1165</v>
      </c>
    </row>
    <row r="1167" spans="1:2" ht="15" hidden="1" x14ac:dyDescent="0.25">
      <c r="A1167" s="511" t="s">
        <v>1166</v>
      </c>
      <c r="B1167" s="511" t="s">
        <v>1167</v>
      </c>
    </row>
    <row r="1168" spans="1:2" ht="15" hidden="1" x14ac:dyDescent="0.25">
      <c r="A1168" s="511" t="s">
        <v>735</v>
      </c>
      <c r="B1168" s="511" t="s">
        <v>736</v>
      </c>
    </row>
    <row r="1169" spans="1:2" ht="15" hidden="1" x14ac:dyDescent="0.25">
      <c r="A1169" s="511" t="s">
        <v>735</v>
      </c>
      <c r="B1169" s="511" t="s">
        <v>736</v>
      </c>
    </row>
    <row r="1170" spans="1:2" ht="15" hidden="1" x14ac:dyDescent="0.25">
      <c r="A1170" s="511" t="s">
        <v>735</v>
      </c>
      <c r="B1170" s="511" t="s">
        <v>736</v>
      </c>
    </row>
    <row r="1171" spans="1:2" ht="15" hidden="1" x14ac:dyDescent="0.25">
      <c r="A1171" s="511" t="s">
        <v>1168</v>
      </c>
      <c r="B1171" s="511" t="s">
        <v>1169</v>
      </c>
    </row>
    <row r="1172" spans="1:2" ht="15" hidden="1" x14ac:dyDescent="0.25">
      <c r="A1172" s="511" t="s">
        <v>1170</v>
      </c>
      <c r="B1172" s="511" t="s">
        <v>1171</v>
      </c>
    </row>
    <row r="1173" spans="1:2" ht="15" hidden="1" x14ac:dyDescent="0.25">
      <c r="A1173" s="511" t="s">
        <v>1172</v>
      </c>
      <c r="B1173" s="511" t="s">
        <v>1173</v>
      </c>
    </row>
    <row r="1174" spans="1:2" ht="15" hidden="1" x14ac:dyDescent="0.25">
      <c r="A1174" s="511" t="s">
        <v>1174</v>
      </c>
      <c r="B1174" s="511" t="s">
        <v>1175</v>
      </c>
    </row>
    <row r="1175" spans="1:2" ht="15" hidden="1" x14ac:dyDescent="0.25">
      <c r="A1175" s="511" t="s">
        <v>1174</v>
      </c>
      <c r="B1175" s="511" t="s">
        <v>1175</v>
      </c>
    </row>
    <row r="1176" spans="1:2" ht="15" hidden="1" x14ac:dyDescent="0.25">
      <c r="A1176" s="511" t="s">
        <v>1176</v>
      </c>
      <c r="B1176" s="511" t="s">
        <v>1177</v>
      </c>
    </row>
    <row r="1177" spans="1:2" ht="15" hidden="1" x14ac:dyDescent="0.25">
      <c r="A1177" s="511" t="s">
        <v>1178</v>
      </c>
      <c r="B1177" s="511" t="s">
        <v>1179</v>
      </c>
    </row>
    <row r="1178" spans="1:2" ht="15" hidden="1" x14ac:dyDescent="0.25">
      <c r="A1178" s="511" t="s">
        <v>1178</v>
      </c>
      <c r="B1178" s="511" t="s">
        <v>1179</v>
      </c>
    </row>
    <row r="1179" spans="1:2" ht="15" hidden="1" x14ac:dyDescent="0.25">
      <c r="A1179" s="511" t="s">
        <v>1180</v>
      </c>
      <c r="B1179" s="511" t="s">
        <v>1179</v>
      </c>
    </row>
    <row r="1180" spans="1:2" ht="15" hidden="1" x14ac:dyDescent="0.25">
      <c r="A1180" s="511" t="s">
        <v>1180</v>
      </c>
      <c r="B1180" s="511" t="s">
        <v>1179</v>
      </c>
    </row>
    <row r="1181" spans="1:2" ht="15" hidden="1" x14ac:dyDescent="0.25">
      <c r="A1181" s="511" t="s">
        <v>1181</v>
      </c>
      <c r="B1181" s="511" t="s">
        <v>1182</v>
      </c>
    </row>
    <row r="1182" spans="1:2" ht="15" hidden="1" x14ac:dyDescent="0.25">
      <c r="A1182" s="511" t="s">
        <v>1183</v>
      </c>
      <c r="B1182" s="511" t="s">
        <v>1184</v>
      </c>
    </row>
    <row r="1183" spans="1:2" ht="15" hidden="1" x14ac:dyDescent="0.25">
      <c r="A1183" s="511" t="s">
        <v>1183</v>
      </c>
      <c r="B1183" s="511" t="s">
        <v>1184</v>
      </c>
    </row>
    <row r="1184" spans="1:2" ht="15" hidden="1" x14ac:dyDescent="0.25">
      <c r="A1184" s="511" t="s">
        <v>1185</v>
      </c>
      <c r="B1184" s="511" t="s">
        <v>1186</v>
      </c>
    </row>
    <row r="1185" spans="1:2" ht="15" hidden="1" x14ac:dyDescent="0.25">
      <c r="A1185" s="511" t="s">
        <v>1187</v>
      </c>
      <c r="B1185" s="511" t="s">
        <v>1188</v>
      </c>
    </row>
    <row r="1186" spans="1:2" ht="15" hidden="1" x14ac:dyDescent="0.25">
      <c r="A1186" s="511" t="s">
        <v>759</v>
      </c>
      <c r="B1186" s="511" t="s">
        <v>760</v>
      </c>
    </row>
    <row r="1187" spans="1:2" ht="15" hidden="1" x14ac:dyDescent="0.25">
      <c r="A1187" s="511" t="s">
        <v>1189</v>
      </c>
      <c r="B1187" s="511" t="s">
        <v>1190</v>
      </c>
    </row>
    <row r="1188" spans="1:2" ht="15" hidden="1" x14ac:dyDescent="0.25">
      <c r="A1188" s="511" t="s">
        <v>1191</v>
      </c>
      <c r="B1188" s="511" t="s">
        <v>1192</v>
      </c>
    </row>
    <row r="1189" spans="1:2" ht="15" hidden="1" x14ac:dyDescent="0.25">
      <c r="A1189" s="511" t="s">
        <v>1193</v>
      </c>
      <c r="B1189" s="511" t="s">
        <v>1194</v>
      </c>
    </row>
    <row r="1190" spans="1:2" ht="15" hidden="1" x14ac:dyDescent="0.25">
      <c r="A1190" s="511" t="s">
        <v>1195</v>
      </c>
      <c r="B1190" s="511" t="s">
        <v>1196</v>
      </c>
    </row>
    <row r="1191" spans="1:2" ht="15" hidden="1" x14ac:dyDescent="0.25">
      <c r="A1191" s="511" t="s">
        <v>763</v>
      </c>
      <c r="B1191" s="511" t="s">
        <v>764</v>
      </c>
    </row>
    <row r="1192" spans="1:2" ht="15" hidden="1" x14ac:dyDescent="0.25">
      <c r="A1192" s="511" t="s">
        <v>1197</v>
      </c>
      <c r="B1192" s="511" t="s">
        <v>1198</v>
      </c>
    </row>
    <row r="1193" spans="1:2" ht="15" hidden="1" x14ac:dyDescent="0.25">
      <c r="A1193" s="511" t="s">
        <v>1197</v>
      </c>
      <c r="B1193" s="511" t="s">
        <v>1198</v>
      </c>
    </row>
    <row r="1194" spans="1:2" ht="15" hidden="1" x14ac:dyDescent="0.25">
      <c r="A1194" s="511" t="s">
        <v>1197</v>
      </c>
      <c r="B1194" s="511" t="s">
        <v>1198</v>
      </c>
    </row>
    <row r="1195" spans="1:2" ht="15" hidden="1" x14ac:dyDescent="0.25">
      <c r="A1195" s="511" t="s">
        <v>1197</v>
      </c>
      <c r="B1195" s="511" t="s">
        <v>1198</v>
      </c>
    </row>
    <row r="1196" spans="1:2" ht="15" hidden="1" x14ac:dyDescent="0.25">
      <c r="A1196" s="511" t="s">
        <v>1199</v>
      </c>
      <c r="B1196" s="511" t="s">
        <v>1200</v>
      </c>
    </row>
    <row r="1197" spans="1:2" ht="15" hidden="1" x14ac:dyDescent="0.25">
      <c r="A1197" s="511" t="s">
        <v>1199</v>
      </c>
      <c r="B1197" s="511" t="s">
        <v>1200</v>
      </c>
    </row>
    <row r="1198" spans="1:2" ht="15" hidden="1" x14ac:dyDescent="0.25">
      <c r="A1198" s="511" t="s">
        <v>1201</v>
      </c>
      <c r="B1198" s="511" t="s">
        <v>1202</v>
      </c>
    </row>
    <row r="1199" spans="1:2" ht="15" hidden="1" x14ac:dyDescent="0.25">
      <c r="A1199" s="511" t="s">
        <v>1203</v>
      </c>
      <c r="B1199" s="511" t="s">
        <v>1204</v>
      </c>
    </row>
    <row r="1200" spans="1:2" ht="15" hidden="1" x14ac:dyDescent="0.25">
      <c r="A1200" s="511" t="s">
        <v>777</v>
      </c>
      <c r="B1200" s="511" t="s">
        <v>778</v>
      </c>
    </row>
    <row r="1201" spans="1:2" ht="15" hidden="1" x14ac:dyDescent="0.25">
      <c r="A1201" s="511" t="s">
        <v>777</v>
      </c>
      <c r="B1201" s="511" t="s">
        <v>778</v>
      </c>
    </row>
    <row r="1202" spans="1:2" ht="15" hidden="1" x14ac:dyDescent="0.25">
      <c r="A1202" s="511" t="s">
        <v>777</v>
      </c>
      <c r="B1202" s="511" t="s">
        <v>778</v>
      </c>
    </row>
    <row r="1203" spans="1:2" ht="15" hidden="1" x14ac:dyDescent="0.25">
      <c r="A1203" s="511" t="s">
        <v>1205</v>
      </c>
      <c r="B1203" s="511" t="s">
        <v>1206</v>
      </c>
    </row>
    <row r="1204" spans="1:2" ht="15" hidden="1" x14ac:dyDescent="0.25">
      <c r="A1204" s="511" t="s">
        <v>1205</v>
      </c>
      <c r="B1204" s="511" t="s">
        <v>1206</v>
      </c>
    </row>
    <row r="1205" spans="1:2" ht="15" hidden="1" x14ac:dyDescent="0.25">
      <c r="A1205" s="512" t="s">
        <v>1207</v>
      </c>
      <c r="B1205" s="511" t="s">
        <v>1208</v>
      </c>
    </row>
    <row r="1206" spans="1:2" ht="15" hidden="1" x14ac:dyDescent="0.25">
      <c r="A1206" s="511" t="s">
        <v>1209</v>
      </c>
      <c r="B1206" s="511" t="s">
        <v>1210</v>
      </c>
    </row>
    <row r="1207" spans="1:2" ht="15" hidden="1" x14ac:dyDescent="0.25">
      <c r="A1207" s="511" t="s">
        <v>1211</v>
      </c>
      <c r="B1207" s="511" t="s">
        <v>1212</v>
      </c>
    </row>
    <row r="1208" spans="1:2" ht="15" hidden="1" x14ac:dyDescent="0.25">
      <c r="A1208" s="511" t="s">
        <v>1213</v>
      </c>
      <c r="B1208" s="511" t="s">
        <v>1214</v>
      </c>
    </row>
    <row r="1209" spans="1:2" ht="15" hidden="1" x14ac:dyDescent="0.25">
      <c r="A1209" s="511" t="s">
        <v>1215</v>
      </c>
      <c r="B1209" s="511" t="s">
        <v>1216</v>
      </c>
    </row>
    <row r="1210" spans="1:2" ht="15" hidden="1" x14ac:dyDescent="0.25">
      <c r="A1210" s="511" t="s">
        <v>1215</v>
      </c>
      <c r="B1210" s="511" t="s">
        <v>1216</v>
      </c>
    </row>
    <row r="1211" spans="1:2" ht="15" hidden="1" x14ac:dyDescent="0.25">
      <c r="A1211" s="511" t="s">
        <v>1217</v>
      </c>
      <c r="B1211" s="511" t="s">
        <v>1218</v>
      </c>
    </row>
    <row r="1212" spans="1:2" ht="15" hidden="1" x14ac:dyDescent="0.25">
      <c r="A1212" s="511" t="s">
        <v>1219</v>
      </c>
      <c r="B1212" s="511" t="s">
        <v>1220</v>
      </c>
    </row>
    <row r="1213" spans="1:2" ht="15" hidden="1" x14ac:dyDescent="0.25">
      <c r="A1213" s="511" t="s">
        <v>1221</v>
      </c>
      <c r="B1213" s="511" t="s">
        <v>1222</v>
      </c>
    </row>
    <row r="1214" spans="1:2" ht="15" hidden="1" x14ac:dyDescent="0.25">
      <c r="A1214" s="511" t="s">
        <v>1223</v>
      </c>
      <c r="B1214" s="511" t="s">
        <v>1224</v>
      </c>
    </row>
    <row r="1215" spans="1:2" ht="15" hidden="1" x14ac:dyDescent="0.25">
      <c r="A1215" s="511" t="s">
        <v>1225</v>
      </c>
      <c r="B1215" s="511" t="s">
        <v>1226</v>
      </c>
    </row>
    <row r="1216" spans="1:2" ht="15" hidden="1" x14ac:dyDescent="0.25">
      <c r="A1216" s="511" t="s">
        <v>1225</v>
      </c>
      <c r="B1216" s="511" t="s">
        <v>1226</v>
      </c>
    </row>
    <row r="1217" spans="1:2" ht="15" hidden="1" x14ac:dyDescent="0.25">
      <c r="A1217" s="511" t="s">
        <v>1227</v>
      </c>
      <c r="B1217" s="511" t="s">
        <v>1228</v>
      </c>
    </row>
    <row r="1218" spans="1:2" ht="15" hidden="1" x14ac:dyDescent="0.25">
      <c r="A1218" s="513" t="s">
        <v>1227</v>
      </c>
      <c r="B1218" s="513" t="s">
        <v>1229</v>
      </c>
    </row>
    <row r="1219" spans="1:2" ht="15" hidden="1" x14ac:dyDescent="0.25">
      <c r="A1219" s="511" t="s">
        <v>1230</v>
      </c>
      <c r="B1219" s="511" t="s">
        <v>1231</v>
      </c>
    </row>
    <row r="1220" spans="1:2" ht="15" hidden="1" x14ac:dyDescent="0.25">
      <c r="A1220" s="511" t="s">
        <v>1230</v>
      </c>
      <c r="B1220" s="511" t="s">
        <v>1231</v>
      </c>
    </row>
    <row r="1221" spans="1:2" ht="15" hidden="1" x14ac:dyDescent="0.25">
      <c r="A1221" s="511" t="s">
        <v>1232</v>
      </c>
      <c r="B1221" s="511" t="s">
        <v>1233</v>
      </c>
    </row>
    <row r="1222" spans="1:2" ht="15" hidden="1" x14ac:dyDescent="0.25">
      <c r="A1222" s="511" t="s">
        <v>1234</v>
      </c>
      <c r="B1222" s="511" t="s">
        <v>1235</v>
      </c>
    </row>
    <row r="1223" spans="1:2" ht="15" hidden="1" x14ac:dyDescent="0.25">
      <c r="A1223" s="511" t="s">
        <v>1236</v>
      </c>
      <c r="B1223" s="511" t="s">
        <v>1237</v>
      </c>
    </row>
    <row r="1224" spans="1:2" ht="15" hidden="1" x14ac:dyDescent="0.25">
      <c r="A1224" s="511" t="s">
        <v>1238</v>
      </c>
      <c r="B1224" s="511" t="s">
        <v>1239</v>
      </c>
    </row>
    <row r="1225" spans="1:2" ht="15" hidden="1" x14ac:dyDescent="0.25">
      <c r="A1225" s="511" t="s">
        <v>1240</v>
      </c>
      <c r="B1225" s="511" t="s">
        <v>1241</v>
      </c>
    </row>
    <row r="1226" spans="1:2" ht="15" hidden="1" x14ac:dyDescent="0.25">
      <c r="A1226" s="511" t="s">
        <v>1242</v>
      </c>
      <c r="B1226" s="511" t="s">
        <v>1243</v>
      </c>
    </row>
    <row r="1227" spans="1:2" ht="15" hidden="1" x14ac:dyDescent="0.25">
      <c r="A1227" s="511" t="s">
        <v>1244</v>
      </c>
      <c r="B1227" s="511" t="s">
        <v>1245</v>
      </c>
    </row>
    <row r="1228" spans="1:2" ht="15" hidden="1" x14ac:dyDescent="0.25">
      <c r="A1228" s="511" t="s">
        <v>1244</v>
      </c>
      <c r="B1228" s="511" t="s">
        <v>1245</v>
      </c>
    </row>
    <row r="1229" spans="1:2" ht="15" hidden="1" x14ac:dyDescent="0.25">
      <c r="A1229" s="511" t="s">
        <v>1246</v>
      </c>
      <c r="B1229" s="511" t="s">
        <v>1247</v>
      </c>
    </row>
    <row r="1230" spans="1:2" ht="15" hidden="1" x14ac:dyDescent="0.25">
      <c r="A1230" s="511" t="s">
        <v>1246</v>
      </c>
      <c r="B1230" s="511" t="s">
        <v>1247</v>
      </c>
    </row>
    <row r="1231" spans="1:2" ht="15" hidden="1" x14ac:dyDescent="0.25">
      <c r="A1231" s="511" t="s">
        <v>839</v>
      </c>
      <c r="B1231" s="511" t="s">
        <v>840</v>
      </c>
    </row>
    <row r="1232" spans="1:2" ht="15" hidden="1" x14ac:dyDescent="0.25">
      <c r="A1232" s="511" t="s">
        <v>839</v>
      </c>
      <c r="B1232" s="511" t="s">
        <v>840</v>
      </c>
    </row>
    <row r="1233" spans="1:2" ht="15" hidden="1" x14ac:dyDescent="0.25">
      <c r="A1233" s="511" t="s">
        <v>1248</v>
      </c>
      <c r="B1233" s="511" t="s">
        <v>1249</v>
      </c>
    </row>
    <row r="1234" spans="1:2" ht="15" hidden="1" x14ac:dyDescent="0.25">
      <c r="A1234" s="511" t="s">
        <v>1250</v>
      </c>
      <c r="B1234" s="511" t="s">
        <v>1251</v>
      </c>
    </row>
    <row r="1235" spans="1:2" ht="15" hidden="1" x14ac:dyDescent="0.25">
      <c r="A1235" s="511" t="s">
        <v>1250</v>
      </c>
      <c r="B1235" s="511" t="s">
        <v>1251</v>
      </c>
    </row>
    <row r="1236" spans="1:2" ht="15" hidden="1" x14ac:dyDescent="0.25">
      <c r="A1236" s="511" t="s">
        <v>1250</v>
      </c>
      <c r="B1236" s="511" t="s">
        <v>1251</v>
      </c>
    </row>
    <row r="1237" spans="1:2" ht="15" hidden="1" x14ac:dyDescent="0.25">
      <c r="A1237" s="511" t="s">
        <v>1252</v>
      </c>
      <c r="B1237" s="511" t="s">
        <v>1253</v>
      </c>
    </row>
    <row r="1238" spans="1:2" ht="15" hidden="1" x14ac:dyDescent="0.25">
      <c r="A1238" s="511" t="s">
        <v>1252</v>
      </c>
      <c r="B1238" s="511" t="s">
        <v>1253</v>
      </c>
    </row>
    <row r="1239" spans="1:2" ht="15" hidden="1" x14ac:dyDescent="0.25">
      <c r="A1239" s="511" t="s">
        <v>845</v>
      </c>
      <c r="B1239" s="511" t="s">
        <v>846</v>
      </c>
    </row>
    <row r="1240" spans="1:2" ht="15" hidden="1" x14ac:dyDescent="0.25">
      <c r="A1240" s="511" t="s">
        <v>1254</v>
      </c>
      <c r="B1240" s="511" t="s">
        <v>1255</v>
      </c>
    </row>
    <row r="1241" spans="1:2" ht="15" hidden="1" x14ac:dyDescent="0.25">
      <c r="A1241" s="511" t="s">
        <v>1256</v>
      </c>
      <c r="B1241" s="511" t="s">
        <v>1257</v>
      </c>
    </row>
    <row r="1242" spans="1:2" ht="15" hidden="1" x14ac:dyDescent="0.25">
      <c r="A1242" s="511" t="s">
        <v>1258</v>
      </c>
      <c r="B1242" s="511" t="s">
        <v>1259</v>
      </c>
    </row>
    <row r="1243" spans="1:2" ht="15" hidden="1" x14ac:dyDescent="0.25">
      <c r="A1243" s="511" t="s">
        <v>1260</v>
      </c>
      <c r="B1243" s="511" t="s">
        <v>1261</v>
      </c>
    </row>
    <row r="1244" spans="1:2" ht="15" hidden="1" x14ac:dyDescent="0.25">
      <c r="A1244" s="511" t="s">
        <v>1262</v>
      </c>
      <c r="B1244" s="511" t="s">
        <v>1263</v>
      </c>
    </row>
    <row r="1245" spans="1:2" ht="15" hidden="1" x14ac:dyDescent="0.25">
      <c r="A1245" s="511" t="s">
        <v>1264</v>
      </c>
      <c r="B1245" s="511" t="s">
        <v>868</v>
      </c>
    </row>
    <row r="1246" spans="1:2" ht="15" hidden="1" x14ac:dyDescent="0.25">
      <c r="A1246" s="511" t="s">
        <v>1265</v>
      </c>
      <c r="B1246" s="511" t="s">
        <v>1266</v>
      </c>
    </row>
    <row r="1247" spans="1:2" ht="15" hidden="1" x14ac:dyDescent="0.25">
      <c r="A1247" s="511" t="s">
        <v>1267</v>
      </c>
      <c r="B1247" s="511" t="s">
        <v>1268</v>
      </c>
    </row>
    <row r="1248" spans="1:2" ht="15" hidden="1" x14ac:dyDescent="0.25">
      <c r="A1248" s="511" t="s">
        <v>1269</v>
      </c>
      <c r="B1248" s="511" t="s">
        <v>1270</v>
      </c>
    </row>
    <row r="1249" spans="1:2" ht="15" hidden="1" x14ac:dyDescent="0.25">
      <c r="A1249" s="512" t="s">
        <v>1269</v>
      </c>
      <c r="B1249" s="511" t="s">
        <v>1270</v>
      </c>
    </row>
    <row r="1250" spans="1:2" ht="15" hidden="1" x14ac:dyDescent="0.25">
      <c r="A1250" s="511" t="s">
        <v>1271</v>
      </c>
      <c r="B1250" s="511" t="s">
        <v>1272</v>
      </c>
    </row>
    <row r="1251" spans="1:2" ht="15" hidden="1" x14ac:dyDescent="0.25">
      <c r="A1251" s="511" t="s">
        <v>1271</v>
      </c>
      <c r="B1251" s="511" t="s">
        <v>1272</v>
      </c>
    </row>
    <row r="1252" spans="1:2" ht="15" hidden="1" x14ac:dyDescent="0.25">
      <c r="A1252" s="511" t="s">
        <v>1271</v>
      </c>
      <c r="B1252" s="511" t="s">
        <v>1272</v>
      </c>
    </row>
    <row r="1253" spans="1:2" ht="15" hidden="1" x14ac:dyDescent="0.25">
      <c r="A1253" s="511" t="s">
        <v>1273</v>
      </c>
      <c r="B1253" s="511" t="s">
        <v>1274</v>
      </c>
    </row>
    <row r="1254" spans="1:2" ht="15" hidden="1" x14ac:dyDescent="0.25">
      <c r="A1254" s="511" t="s">
        <v>1275</v>
      </c>
      <c r="B1254" s="511" t="s">
        <v>1276</v>
      </c>
    </row>
    <row r="1255" spans="1:2" ht="15" hidden="1" x14ac:dyDescent="0.25">
      <c r="A1255" s="511" t="s">
        <v>1277</v>
      </c>
      <c r="B1255" s="511" t="s">
        <v>1278</v>
      </c>
    </row>
    <row r="1256" spans="1:2" ht="15" hidden="1" x14ac:dyDescent="0.25">
      <c r="A1256" s="511" t="s">
        <v>1279</v>
      </c>
      <c r="B1256" s="511" t="s">
        <v>1280</v>
      </c>
    </row>
    <row r="1257" spans="1:2" ht="15" hidden="1" x14ac:dyDescent="0.25">
      <c r="A1257" s="511" t="s">
        <v>1281</v>
      </c>
      <c r="B1257" s="511" t="s">
        <v>1282</v>
      </c>
    </row>
    <row r="1258" spans="1:2" ht="15" hidden="1" x14ac:dyDescent="0.25">
      <c r="A1258" s="511" t="s">
        <v>1283</v>
      </c>
      <c r="B1258" s="511" t="s">
        <v>1284</v>
      </c>
    </row>
    <row r="1259" spans="1:2" ht="15" hidden="1" x14ac:dyDescent="0.25">
      <c r="A1259" s="511" t="s">
        <v>1285</v>
      </c>
      <c r="B1259" s="511" t="s">
        <v>1286</v>
      </c>
    </row>
    <row r="1260" spans="1:2" ht="15" hidden="1" x14ac:dyDescent="0.25">
      <c r="A1260" s="511" t="s">
        <v>1287</v>
      </c>
      <c r="B1260" s="511" t="s">
        <v>1288</v>
      </c>
    </row>
    <row r="1261" spans="1:2" ht="15" hidden="1" x14ac:dyDescent="0.25">
      <c r="A1261" s="512" t="s">
        <v>1287</v>
      </c>
      <c r="B1261" s="511" t="s">
        <v>1288</v>
      </c>
    </row>
    <row r="1262" spans="1:2" ht="15" hidden="1" x14ac:dyDescent="0.25">
      <c r="A1262" s="511" t="s">
        <v>1287</v>
      </c>
      <c r="B1262" s="511" t="s">
        <v>1288</v>
      </c>
    </row>
    <row r="1263" spans="1:2" ht="15" hidden="1" x14ac:dyDescent="0.25">
      <c r="A1263" s="511" t="s">
        <v>1289</v>
      </c>
      <c r="B1263" s="511" t="s">
        <v>1290</v>
      </c>
    </row>
    <row r="1264" spans="1:2" ht="15" hidden="1" x14ac:dyDescent="0.25">
      <c r="A1264" s="511" t="s">
        <v>1291</v>
      </c>
      <c r="B1264" s="511" t="s">
        <v>1292</v>
      </c>
    </row>
    <row r="1265" spans="1:2" ht="15" hidden="1" x14ac:dyDescent="0.25">
      <c r="A1265" s="511" t="s">
        <v>1291</v>
      </c>
      <c r="B1265" s="511" t="s">
        <v>1292</v>
      </c>
    </row>
    <row r="1266" spans="1:2" ht="15" hidden="1" x14ac:dyDescent="0.25">
      <c r="A1266" s="511" t="s">
        <v>1293</v>
      </c>
      <c r="B1266" s="511" t="s">
        <v>1294</v>
      </c>
    </row>
    <row r="1267" spans="1:2" ht="15" hidden="1" x14ac:dyDescent="0.25">
      <c r="A1267" s="511" t="s">
        <v>1295</v>
      </c>
      <c r="B1267" s="511" t="s">
        <v>1296</v>
      </c>
    </row>
    <row r="1268" spans="1:2" ht="15" hidden="1" x14ac:dyDescent="0.25">
      <c r="A1268" s="511" t="s">
        <v>1297</v>
      </c>
      <c r="B1268" s="511" t="s">
        <v>1298</v>
      </c>
    </row>
    <row r="1269" spans="1:2" ht="15" hidden="1" x14ac:dyDescent="0.25">
      <c r="A1269" s="511" t="s">
        <v>1299</v>
      </c>
      <c r="B1269" s="511" t="s">
        <v>1300</v>
      </c>
    </row>
    <row r="1270" spans="1:2" ht="15" hidden="1" x14ac:dyDescent="0.25">
      <c r="A1270" s="511" t="s">
        <v>1301</v>
      </c>
      <c r="B1270" s="511" t="s">
        <v>1302</v>
      </c>
    </row>
    <row r="1271" spans="1:2" ht="15" hidden="1" x14ac:dyDescent="0.25">
      <c r="A1271" s="512" t="s">
        <v>1303</v>
      </c>
      <c r="B1271" s="511" t="s">
        <v>1304</v>
      </c>
    </row>
    <row r="1272" spans="1:2" ht="15" hidden="1" x14ac:dyDescent="0.25">
      <c r="A1272" s="511" t="s">
        <v>1305</v>
      </c>
      <c r="B1272" s="511" t="s">
        <v>1306</v>
      </c>
    </row>
    <row r="1273" spans="1:2" ht="15" hidden="1" x14ac:dyDescent="0.25">
      <c r="A1273" s="511" t="s">
        <v>1307</v>
      </c>
      <c r="B1273" s="511" t="s">
        <v>1308</v>
      </c>
    </row>
    <row r="1274" spans="1:2" ht="15" hidden="1" x14ac:dyDescent="0.25">
      <c r="A1274" s="511" t="s">
        <v>1309</v>
      </c>
      <c r="B1274" s="511" t="s">
        <v>1310</v>
      </c>
    </row>
    <row r="1275" spans="1:2" ht="15" hidden="1" x14ac:dyDescent="0.25">
      <c r="A1275" s="511" t="s">
        <v>231</v>
      </c>
      <c r="B1275" s="511" t="s">
        <v>359</v>
      </c>
    </row>
    <row r="1276" spans="1:2" ht="15" hidden="1" x14ac:dyDescent="0.25">
      <c r="A1276" s="511" t="s">
        <v>231</v>
      </c>
      <c r="B1276" s="511" t="s">
        <v>359</v>
      </c>
    </row>
    <row r="1277" spans="1:2" ht="15" hidden="1" x14ac:dyDescent="0.25">
      <c r="A1277" s="511" t="s">
        <v>231</v>
      </c>
      <c r="B1277" s="511" t="s">
        <v>359</v>
      </c>
    </row>
    <row r="1278" spans="1:2" ht="15" hidden="1" x14ac:dyDescent="0.25">
      <c r="A1278" s="511" t="s">
        <v>231</v>
      </c>
      <c r="B1278" s="511" t="s">
        <v>359</v>
      </c>
    </row>
    <row r="1279" spans="1:2" ht="15" hidden="1" x14ac:dyDescent="0.25">
      <c r="A1279" s="511" t="s">
        <v>231</v>
      </c>
      <c r="B1279" s="511" t="s">
        <v>359</v>
      </c>
    </row>
    <row r="1280" spans="1:2" ht="15" hidden="1" x14ac:dyDescent="0.25">
      <c r="A1280" s="511" t="s">
        <v>231</v>
      </c>
      <c r="B1280" s="511" t="s">
        <v>359</v>
      </c>
    </row>
    <row r="1281" spans="1:2" ht="15" hidden="1" x14ac:dyDescent="0.25">
      <c r="A1281" s="511" t="s">
        <v>231</v>
      </c>
      <c r="B1281" s="511" t="s">
        <v>359</v>
      </c>
    </row>
    <row r="1282" spans="1:2" ht="15" hidden="1" x14ac:dyDescent="0.25">
      <c r="A1282" s="511" t="s">
        <v>231</v>
      </c>
      <c r="B1282" s="511" t="s">
        <v>359</v>
      </c>
    </row>
    <row r="1283" spans="1:2" ht="15" hidden="1" x14ac:dyDescent="0.25">
      <c r="A1283" s="511" t="s">
        <v>191</v>
      </c>
      <c r="B1283" s="511" t="s">
        <v>361</v>
      </c>
    </row>
    <row r="1284" spans="1:2" ht="15" hidden="1" x14ac:dyDescent="0.25">
      <c r="A1284" s="511" t="s">
        <v>191</v>
      </c>
      <c r="B1284" s="511" t="s">
        <v>361</v>
      </c>
    </row>
    <row r="1285" spans="1:2" ht="15" hidden="1" x14ac:dyDescent="0.25">
      <c r="A1285" s="511" t="s">
        <v>191</v>
      </c>
      <c r="B1285" s="511" t="s">
        <v>361</v>
      </c>
    </row>
    <row r="1286" spans="1:2" ht="15" hidden="1" x14ac:dyDescent="0.25">
      <c r="A1286" s="511" t="s">
        <v>191</v>
      </c>
      <c r="B1286" s="511" t="s">
        <v>361</v>
      </c>
    </row>
    <row r="1287" spans="1:2" ht="15" hidden="1" x14ac:dyDescent="0.25">
      <c r="A1287" s="511" t="s">
        <v>191</v>
      </c>
      <c r="B1287" s="511" t="s">
        <v>361</v>
      </c>
    </row>
    <row r="1288" spans="1:2" ht="15" hidden="1" x14ac:dyDescent="0.25">
      <c r="A1288" s="511" t="s">
        <v>191</v>
      </c>
      <c r="B1288" s="511" t="s">
        <v>361</v>
      </c>
    </row>
    <row r="1289" spans="1:2" ht="15" hidden="1" x14ac:dyDescent="0.25">
      <c r="A1289" s="511" t="s">
        <v>191</v>
      </c>
      <c r="B1289" s="511" t="s">
        <v>361</v>
      </c>
    </row>
    <row r="1290" spans="1:2" ht="15" hidden="1" x14ac:dyDescent="0.25">
      <c r="A1290" s="511" t="s">
        <v>191</v>
      </c>
      <c r="B1290" s="511" t="s">
        <v>361</v>
      </c>
    </row>
    <row r="1291" spans="1:2" ht="15" hidden="1" x14ac:dyDescent="0.25">
      <c r="A1291" s="511" t="s">
        <v>191</v>
      </c>
      <c r="B1291" s="511" t="s">
        <v>361</v>
      </c>
    </row>
    <row r="1292" spans="1:2" ht="15" hidden="1" x14ac:dyDescent="0.25">
      <c r="A1292" s="511" t="s">
        <v>191</v>
      </c>
      <c r="B1292" s="511" t="s">
        <v>361</v>
      </c>
    </row>
    <row r="1293" spans="1:2" ht="15" hidden="1" x14ac:dyDescent="0.25">
      <c r="A1293" s="511" t="s">
        <v>191</v>
      </c>
      <c r="B1293" s="511" t="s">
        <v>361</v>
      </c>
    </row>
    <row r="1294" spans="1:2" ht="15" hidden="1" x14ac:dyDescent="0.25">
      <c r="A1294" s="511" t="s">
        <v>191</v>
      </c>
      <c r="B1294" s="511" t="s">
        <v>361</v>
      </c>
    </row>
    <row r="1295" spans="1:2" ht="15" hidden="1" x14ac:dyDescent="0.25">
      <c r="A1295" s="511" t="s">
        <v>191</v>
      </c>
      <c r="B1295" s="511" t="s">
        <v>361</v>
      </c>
    </row>
    <row r="1296" spans="1:2" ht="15" hidden="1" x14ac:dyDescent="0.25">
      <c r="A1296" s="511" t="s">
        <v>445</v>
      </c>
      <c r="B1296" s="511" t="s">
        <v>446</v>
      </c>
    </row>
    <row r="1297" spans="1:2" ht="15" hidden="1" x14ac:dyDescent="0.25">
      <c r="A1297" s="511" t="s">
        <v>445</v>
      </c>
      <c r="B1297" s="511" t="s">
        <v>446</v>
      </c>
    </row>
    <row r="1298" spans="1:2" ht="15" hidden="1" x14ac:dyDescent="0.25">
      <c r="A1298" s="511" t="s">
        <v>445</v>
      </c>
      <c r="B1298" s="511" t="s">
        <v>446</v>
      </c>
    </row>
    <row r="1299" spans="1:2" ht="15" hidden="1" x14ac:dyDescent="0.25">
      <c r="A1299" s="511" t="s">
        <v>445</v>
      </c>
      <c r="B1299" s="511" t="s">
        <v>446</v>
      </c>
    </row>
    <row r="1300" spans="1:2" ht="15" hidden="1" x14ac:dyDescent="0.25">
      <c r="A1300" s="511" t="s">
        <v>445</v>
      </c>
      <c r="B1300" s="511" t="s">
        <v>446</v>
      </c>
    </row>
    <row r="1301" spans="1:2" ht="15" hidden="1" x14ac:dyDescent="0.25">
      <c r="A1301" s="511" t="s">
        <v>445</v>
      </c>
      <c r="B1301" s="511" t="s">
        <v>446</v>
      </c>
    </row>
    <row r="1302" spans="1:2" ht="15" hidden="1" x14ac:dyDescent="0.25">
      <c r="A1302" s="511" t="s">
        <v>1311</v>
      </c>
      <c r="B1302" s="511" t="s">
        <v>1312</v>
      </c>
    </row>
    <row r="1303" spans="1:2" ht="15" hidden="1" x14ac:dyDescent="0.25">
      <c r="A1303" s="511" t="s">
        <v>233</v>
      </c>
      <c r="B1303" s="511" t="s">
        <v>364</v>
      </c>
    </row>
    <row r="1304" spans="1:2" ht="15" hidden="1" x14ac:dyDescent="0.25">
      <c r="A1304" s="511" t="s">
        <v>233</v>
      </c>
      <c r="B1304" s="511" t="s">
        <v>364</v>
      </c>
    </row>
    <row r="1305" spans="1:2" ht="15" hidden="1" x14ac:dyDescent="0.25">
      <c r="A1305" s="511" t="s">
        <v>194</v>
      </c>
      <c r="B1305" s="511" t="s">
        <v>365</v>
      </c>
    </row>
    <row r="1306" spans="1:2" ht="15" hidden="1" x14ac:dyDescent="0.25">
      <c r="A1306" s="511" t="s">
        <v>194</v>
      </c>
      <c r="B1306" s="511" t="s">
        <v>365</v>
      </c>
    </row>
    <row r="1307" spans="1:2" ht="15" hidden="1" x14ac:dyDescent="0.25">
      <c r="A1307" s="511" t="s">
        <v>194</v>
      </c>
      <c r="B1307" s="511" t="s">
        <v>365</v>
      </c>
    </row>
    <row r="1308" spans="1:2" ht="15" hidden="1" x14ac:dyDescent="0.25">
      <c r="A1308" s="511" t="s">
        <v>234</v>
      </c>
      <c r="B1308" s="511" t="s">
        <v>366</v>
      </c>
    </row>
    <row r="1309" spans="1:2" ht="15" hidden="1" x14ac:dyDescent="0.25">
      <c r="A1309" s="511" t="s">
        <v>234</v>
      </c>
      <c r="B1309" s="511" t="s">
        <v>366</v>
      </c>
    </row>
    <row r="1310" spans="1:2" ht="15" hidden="1" x14ac:dyDescent="0.25">
      <c r="A1310" s="511" t="s">
        <v>234</v>
      </c>
      <c r="B1310" s="511" t="s">
        <v>366</v>
      </c>
    </row>
    <row r="1311" spans="1:2" ht="15" hidden="1" x14ac:dyDescent="0.25">
      <c r="A1311" s="511" t="s">
        <v>234</v>
      </c>
      <c r="B1311" s="511" t="s">
        <v>366</v>
      </c>
    </row>
    <row r="1312" spans="1:2" ht="15" hidden="1" x14ac:dyDescent="0.25">
      <c r="A1312" s="511" t="s">
        <v>234</v>
      </c>
      <c r="B1312" s="511" t="s">
        <v>366</v>
      </c>
    </row>
    <row r="1313" spans="1:2" ht="15" hidden="1" x14ac:dyDescent="0.25">
      <c r="A1313" s="511" t="s">
        <v>195</v>
      </c>
      <c r="B1313" s="511" t="s">
        <v>367</v>
      </c>
    </row>
    <row r="1314" spans="1:2" ht="15" hidden="1" x14ac:dyDescent="0.25">
      <c r="A1314" s="511" t="s">
        <v>196</v>
      </c>
      <c r="B1314" s="511" t="s">
        <v>368</v>
      </c>
    </row>
    <row r="1315" spans="1:2" ht="15" hidden="1" x14ac:dyDescent="0.25">
      <c r="A1315" s="511" t="s">
        <v>197</v>
      </c>
      <c r="B1315" s="511" t="s">
        <v>369</v>
      </c>
    </row>
    <row r="1316" spans="1:2" ht="15" hidden="1" x14ac:dyDescent="0.25">
      <c r="A1316" s="511" t="s">
        <v>197</v>
      </c>
      <c r="B1316" s="511" t="s">
        <v>369</v>
      </c>
    </row>
    <row r="1317" spans="1:2" ht="15" hidden="1" x14ac:dyDescent="0.25">
      <c r="A1317" s="511" t="s">
        <v>197</v>
      </c>
      <c r="B1317" s="511" t="s">
        <v>369</v>
      </c>
    </row>
    <row r="1318" spans="1:2" ht="15" hidden="1" x14ac:dyDescent="0.25">
      <c r="A1318" s="511" t="s">
        <v>197</v>
      </c>
      <c r="B1318" s="511" t="s">
        <v>369</v>
      </c>
    </row>
    <row r="1319" spans="1:2" ht="15" hidden="1" x14ac:dyDescent="0.25">
      <c r="A1319" s="511" t="s">
        <v>1313</v>
      </c>
      <c r="B1319" s="511" t="s">
        <v>1314</v>
      </c>
    </row>
    <row r="1320" spans="1:2" ht="15" hidden="1" x14ac:dyDescent="0.25">
      <c r="A1320" s="511" t="s">
        <v>1315</v>
      </c>
      <c r="B1320" s="511" t="s">
        <v>1316</v>
      </c>
    </row>
    <row r="1321" spans="1:2" ht="15" hidden="1" x14ac:dyDescent="0.25">
      <c r="A1321" s="511" t="s">
        <v>1317</v>
      </c>
      <c r="B1321" s="511" t="s">
        <v>1318</v>
      </c>
    </row>
    <row r="1322" spans="1:2" ht="15" hidden="1" x14ac:dyDescent="0.25">
      <c r="A1322" s="511" t="s">
        <v>1317</v>
      </c>
      <c r="B1322" s="511" t="s">
        <v>1318</v>
      </c>
    </row>
    <row r="1323" spans="1:2" ht="15" hidden="1" x14ac:dyDescent="0.25">
      <c r="A1323" s="511" t="s">
        <v>1317</v>
      </c>
      <c r="B1323" s="511" t="s">
        <v>1318</v>
      </c>
    </row>
    <row r="1324" spans="1:2" ht="15" hidden="1" x14ac:dyDescent="0.25">
      <c r="A1324" s="511" t="s">
        <v>1317</v>
      </c>
      <c r="B1324" s="511" t="s">
        <v>1318</v>
      </c>
    </row>
    <row r="1325" spans="1:2" ht="15" hidden="1" x14ac:dyDescent="0.25">
      <c r="A1325" s="511" t="s">
        <v>199</v>
      </c>
      <c r="B1325" s="511" t="s">
        <v>372</v>
      </c>
    </row>
    <row r="1326" spans="1:2" ht="15" hidden="1" x14ac:dyDescent="0.25">
      <c r="A1326" s="511" t="s">
        <v>1319</v>
      </c>
      <c r="B1326" s="511" t="s">
        <v>1320</v>
      </c>
    </row>
    <row r="1327" spans="1:2" ht="15" hidden="1" x14ac:dyDescent="0.25">
      <c r="A1327" s="511" t="s">
        <v>1319</v>
      </c>
      <c r="B1327" s="511" t="s">
        <v>1320</v>
      </c>
    </row>
    <row r="1328" spans="1:2" ht="15" hidden="1" x14ac:dyDescent="0.25">
      <c r="A1328" s="511" t="s">
        <v>1321</v>
      </c>
      <c r="B1328" s="511" t="s">
        <v>1321</v>
      </c>
    </row>
    <row r="1329" spans="1:2" ht="15" hidden="1" x14ac:dyDescent="0.25">
      <c r="A1329" s="511" t="s">
        <v>1322</v>
      </c>
      <c r="B1329" s="511" t="s">
        <v>1322</v>
      </c>
    </row>
    <row r="1330" spans="1:2" ht="15" hidden="1" x14ac:dyDescent="0.25">
      <c r="A1330" s="511" t="s">
        <v>1323</v>
      </c>
      <c r="B1330" s="511" t="s">
        <v>1323</v>
      </c>
    </row>
    <row r="1331" spans="1:2" ht="15" hidden="1" x14ac:dyDescent="0.25">
      <c r="A1331" s="511" t="s">
        <v>1324</v>
      </c>
      <c r="B1331" s="511" t="s">
        <v>1324</v>
      </c>
    </row>
    <row r="1332" spans="1:2" ht="15" hidden="1" x14ac:dyDescent="0.25">
      <c r="A1332" s="511" t="s">
        <v>1325</v>
      </c>
      <c r="B1332" s="511" t="s">
        <v>1325</v>
      </c>
    </row>
    <row r="1333" spans="1:2" ht="15" hidden="1" x14ac:dyDescent="0.25">
      <c r="A1333" s="511" t="s">
        <v>1326</v>
      </c>
      <c r="B1333" s="511" t="s">
        <v>1326</v>
      </c>
    </row>
    <row r="1334" spans="1:2" ht="15" hidden="1" x14ac:dyDescent="0.25">
      <c r="A1334" s="511" t="s">
        <v>1327</v>
      </c>
      <c r="B1334" s="511" t="s">
        <v>1327</v>
      </c>
    </row>
    <row r="1335" spans="1:2" ht="15" hidden="1" x14ac:dyDescent="0.25">
      <c r="A1335" s="511" t="s">
        <v>1328</v>
      </c>
      <c r="B1335" s="511" t="s">
        <v>1328</v>
      </c>
    </row>
    <row r="1336" spans="1:2" ht="15" hidden="1" x14ac:dyDescent="0.25">
      <c r="A1336" s="511" t="s">
        <v>1329</v>
      </c>
      <c r="B1336" s="511" t="s">
        <v>1329</v>
      </c>
    </row>
    <row r="1337" spans="1:2" ht="15" hidden="1" x14ac:dyDescent="0.25">
      <c r="A1337" s="511" t="s">
        <v>1330</v>
      </c>
      <c r="B1337" s="511" t="s">
        <v>1330</v>
      </c>
    </row>
    <row r="1338" spans="1:2" ht="15" hidden="1" x14ac:dyDescent="0.25">
      <c r="A1338" s="511" t="s">
        <v>1331</v>
      </c>
      <c r="B1338" s="511" t="s">
        <v>1331</v>
      </c>
    </row>
    <row r="1339" spans="1:2" ht="15" hidden="1" x14ac:dyDescent="0.25">
      <c r="A1339" s="511" t="s">
        <v>1332</v>
      </c>
      <c r="B1339" s="511" t="s">
        <v>1332</v>
      </c>
    </row>
    <row r="1340" spans="1:2" ht="15" hidden="1" x14ac:dyDescent="0.25">
      <c r="A1340" s="511" t="s">
        <v>1333</v>
      </c>
      <c r="B1340" s="511" t="s">
        <v>1333</v>
      </c>
    </row>
    <row r="1341" spans="1:2" ht="15" hidden="1" x14ac:dyDescent="0.25">
      <c r="A1341" s="511" t="s">
        <v>1334</v>
      </c>
      <c r="B1341" s="511" t="s">
        <v>1334</v>
      </c>
    </row>
    <row r="1342" spans="1:2" ht="15" hidden="1" x14ac:dyDescent="0.25">
      <c r="A1342" s="511" t="s">
        <v>1335</v>
      </c>
      <c r="B1342" s="511" t="s">
        <v>1335</v>
      </c>
    </row>
    <row r="1343" spans="1:2" ht="15" hidden="1" x14ac:dyDescent="0.25">
      <c r="A1343" s="511" t="s">
        <v>1336</v>
      </c>
      <c r="B1343" s="511" t="s">
        <v>1336</v>
      </c>
    </row>
    <row r="1344" spans="1:2" ht="15" hidden="1" x14ac:dyDescent="0.25">
      <c r="A1344" s="511" t="s">
        <v>1337</v>
      </c>
      <c r="B1344" s="511" t="s">
        <v>1337</v>
      </c>
    </row>
    <row r="1345" spans="1:2" ht="15" hidden="1" x14ac:dyDescent="0.25">
      <c r="A1345" s="511" t="s">
        <v>1338</v>
      </c>
      <c r="B1345" s="511" t="s">
        <v>1338</v>
      </c>
    </row>
    <row r="1346" spans="1:2" ht="15" hidden="1" x14ac:dyDescent="0.25">
      <c r="A1346" s="511" t="s">
        <v>1339</v>
      </c>
      <c r="B1346" s="511" t="s">
        <v>1339</v>
      </c>
    </row>
    <row r="1347" spans="1:2" ht="15" hidden="1" x14ac:dyDescent="0.25">
      <c r="A1347" s="511" t="s">
        <v>1340</v>
      </c>
      <c r="B1347" s="511" t="s">
        <v>1340</v>
      </c>
    </row>
    <row r="1348" spans="1:2" ht="15" hidden="1" x14ac:dyDescent="0.25">
      <c r="A1348" s="511" t="s">
        <v>1341</v>
      </c>
      <c r="B1348" s="511" t="s">
        <v>1341</v>
      </c>
    </row>
    <row r="1349" spans="1:2" ht="15" hidden="1" x14ac:dyDescent="0.25">
      <c r="A1349" s="511" t="s">
        <v>1342</v>
      </c>
      <c r="B1349" s="511" t="s">
        <v>1342</v>
      </c>
    </row>
    <row r="1350" spans="1:2" ht="15" hidden="1" x14ac:dyDescent="0.25">
      <c r="A1350" s="511" t="s">
        <v>1343</v>
      </c>
      <c r="B1350" s="511" t="s">
        <v>1343</v>
      </c>
    </row>
    <row r="1351" spans="1:2" ht="15" hidden="1" x14ac:dyDescent="0.25">
      <c r="A1351" s="511" t="s">
        <v>1343</v>
      </c>
      <c r="B1351" s="511" t="s">
        <v>1343</v>
      </c>
    </row>
    <row r="1352" spans="1:2" ht="15" hidden="1" x14ac:dyDescent="0.25">
      <c r="A1352" s="511" t="s">
        <v>1344</v>
      </c>
      <c r="B1352" s="511" t="s">
        <v>1344</v>
      </c>
    </row>
    <row r="1353" spans="1:2" ht="15" hidden="1" x14ac:dyDescent="0.25">
      <c r="A1353" s="511" t="s">
        <v>1345</v>
      </c>
      <c r="B1353" s="511" t="s">
        <v>1345</v>
      </c>
    </row>
    <row r="1354" spans="1:2" ht="15" hidden="1" x14ac:dyDescent="0.25">
      <c r="A1354" s="511" t="s">
        <v>1346</v>
      </c>
      <c r="B1354" s="511" t="s">
        <v>1346</v>
      </c>
    </row>
    <row r="1355" spans="1:2" ht="15" hidden="1" x14ac:dyDescent="0.25">
      <c r="A1355" s="511" t="s">
        <v>1347</v>
      </c>
      <c r="B1355" s="511" t="s">
        <v>1347</v>
      </c>
    </row>
    <row r="1356" spans="1:2" ht="15" hidden="1" x14ac:dyDescent="0.25">
      <c r="A1356" s="511" t="s">
        <v>1348</v>
      </c>
      <c r="B1356" s="511" t="s">
        <v>1348</v>
      </c>
    </row>
    <row r="1357" spans="1:2" ht="15" hidden="1" x14ac:dyDescent="0.25">
      <c r="A1357" s="511" t="s">
        <v>1349</v>
      </c>
      <c r="B1357" s="511" t="s">
        <v>1349</v>
      </c>
    </row>
    <row r="1358" spans="1:2" ht="15" hidden="1" x14ac:dyDescent="0.25">
      <c r="A1358" s="511" t="s">
        <v>1350</v>
      </c>
      <c r="B1358" s="511" t="s">
        <v>1350</v>
      </c>
    </row>
    <row r="1359" spans="1:2" ht="15" hidden="1" x14ac:dyDescent="0.25">
      <c r="A1359" s="511" t="s">
        <v>1351</v>
      </c>
      <c r="B1359" s="511" t="s">
        <v>1351</v>
      </c>
    </row>
    <row r="1360" spans="1:2" ht="15" hidden="1" x14ac:dyDescent="0.25">
      <c r="A1360" s="511" t="s">
        <v>1352</v>
      </c>
      <c r="B1360" s="511" t="s">
        <v>1352</v>
      </c>
    </row>
    <row r="1361" spans="1:2" ht="15" hidden="1" x14ac:dyDescent="0.25">
      <c r="A1361" s="511" t="s">
        <v>1352</v>
      </c>
      <c r="B1361" s="511" t="s">
        <v>1352</v>
      </c>
    </row>
    <row r="1362" spans="1:2" ht="15" hidden="1" x14ac:dyDescent="0.25">
      <c r="A1362" s="511" t="s">
        <v>1353</v>
      </c>
      <c r="B1362" s="511" t="s">
        <v>1353</v>
      </c>
    </row>
    <row r="1363" spans="1:2" ht="15" hidden="1" x14ac:dyDescent="0.25">
      <c r="A1363" s="511" t="s">
        <v>1354</v>
      </c>
      <c r="B1363" s="511" t="s">
        <v>1354</v>
      </c>
    </row>
    <row r="1364" spans="1:2" ht="15" hidden="1" x14ac:dyDescent="0.25">
      <c r="A1364" s="511" t="s">
        <v>1355</v>
      </c>
      <c r="B1364" s="511" t="s">
        <v>1355</v>
      </c>
    </row>
    <row r="1365" spans="1:2" ht="15" hidden="1" x14ac:dyDescent="0.25">
      <c r="A1365" s="511" t="s">
        <v>1356</v>
      </c>
      <c r="B1365" s="511" t="s">
        <v>1356</v>
      </c>
    </row>
    <row r="1366" spans="1:2" ht="15" hidden="1" x14ac:dyDescent="0.25">
      <c r="A1366" s="511" t="s">
        <v>1357</v>
      </c>
      <c r="B1366" s="511" t="s">
        <v>1357</v>
      </c>
    </row>
    <row r="1367" spans="1:2" ht="15" hidden="1" x14ac:dyDescent="0.25">
      <c r="A1367" s="511" t="s">
        <v>1358</v>
      </c>
      <c r="B1367" s="511" t="s">
        <v>1358</v>
      </c>
    </row>
    <row r="1368" spans="1:2" ht="15" hidden="1" x14ac:dyDescent="0.25">
      <c r="A1368" s="511" t="s">
        <v>1359</v>
      </c>
      <c r="B1368" s="511" t="s">
        <v>1359</v>
      </c>
    </row>
    <row r="1369" spans="1:2" ht="15" hidden="1" x14ac:dyDescent="0.25">
      <c r="A1369" s="511" t="s">
        <v>1360</v>
      </c>
      <c r="B1369" s="511" t="s">
        <v>1360</v>
      </c>
    </row>
    <row r="1370" spans="1:2" ht="15" hidden="1" x14ac:dyDescent="0.25">
      <c r="A1370" s="511" t="s">
        <v>1361</v>
      </c>
      <c r="B1370" s="511" t="s">
        <v>1361</v>
      </c>
    </row>
    <row r="1371" spans="1:2" ht="15" hidden="1" x14ac:dyDescent="0.25">
      <c r="A1371" s="511" t="s">
        <v>1362</v>
      </c>
      <c r="B1371" s="511" t="s">
        <v>1362</v>
      </c>
    </row>
    <row r="1372" spans="1:2" ht="15" hidden="1" x14ac:dyDescent="0.25">
      <c r="A1372" s="511" t="s">
        <v>1363</v>
      </c>
      <c r="B1372" s="511" t="s">
        <v>1363</v>
      </c>
    </row>
    <row r="1373" spans="1:2" ht="15" hidden="1" x14ac:dyDescent="0.25">
      <c r="A1373" s="511" t="s">
        <v>1364</v>
      </c>
      <c r="B1373" s="511" t="s">
        <v>1364</v>
      </c>
    </row>
    <row r="1374" spans="1:2" ht="15" hidden="1" x14ac:dyDescent="0.25">
      <c r="A1374" s="511" t="s">
        <v>1365</v>
      </c>
      <c r="B1374" s="511" t="s">
        <v>1365</v>
      </c>
    </row>
    <row r="1375" spans="1:2" ht="15" hidden="1" x14ac:dyDescent="0.25">
      <c r="A1375" s="511" t="s">
        <v>1366</v>
      </c>
      <c r="B1375" s="511" t="s">
        <v>1366</v>
      </c>
    </row>
    <row r="1376" spans="1:2" ht="15" hidden="1" x14ac:dyDescent="0.25">
      <c r="A1376" s="511" t="s">
        <v>1367</v>
      </c>
      <c r="B1376" s="511" t="s">
        <v>1367</v>
      </c>
    </row>
    <row r="1377" spans="1:2" ht="15" hidden="1" x14ac:dyDescent="0.25">
      <c r="A1377" s="511" t="s">
        <v>1368</v>
      </c>
      <c r="B1377" s="511" t="s">
        <v>1368</v>
      </c>
    </row>
    <row r="1378" spans="1:2" ht="15" hidden="1" x14ac:dyDescent="0.25">
      <c r="A1378" s="511" t="s">
        <v>1369</v>
      </c>
      <c r="B1378" s="511" t="s">
        <v>1369</v>
      </c>
    </row>
    <row r="1379" spans="1:2" ht="15" hidden="1" x14ac:dyDescent="0.25">
      <c r="A1379" s="511" t="s">
        <v>1370</v>
      </c>
      <c r="B1379" s="511" t="s">
        <v>1370</v>
      </c>
    </row>
    <row r="1380" spans="1:2" ht="15" hidden="1" x14ac:dyDescent="0.25">
      <c r="A1380" s="511" t="s">
        <v>1370</v>
      </c>
      <c r="B1380" s="511" t="s">
        <v>1370</v>
      </c>
    </row>
    <row r="1381" spans="1:2" ht="15" hidden="1" x14ac:dyDescent="0.25">
      <c r="A1381" s="511" t="s">
        <v>1371</v>
      </c>
      <c r="B1381" s="511" t="s">
        <v>1371</v>
      </c>
    </row>
    <row r="1382" spans="1:2" ht="15" hidden="1" x14ac:dyDescent="0.25">
      <c r="A1382" s="511" t="s">
        <v>1372</v>
      </c>
      <c r="B1382" s="511" t="s">
        <v>1372</v>
      </c>
    </row>
    <row r="1383" spans="1:2" ht="15" hidden="1" x14ac:dyDescent="0.25">
      <c r="A1383" s="511" t="s">
        <v>1373</v>
      </c>
      <c r="B1383" s="511" t="s">
        <v>1373</v>
      </c>
    </row>
    <row r="1384" spans="1:2" ht="15" hidden="1" x14ac:dyDescent="0.25">
      <c r="A1384" s="511" t="s">
        <v>1374</v>
      </c>
      <c r="B1384" s="511" t="s">
        <v>1374</v>
      </c>
    </row>
    <row r="1385" spans="1:2" ht="15" hidden="1" x14ac:dyDescent="0.25">
      <c r="A1385" s="511" t="s">
        <v>1374</v>
      </c>
      <c r="B1385" s="511" t="s">
        <v>1374</v>
      </c>
    </row>
    <row r="1386" spans="1:2" ht="15" hidden="1" x14ac:dyDescent="0.25">
      <c r="A1386" s="511" t="s">
        <v>1375</v>
      </c>
      <c r="B1386" s="511" t="s">
        <v>1375</v>
      </c>
    </row>
    <row r="1387" spans="1:2" ht="15" hidden="1" x14ac:dyDescent="0.25">
      <c r="A1387" s="511" t="s">
        <v>1376</v>
      </c>
      <c r="B1387" s="511" t="s">
        <v>1376</v>
      </c>
    </row>
    <row r="1388" spans="1:2" ht="15" hidden="1" x14ac:dyDescent="0.25">
      <c r="A1388" s="511" t="s">
        <v>1376</v>
      </c>
      <c r="B1388" s="511" t="s">
        <v>1376</v>
      </c>
    </row>
    <row r="1389" spans="1:2" ht="15" hidden="1" x14ac:dyDescent="0.25">
      <c r="A1389" s="511" t="s">
        <v>1377</v>
      </c>
      <c r="B1389" s="511" t="s">
        <v>1377</v>
      </c>
    </row>
    <row r="1390" spans="1:2" ht="15" hidden="1" x14ac:dyDescent="0.25">
      <c r="A1390" s="511" t="s">
        <v>1378</v>
      </c>
      <c r="B1390" s="511" t="s">
        <v>1378</v>
      </c>
    </row>
    <row r="1391" spans="1:2" ht="15" hidden="1" x14ac:dyDescent="0.25">
      <c r="A1391" s="511" t="s">
        <v>1379</v>
      </c>
      <c r="B1391" s="511" t="s">
        <v>1379</v>
      </c>
    </row>
    <row r="1392" spans="1:2" ht="15" hidden="1" x14ac:dyDescent="0.25">
      <c r="A1392" s="511" t="s">
        <v>1379</v>
      </c>
      <c r="B1392" s="511" t="s">
        <v>1379</v>
      </c>
    </row>
    <row r="1393" spans="1:2" ht="15" hidden="1" x14ac:dyDescent="0.25">
      <c r="A1393" s="511" t="s">
        <v>1380</v>
      </c>
      <c r="B1393" s="511" t="s">
        <v>1380</v>
      </c>
    </row>
    <row r="1394" spans="1:2" ht="15" hidden="1" x14ac:dyDescent="0.25">
      <c r="A1394" s="511" t="s">
        <v>1381</v>
      </c>
      <c r="B1394" s="511" t="s">
        <v>1381</v>
      </c>
    </row>
    <row r="1395" spans="1:2" ht="15" hidden="1" x14ac:dyDescent="0.25">
      <c r="A1395" s="511" t="s">
        <v>1382</v>
      </c>
      <c r="B1395" s="511" t="s">
        <v>1382</v>
      </c>
    </row>
    <row r="1396" spans="1:2" ht="15" hidden="1" x14ac:dyDescent="0.25">
      <c r="A1396" s="511" t="s">
        <v>1383</v>
      </c>
      <c r="B1396" s="511" t="s">
        <v>1383</v>
      </c>
    </row>
    <row r="1397" spans="1:2" ht="15" hidden="1" x14ac:dyDescent="0.25">
      <c r="A1397" s="511" t="s">
        <v>1384</v>
      </c>
      <c r="B1397" s="511" t="s">
        <v>1384</v>
      </c>
    </row>
    <row r="1398" spans="1:2" ht="15" hidden="1" x14ac:dyDescent="0.25">
      <c r="A1398" s="511" t="s">
        <v>1385</v>
      </c>
      <c r="B1398" s="511" t="s">
        <v>1385</v>
      </c>
    </row>
    <row r="1399" spans="1:2" ht="15" hidden="1" x14ac:dyDescent="0.25">
      <c r="A1399" s="511" t="s">
        <v>1386</v>
      </c>
      <c r="B1399" s="511" t="s">
        <v>1386</v>
      </c>
    </row>
    <row r="1400" spans="1:2" ht="15" hidden="1" x14ac:dyDescent="0.25">
      <c r="A1400" s="511" t="s">
        <v>1387</v>
      </c>
      <c r="B1400" s="511" t="s">
        <v>1387</v>
      </c>
    </row>
    <row r="1401" spans="1:2" ht="15" hidden="1" x14ac:dyDescent="0.25">
      <c r="A1401" s="511" t="s">
        <v>1388</v>
      </c>
      <c r="B1401" s="511" t="s">
        <v>1388</v>
      </c>
    </row>
    <row r="1402" spans="1:2" ht="15" hidden="1" x14ac:dyDescent="0.25">
      <c r="A1402" s="511" t="s">
        <v>1389</v>
      </c>
      <c r="B1402" s="511" t="s">
        <v>1389</v>
      </c>
    </row>
    <row r="1403" spans="1:2" ht="15" hidden="1" x14ac:dyDescent="0.25">
      <c r="A1403" s="511" t="s">
        <v>1390</v>
      </c>
      <c r="B1403" s="511" t="s">
        <v>1390</v>
      </c>
    </row>
    <row r="1404" spans="1:2" ht="15" hidden="1" x14ac:dyDescent="0.25">
      <c r="A1404" s="511" t="s">
        <v>1391</v>
      </c>
      <c r="B1404" s="511" t="s">
        <v>1391</v>
      </c>
    </row>
    <row r="1405" spans="1:2" ht="15" hidden="1" x14ac:dyDescent="0.25">
      <c r="A1405" s="511" t="s">
        <v>1392</v>
      </c>
      <c r="B1405" s="511" t="s">
        <v>1392</v>
      </c>
    </row>
    <row r="1406" spans="1:2" ht="15" hidden="1" x14ac:dyDescent="0.25">
      <c r="A1406" s="511" t="s">
        <v>1393</v>
      </c>
      <c r="B1406" s="511" t="s">
        <v>1393</v>
      </c>
    </row>
    <row r="1407" spans="1:2" ht="15" hidden="1" x14ac:dyDescent="0.25">
      <c r="A1407" s="511" t="s">
        <v>1394</v>
      </c>
      <c r="B1407" s="511" t="s">
        <v>1394</v>
      </c>
    </row>
    <row r="1408" spans="1:2" ht="15" hidden="1" x14ac:dyDescent="0.25">
      <c r="A1408" s="511" t="s">
        <v>1395</v>
      </c>
      <c r="B1408" s="511" t="s">
        <v>1395</v>
      </c>
    </row>
    <row r="1409" spans="1:2" ht="15" hidden="1" x14ac:dyDescent="0.25">
      <c r="A1409" s="511" t="s">
        <v>1395</v>
      </c>
      <c r="B1409" s="511" t="s">
        <v>1395</v>
      </c>
    </row>
    <row r="1410" spans="1:2" ht="15" hidden="1" x14ac:dyDescent="0.25">
      <c r="A1410" s="511" t="s">
        <v>1396</v>
      </c>
      <c r="B1410" s="511" t="s">
        <v>1396</v>
      </c>
    </row>
    <row r="1411" spans="1:2" ht="15" hidden="1" x14ac:dyDescent="0.25">
      <c r="A1411" s="511" t="s">
        <v>1397</v>
      </c>
      <c r="B1411" s="511" t="s">
        <v>1397</v>
      </c>
    </row>
    <row r="1412" spans="1:2" ht="15" hidden="1" x14ac:dyDescent="0.25">
      <c r="A1412" s="511" t="s">
        <v>1398</v>
      </c>
      <c r="B1412" s="511" t="s">
        <v>1398</v>
      </c>
    </row>
    <row r="1413" spans="1:2" ht="15" hidden="1" x14ac:dyDescent="0.25">
      <c r="A1413" s="511" t="s">
        <v>1399</v>
      </c>
      <c r="B1413" s="511" t="s">
        <v>1399</v>
      </c>
    </row>
    <row r="1414" spans="1:2" ht="15" hidden="1" x14ac:dyDescent="0.25">
      <c r="A1414" s="511" t="s">
        <v>1400</v>
      </c>
      <c r="B1414" s="511" t="s">
        <v>1400</v>
      </c>
    </row>
    <row r="1415" spans="1:2" ht="15" hidden="1" x14ac:dyDescent="0.25">
      <c r="A1415" s="511" t="s">
        <v>1401</v>
      </c>
      <c r="B1415" s="511" t="s">
        <v>1401</v>
      </c>
    </row>
    <row r="1416" spans="1:2" ht="15" hidden="1" x14ac:dyDescent="0.25">
      <c r="A1416" s="511" t="s">
        <v>1402</v>
      </c>
      <c r="B1416" s="511" t="s">
        <v>1403</v>
      </c>
    </row>
    <row r="1417" spans="1:2" ht="15" hidden="1" x14ac:dyDescent="0.25">
      <c r="A1417" s="511" t="s">
        <v>1404</v>
      </c>
      <c r="B1417" s="511" t="s">
        <v>1405</v>
      </c>
    </row>
    <row r="1418" spans="1:2" ht="15" hidden="1" x14ac:dyDescent="0.25">
      <c r="A1418" s="511" t="s">
        <v>1406</v>
      </c>
      <c r="B1418" s="511" t="s">
        <v>1390</v>
      </c>
    </row>
    <row r="1419" spans="1:2" ht="15" hidden="1" x14ac:dyDescent="0.25">
      <c r="A1419" s="511" t="s">
        <v>1407</v>
      </c>
      <c r="B1419" s="511" t="s">
        <v>1408</v>
      </c>
    </row>
    <row r="1420" spans="1:2" ht="15" hidden="1" x14ac:dyDescent="0.25">
      <c r="A1420" s="511" t="s">
        <v>1409</v>
      </c>
      <c r="B1420" s="511" t="s">
        <v>1410</v>
      </c>
    </row>
    <row r="1421" spans="1:2" ht="15" hidden="1" x14ac:dyDescent="0.25">
      <c r="A1421" s="511" t="s">
        <v>1411</v>
      </c>
      <c r="B1421" s="511" t="s">
        <v>1412</v>
      </c>
    </row>
    <row r="1422" spans="1:2" ht="15" hidden="1" x14ac:dyDescent="0.25">
      <c r="A1422" s="511" t="s">
        <v>1411</v>
      </c>
      <c r="B1422" s="511" t="s">
        <v>1412</v>
      </c>
    </row>
    <row r="1423" spans="1:2" ht="15" hidden="1" x14ac:dyDescent="0.25">
      <c r="A1423" s="511" t="s">
        <v>1411</v>
      </c>
      <c r="B1423" s="511" t="s">
        <v>1412</v>
      </c>
    </row>
    <row r="1424" spans="1:2" ht="15" hidden="1" x14ac:dyDescent="0.25">
      <c r="A1424" s="511" t="s">
        <v>1413</v>
      </c>
      <c r="B1424" s="511" t="s">
        <v>1414</v>
      </c>
    </row>
    <row r="1425" spans="1:2" ht="15" hidden="1" x14ac:dyDescent="0.25">
      <c r="A1425" s="511" t="s">
        <v>1415</v>
      </c>
      <c r="B1425" s="511" t="s">
        <v>1416</v>
      </c>
    </row>
    <row r="1426" spans="1:2" ht="15" hidden="1" x14ac:dyDescent="0.25">
      <c r="A1426" s="511" t="s">
        <v>1417</v>
      </c>
      <c r="B1426" s="511" t="s">
        <v>1418</v>
      </c>
    </row>
    <row r="1427" spans="1:2" ht="15" hidden="1" x14ac:dyDescent="0.25">
      <c r="A1427" s="511" t="s">
        <v>221</v>
      </c>
      <c r="B1427" s="511" t="s">
        <v>402</v>
      </c>
    </row>
    <row r="1428" spans="1:2" ht="15" hidden="1" x14ac:dyDescent="0.25">
      <c r="A1428" s="511" t="s">
        <v>1419</v>
      </c>
      <c r="B1428" s="511" t="s">
        <v>1420</v>
      </c>
    </row>
    <row r="1429" spans="1:2" ht="15" hidden="1" x14ac:dyDescent="0.25">
      <c r="A1429" s="511" t="s">
        <v>1421</v>
      </c>
      <c r="B1429" s="511" t="s">
        <v>1422</v>
      </c>
    </row>
    <row r="1430" spans="1:2" ht="15" hidden="1" x14ac:dyDescent="0.25">
      <c r="A1430" s="511" t="s">
        <v>1423</v>
      </c>
      <c r="B1430" s="511" t="s">
        <v>1424</v>
      </c>
    </row>
    <row r="1431" spans="1:2" ht="15" hidden="1" x14ac:dyDescent="0.25">
      <c r="A1431" s="513" t="s">
        <v>1425</v>
      </c>
      <c r="B1431" s="513" t="s">
        <v>1426</v>
      </c>
    </row>
    <row r="1432" spans="1:2" ht="15" hidden="1" x14ac:dyDescent="0.25">
      <c r="A1432" s="511" t="s">
        <v>1427</v>
      </c>
      <c r="B1432" s="511" t="s">
        <v>1428</v>
      </c>
    </row>
    <row r="1433" spans="1:2" ht="15" hidden="1" x14ac:dyDescent="0.25">
      <c r="A1433" s="511" t="s">
        <v>1427</v>
      </c>
      <c r="B1433" s="511" t="s">
        <v>1428</v>
      </c>
    </row>
    <row r="1434" spans="1:2" ht="15" hidden="1" x14ac:dyDescent="0.25">
      <c r="A1434" s="511" t="s">
        <v>1427</v>
      </c>
      <c r="B1434" s="511" t="s">
        <v>1428</v>
      </c>
    </row>
    <row r="1435" spans="1:2" ht="15" hidden="1" x14ac:dyDescent="0.25">
      <c r="A1435" s="511" t="s">
        <v>1429</v>
      </c>
      <c r="B1435" s="511" t="s">
        <v>1430</v>
      </c>
    </row>
    <row r="1436" spans="1:2" ht="15" hidden="1" x14ac:dyDescent="0.25">
      <c r="A1436" s="511" t="s">
        <v>1431</v>
      </c>
      <c r="B1436" s="511" t="s">
        <v>1432</v>
      </c>
    </row>
    <row r="1437" spans="1:2" ht="15" hidden="1" x14ac:dyDescent="0.25">
      <c r="A1437" s="511" t="s">
        <v>1431</v>
      </c>
      <c r="B1437" s="511" t="s">
        <v>1432</v>
      </c>
    </row>
    <row r="1438" spans="1:2" ht="15" hidden="1" x14ac:dyDescent="0.25">
      <c r="A1438" s="513" t="s">
        <v>1433</v>
      </c>
      <c r="B1438" s="511" t="s">
        <v>1434</v>
      </c>
    </row>
    <row r="1439" spans="1:2" ht="15" hidden="1" x14ac:dyDescent="0.25">
      <c r="A1439" s="511" t="s">
        <v>1435</v>
      </c>
      <c r="B1439" s="511" t="s">
        <v>1436</v>
      </c>
    </row>
    <row r="1440" spans="1:2" ht="15" hidden="1" x14ac:dyDescent="0.25">
      <c r="A1440" s="511" t="s">
        <v>1437</v>
      </c>
      <c r="B1440" s="511" t="s">
        <v>1438</v>
      </c>
    </row>
    <row r="1441" spans="1:2" ht="15" hidden="1" x14ac:dyDescent="0.25">
      <c r="A1441" s="511" t="s">
        <v>1439</v>
      </c>
      <c r="B1441" s="511" t="s">
        <v>1440</v>
      </c>
    </row>
    <row r="1442" spans="1:2" ht="15" hidden="1" x14ac:dyDescent="0.25">
      <c r="A1442" s="511" t="s">
        <v>1441</v>
      </c>
      <c r="B1442" s="511" t="s">
        <v>1442</v>
      </c>
    </row>
    <row r="1443" spans="1:2" ht="15" hidden="1" x14ac:dyDescent="0.25">
      <c r="A1443" s="511" t="s">
        <v>1441</v>
      </c>
      <c r="B1443" s="511" t="s">
        <v>1442</v>
      </c>
    </row>
    <row r="1444" spans="1:2" ht="15" hidden="1" x14ac:dyDescent="0.25">
      <c r="A1444" s="511" t="s">
        <v>1443</v>
      </c>
      <c r="B1444" s="511" t="s">
        <v>1444</v>
      </c>
    </row>
    <row r="1445" spans="1:2" ht="15" hidden="1" x14ac:dyDescent="0.25">
      <c r="A1445" s="511" t="s">
        <v>1443</v>
      </c>
      <c r="B1445" s="511" t="s">
        <v>1444</v>
      </c>
    </row>
    <row r="1446" spans="1:2" ht="15" hidden="1" x14ac:dyDescent="0.25">
      <c r="A1446" s="511" t="s">
        <v>1445</v>
      </c>
      <c r="B1446" s="511" t="s">
        <v>1446</v>
      </c>
    </row>
    <row r="1447" spans="1:2" ht="15" hidden="1" x14ac:dyDescent="0.25">
      <c r="A1447" s="511" t="s">
        <v>1445</v>
      </c>
      <c r="B1447" s="511" t="s">
        <v>1446</v>
      </c>
    </row>
    <row r="1448" spans="1:2" ht="15" hidden="1" x14ac:dyDescent="0.25">
      <c r="A1448" s="511" t="s">
        <v>1447</v>
      </c>
      <c r="B1448" s="511" t="s">
        <v>1448</v>
      </c>
    </row>
    <row r="1449" spans="1:2" ht="15" hidden="1" x14ac:dyDescent="0.25">
      <c r="A1449" s="511" t="s">
        <v>1449</v>
      </c>
      <c r="B1449" s="511" t="s">
        <v>1450</v>
      </c>
    </row>
    <row r="1450" spans="1:2" ht="15" hidden="1" x14ac:dyDescent="0.25">
      <c r="A1450" s="511" t="s">
        <v>1451</v>
      </c>
      <c r="B1450" s="511" t="s">
        <v>1452</v>
      </c>
    </row>
    <row r="1451" spans="1:2" ht="15" hidden="1" x14ac:dyDescent="0.25">
      <c r="A1451" s="511" t="s">
        <v>1451</v>
      </c>
      <c r="B1451" s="511" t="s">
        <v>1452</v>
      </c>
    </row>
    <row r="1452" spans="1:2" ht="15" hidden="1" x14ac:dyDescent="0.25">
      <c r="A1452" s="511" t="s">
        <v>1453</v>
      </c>
      <c r="B1452" s="511" t="s">
        <v>1454</v>
      </c>
    </row>
    <row r="1453" spans="1:2" ht="15" hidden="1" x14ac:dyDescent="0.25">
      <c r="A1453" s="511" t="s">
        <v>1455</v>
      </c>
      <c r="B1453" s="511" t="s">
        <v>1456</v>
      </c>
    </row>
    <row r="1454" spans="1:2" ht="15" hidden="1" x14ac:dyDescent="0.25">
      <c r="A1454" s="511" t="s">
        <v>1457</v>
      </c>
      <c r="B1454" s="511" t="s">
        <v>1458</v>
      </c>
    </row>
    <row r="1455" spans="1:2" ht="15" hidden="1" x14ac:dyDescent="0.25">
      <c r="A1455" s="511" t="s">
        <v>1459</v>
      </c>
      <c r="B1455" s="511" t="s">
        <v>1460</v>
      </c>
    </row>
    <row r="1456" spans="1:2" ht="15" hidden="1" x14ac:dyDescent="0.25">
      <c r="A1456" s="511" t="s">
        <v>1461</v>
      </c>
      <c r="B1456" s="511" t="s">
        <v>1462</v>
      </c>
    </row>
    <row r="1457" spans="1:2" ht="15" hidden="1" x14ac:dyDescent="0.25">
      <c r="A1457" s="511" t="s">
        <v>1461</v>
      </c>
      <c r="B1457" s="511" t="s">
        <v>1462</v>
      </c>
    </row>
    <row r="1458" spans="1:2" ht="15" hidden="1" x14ac:dyDescent="0.25">
      <c r="A1458" s="511" t="s">
        <v>1463</v>
      </c>
      <c r="B1458" s="511" t="s">
        <v>1464</v>
      </c>
    </row>
    <row r="1459" spans="1:2" ht="15" hidden="1" x14ac:dyDescent="0.25">
      <c r="A1459" s="511" t="s">
        <v>1465</v>
      </c>
      <c r="B1459" s="511" t="s">
        <v>1466</v>
      </c>
    </row>
    <row r="1460" spans="1:2" ht="15" hidden="1" x14ac:dyDescent="0.25">
      <c r="A1460" s="513" t="s">
        <v>1467</v>
      </c>
      <c r="B1460" s="511" t="s">
        <v>1468</v>
      </c>
    </row>
    <row r="1461" spans="1:2" ht="15" hidden="1" x14ac:dyDescent="0.25">
      <c r="A1461" s="511" t="s">
        <v>1469</v>
      </c>
      <c r="B1461" s="511" t="s">
        <v>1470</v>
      </c>
    </row>
    <row r="1462" spans="1:2" ht="15" hidden="1" x14ac:dyDescent="0.25">
      <c r="A1462" s="511" t="s">
        <v>1471</v>
      </c>
      <c r="B1462" s="511" t="s">
        <v>1373</v>
      </c>
    </row>
    <row r="1463" spans="1:2" ht="15" hidden="1" x14ac:dyDescent="0.25">
      <c r="A1463" s="511" t="s">
        <v>432</v>
      </c>
      <c r="B1463" s="511" t="s">
        <v>433</v>
      </c>
    </row>
    <row r="1464" spans="1:2" ht="15" hidden="1" x14ac:dyDescent="0.25">
      <c r="A1464" s="511" t="s">
        <v>432</v>
      </c>
      <c r="B1464" s="511" t="s">
        <v>433</v>
      </c>
    </row>
    <row r="1465" spans="1:2" ht="15" hidden="1" x14ac:dyDescent="0.25">
      <c r="A1465" s="511" t="s">
        <v>1472</v>
      </c>
      <c r="B1465" s="511" t="s">
        <v>1473</v>
      </c>
    </row>
    <row r="1466" spans="1:2" ht="15" hidden="1" x14ac:dyDescent="0.25">
      <c r="A1466" s="511" t="s">
        <v>1474</v>
      </c>
      <c r="B1466" s="511" t="s">
        <v>1475</v>
      </c>
    </row>
    <row r="1467" spans="1:2" ht="15" hidden="1" x14ac:dyDescent="0.25">
      <c r="A1467" s="511" t="s">
        <v>1476</v>
      </c>
      <c r="B1467" s="511" t="s">
        <v>1477</v>
      </c>
    </row>
    <row r="1468" spans="1:2" ht="15" hidden="1" x14ac:dyDescent="0.25">
      <c r="A1468" s="511" t="s">
        <v>1476</v>
      </c>
      <c r="B1468" s="511" t="s">
        <v>1477</v>
      </c>
    </row>
    <row r="1469" spans="1:2" ht="15" hidden="1" x14ac:dyDescent="0.25">
      <c r="A1469" s="511" t="s">
        <v>1478</v>
      </c>
      <c r="B1469" s="511" t="s">
        <v>1479</v>
      </c>
    </row>
    <row r="1470" spans="1:2" ht="15" hidden="1" x14ac:dyDescent="0.25">
      <c r="A1470" s="511" t="s">
        <v>1480</v>
      </c>
      <c r="B1470" s="511" t="s">
        <v>838</v>
      </c>
    </row>
    <row r="1471" spans="1:2" ht="15" hidden="1" x14ac:dyDescent="0.25">
      <c r="A1471" s="511" t="s">
        <v>1481</v>
      </c>
      <c r="B1471" s="511" t="s">
        <v>1482</v>
      </c>
    </row>
    <row r="1472" spans="1:2" ht="15" hidden="1" x14ac:dyDescent="0.25">
      <c r="A1472" s="511" t="s">
        <v>1483</v>
      </c>
      <c r="B1472" s="511" t="s">
        <v>1484</v>
      </c>
    </row>
    <row r="1473" spans="1:2" ht="15" hidden="1" x14ac:dyDescent="0.25">
      <c r="A1473" s="511" t="s">
        <v>1485</v>
      </c>
      <c r="B1473" s="511" t="s">
        <v>1486</v>
      </c>
    </row>
    <row r="1474" spans="1:2" ht="15" hidden="1" x14ac:dyDescent="0.25">
      <c r="A1474" s="511" t="s">
        <v>1487</v>
      </c>
      <c r="B1474" s="511" t="s">
        <v>1488</v>
      </c>
    </row>
    <row r="1475" spans="1:2" ht="15" hidden="1" x14ac:dyDescent="0.25">
      <c r="A1475" s="511" t="s">
        <v>1489</v>
      </c>
      <c r="B1475" s="511" t="s">
        <v>1490</v>
      </c>
    </row>
    <row r="1476" spans="1:2" ht="15" hidden="1" x14ac:dyDescent="0.25">
      <c r="A1476" s="511" t="s">
        <v>1491</v>
      </c>
      <c r="B1476" s="511" t="s">
        <v>1492</v>
      </c>
    </row>
    <row r="1477" spans="1:2" ht="15" hidden="1" x14ac:dyDescent="0.25">
      <c r="A1477" s="511" t="s">
        <v>1491</v>
      </c>
      <c r="B1477" s="511" t="s">
        <v>1492</v>
      </c>
    </row>
    <row r="1478" spans="1:2" ht="15" hidden="1" x14ac:dyDescent="0.25">
      <c r="A1478" s="511" t="s">
        <v>1493</v>
      </c>
      <c r="B1478" s="511" t="s">
        <v>1494</v>
      </c>
    </row>
    <row r="1479" spans="1:2" ht="15" hidden="1" x14ac:dyDescent="0.25">
      <c r="A1479" s="511" t="s">
        <v>1495</v>
      </c>
      <c r="B1479" s="511" t="s">
        <v>1496</v>
      </c>
    </row>
    <row r="1480" spans="1:2" ht="15" hidden="1" x14ac:dyDescent="0.25">
      <c r="A1480" s="511" t="s">
        <v>1497</v>
      </c>
      <c r="B1480" s="511" t="s">
        <v>1498</v>
      </c>
    </row>
    <row r="1481" spans="1:2" ht="15" hidden="1" x14ac:dyDescent="0.25">
      <c r="A1481" s="511" t="s">
        <v>1499</v>
      </c>
      <c r="B1481" s="511" t="s">
        <v>1500</v>
      </c>
    </row>
    <row r="1482" spans="1:2" ht="15" hidden="1" x14ac:dyDescent="0.25">
      <c r="A1482" s="511" t="s">
        <v>1499</v>
      </c>
      <c r="B1482" s="511" t="s">
        <v>1500</v>
      </c>
    </row>
    <row r="1483" spans="1:2" ht="15" hidden="1" x14ac:dyDescent="0.25">
      <c r="A1483" s="511" t="s">
        <v>1499</v>
      </c>
      <c r="B1483" s="511" t="s">
        <v>1500</v>
      </c>
    </row>
    <row r="1484" spans="1:2" ht="15" hidden="1" x14ac:dyDescent="0.25">
      <c r="A1484" s="511" t="s">
        <v>1501</v>
      </c>
      <c r="B1484" s="511" t="s">
        <v>1502</v>
      </c>
    </row>
    <row r="1485" spans="1:2" ht="15" hidden="1" x14ac:dyDescent="0.25">
      <c r="A1485" s="511" t="s">
        <v>1501</v>
      </c>
      <c r="B1485" s="511" t="s">
        <v>1502</v>
      </c>
    </row>
    <row r="1486" spans="1:2" ht="15" hidden="1" x14ac:dyDescent="0.25">
      <c r="A1486" s="511" t="s">
        <v>1501</v>
      </c>
      <c r="B1486" s="511" t="s">
        <v>1502</v>
      </c>
    </row>
    <row r="1487" spans="1:2" ht="15" hidden="1" x14ac:dyDescent="0.25">
      <c r="A1487" s="511" t="s">
        <v>1503</v>
      </c>
      <c r="B1487" s="511" t="s">
        <v>1504</v>
      </c>
    </row>
    <row r="1488" spans="1:2" ht="15" hidden="1" x14ac:dyDescent="0.25">
      <c r="A1488" s="511" t="s">
        <v>231</v>
      </c>
      <c r="B1488" s="511" t="s">
        <v>359</v>
      </c>
    </row>
    <row r="1489" spans="1:2" ht="15" hidden="1" x14ac:dyDescent="0.25">
      <c r="A1489" s="511" t="s">
        <v>231</v>
      </c>
      <c r="B1489" s="511" t="s">
        <v>359</v>
      </c>
    </row>
    <row r="1490" spans="1:2" ht="15" hidden="1" x14ac:dyDescent="0.25">
      <c r="A1490" s="511" t="s">
        <v>231</v>
      </c>
      <c r="B1490" s="511" t="s">
        <v>359</v>
      </c>
    </row>
    <row r="1491" spans="1:2" ht="15" hidden="1" x14ac:dyDescent="0.25">
      <c r="A1491" s="511" t="s">
        <v>231</v>
      </c>
      <c r="B1491" s="511" t="s">
        <v>359</v>
      </c>
    </row>
    <row r="1492" spans="1:2" ht="15" hidden="1" x14ac:dyDescent="0.25">
      <c r="A1492" s="511" t="s">
        <v>231</v>
      </c>
      <c r="B1492" s="511" t="s">
        <v>359</v>
      </c>
    </row>
    <row r="1493" spans="1:2" ht="15" hidden="1" x14ac:dyDescent="0.25">
      <c r="A1493" s="511" t="s">
        <v>231</v>
      </c>
      <c r="B1493" s="511" t="s">
        <v>359</v>
      </c>
    </row>
    <row r="1494" spans="1:2" ht="15" hidden="1" x14ac:dyDescent="0.25">
      <c r="A1494" s="511" t="s">
        <v>445</v>
      </c>
      <c r="B1494" s="511" t="s">
        <v>446</v>
      </c>
    </row>
    <row r="1495" spans="1:2" ht="15" hidden="1" x14ac:dyDescent="0.25">
      <c r="A1495" s="511" t="s">
        <v>445</v>
      </c>
      <c r="B1495" s="511" t="s">
        <v>446</v>
      </c>
    </row>
    <row r="1496" spans="1:2" ht="15" hidden="1" x14ac:dyDescent="0.25">
      <c r="A1496" s="511" t="s">
        <v>445</v>
      </c>
      <c r="B1496" s="511" t="s">
        <v>446</v>
      </c>
    </row>
    <row r="1497" spans="1:2" ht="15" hidden="1" x14ac:dyDescent="0.25">
      <c r="A1497" s="511" t="s">
        <v>445</v>
      </c>
      <c r="B1497" s="511" t="s">
        <v>446</v>
      </c>
    </row>
    <row r="1498" spans="1:2" ht="15" hidden="1" x14ac:dyDescent="0.25">
      <c r="A1498" s="511" t="s">
        <v>445</v>
      </c>
      <c r="B1498" s="511" t="s">
        <v>446</v>
      </c>
    </row>
    <row r="1499" spans="1:2" ht="15" hidden="1" x14ac:dyDescent="0.25">
      <c r="A1499" s="511" t="s">
        <v>1505</v>
      </c>
      <c r="B1499" s="511" t="s">
        <v>1506</v>
      </c>
    </row>
    <row r="1500" spans="1:2" ht="15" hidden="1" x14ac:dyDescent="0.25">
      <c r="A1500" s="511" t="s">
        <v>1505</v>
      </c>
      <c r="B1500" s="511" t="s">
        <v>1506</v>
      </c>
    </row>
    <row r="1501" spans="1:2" ht="15" hidden="1" x14ac:dyDescent="0.25">
      <c r="A1501" s="511" t="s">
        <v>194</v>
      </c>
      <c r="B1501" s="511" t="s">
        <v>365</v>
      </c>
    </row>
    <row r="1502" spans="1:2" ht="15" hidden="1" x14ac:dyDescent="0.25">
      <c r="A1502" s="511" t="s">
        <v>194</v>
      </c>
      <c r="B1502" s="511" t="s">
        <v>365</v>
      </c>
    </row>
    <row r="1503" spans="1:2" ht="15" hidden="1" x14ac:dyDescent="0.25">
      <c r="A1503" s="511" t="s">
        <v>194</v>
      </c>
      <c r="B1503" s="511" t="s">
        <v>365</v>
      </c>
    </row>
    <row r="1504" spans="1:2" ht="15" hidden="1" x14ac:dyDescent="0.25">
      <c r="A1504" s="511" t="s">
        <v>194</v>
      </c>
      <c r="B1504" s="511" t="s">
        <v>365</v>
      </c>
    </row>
    <row r="1505" spans="1:2" ht="15" hidden="1" x14ac:dyDescent="0.25">
      <c r="A1505" s="511" t="s">
        <v>194</v>
      </c>
      <c r="B1505" s="511" t="s">
        <v>365</v>
      </c>
    </row>
    <row r="1506" spans="1:2" ht="15" hidden="1" x14ac:dyDescent="0.25">
      <c r="A1506" s="511" t="s">
        <v>194</v>
      </c>
      <c r="B1506" s="511" t="s">
        <v>365</v>
      </c>
    </row>
    <row r="1507" spans="1:2" ht="15" hidden="1" x14ac:dyDescent="0.25">
      <c r="A1507" s="511" t="s">
        <v>234</v>
      </c>
      <c r="B1507" s="511" t="s">
        <v>366</v>
      </c>
    </row>
    <row r="1508" spans="1:2" ht="15" hidden="1" x14ac:dyDescent="0.25">
      <c r="A1508" s="511" t="s">
        <v>234</v>
      </c>
      <c r="B1508" s="511" t="s">
        <v>366</v>
      </c>
    </row>
    <row r="1509" spans="1:2" ht="15" hidden="1" x14ac:dyDescent="0.25">
      <c r="A1509" s="511" t="s">
        <v>234</v>
      </c>
      <c r="B1509" s="511" t="s">
        <v>366</v>
      </c>
    </row>
    <row r="1510" spans="1:2" ht="15" hidden="1" x14ac:dyDescent="0.25">
      <c r="A1510" s="511" t="s">
        <v>234</v>
      </c>
      <c r="B1510" s="511" t="s">
        <v>366</v>
      </c>
    </row>
    <row r="1511" spans="1:2" ht="15" hidden="1" x14ac:dyDescent="0.25">
      <c r="A1511" s="511" t="s">
        <v>234</v>
      </c>
      <c r="B1511" s="511" t="s">
        <v>366</v>
      </c>
    </row>
    <row r="1512" spans="1:2" ht="15" hidden="1" x14ac:dyDescent="0.25">
      <c r="A1512" s="511" t="s">
        <v>234</v>
      </c>
      <c r="B1512" s="511" t="s">
        <v>366</v>
      </c>
    </row>
    <row r="1513" spans="1:2" ht="15" hidden="1" x14ac:dyDescent="0.25">
      <c r="A1513" s="511" t="s">
        <v>234</v>
      </c>
      <c r="B1513" s="511" t="s">
        <v>366</v>
      </c>
    </row>
    <row r="1514" spans="1:2" ht="15" hidden="1" x14ac:dyDescent="0.25">
      <c r="A1514" s="511" t="s">
        <v>234</v>
      </c>
      <c r="B1514" s="511" t="s">
        <v>366</v>
      </c>
    </row>
    <row r="1515" spans="1:2" ht="15" hidden="1" x14ac:dyDescent="0.25">
      <c r="A1515" s="511" t="s">
        <v>234</v>
      </c>
      <c r="B1515" s="511" t="s">
        <v>366</v>
      </c>
    </row>
    <row r="1516" spans="1:2" ht="15" hidden="1" x14ac:dyDescent="0.25">
      <c r="A1516" s="511" t="s">
        <v>234</v>
      </c>
      <c r="B1516" s="511" t="s">
        <v>366</v>
      </c>
    </row>
    <row r="1517" spans="1:2" ht="15" hidden="1" x14ac:dyDescent="0.25">
      <c r="A1517" s="511" t="s">
        <v>234</v>
      </c>
      <c r="B1517" s="511" t="s">
        <v>366</v>
      </c>
    </row>
    <row r="1518" spans="1:2" ht="15" hidden="1" x14ac:dyDescent="0.25">
      <c r="A1518" s="511" t="s">
        <v>234</v>
      </c>
      <c r="B1518" s="511" t="s">
        <v>366</v>
      </c>
    </row>
    <row r="1519" spans="1:2" ht="15" hidden="1" x14ac:dyDescent="0.25">
      <c r="A1519" s="511" t="s">
        <v>197</v>
      </c>
      <c r="B1519" s="511" t="s">
        <v>369</v>
      </c>
    </row>
    <row r="1520" spans="1:2" ht="15" hidden="1" x14ac:dyDescent="0.25">
      <c r="A1520" s="511" t="s">
        <v>197</v>
      </c>
      <c r="B1520" s="511" t="s">
        <v>369</v>
      </c>
    </row>
    <row r="1521" spans="1:2" ht="15" hidden="1" x14ac:dyDescent="0.25">
      <c r="A1521" s="511" t="s">
        <v>199</v>
      </c>
      <c r="B1521" s="511" t="s">
        <v>372</v>
      </c>
    </row>
    <row r="1522" spans="1:2" ht="15" hidden="1" x14ac:dyDescent="0.25">
      <c r="A1522" s="511" t="s">
        <v>199</v>
      </c>
      <c r="B1522" s="511" t="s">
        <v>372</v>
      </c>
    </row>
    <row r="1523" spans="1:2" ht="15" hidden="1" x14ac:dyDescent="0.25">
      <c r="A1523" s="511" t="s">
        <v>199</v>
      </c>
      <c r="B1523" s="511" t="s">
        <v>372</v>
      </c>
    </row>
    <row r="1524" spans="1:2" ht="15" hidden="1" x14ac:dyDescent="0.25">
      <c r="A1524" s="511" t="s">
        <v>199</v>
      </c>
      <c r="B1524" s="511" t="s">
        <v>372</v>
      </c>
    </row>
    <row r="1525" spans="1:2" ht="15" hidden="1" x14ac:dyDescent="0.25">
      <c r="A1525" s="511" t="s">
        <v>199</v>
      </c>
      <c r="B1525" s="511" t="s">
        <v>372</v>
      </c>
    </row>
    <row r="1526" spans="1:2" ht="15" hidden="1" x14ac:dyDescent="0.25">
      <c r="A1526" s="511" t="s">
        <v>199</v>
      </c>
      <c r="B1526" s="511" t="s">
        <v>372</v>
      </c>
    </row>
    <row r="1527" spans="1:2" ht="15" hidden="1" x14ac:dyDescent="0.25">
      <c r="A1527" s="511" t="s">
        <v>199</v>
      </c>
      <c r="B1527" s="511" t="s">
        <v>372</v>
      </c>
    </row>
    <row r="1528" spans="1:2" ht="15" hidden="1" x14ac:dyDescent="0.25">
      <c r="A1528" s="511" t="s">
        <v>199</v>
      </c>
      <c r="B1528" s="511" t="s">
        <v>372</v>
      </c>
    </row>
    <row r="1529" spans="1:2" ht="15" hidden="1" x14ac:dyDescent="0.25">
      <c r="A1529" s="511" t="s">
        <v>1507</v>
      </c>
      <c r="B1529" s="511" t="s">
        <v>1508</v>
      </c>
    </row>
    <row r="1530" spans="1:2" ht="15" hidden="1" x14ac:dyDescent="0.25">
      <c r="A1530" s="511" t="s">
        <v>1509</v>
      </c>
      <c r="B1530" s="511" t="s">
        <v>1510</v>
      </c>
    </row>
    <row r="1531" spans="1:2" ht="15" hidden="1" x14ac:dyDescent="0.25">
      <c r="A1531" s="511" t="s">
        <v>1509</v>
      </c>
      <c r="B1531" s="511" t="s">
        <v>1510</v>
      </c>
    </row>
    <row r="1532" spans="1:2" ht="15" hidden="1" x14ac:dyDescent="0.25">
      <c r="A1532" s="511" t="s">
        <v>1509</v>
      </c>
      <c r="B1532" s="511" t="s">
        <v>1510</v>
      </c>
    </row>
    <row r="1533" spans="1:2" ht="15" hidden="1" x14ac:dyDescent="0.25">
      <c r="A1533" s="511" t="s">
        <v>1319</v>
      </c>
      <c r="B1533" s="511" t="s">
        <v>1320</v>
      </c>
    </row>
    <row r="1534" spans="1:2" ht="15" hidden="1" x14ac:dyDescent="0.25">
      <c r="A1534" s="511" t="s">
        <v>1319</v>
      </c>
      <c r="B1534" s="511" t="s">
        <v>1320</v>
      </c>
    </row>
    <row r="1535" spans="1:2" ht="15" hidden="1" x14ac:dyDescent="0.25">
      <c r="A1535" s="511" t="s">
        <v>1319</v>
      </c>
      <c r="B1535" s="511" t="s">
        <v>1320</v>
      </c>
    </row>
    <row r="1536" spans="1:2" ht="15" hidden="1" x14ac:dyDescent="0.25">
      <c r="A1536" s="511" t="s">
        <v>1319</v>
      </c>
      <c r="B1536" s="511" t="s">
        <v>1320</v>
      </c>
    </row>
    <row r="1537" spans="1:2" ht="15" hidden="1" x14ac:dyDescent="0.25">
      <c r="A1537" s="511" t="s">
        <v>1319</v>
      </c>
      <c r="B1537" s="511" t="s">
        <v>1320</v>
      </c>
    </row>
    <row r="1538" spans="1:2" ht="15" hidden="1" x14ac:dyDescent="0.25">
      <c r="A1538" s="511" t="s">
        <v>1319</v>
      </c>
      <c r="B1538" s="511" t="s">
        <v>1320</v>
      </c>
    </row>
    <row r="1539" spans="1:2" ht="15" hidden="1" x14ac:dyDescent="0.25">
      <c r="A1539" s="511" t="s">
        <v>1319</v>
      </c>
      <c r="B1539" s="511" t="s">
        <v>1320</v>
      </c>
    </row>
    <row r="1540" spans="1:2" ht="15" hidden="1" x14ac:dyDescent="0.25">
      <c r="A1540" s="511" t="s">
        <v>1319</v>
      </c>
      <c r="B1540" s="511" t="s">
        <v>1320</v>
      </c>
    </row>
    <row r="1541" spans="1:2" ht="15" hidden="1" x14ac:dyDescent="0.25">
      <c r="A1541" s="511" t="s">
        <v>1319</v>
      </c>
      <c r="B1541" s="511" t="s">
        <v>1320</v>
      </c>
    </row>
    <row r="1542" spans="1:2" ht="15" hidden="1" x14ac:dyDescent="0.25">
      <c r="A1542" s="511" t="s">
        <v>1511</v>
      </c>
      <c r="B1542" s="511" t="s">
        <v>1511</v>
      </c>
    </row>
    <row r="1543" spans="1:2" ht="15" hidden="1" x14ac:dyDescent="0.25">
      <c r="A1543" s="511" t="s">
        <v>1511</v>
      </c>
      <c r="B1543" s="511" t="s">
        <v>1511</v>
      </c>
    </row>
    <row r="1544" spans="1:2" ht="15" hidden="1" x14ac:dyDescent="0.25">
      <c r="A1544" s="511" t="s">
        <v>1512</v>
      </c>
      <c r="B1544" s="511" t="s">
        <v>1512</v>
      </c>
    </row>
    <row r="1545" spans="1:2" ht="15" hidden="1" x14ac:dyDescent="0.25">
      <c r="A1545" s="511" t="s">
        <v>1513</v>
      </c>
      <c r="B1545" s="511" t="s">
        <v>1513</v>
      </c>
    </row>
    <row r="1546" spans="1:2" ht="15" hidden="1" x14ac:dyDescent="0.25">
      <c r="A1546" s="511" t="s">
        <v>1514</v>
      </c>
      <c r="B1546" s="511" t="s">
        <v>1514</v>
      </c>
    </row>
    <row r="1547" spans="1:2" ht="15" hidden="1" x14ac:dyDescent="0.25">
      <c r="A1547" s="511" t="s">
        <v>1515</v>
      </c>
      <c r="B1547" s="511" t="s">
        <v>1515</v>
      </c>
    </row>
    <row r="1548" spans="1:2" ht="15" hidden="1" x14ac:dyDescent="0.25">
      <c r="A1548" s="511" t="s">
        <v>1516</v>
      </c>
      <c r="B1548" s="511" t="s">
        <v>1516</v>
      </c>
    </row>
    <row r="1549" spans="1:2" ht="15" hidden="1" x14ac:dyDescent="0.25">
      <c r="A1549" s="511" t="s">
        <v>1517</v>
      </c>
      <c r="B1549" s="511" t="s">
        <v>1517</v>
      </c>
    </row>
    <row r="1550" spans="1:2" ht="15" hidden="1" x14ac:dyDescent="0.25">
      <c r="A1550" s="511" t="s">
        <v>1518</v>
      </c>
      <c r="B1550" s="511" t="s">
        <v>1518</v>
      </c>
    </row>
    <row r="1551" spans="1:2" ht="15" hidden="1" x14ac:dyDescent="0.25">
      <c r="A1551" s="511" t="s">
        <v>1518</v>
      </c>
      <c r="B1551" s="511" t="s">
        <v>1518</v>
      </c>
    </row>
    <row r="1552" spans="1:2" ht="15" hidden="1" x14ac:dyDescent="0.25">
      <c r="A1552" s="511" t="s">
        <v>1519</v>
      </c>
      <c r="B1552" s="511" t="s">
        <v>1519</v>
      </c>
    </row>
    <row r="1553" spans="1:2" ht="15" hidden="1" x14ac:dyDescent="0.25">
      <c r="A1553" s="511" t="s">
        <v>1519</v>
      </c>
      <c r="B1553" s="511" t="s">
        <v>1519</v>
      </c>
    </row>
    <row r="1554" spans="1:2" ht="15" hidden="1" x14ac:dyDescent="0.25">
      <c r="A1554" s="511" t="s">
        <v>1520</v>
      </c>
      <c r="B1554" s="511" t="s">
        <v>1520</v>
      </c>
    </row>
    <row r="1555" spans="1:2" ht="15" hidden="1" x14ac:dyDescent="0.25">
      <c r="A1555" s="511" t="s">
        <v>1520</v>
      </c>
      <c r="B1555" s="511" t="s">
        <v>1520</v>
      </c>
    </row>
    <row r="1556" spans="1:2" ht="15" hidden="1" x14ac:dyDescent="0.25">
      <c r="A1556" s="511" t="s">
        <v>1521</v>
      </c>
      <c r="B1556" s="511" t="s">
        <v>1521</v>
      </c>
    </row>
    <row r="1557" spans="1:2" ht="15" hidden="1" x14ac:dyDescent="0.25">
      <c r="A1557" s="511" t="s">
        <v>1522</v>
      </c>
      <c r="B1557" s="511" t="s">
        <v>1522</v>
      </c>
    </row>
    <row r="1558" spans="1:2" ht="15" hidden="1" x14ac:dyDescent="0.25">
      <c r="A1558" s="511" t="s">
        <v>1523</v>
      </c>
      <c r="B1558" s="511" t="s">
        <v>1523</v>
      </c>
    </row>
    <row r="1559" spans="1:2" ht="15" hidden="1" x14ac:dyDescent="0.25">
      <c r="A1559" s="511" t="s">
        <v>1524</v>
      </c>
      <c r="B1559" s="511" t="s">
        <v>1524</v>
      </c>
    </row>
    <row r="1560" spans="1:2" ht="15" hidden="1" x14ac:dyDescent="0.25">
      <c r="A1560" s="511" t="s">
        <v>1524</v>
      </c>
      <c r="B1560" s="511" t="s">
        <v>1524</v>
      </c>
    </row>
    <row r="1561" spans="1:2" ht="15" hidden="1" x14ac:dyDescent="0.25">
      <c r="A1561" s="511" t="s">
        <v>1525</v>
      </c>
      <c r="B1561" s="511" t="s">
        <v>1525</v>
      </c>
    </row>
    <row r="1562" spans="1:2" ht="15" hidden="1" x14ac:dyDescent="0.25">
      <c r="A1562" s="511" t="s">
        <v>1526</v>
      </c>
      <c r="B1562" s="511" t="s">
        <v>1526</v>
      </c>
    </row>
    <row r="1563" spans="1:2" ht="15" hidden="1" x14ac:dyDescent="0.25">
      <c r="A1563" s="511" t="s">
        <v>1527</v>
      </c>
      <c r="B1563" s="511" t="s">
        <v>1527</v>
      </c>
    </row>
    <row r="1564" spans="1:2" ht="15" hidden="1" x14ac:dyDescent="0.25">
      <c r="A1564" s="511" t="s">
        <v>1527</v>
      </c>
      <c r="B1564" s="511" t="s">
        <v>1527</v>
      </c>
    </row>
    <row r="1565" spans="1:2" ht="15" hidden="1" x14ac:dyDescent="0.25">
      <c r="A1565" s="511" t="s">
        <v>1528</v>
      </c>
      <c r="B1565" s="511" t="s">
        <v>1528</v>
      </c>
    </row>
    <row r="1566" spans="1:2" ht="15" hidden="1" x14ac:dyDescent="0.25">
      <c r="A1566" s="511" t="s">
        <v>1529</v>
      </c>
      <c r="B1566" s="511" t="s">
        <v>1529</v>
      </c>
    </row>
    <row r="1567" spans="1:2" ht="15" hidden="1" x14ac:dyDescent="0.25">
      <c r="A1567" s="511" t="s">
        <v>1530</v>
      </c>
      <c r="B1567" s="511" t="s">
        <v>1530</v>
      </c>
    </row>
    <row r="1568" spans="1:2" ht="15" hidden="1" x14ac:dyDescent="0.25">
      <c r="A1568" s="511" t="s">
        <v>1530</v>
      </c>
      <c r="B1568" s="511" t="s">
        <v>1530</v>
      </c>
    </row>
    <row r="1569" spans="1:2" ht="15" hidden="1" x14ac:dyDescent="0.25">
      <c r="A1569" s="511" t="s">
        <v>1531</v>
      </c>
      <c r="B1569" s="511" t="s">
        <v>1531</v>
      </c>
    </row>
    <row r="1570" spans="1:2" ht="15" hidden="1" x14ac:dyDescent="0.25">
      <c r="A1570" s="511" t="s">
        <v>1531</v>
      </c>
      <c r="B1570" s="511" t="s">
        <v>1531</v>
      </c>
    </row>
    <row r="1571" spans="1:2" ht="15" hidden="1" x14ac:dyDescent="0.25">
      <c r="A1571" s="511" t="s">
        <v>1532</v>
      </c>
      <c r="B1571" s="511" t="s">
        <v>1532</v>
      </c>
    </row>
    <row r="1572" spans="1:2" ht="15" hidden="1" x14ac:dyDescent="0.25">
      <c r="A1572" s="511" t="s">
        <v>1533</v>
      </c>
      <c r="B1572" s="511" t="s">
        <v>1533</v>
      </c>
    </row>
    <row r="1573" spans="1:2" ht="15" hidden="1" x14ac:dyDescent="0.25">
      <c r="A1573" s="511" t="s">
        <v>1534</v>
      </c>
      <c r="B1573" s="511" t="s">
        <v>1534</v>
      </c>
    </row>
    <row r="1574" spans="1:2" ht="15" hidden="1" x14ac:dyDescent="0.25">
      <c r="A1574" s="511" t="s">
        <v>1535</v>
      </c>
      <c r="B1574" s="511" t="s">
        <v>1535</v>
      </c>
    </row>
    <row r="1575" spans="1:2" ht="15" hidden="1" x14ac:dyDescent="0.25">
      <c r="A1575" s="511" t="s">
        <v>1536</v>
      </c>
      <c r="B1575" s="511" t="s">
        <v>1536</v>
      </c>
    </row>
    <row r="1576" spans="1:2" ht="15" hidden="1" x14ac:dyDescent="0.25">
      <c r="A1576" s="511" t="s">
        <v>1537</v>
      </c>
      <c r="B1576" s="511" t="s">
        <v>1537</v>
      </c>
    </row>
    <row r="1577" spans="1:2" ht="15" hidden="1" x14ac:dyDescent="0.25">
      <c r="A1577" s="511" t="s">
        <v>1538</v>
      </c>
      <c r="B1577" s="511" t="s">
        <v>1538</v>
      </c>
    </row>
    <row r="1578" spans="1:2" ht="15" hidden="1" x14ac:dyDescent="0.25">
      <c r="A1578" s="511" t="s">
        <v>1538</v>
      </c>
      <c r="B1578" s="511" t="s">
        <v>1538</v>
      </c>
    </row>
    <row r="1579" spans="1:2" ht="15" hidden="1" x14ac:dyDescent="0.25">
      <c r="A1579" s="511" t="s">
        <v>1539</v>
      </c>
      <c r="B1579" s="511" t="s">
        <v>1539</v>
      </c>
    </row>
    <row r="1580" spans="1:2" ht="15" hidden="1" x14ac:dyDescent="0.25">
      <c r="A1580" s="511" t="s">
        <v>1540</v>
      </c>
      <c r="B1580" s="511" t="s">
        <v>1540</v>
      </c>
    </row>
    <row r="1581" spans="1:2" ht="15" hidden="1" x14ac:dyDescent="0.25">
      <c r="A1581" s="511" t="s">
        <v>1541</v>
      </c>
      <c r="B1581" s="511" t="s">
        <v>1541</v>
      </c>
    </row>
    <row r="1582" spans="1:2" ht="15" hidden="1" x14ac:dyDescent="0.25">
      <c r="A1582" s="511" t="s">
        <v>1541</v>
      </c>
      <c r="B1582" s="511" t="s">
        <v>1541</v>
      </c>
    </row>
    <row r="1583" spans="1:2" ht="15" hidden="1" x14ac:dyDescent="0.25">
      <c r="A1583" s="511" t="s">
        <v>1542</v>
      </c>
      <c r="B1583" s="511" t="s">
        <v>1542</v>
      </c>
    </row>
    <row r="1584" spans="1:2" ht="15" hidden="1" x14ac:dyDescent="0.25">
      <c r="A1584" s="511" t="s">
        <v>1543</v>
      </c>
      <c r="B1584" s="511" t="s">
        <v>1543</v>
      </c>
    </row>
    <row r="1585" spans="1:2" ht="15" hidden="1" x14ac:dyDescent="0.25">
      <c r="A1585" s="511" t="s">
        <v>1543</v>
      </c>
      <c r="B1585" s="511" t="s">
        <v>1543</v>
      </c>
    </row>
    <row r="1586" spans="1:2" ht="15" hidden="1" x14ac:dyDescent="0.25">
      <c r="A1586" s="511" t="s">
        <v>1544</v>
      </c>
      <c r="B1586" s="511" t="s">
        <v>1544</v>
      </c>
    </row>
    <row r="1587" spans="1:2" ht="15" hidden="1" x14ac:dyDescent="0.25">
      <c r="A1587" s="511" t="s">
        <v>1545</v>
      </c>
      <c r="B1587" s="511" t="s">
        <v>1545</v>
      </c>
    </row>
    <row r="1588" spans="1:2" ht="15" hidden="1" x14ac:dyDescent="0.25">
      <c r="A1588" s="511" t="s">
        <v>1545</v>
      </c>
      <c r="B1588" s="511" t="s">
        <v>1545</v>
      </c>
    </row>
    <row r="1589" spans="1:2" ht="15" hidden="1" x14ac:dyDescent="0.25">
      <c r="A1589" s="511" t="s">
        <v>1546</v>
      </c>
      <c r="B1589" s="511" t="s">
        <v>1546</v>
      </c>
    </row>
    <row r="1590" spans="1:2" ht="15" hidden="1" x14ac:dyDescent="0.25">
      <c r="A1590" s="511" t="s">
        <v>1547</v>
      </c>
      <c r="B1590" s="511" t="s">
        <v>1547</v>
      </c>
    </row>
    <row r="1591" spans="1:2" ht="15" hidden="1" x14ac:dyDescent="0.25">
      <c r="A1591" s="511" t="s">
        <v>1548</v>
      </c>
      <c r="B1591" s="511" t="s">
        <v>1548</v>
      </c>
    </row>
    <row r="1592" spans="1:2" ht="15" hidden="1" x14ac:dyDescent="0.25">
      <c r="A1592" s="511" t="s">
        <v>1549</v>
      </c>
      <c r="B1592" s="511" t="s">
        <v>1549</v>
      </c>
    </row>
    <row r="1593" spans="1:2" ht="15" hidden="1" x14ac:dyDescent="0.25">
      <c r="A1593" s="511" t="s">
        <v>1549</v>
      </c>
      <c r="B1593" s="511" t="s">
        <v>1549</v>
      </c>
    </row>
    <row r="1594" spans="1:2" ht="15" hidden="1" x14ac:dyDescent="0.25">
      <c r="A1594" s="511" t="s">
        <v>1550</v>
      </c>
      <c r="B1594" s="511" t="s">
        <v>1550</v>
      </c>
    </row>
    <row r="1595" spans="1:2" ht="15" hidden="1" x14ac:dyDescent="0.25">
      <c r="A1595" s="511" t="s">
        <v>1550</v>
      </c>
      <c r="B1595" s="511" t="s">
        <v>1550</v>
      </c>
    </row>
    <row r="1596" spans="1:2" ht="15" hidden="1" x14ac:dyDescent="0.25">
      <c r="A1596" s="511" t="s">
        <v>1551</v>
      </c>
      <c r="B1596" s="511" t="s">
        <v>1551</v>
      </c>
    </row>
    <row r="1597" spans="1:2" ht="15" hidden="1" x14ac:dyDescent="0.25">
      <c r="A1597" s="511" t="s">
        <v>1552</v>
      </c>
      <c r="B1597" s="511" t="s">
        <v>1552</v>
      </c>
    </row>
    <row r="1598" spans="1:2" ht="15" hidden="1" x14ac:dyDescent="0.25">
      <c r="A1598" s="511" t="s">
        <v>1553</v>
      </c>
      <c r="B1598" s="511" t="s">
        <v>1553</v>
      </c>
    </row>
    <row r="1599" spans="1:2" ht="15" hidden="1" x14ac:dyDescent="0.25">
      <c r="A1599" s="511" t="s">
        <v>1554</v>
      </c>
      <c r="B1599" s="511" t="s">
        <v>1554</v>
      </c>
    </row>
    <row r="1600" spans="1:2" ht="15" hidden="1" x14ac:dyDescent="0.25">
      <c r="A1600" s="511" t="s">
        <v>1555</v>
      </c>
      <c r="B1600" s="511" t="s">
        <v>1555</v>
      </c>
    </row>
    <row r="1601" spans="1:2" ht="15" hidden="1" x14ac:dyDescent="0.25">
      <c r="A1601" s="511" t="s">
        <v>1556</v>
      </c>
      <c r="B1601" s="511" t="s">
        <v>1556</v>
      </c>
    </row>
    <row r="1602" spans="1:2" ht="15" hidden="1" x14ac:dyDescent="0.25">
      <c r="A1602" s="511" t="s">
        <v>1556</v>
      </c>
      <c r="B1602" s="511" t="s">
        <v>1556</v>
      </c>
    </row>
    <row r="1603" spans="1:2" ht="15" hidden="1" x14ac:dyDescent="0.25">
      <c r="A1603" s="511" t="s">
        <v>1557</v>
      </c>
      <c r="B1603" s="511" t="s">
        <v>1557</v>
      </c>
    </row>
    <row r="1604" spans="1:2" ht="15" hidden="1" x14ac:dyDescent="0.25">
      <c r="A1604" s="511" t="s">
        <v>1557</v>
      </c>
      <c r="B1604" s="511" t="s">
        <v>1557</v>
      </c>
    </row>
    <row r="1605" spans="1:2" ht="15" hidden="1" x14ac:dyDescent="0.25">
      <c r="A1605" s="511" t="s">
        <v>1558</v>
      </c>
      <c r="B1605" s="511" t="s">
        <v>1558</v>
      </c>
    </row>
    <row r="1606" spans="1:2" ht="15" hidden="1" x14ac:dyDescent="0.25">
      <c r="A1606" s="511" t="s">
        <v>1558</v>
      </c>
      <c r="B1606" s="511" t="s">
        <v>1558</v>
      </c>
    </row>
    <row r="1607" spans="1:2" ht="15" hidden="1" x14ac:dyDescent="0.25">
      <c r="A1607" s="511" t="s">
        <v>1559</v>
      </c>
      <c r="B1607" s="511" t="s">
        <v>1559</v>
      </c>
    </row>
    <row r="1608" spans="1:2" ht="15" hidden="1" x14ac:dyDescent="0.25">
      <c r="A1608" s="511" t="s">
        <v>1560</v>
      </c>
      <c r="B1608" s="511" t="s">
        <v>1560</v>
      </c>
    </row>
    <row r="1609" spans="1:2" ht="15" hidden="1" x14ac:dyDescent="0.25">
      <c r="A1609" s="511" t="s">
        <v>1561</v>
      </c>
      <c r="B1609" s="511" t="s">
        <v>1561</v>
      </c>
    </row>
    <row r="1610" spans="1:2" ht="15" hidden="1" x14ac:dyDescent="0.25">
      <c r="A1610" s="511" t="s">
        <v>1562</v>
      </c>
      <c r="B1610" s="511" t="s">
        <v>1562</v>
      </c>
    </row>
    <row r="1611" spans="1:2" ht="15" hidden="1" x14ac:dyDescent="0.25">
      <c r="A1611" s="511" t="s">
        <v>1563</v>
      </c>
      <c r="B1611" s="511" t="s">
        <v>1563</v>
      </c>
    </row>
    <row r="1612" spans="1:2" ht="15" hidden="1" x14ac:dyDescent="0.25">
      <c r="A1612" s="511" t="s">
        <v>1564</v>
      </c>
      <c r="B1612" s="511" t="s">
        <v>1564</v>
      </c>
    </row>
    <row r="1613" spans="1:2" ht="15" hidden="1" x14ac:dyDescent="0.25">
      <c r="A1613" s="511" t="s">
        <v>1565</v>
      </c>
      <c r="B1613" s="511" t="s">
        <v>1565</v>
      </c>
    </row>
    <row r="1614" spans="1:2" ht="15" hidden="1" x14ac:dyDescent="0.25">
      <c r="A1614" s="511" t="s">
        <v>1566</v>
      </c>
      <c r="B1614" s="511" t="s">
        <v>1566</v>
      </c>
    </row>
    <row r="1615" spans="1:2" ht="15" hidden="1" x14ac:dyDescent="0.25">
      <c r="A1615" s="511" t="s">
        <v>1567</v>
      </c>
      <c r="B1615" s="511" t="s">
        <v>1567</v>
      </c>
    </row>
    <row r="1616" spans="1:2" ht="15" hidden="1" x14ac:dyDescent="0.25">
      <c r="A1616" s="511" t="s">
        <v>1568</v>
      </c>
      <c r="B1616" s="511" t="s">
        <v>1568</v>
      </c>
    </row>
    <row r="1617" spans="1:2" ht="15" hidden="1" x14ac:dyDescent="0.25">
      <c r="A1617" s="511" t="s">
        <v>1568</v>
      </c>
      <c r="B1617" s="511" t="s">
        <v>1568</v>
      </c>
    </row>
    <row r="1618" spans="1:2" ht="15" hidden="1" x14ac:dyDescent="0.25">
      <c r="A1618" s="511" t="s">
        <v>1569</v>
      </c>
      <c r="B1618" s="511" t="s">
        <v>1569</v>
      </c>
    </row>
    <row r="1619" spans="1:2" ht="15" hidden="1" x14ac:dyDescent="0.25">
      <c r="A1619" s="511" t="s">
        <v>1570</v>
      </c>
      <c r="B1619" s="511" t="s">
        <v>1570</v>
      </c>
    </row>
    <row r="1620" spans="1:2" ht="15" hidden="1" x14ac:dyDescent="0.25">
      <c r="A1620" s="511" t="s">
        <v>1571</v>
      </c>
      <c r="B1620" s="511" t="s">
        <v>1571</v>
      </c>
    </row>
    <row r="1621" spans="1:2" ht="15" hidden="1" x14ac:dyDescent="0.25">
      <c r="A1621" s="511" t="s">
        <v>1572</v>
      </c>
      <c r="B1621" s="511" t="s">
        <v>1572</v>
      </c>
    </row>
    <row r="1622" spans="1:2" ht="15" hidden="1" x14ac:dyDescent="0.25">
      <c r="A1622" s="511" t="s">
        <v>1573</v>
      </c>
      <c r="B1622" s="511" t="s">
        <v>1573</v>
      </c>
    </row>
    <row r="1623" spans="1:2" ht="15" hidden="1" x14ac:dyDescent="0.25">
      <c r="A1623" s="511" t="s">
        <v>1573</v>
      </c>
      <c r="B1623" s="511" t="s">
        <v>1573</v>
      </c>
    </row>
    <row r="1624" spans="1:2" ht="15" hidden="1" x14ac:dyDescent="0.25">
      <c r="A1624" s="511" t="s">
        <v>1574</v>
      </c>
      <c r="B1624" s="511" t="s">
        <v>1574</v>
      </c>
    </row>
    <row r="1625" spans="1:2" ht="15" hidden="1" x14ac:dyDescent="0.25">
      <c r="A1625" s="511" t="s">
        <v>1574</v>
      </c>
      <c r="B1625" s="511" t="s">
        <v>1574</v>
      </c>
    </row>
    <row r="1626" spans="1:2" ht="15" hidden="1" x14ac:dyDescent="0.25">
      <c r="A1626" s="511" t="s">
        <v>1575</v>
      </c>
      <c r="B1626" s="511" t="s">
        <v>1575</v>
      </c>
    </row>
    <row r="1627" spans="1:2" ht="15" hidden="1" x14ac:dyDescent="0.25">
      <c r="A1627" s="511" t="s">
        <v>1576</v>
      </c>
      <c r="B1627" s="511" t="s">
        <v>1576</v>
      </c>
    </row>
    <row r="1628" spans="1:2" ht="15" hidden="1" x14ac:dyDescent="0.25">
      <c r="A1628" s="511" t="s">
        <v>1577</v>
      </c>
      <c r="B1628" s="511" t="s">
        <v>1577</v>
      </c>
    </row>
    <row r="1629" spans="1:2" ht="15" hidden="1" x14ac:dyDescent="0.25">
      <c r="A1629" s="511" t="s">
        <v>1577</v>
      </c>
      <c r="B1629" s="511" t="s">
        <v>1577</v>
      </c>
    </row>
    <row r="1630" spans="1:2" ht="15" hidden="1" x14ac:dyDescent="0.25">
      <c r="A1630" s="511" t="s">
        <v>1578</v>
      </c>
      <c r="B1630" s="511" t="s">
        <v>1578</v>
      </c>
    </row>
    <row r="1631" spans="1:2" ht="15" hidden="1" x14ac:dyDescent="0.25">
      <c r="A1631" s="511" t="s">
        <v>1579</v>
      </c>
      <c r="B1631" s="511" t="s">
        <v>1580</v>
      </c>
    </row>
    <row r="1632" spans="1:2" ht="15" hidden="1" x14ac:dyDescent="0.25">
      <c r="A1632" s="511" t="s">
        <v>1581</v>
      </c>
      <c r="B1632" s="511" t="s">
        <v>1582</v>
      </c>
    </row>
    <row r="1633" spans="1:2" ht="15" hidden="1" x14ac:dyDescent="0.25">
      <c r="A1633" s="511" t="s">
        <v>1583</v>
      </c>
      <c r="B1633" s="511" t="s">
        <v>1584</v>
      </c>
    </row>
    <row r="1634" spans="1:2" ht="15" hidden="1" x14ac:dyDescent="0.25">
      <c r="A1634" s="511" t="s">
        <v>1583</v>
      </c>
      <c r="B1634" s="511" t="s">
        <v>1584</v>
      </c>
    </row>
    <row r="1635" spans="1:2" ht="15" hidden="1" x14ac:dyDescent="0.25">
      <c r="A1635" s="511" t="s">
        <v>1585</v>
      </c>
      <c r="B1635" s="511" t="s">
        <v>1586</v>
      </c>
    </row>
    <row r="1636" spans="1:2" ht="15" hidden="1" x14ac:dyDescent="0.25">
      <c r="A1636" s="511" t="s">
        <v>1587</v>
      </c>
      <c r="B1636" s="511" t="s">
        <v>1588</v>
      </c>
    </row>
    <row r="1637" spans="1:2" ht="15" hidden="1" x14ac:dyDescent="0.25">
      <c r="A1637" s="511" t="s">
        <v>1587</v>
      </c>
      <c r="B1637" s="511" t="s">
        <v>1588</v>
      </c>
    </row>
    <row r="1638" spans="1:2" ht="15" hidden="1" x14ac:dyDescent="0.25">
      <c r="A1638" s="511" t="s">
        <v>1587</v>
      </c>
      <c r="B1638" s="511" t="s">
        <v>1588</v>
      </c>
    </row>
    <row r="1639" spans="1:2" ht="15" hidden="1" x14ac:dyDescent="0.25">
      <c r="A1639" s="511" t="s">
        <v>1589</v>
      </c>
      <c r="B1639" s="511" t="s">
        <v>1529</v>
      </c>
    </row>
    <row r="1640" spans="1:2" ht="15" hidden="1" x14ac:dyDescent="0.25">
      <c r="A1640" s="511" t="s">
        <v>1590</v>
      </c>
      <c r="B1640" s="511" t="s">
        <v>1591</v>
      </c>
    </row>
    <row r="1641" spans="1:2" ht="15" hidden="1" x14ac:dyDescent="0.25">
      <c r="A1641" s="511" t="s">
        <v>1592</v>
      </c>
      <c r="B1641" s="511" t="s">
        <v>68</v>
      </c>
    </row>
    <row r="1642" spans="1:2" ht="15" hidden="1" x14ac:dyDescent="0.25">
      <c r="A1642" s="511" t="s">
        <v>1592</v>
      </c>
      <c r="B1642" s="511" t="s">
        <v>68</v>
      </c>
    </row>
    <row r="1643" spans="1:2" ht="15" hidden="1" x14ac:dyDescent="0.25">
      <c r="A1643" s="511" t="s">
        <v>1593</v>
      </c>
      <c r="B1643" s="511" t="s">
        <v>1594</v>
      </c>
    </row>
    <row r="1644" spans="1:2" ht="15" hidden="1" x14ac:dyDescent="0.25">
      <c r="A1644" s="511" t="s">
        <v>1595</v>
      </c>
      <c r="B1644" s="511" t="s">
        <v>1596</v>
      </c>
    </row>
    <row r="1645" spans="1:2" ht="15" hidden="1" x14ac:dyDescent="0.25">
      <c r="A1645" s="511" t="s">
        <v>1597</v>
      </c>
      <c r="B1645" s="511" t="s">
        <v>1598</v>
      </c>
    </row>
    <row r="1646" spans="1:2" ht="15" hidden="1" x14ac:dyDescent="0.25">
      <c r="A1646" s="511" t="s">
        <v>1599</v>
      </c>
      <c r="B1646" s="511" t="s">
        <v>1600</v>
      </c>
    </row>
    <row r="1647" spans="1:2" ht="15" hidden="1" x14ac:dyDescent="0.25">
      <c r="A1647" s="511" t="s">
        <v>1601</v>
      </c>
      <c r="B1647" s="511" t="s">
        <v>1602</v>
      </c>
    </row>
    <row r="1648" spans="1:2" ht="15" hidden="1" x14ac:dyDescent="0.25">
      <c r="A1648" s="511" t="s">
        <v>1603</v>
      </c>
      <c r="B1648" s="511" t="s">
        <v>1604</v>
      </c>
    </row>
    <row r="1649" spans="1:2" ht="15" hidden="1" x14ac:dyDescent="0.25">
      <c r="A1649" s="511" t="s">
        <v>1605</v>
      </c>
      <c r="B1649" s="511" t="s">
        <v>1606</v>
      </c>
    </row>
    <row r="1650" spans="1:2" ht="15" hidden="1" x14ac:dyDescent="0.25">
      <c r="A1650" s="511" t="s">
        <v>1605</v>
      </c>
      <c r="B1650" s="511" t="s">
        <v>1606</v>
      </c>
    </row>
    <row r="1651" spans="1:2" ht="15" hidden="1" x14ac:dyDescent="0.25">
      <c r="A1651" s="511" t="s">
        <v>1607</v>
      </c>
      <c r="B1651" s="511" t="s">
        <v>1608</v>
      </c>
    </row>
    <row r="1652" spans="1:2" ht="15" hidden="1" x14ac:dyDescent="0.25">
      <c r="A1652" s="511" t="s">
        <v>1609</v>
      </c>
      <c r="B1652" s="511" t="s">
        <v>1610</v>
      </c>
    </row>
    <row r="1653" spans="1:2" ht="15" hidden="1" x14ac:dyDescent="0.25">
      <c r="A1653" s="511" t="s">
        <v>1611</v>
      </c>
      <c r="B1653" s="511" t="s">
        <v>1612</v>
      </c>
    </row>
    <row r="1654" spans="1:2" ht="15" hidden="1" x14ac:dyDescent="0.25">
      <c r="A1654" s="511" t="s">
        <v>1611</v>
      </c>
      <c r="B1654" s="511" t="s">
        <v>1612</v>
      </c>
    </row>
    <row r="1655" spans="1:2" ht="15" hidden="1" x14ac:dyDescent="0.25">
      <c r="A1655" s="511" t="s">
        <v>1613</v>
      </c>
      <c r="B1655" s="511" t="s">
        <v>1614</v>
      </c>
    </row>
    <row r="1656" spans="1:2" ht="15" hidden="1" x14ac:dyDescent="0.25">
      <c r="A1656" s="511" t="s">
        <v>1615</v>
      </c>
      <c r="B1656" s="511" t="s">
        <v>1616</v>
      </c>
    </row>
    <row r="1657" spans="1:2" ht="15" hidden="1" x14ac:dyDescent="0.25">
      <c r="A1657" s="511" t="s">
        <v>1615</v>
      </c>
      <c r="B1657" s="511" t="s">
        <v>1616</v>
      </c>
    </row>
    <row r="1658" spans="1:2" ht="15" hidden="1" x14ac:dyDescent="0.25">
      <c r="A1658" s="511" t="s">
        <v>1617</v>
      </c>
      <c r="B1658" s="511" t="s">
        <v>1618</v>
      </c>
    </row>
    <row r="1659" spans="1:2" ht="15" hidden="1" x14ac:dyDescent="0.25">
      <c r="A1659" s="511" t="s">
        <v>1619</v>
      </c>
      <c r="B1659" s="511" t="s">
        <v>1620</v>
      </c>
    </row>
    <row r="1660" spans="1:2" ht="15" hidden="1" x14ac:dyDescent="0.25">
      <c r="A1660" s="511" t="s">
        <v>1621</v>
      </c>
      <c r="B1660" s="511" t="s">
        <v>1622</v>
      </c>
    </row>
    <row r="1661" spans="1:2" ht="15" hidden="1" x14ac:dyDescent="0.25">
      <c r="A1661" s="511" t="s">
        <v>1623</v>
      </c>
      <c r="B1661" s="511" t="s">
        <v>1624</v>
      </c>
    </row>
    <row r="1662" spans="1:2" ht="15" hidden="1" x14ac:dyDescent="0.25">
      <c r="A1662" s="511" t="s">
        <v>1625</v>
      </c>
      <c r="B1662" s="511" t="s">
        <v>1626</v>
      </c>
    </row>
    <row r="1663" spans="1:2" ht="15" hidden="1" x14ac:dyDescent="0.25">
      <c r="A1663" s="511" t="s">
        <v>1627</v>
      </c>
      <c r="B1663" s="511" t="s">
        <v>1628</v>
      </c>
    </row>
    <row r="1664" spans="1:2" ht="15" hidden="1" x14ac:dyDescent="0.25">
      <c r="A1664" s="511" t="s">
        <v>1629</v>
      </c>
      <c r="B1664" s="511" t="s">
        <v>1630</v>
      </c>
    </row>
    <row r="1665" spans="1:2" ht="15" hidden="1" x14ac:dyDescent="0.25">
      <c r="A1665" s="511" t="s">
        <v>1629</v>
      </c>
      <c r="B1665" s="511" t="s">
        <v>1630</v>
      </c>
    </row>
    <row r="1666" spans="1:2" ht="15" hidden="1" x14ac:dyDescent="0.25">
      <c r="A1666" s="511" t="s">
        <v>1631</v>
      </c>
      <c r="B1666" s="511" t="s">
        <v>1632</v>
      </c>
    </row>
    <row r="1667" spans="1:2" ht="15" hidden="1" x14ac:dyDescent="0.25">
      <c r="A1667" s="511" t="s">
        <v>1633</v>
      </c>
      <c r="B1667" s="511" t="s">
        <v>1634</v>
      </c>
    </row>
    <row r="1668" spans="1:2" ht="15" hidden="1" x14ac:dyDescent="0.25">
      <c r="A1668" s="511" t="s">
        <v>1635</v>
      </c>
      <c r="B1668" s="511" t="s">
        <v>1636</v>
      </c>
    </row>
    <row r="1669" spans="1:2" ht="15" hidden="1" x14ac:dyDescent="0.25">
      <c r="A1669" s="511" t="s">
        <v>1637</v>
      </c>
      <c r="B1669" s="511" t="s">
        <v>1638</v>
      </c>
    </row>
    <row r="1670" spans="1:2" ht="15" hidden="1" x14ac:dyDescent="0.25">
      <c r="A1670" s="511" t="s">
        <v>1637</v>
      </c>
      <c r="B1670" s="511" t="s">
        <v>1638</v>
      </c>
    </row>
    <row r="1671" spans="1:2" ht="15" hidden="1" x14ac:dyDescent="0.25">
      <c r="A1671" s="511" t="s">
        <v>1639</v>
      </c>
      <c r="B1671" s="511" t="s">
        <v>1640</v>
      </c>
    </row>
    <row r="1672" spans="1:2" ht="15" hidden="1" x14ac:dyDescent="0.25">
      <c r="A1672" s="511" t="s">
        <v>1641</v>
      </c>
      <c r="B1672" s="511" t="s">
        <v>1642</v>
      </c>
    </row>
    <row r="1673" spans="1:2" ht="15" hidden="1" x14ac:dyDescent="0.25">
      <c r="A1673" s="511" t="s">
        <v>1643</v>
      </c>
      <c r="B1673" s="511" t="s">
        <v>1644</v>
      </c>
    </row>
    <row r="1674" spans="1:2" ht="15" hidden="1" x14ac:dyDescent="0.25">
      <c r="A1674" s="511" t="s">
        <v>1643</v>
      </c>
      <c r="B1674" s="511" t="s">
        <v>1644</v>
      </c>
    </row>
    <row r="1675" spans="1:2" ht="15" hidden="1" x14ac:dyDescent="0.25">
      <c r="A1675" s="511" t="s">
        <v>1645</v>
      </c>
      <c r="B1675" s="511" t="s">
        <v>1646</v>
      </c>
    </row>
    <row r="1676" spans="1:2" ht="15" hidden="1" x14ac:dyDescent="0.25">
      <c r="A1676" s="511" t="s">
        <v>1645</v>
      </c>
      <c r="B1676" s="511" t="s">
        <v>1646</v>
      </c>
    </row>
    <row r="1677" spans="1:2" ht="15" hidden="1" x14ac:dyDescent="0.25">
      <c r="A1677" s="511" t="s">
        <v>1647</v>
      </c>
      <c r="B1677" s="511" t="s">
        <v>1648</v>
      </c>
    </row>
    <row r="1678" spans="1:2" ht="15" hidden="1" x14ac:dyDescent="0.25">
      <c r="A1678" s="511" t="s">
        <v>1649</v>
      </c>
      <c r="B1678" s="511" t="s">
        <v>1650</v>
      </c>
    </row>
    <row r="1679" spans="1:2" ht="15" hidden="1" x14ac:dyDescent="0.25">
      <c r="A1679" s="511" t="s">
        <v>1651</v>
      </c>
      <c r="B1679" s="511" t="s">
        <v>1652</v>
      </c>
    </row>
    <row r="1680" spans="1:2" ht="15" hidden="1" x14ac:dyDescent="0.25">
      <c r="A1680" s="511" t="s">
        <v>1651</v>
      </c>
      <c r="B1680" s="511" t="s">
        <v>1652</v>
      </c>
    </row>
    <row r="1681" spans="1:2" ht="15" hidden="1" x14ac:dyDescent="0.25">
      <c r="A1681" s="511" t="s">
        <v>1651</v>
      </c>
      <c r="B1681" s="511" t="s">
        <v>1652</v>
      </c>
    </row>
    <row r="1682" spans="1:2" ht="15" hidden="1" x14ac:dyDescent="0.25">
      <c r="A1682" s="511" t="s">
        <v>1653</v>
      </c>
      <c r="B1682" s="511" t="s">
        <v>1654</v>
      </c>
    </row>
    <row r="1683" spans="1:2" ht="15" hidden="1" x14ac:dyDescent="0.25">
      <c r="A1683" s="511" t="s">
        <v>1655</v>
      </c>
      <c r="B1683" s="511" t="s">
        <v>1656</v>
      </c>
    </row>
    <row r="1684" spans="1:2" ht="15" hidden="1" x14ac:dyDescent="0.25">
      <c r="A1684" s="511" t="s">
        <v>1657</v>
      </c>
      <c r="B1684" s="511" t="s">
        <v>1658</v>
      </c>
    </row>
    <row r="1685" spans="1:2" ht="15" hidden="1" x14ac:dyDescent="0.25">
      <c r="A1685" s="511" t="s">
        <v>1659</v>
      </c>
      <c r="B1685" s="511" t="s">
        <v>1660</v>
      </c>
    </row>
    <row r="1686" spans="1:2" ht="15" hidden="1" x14ac:dyDescent="0.25">
      <c r="A1686" s="511" t="s">
        <v>1661</v>
      </c>
      <c r="B1686" s="511" t="s">
        <v>1662</v>
      </c>
    </row>
    <row r="1687" spans="1:2" ht="15" hidden="1" x14ac:dyDescent="0.25">
      <c r="A1687" s="511" t="s">
        <v>1663</v>
      </c>
      <c r="B1687" s="511" t="s">
        <v>1664</v>
      </c>
    </row>
    <row r="1688" spans="1:2" ht="15" hidden="1" x14ac:dyDescent="0.25">
      <c r="A1688" s="511" t="s">
        <v>1663</v>
      </c>
      <c r="B1688" s="511" t="s">
        <v>1664</v>
      </c>
    </row>
    <row r="1689" spans="1:2" ht="15" hidden="1" x14ac:dyDescent="0.25">
      <c r="A1689" s="511" t="s">
        <v>1665</v>
      </c>
      <c r="B1689" s="511" t="s">
        <v>1666</v>
      </c>
    </row>
    <row r="1690" spans="1:2" ht="15" hidden="1" x14ac:dyDescent="0.25">
      <c r="A1690" s="511" t="s">
        <v>231</v>
      </c>
      <c r="B1690" s="511" t="s">
        <v>359</v>
      </c>
    </row>
    <row r="1691" spans="1:2" ht="15" hidden="1" x14ac:dyDescent="0.25">
      <c r="A1691" s="511" t="s">
        <v>231</v>
      </c>
      <c r="B1691" s="511" t="s">
        <v>359</v>
      </c>
    </row>
    <row r="1692" spans="1:2" ht="15" hidden="1" x14ac:dyDescent="0.25">
      <c r="A1692" s="511" t="s">
        <v>231</v>
      </c>
      <c r="B1692" s="511" t="s">
        <v>359</v>
      </c>
    </row>
    <row r="1693" spans="1:2" ht="15" hidden="1" x14ac:dyDescent="0.25">
      <c r="A1693" s="511" t="s">
        <v>231</v>
      </c>
      <c r="B1693" s="511" t="s">
        <v>359</v>
      </c>
    </row>
    <row r="1694" spans="1:2" ht="15" hidden="1" x14ac:dyDescent="0.25">
      <c r="A1694" s="511" t="s">
        <v>190</v>
      </c>
      <c r="B1694" s="511" t="s">
        <v>360</v>
      </c>
    </row>
    <row r="1695" spans="1:2" ht="15" hidden="1" x14ac:dyDescent="0.25">
      <c r="A1695" s="511" t="s">
        <v>190</v>
      </c>
      <c r="B1695" s="511" t="s">
        <v>360</v>
      </c>
    </row>
    <row r="1696" spans="1:2" ht="15" hidden="1" x14ac:dyDescent="0.25">
      <c r="A1696" s="511" t="s">
        <v>190</v>
      </c>
      <c r="B1696" s="511" t="s">
        <v>360</v>
      </c>
    </row>
    <row r="1697" spans="1:2" ht="15" hidden="1" x14ac:dyDescent="0.25">
      <c r="A1697" s="511" t="s">
        <v>190</v>
      </c>
      <c r="B1697" s="511" t="s">
        <v>360</v>
      </c>
    </row>
    <row r="1698" spans="1:2" ht="15" hidden="1" x14ac:dyDescent="0.25">
      <c r="A1698" s="511" t="s">
        <v>190</v>
      </c>
      <c r="B1698" s="511" t="s">
        <v>360</v>
      </c>
    </row>
    <row r="1699" spans="1:2" ht="15" hidden="1" x14ac:dyDescent="0.25">
      <c r="A1699" s="511" t="s">
        <v>190</v>
      </c>
      <c r="B1699" s="511" t="s">
        <v>360</v>
      </c>
    </row>
    <row r="1700" spans="1:2" ht="15" hidden="1" x14ac:dyDescent="0.25">
      <c r="A1700" s="511" t="s">
        <v>191</v>
      </c>
      <c r="B1700" s="511" t="s">
        <v>361</v>
      </c>
    </row>
    <row r="1701" spans="1:2" ht="15" hidden="1" x14ac:dyDescent="0.25">
      <c r="A1701" s="511" t="s">
        <v>1667</v>
      </c>
      <c r="B1701" s="511" t="s">
        <v>1668</v>
      </c>
    </row>
    <row r="1702" spans="1:2" ht="15" hidden="1" x14ac:dyDescent="0.25">
      <c r="A1702" s="511" t="s">
        <v>1667</v>
      </c>
      <c r="B1702" s="511" t="s">
        <v>1668</v>
      </c>
    </row>
    <row r="1703" spans="1:2" ht="15" hidden="1" x14ac:dyDescent="0.25">
      <c r="A1703" s="511" t="s">
        <v>1667</v>
      </c>
      <c r="B1703" s="511" t="s">
        <v>1668</v>
      </c>
    </row>
    <row r="1704" spans="1:2" ht="15" hidden="1" x14ac:dyDescent="0.25">
      <c r="A1704" s="511" t="s">
        <v>1667</v>
      </c>
      <c r="B1704" s="511" t="s">
        <v>1668</v>
      </c>
    </row>
    <row r="1705" spans="1:2" ht="15" hidden="1" x14ac:dyDescent="0.25">
      <c r="A1705" s="511" t="s">
        <v>192</v>
      </c>
      <c r="B1705" s="511" t="s">
        <v>362</v>
      </c>
    </row>
    <row r="1706" spans="1:2" ht="15" hidden="1" x14ac:dyDescent="0.25">
      <c r="A1706" s="511" t="s">
        <v>192</v>
      </c>
      <c r="B1706" s="511" t="s">
        <v>362</v>
      </c>
    </row>
    <row r="1707" spans="1:2" ht="15" hidden="1" x14ac:dyDescent="0.25">
      <c r="A1707" s="511" t="s">
        <v>192</v>
      </c>
      <c r="B1707" s="511" t="s">
        <v>362</v>
      </c>
    </row>
    <row r="1708" spans="1:2" ht="15" hidden="1" x14ac:dyDescent="0.25">
      <c r="A1708" s="511" t="s">
        <v>192</v>
      </c>
      <c r="B1708" s="511" t="s">
        <v>362</v>
      </c>
    </row>
    <row r="1709" spans="1:2" ht="15" hidden="1" x14ac:dyDescent="0.25">
      <c r="A1709" s="511" t="s">
        <v>192</v>
      </c>
      <c r="B1709" s="511" t="s">
        <v>362</v>
      </c>
    </row>
    <row r="1710" spans="1:2" ht="15" hidden="1" x14ac:dyDescent="0.25">
      <c r="A1710" s="511" t="s">
        <v>192</v>
      </c>
      <c r="B1710" s="511" t="s">
        <v>362</v>
      </c>
    </row>
    <row r="1711" spans="1:2" ht="15" hidden="1" x14ac:dyDescent="0.25">
      <c r="A1711" s="511" t="s">
        <v>445</v>
      </c>
      <c r="B1711" s="511" t="s">
        <v>446</v>
      </c>
    </row>
    <row r="1712" spans="1:2" ht="15" hidden="1" x14ac:dyDescent="0.25">
      <c r="A1712" s="511" t="s">
        <v>445</v>
      </c>
      <c r="B1712" s="511" t="s">
        <v>446</v>
      </c>
    </row>
    <row r="1713" spans="1:2" ht="15" hidden="1" x14ac:dyDescent="0.25">
      <c r="A1713" s="511" t="s">
        <v>445</v>
      </c>
      <c r="B1713" s="511" t="s">
        <v>446</v>
      </c>
    </row>
    <row r="1714" spans="1:2" ht="15" hidden="1" x14ac:dyDescent="0.25">
      <c r="A1714" s="511" t="s">
        <v>445</v>
      </c>
      <c r="B1714" s="511" t="s">
        <v>446</v>
      </c>
    </row>
    <row r="1715" spans="1:2" ht="15" hidden="1" x14ac:dyDescent="0.25">
      <c r="A1715" s="511" t="s">
        <v>1669</v>
      </c>
      <c r="B1715" s="511" t="s">
        <v>1670</v>
      </c>
    </row>
    <row r="1716" spans="1:2" ht="15" hidden="1" x14ac:dyDescent="0.25">
      <c r="A1716" s="511" t="s">
        <v>1505</v>
      </c>
      <c r="B1716" s="511" t="s">
        <v>1506</v>
      </c>
    </row>
    <row r="1717" spans="1:2" ht="15" hidden="1" x14ac:dyDescent="0.25">
      <c r="A1717" s="511" t="s">
        <v>1505</v>
      </c>
      <c r="B1717" s="511" t="s">
        <v>1506</v>
      </c>
    </row>
    <row r="1718" spans="1:2" ht="15" hidden="1" x14ac:dyDescent="0.25">
      <c r="A1718" s="512" t="s">
        <v>1505</v>
      </c>
      <c r="B1718" s="511" t="s">
        <v>1506</v>
      </c>
    </row>
    <row r="1719" spans="1:2" ht="15" hidden="1" x14ac:dyDescent="0.25">
      <c r="A1719" s="511" t="s">
        <v>1505</v>
      </c>
      <c r="B1719" s="511" t="s">
        <v>1506</v>
      </c>
    </row>
    <row r="1720" spans="1:2" ht="15" hidden="1" x14ac:dyDescent="0.25">
      <c r="A1720" s="511" t="s">
        <v>1505</v>
      </c>
      <c r="B1720" s="511" t="s">
        <v>1506</v>
      </c>
    </row>
    <row r="1721" spans="1:2" ht="15" hidden="1" x14ac:dyDescent="0.25">
      <c r="A1721" s="511" t="s">
        <v>193</v>
      </c>
      <c r="B1721" s="511" t="s">
        <v>363</v>
      </c>
    </row>
    <row r="1722" spans="1:2" ht="15" hidden="1" x14ac:dyDescent="0.25">
      <c r="A1722" s="511" t="s">
        <v>193</v>
      </c>
      <c r="B1722" s="511" t="s">
        <v>363</v>
      </c>
    </row>
    <row r="1723" spans="1:2" ht="15" hidden="1" x14ac:dyDescent="0.25">
      <c r="A1723" s="511" t="s">
        <v>193</v>
      </c>
      <c r="B1723" s="511" t="s">
        <v>363</v>
      </c>
    </row>
    <row r="1724" spans="1:2" ht="15" hidden="1" x14ac:dyDescent="0.25">
      <c r="A1724" s="511" t="s">
        <v>193</v>
      </c>
      <c r="B1724" s="511" t="s">
        <v>363</v>
      </c>
    </row>
    <row r="1725" spans="1:2" ht="15" hidden="1" x14ac:dyDescent="0.25">
      <c r="A1725" s="511" t="s">
        <v>193</v>
      </c>
      <c r="B1725" s="511" t="s">
        <v>363</v>
      </c>
    </row>
    <row r="1726" spans="1:2" ht="15" hidden="1" x14ac:dyDescent="0.25">
      <c r="A1726" s="511" t="s">
        <v>193</v>
      </c>
      <c r="B1726" s="511" t="s">
        <v>363</v>
      </c>
    </row>
    <row r="1727" spans="1:2" ht="15" hidden="1" x14ac:dyDescent="0.25">
      <c r="A1727" s="511" t="s">
        <v>193</v>
      </c>
      <c r="B1727" s="511" t="s">
        <v>363</v>
      </c>
    </row>
    <row r="1728" spans="1:2" ht="15" hidden="1" x14ac:dyDescent="0.25">
      <c r="A1728" s="511" t="s">
        <v>193</v>
      </c>
      <c r="B1728" s="511" t="s">
        <v>363</v>
      </c>
    </row>
    <row r="1729" spans="1:2" ht="15" hidden="1" x14ac:dyDescent="0.25">
      <c r="A1729" s="511" t="s">
        <v>193</v>
      </c>
      <c r="B1729" s="511" t="s">
        <v>363</v>
      </c>
    </row>
    <row r="1730" spans="1:2" ht="15" hidden="1" x14ac:dyDescent="0.25">
      <c r="A1730" s="511" t="s">
        <v>193</v>
      </c>
      <c r="B1730" s="511" t="s">
        <v>363</v>
      </c>
    </row>
    <row r="1731" spans="1:2" ht="15" hidden="1" x14ac:dyDescent="0.25">
      <c r="A1731" s="511" t="s">
        <v>193</v>
      </c>
      <c r="B1731" s="511" t="s">
        <v>363</v>
      </c>
    </row>
    <row r="1732" spans="1:2" ht="15" hidden="1" x14ac:dyDescent="0.25">
      <c r="A1732" s="511" t="s">
        <v>194</v>
      </c>
      <c r="B1732" s="511" t="s">
        <v>365</v>
      </c>
    </row>
    <row r="1733" spans="1:2" ht="15" hidden="1" x14ac:dyDescent="0.25">
      <c r="A1733" s="511" t="s">
        <v>194</v>
      </c>
      <c r="B1733" s="511" t="s">
        <v>365</v>
      </c>
    </row>
    <row r="1734" spans="1:2" ht="15" hidden="1" x14ac:dyDescent="0.25">
      <c r="A1734" s="511" t="s">
        <v>194</v>
      </c>
      <c r="B1734" s="511" t="s">
        <v>365</v>
      </c>
    </row>
    <row r="1735" spans="1:2" ht="15" hidden="1" x14ac:dyDescent="0.25">
      <c r="A1735" s="511" t="s">
        <v>194</v>
      </c>
      <c r="B1735" s="511" t="s">
        <v>365</v>
      </c>
    </row>
    <row r="1736" spans="1:2" ht="15" hidden="1" x14ac:dyDescent="0.25">
      <c r="A1736" s="511" t="s">
        <v>194</v>
      </c>
      <c r="B1736" s="511" t="s">
        <v>365</v>
      </c>
    </row>
    <row r="1737" spans="1:2" ht="15" hidden="1" x14ac:dyDescent="0.25">
      <c r="A1737" s="511" t="s">
        <v>194</v>
      </c>
      <c r="B1737" s="511" t="s">
        <v>365</v>
      </c>
    </row>
    <row r="1738" spans="1:2" ht="15" hidden="1" x14ac:dyDescent="0.25">
      <c r="A1738" s="511" t="s">
        <v>194</v>
      </c>
      <c r="B1738" s="511" t="s">
        <v>365</v>
      </c>
    </row>
    <row r="1739" spans="1:2" ht="15" hidden="1" x14ac:dyDescent="0.25">
      <c r="A1739" s="511" t="s">
        <v>194</v>
      </c>
      <c r="B1739" s="511" t="s">
        <v>365</v>
      </c>
    </row>
    <row r="1740" spans="1:2" ht="15" hidden="1" x14ac:dyDescent="0.25">
      <c r="A1740" s="511" t="s">
        <v>194</v>
      </c>
      <c r="B1740" s="511" t="s">
        <v>365</v>
      </c>
    </row>
    <row r="1741" spans="1:2" ht="15" hidden="1" x14ac:dyDescent="0.25">
      <c r="A1741" s="511" t="s">
        <v>194</v>
      </c>
      <c r="B1741" s="511" t="s">
        <v>365</v>
      </c>
    </row>
    <row r="1742" spans="1:2" ht="15" hidden="1" x14ac:dyDescent="0.25">
      <c r="A1742" s="511" t="s">
        <v>194</v>
      </c>
      <c r="B1742" s="511" t="s">
        <v>365</v>
      </c>
    </row>
    <row r="1743" spans="1:2" ht="15" hidden="1" x14ac:dyDescent="0.25">
      <c r="A1743" s="511" t="s">
        <v>194</v>
      </c>
      <c r="B1743" s="511" t="s">
        <v>365</v>
      </c>
    </row>
    <row r="1744" spans="1:2" ht="15" hidden="1" x14ac:dyDescent="0.25">
      <c r="A1744" s="511" t="s">
        <v>194</v>
      </c>
      <c r="B1744" s="511" t="s">
        <v>365</v>
      </c>
    </row>
    <row r="1745" spans="1:2" ht="15" hidden="1" x14ac:dyDescent="0.25">
      <c r="A1745" s="511" t="s">
        <v>194</v>
      </c>
      <c r="B1745" s="511" t="s">
        <v>365</v>
      </c>
    </row>
    <row r="1746" spans="1:2" ht="15" hidden="1" x14ac:dyDescent="0.25">
      <c r="A1746" s="511" t="s">
        <v>194</v>
      </c>
      <c r="B1746" s="511" t="s">
        <v>365</v>
      </c>
    </row>
    <row r="1747" spans="1:2" ht="15" hidden="1" x14ac:dyDescent="0.25">
      <c r="A1747" s="511" t="s">
        <v>194</v>
      </c>
      <c r="B1747" s="511" t="s">
        <v>365</v>
      </c>
    </row>
    <row r="1748" spans="1:2" ht="15" hidden="1" x14ac:dyDescent="0.25">
      <c r="A1748" s="511" t="s">
        <v>194</v>
      </c>
      <c r="B1748" s="511" t="s">
        <v>365</v>
      </c>
    </row>
    <row r="1749" spans="1:2" ht="15" hidden="1" x14ac:dyDescent="0.25">
      <c r="A1749" s="511" t="s">
        <v>194</v>
      </c>
      <c r="B1749" s="511" t="s">
        <v>365</v>
      </c>
    </row>
    <row r="1750" spans="1:2" ht="15" hidden="1" x14ac:dyDescent="0.25">
      <c r="A1750" s="511" t="s">
        <v>194</v>
      </c>
      <c r="B1750" s="511" t="s">
        <v>365</v>
      </c>
    </row>
    <row r="1751" spans="1:2" ht="15" hidden="1" x14ac:dyDescent="0.25">
      <c r="A1751" s="511" t="s">
        <v>194</v>
      </c>
      <c r="B1751" s="511" t="s">
        <v>365</v>
      </c>
    </row>
    <row r="1752" spans="1:2" ht="15" hidden="1" x14ac:dyDescent="0.25">
      <c r="A1752" s="511" t="s">
        <v>194</v>
      </c>
      <c r="B1752" s="511" t="s">
        <v>365</v>
      </c>
    </row>
    <row r="1753" spans="1:2" ht="15" hidden="1" x14ac:dyDescent="0.25">
      <c r="A1753" s="511" t="s">
        <v>234</v>
      </c>
      <c r="B1753" s="511" t="s">
        <v>366</v>
      </c>
    </row>
    <row r="1754" spans="1:2" ht="15" hidden="1" x14ac:dyDescent="0.25">
      <c r="A1754" s="511" t="s">
        <v>234</v>
      </c>
      <c r="B1754" s="511" t="s">
        <v>366</v>
      </c>
    </row>
    <row r="1755" spans="1:2" ht="15" hidden="1" x14ac:dyDescent="0.25">
      <c r="A1755" s="511" t="s">
        <v>195</v>
      </c>
      <c r="B1755" s="511" t="s">
        <v>367</v>
      </c>
    </row>
    <row r="1756" spans="1:2" ht="15" hidden="1" x14ac:dyDescent="0.25">
      <c r="A1756" s="511" t="s">
        <v>196</v>
      </c>
      <c r="B1756" s="511" t="s">
        <v>368</v>
      </c>
    </row>
    <row r="1757" spans="1:2" ht="15" hidden="1" x14ac:dyDescent="0.25">
      <c r="A1757" s="511" t="s">
        <v>196</v>
      </c>
      <c r="B1757" s="511" t="s">
        <v>368</v>
      </c>
    </row>
    <row r="1758" spans="1:2" ht="15" hidden="1" x14ac:dyDescent="0.25">
      <c r="A1758" s="511" t="s">
        <v>196</v>
      </c>
      <c r="B1758" s="511" t="s">
        <v>368</v>
      </c>
    </row>
    <row r="1759" spans="1:2" ht="15" hidden="1" x14ac:dyDescent="0.25">
      <c r="A1759" s="511" t="s">
        <v>196</v>
      </c>
      <c r="B1759" s="511" t="s">
        <v>368</v>
      </c>
    </row>
    <row r="1760" spans="1:2" ht="15" hidden="1" x14ac:dyDescent="0.25">
      <c r="A1760" s="511" t="s">
        <v>197</v>
      </c>
      <c r="B1760" s="511" t="s">
        <v>369</v>
      </c>
    </row>
    <row r="1761" spans="1:2" ht="15" hidden="1" x14ac:dyDescent="0.25">
      <c r="A1761" s="511" t="s">
        <v>197</v>
      </c>
      <c r="B1761" s="511" t="s">
        <v>369</v>
      </c>
    </row>
    <row r="1762" spans="1:2" ht="15" hidden="1" x14ac:dyDescent="0.25">
      <c r="A1762" s="511" t="s">
        <v>197</v>
      </c>
      <c r="B1762" s="511" t="s">
        <v>369</v>
      </c>
    </row>
    <row r="1763" spans="1:2" ht="15" hidden="1" x14ac:dyDescent="0.25">
      <c r="A1763" s="511" t="s">
        <v>197</v>
      </c>
      <c r="B1763" s="511" t="s">
        <v>369</v>
      </c>
    </row>
    <row r="1764" spans="1:2" ht="15" hidden="1" x14ac:dyDescent="0.25">
      <c r="A1764" s="511" t="s">
        <v>451</v>
      </c>
      <c r="B1764" s="511" t="s">
        <v>452</v>
      </c>
    </row>
    <row r="1765" spans="1:2" ht="15" hidden="1" x14ac:dyDescent="0.25">
      <c r="A1765" s="511" t="s">
        <v>1671</v>
      </c>
      <c r="B1765" s="511" t="s">
        <v>1672</v>
      </c>
    </row>
    <row r="1766" spans="1:2" ht="15" hidden="1" x14ac:dyDescent="0.25">
      <c r="A1766" s="511" t="s">
        <v>199</v>
      </c>
      <c r="B1766" s="511" t="s">
        <v>372</v>
      </c>
    </row>
    <row r="1767" spans="1:2" ht="15" hidden="1" x14ac:dyDescent="0.25">
      <c r="A1767" s="511" t="s">
        <v>199</v>
      </c>
      <c r="B1767" s="511" t="s">
        <v>372</v>
      </c>
    </row>
    <row r="1768" spans="1:2" ht="15" hidden="1" x14ac:dyDescent="0.25">
      <c r="A1768" s="511" t="s">
        <v>199</v>
      </c>
      <c r="B1768" s="511" t="s">
        <v>372</v>
      </c>
    </row>
    <row r="1769" spans="1:2" ht="15" hidden="1" x14ac:dyDescent="0.25">
      <c r="A1769" s="511" t="s">
        <v>1319</v>
      </c>
      <c r="B1769" s="511" t="s">
        <v>1320</v>
      </c>
    </row>
    <row r="1770" spans="1:2" ht="15" hidden="1" x14ac:dyDescent="0.25">
      <c r="A1770" s="511" t="s">
        <v>1319</v>
      </c>
      <c r="B1770" s="511" t="s">
        <v>1320</v>
      </c>
    </row>
    <row r="1771" spans="1:2" ht="15" hidden="1" x14ac:dyDescent="0.25">
      <c r="A1771" s="511" t="s">
        <v>1319</v>
      </c>
      <c r="B1771" s="511" t="s">
        <v>1320</v>
      </c>
    </row>
    <row r="1772" spans="1:2" ht="15" hidden="1" x14ac:dyDescent="0.25">
      <c r="A1772" s="511" t="s">
        <v>1319</v>
      </c>
      <c r="B1772" s="511" t="s">
        <v>1320</v>
      </c>
    </row>
    <row r="1773" spans="1:2" ht="15" hidden="1" x14ac:dyDescent="0.25">
      <c r="A1773" s="511" t="s">
        <v>1319</v>
      </c>
      <c r="B1773" s="511" t="s">
        <v>1320</v>
      </c>
    </row>
    <row r="1774" spans="1:2" ht="15" hidden="1" x14ac:dyDescent="0.25">
      <c r="A1774" s="511" t="s">
        <v>1319</v>
      </c>
      <c r="B1774" s="511" t="s">
        <v>1320</v>
      </c>
    </row>
    <row r="1775" spans="1:2" ht="15" hidden="1" x14ac:dyDescent="0.25">
      <c r="A1775" s="511" t="s">
        <v>1319</v>
      </c>
      <c r="B1775" s="511" t="s">
        <v>1320</v>
      </c>
    </row>
    <row r="1776" spans="1:2" ht="15" hidden="1" x14ac:dyDescent="0.25">
      <c r="A1776" s="511" t="s">
        <v>1319</v>
      </c>
      <c r="B1776" s="511" t="s">
        <v>1320</v>
      </c>
    </row>
    <row r="1777" spans="1:2" ht="15" hidden="1" x14ac:dyDescent="0.25">
      <c r="A1777" s="511" t="s">
        <v>1319</v>
      </c>
      <c r="B1777" s="511" t="s">
        <v>1320</v>
      </c>
    </row>
    <row r="1778" spans="1:2" ht="15" hidden="1" x14ac:dyDescent="0.25">
      <c r="A1778" s="511" t="s">
        <v>1319</v>
      </c>
      <c r="B1778" s="511" t="s">
        <v>1320</v>
      </c>
    </row>
    <row r="1779" spans="1:2" ht="15" hidden="1" x14ac:dyDescent="0.25">
      <c r="A1779" s="511" t="s">
        <v>1319</v>
      </c>
      <c r="B1779" s="511" t="s">
        <v>1320</v>
      </c>
    </row>
    <row r="1780" spans="1:2" ht="15" hidden="1" x14ac:dyDescent="0.25">
      <c r="A1780" s="511" t="s">
        <v>1319</v>
      </c>
      <c r="B1780" s="511" t="s">
        <v>1320</v>
      </c>
    </row>
    <row r="1781" spans="1:2" ht="15" hidden="1" x14ac:dyDescent="0.25">
      <c r="A1781" s="511" t="s">
        <v>1319</v>
      </c>
      <c r="B1781" s="511" t="s">
        <v>1320</v>
      </c>
    </row>
    <row r="1782" spans="1:2" ht="15" hidden="1" x14ac:dyDescent="0.25">
      <c r="A1782" s="511" t="s">
        <v>1673</v>
      </c>
      <c r="B1782" s="511" t="s">
        <v>1673</v>
      </c>
    </row>
    <row r="1783" spans="1:2" ht="15" hidden="1" x14ac:dyDescent="0.25">
      <c r="A1783" s="511" t="s">
        <v>1674</v>
      </c>
      <c r="B1783" s="511" t="s">
        <v>1674</v>
      </c>
    </row>
    <row r="1784" spans="1:2" ht="15" hidden="1" x14ac:dyDescent="0.25">
      <c r="A1784" s="511" t="s">
        <v>1675</v>
      </c>
      <c r="B1784" s="511" t="s">
        <v>1675</v>
      </c>
    </row>
    <row r="1785" spans="1:2" ht="15" hidden="1" x14ac:dyDescent="0.25">
      <c r="A1785" s="511" t="s">
        <v>1676</v>
      </c>
      <c r="B1785" s="511" t="s">
        <v>1676</v>
      </c>
    </row>
    <row r="1786" spans="1:2" ht="15" hidden="1" x14ac:dyDescent="0.25">
      <c r="A1786" s="511" t="s">
        <v>1677</v>
      </c>
      <c r="B1786" s="511" t="s">
        <v>1677</v>
      </c>
    </row>
    <row r="1787" spans="1:2" ht="15" hidden="1" x14ac:dyDescent="0.25">
      <c r="A1787" s="511" t="s">
        <v>1678</v>
      </c>
      <c r="B1787" s="511" t="s">
        <v>1678</v>
      </c>
    </row>
    <row r="1788" spans="1:2" ht="15" hidden="1" x14ac:dyDescent="0.25">
      <c r="A1788" s="511" t="s">
        <v>1679</v>
      </c>
      <c r="B1788" s="511" t="s">
        <v>1679</v>
      </c>
    </row>
    <row r="1789" spans="1:2" ht="15" hidden="1" x14ac:dyDescent="0.25">
      <c r="A1789" s="511" t="s">
        <v>1680</v>
      </c>
      <c r="B1789" s="511" t="s">
        <v>1680</v>
      </c>
    </row>
    <row r="1790" spans="1:2" ht="15" hidden="1" x14ac:dyDescent="0.25">
      <c r="A1790" s="511" t="s">
        <v>1681</v>
      </c>
      <c r="B1790" s="511" t="s">
        <v>1681</v>
      </c>
    </row>
    <row r="1791" spans="1:2" ht="15" hidden="1" x14ac:dyDescent="0.25">
      <c r="A1791" s="511" t="s">
        <v>1682</v>
      </c>
      <c r="B1791" s="511" t="s">
        <v>1682</v>
      </c>
    </row>
    <row r="1792" spans="1:2" ht="15" hidden="1" x14ac:dyDescent="0.25">
      <c r="A1792" s="511" t="s">
        <v>1683</v>
      </c>
      <c r="B1792" s="511" t="s">
        <v>1683</v>
      </c>
    </row>
    <row r="1793" spans="1:2" ht="15" hidden="1" x14ac:dyDescent="0.25">
      <c r="A1793" s="511" t="s">
        <v>1684</v>
      </c>
      <c r="B1793" s="511" t="s">
        <v>1684</v>
      </c>
    </row>
    <row r="1794" spans="1:2" ht="15" hidden="1" x14ac:dyDescent="0.25">
      <c r="A1794" s="511" t="s">
        <v>1685</v>
      </c>
      <c r="B1794" s="511" t="s">
        <v>1685</v>
      </c>
    </row>
    <row r="1795" spans="1:2" ht="15" hidden="1" x14ac:dyDescent="0.25">
      <c r="A1795" s="511" t="s">
        <v>1686</v>
      </c>
      <c r="B1795" s="511" t="s">
        <v>1686</v>
      </c>
    </row>
    <row r="1796" spans="1:2" ht="15" hidden="1" x14ac:dyDescent="0.25">
      <c r="A1796" s="511" t="s">
        <v>1687</v>
      </c>
      <c r="B1796" s="511" t="s">
        <v>1687</v>
      </c>
    </row>
    <row r="1797" spans="1:2" ht="15" hidden="1" x14ac:dyDescent="0.25">
      <c r="A1797" s="511" t="s">
        <v>1688</v>
      </c>
      <c r="B1797" s="511" t="s">
        <v>1688</v>
      </c>
    </row>
    <row r="1798" spans="1:2" ht="15" hidden="1" x14ac:dyDescent="0.25">
      <c r="A1798" s="511" t="s">
        <v>1689</v>
      </c>
      <c r="B1798" s="511" t="s">
        <v>1689</v>
      </c>
    </row>
    <row r="1799" spans="1:2" ht="15" hidden="1" x14ac:dyDescent="0.25">
      <c r="A1799" s="511" t="s">
        <v>1690</v>
      </c>
      <c r="B1799" s="511" t="s">
        <v>1690</v>
      </c>
    </row>
    <row r="1800" spans="1:2" ht="15" hidden="1" x14ac:dyDescent="0.25">
      <c r="A1800" s="511" t="s">
        <v>1691</v>
      </c>
      <c r="B1800" s="511" t="s">
        <v>1691</v>
      </c>
    </row>
    <row r="1801" spans="1:2" ht="15" hidden="1" x14ac:dyDescent="0.25">
      <c r="A1801" s="511" t="s">
        <v>1692</v>
      </c>
      <c r="B1801" s="511" t="s">
        <v>1692</v>
      </c>
    </row>
    <row r="1802" spans="1:2" ht="15" hidden="1" x14ac:dyDescent="0.25">
      <c r="A1802" s="511" t="s">
        <v>1693</v>
      </c>
      <c r="B1802" s="511" t="s">
        <v>1693</v>
      </c>
    </row>
    <row r="1803" spans="1:2" ht="15" hidden="1" x14ac:dyDescent="0.25">
      <c r="A1803" s="511" t="s">
        <v>1693</v>
      </c>
      <c r="B1803" s="511" t="s">
        <v>1693</v>
      </c>
    </row>
    <row r="1804" spans="1:2" ht="15" hidden="1" x14ac:dyDescent="0.25">
      <c r="A1804" s="511" t="s">
        <v>1694</v>
      </c>
      <c r="B1804" s="511" t="s">
        <v>1694</v>
      </c>
    </row>
    <row r="1805" spans="1:2" ht="15" hidden="1" x14ac:dyDescent="0.25">
      <c r="A1805" s="511" t="s">
        <v>1695</v>
      </c>
      <c r="B1805" s="511" t="s">
        <v>1695</v>
      </c>
    </row>
    <row r="1806" spans="1:2" ht="15" hidden="1" x14ac:dyDescent="0.25">
      <c r="A1806" s="511" t="s">
        <v>1696</v>
      </c>
      <c r="B1806" s="511" t="s">
        <v>1696</v>
      </c>
    </row>
    <row r="1807" spans="1:2" ht="15" hidden="1" x14ac:dyDescent="0.25">
      <c r="A1807" s="511" t="s">
        <v>1697</v>
      </c>
      <c r="B1807" s="511" t="s">
        <v>1697</v>
      </c>
    </row>
    <row r="1808" spans="1:2" ht="15" hidden="1" x14ac:dyDescent="0.25">
      <c r="A1808" s="511" t="s">
        <v>1698</v>
      </c>
      <c r="B1808" s="511" t="s">
        <v>1698</v>
      </c>
    </row>
    <row r="1809" spans="1:2" ht="15" hidden="1" x14ac:dyDescent="0.25">
      <c r="A1809" s="511" t="s">
        <v>1699</v>
      </c>
      <c r="B1809" s="511" t="s">
        <v>1699</v>
      </c>
    </row>
    <row r="1810" spans="1:2" ht="15" hidden="1" x14ac:dyDescent="0.25">
      <c r="A1810" s="511" t="s">
        <v>1700</v>
      </c>
      <c r="B1810" s="511" t="s">
        <v>1700</v>
      </c>
    </row>
    <row r="1811" spans="1:2" ht="15" hidden="1" x14ac:dyDescent="0.25">
      <c r="A1811" s="511" t="s">
        <v>1701</v>
      </c>
      <c r="B1811" s="511" t="s">
        <v>1701</v>
      </c>
    </row>
    <row r="1812" spans="1:2" ht="15" hidden="1" x14ac:dyDescent="0.25">
      <c r="A1812" s="511" t="s">
        <v>1702</v>
      </c>
      <c r="B1812" s="511" t="s">
        <v>1702</v>
      </c>
    </row>
    <row r="1813" spans="1:2" ht="15" hidden="1" x14ac:dyDescent="0.25">
      <c r="A1813" s="511" t="s">
        <v>1703</v>
      </c>
      <c r="B1813" s="511" t="s">
        <v>1703</v>
      </c>
    </row>
    <row r="1814" spans="1:2" ht="15" hidden="1" x14ac:dyDescent="0.25">
      <c r="A1814" s="511" t="s">
        <v>1704</v>
      </c>
      <c r="B1814" s="511" t="s">
        <v>1685</v>
      </c>
    </row>
    <row r="1815" spans="1:2" ht="15" hidden="1" x14ac:dyDescent="0.25">
      <c r="A1815" s="511" t="s">
        <v>1581</v>
      </c>
      <c r="B1815" s="511" t="s">
        <v>1582</v>
      </c>
    </row>
    <row r="1816" spans="1:2" ht="15" hidden="1" x14ac:dyDescent="0.25">
      <c r="A1816" s="511" t="s">
        <v>1705</v>
      </c>
      <c r="B1816" s="511" t="s">
        <v>1706</v>
      </c>
    </row>
    <row r="1817" spans="1:2" ht="15" hidden="1" x14ac:dyDescent="0.25">
      <c r="A1817" s="511" t="s">
        <v>221</v>
      </c>
      <c r="B1817" s="511" t="s">
        <v>402</v>
      </c>
    </row>
    <row r="1818" spans="1:2" ht="15" hidden="1" x14ac:dyDescent="0.25">
      <c r="A1818" s="511" t="s">
        <v>1124</v>
      </c>
      <c r="B1818" s="511" t="s">
        <v>1125</v>
      </c>
    </row>
    <row r="1819" spans="1:2" ht="15" hidden="1" x14ac:dyDescent="0.25">
      <c r="A1819" s="511" t="s">
        <v>1124</v>
      </c>
      <c r="B1819" s="511" t="s">
        <v>1125</v>
      </c>
    </row>
    <row r="1820" spans="1:2" ht="15" hidden="1" x14ac:dyDescent="0.25">
      <c r="A1820" s="511" t="s">
        <v>1124</v>
      </c>
      <c r="B1820" s="511" t="s">
        <v>1125</v>
      </c>
    </row>
    <row r="1821" spans="1:2" ht="15" hidden="1" x14ac:dyDescent="0.25">
      <c r="A1821" s="511" t="s">
        <v>1707</v>
      </c>
      <c r="B1821" s="511" t="s">
        <v>1708</v>
      </c>
    </row>
    <row r="1822" spans="1:2" ht="15" hidden="1" x14ac:dyDescent="0.25">
      <c r="A1822" s="511" t="s">
        <v>669</v>
      </c>
      <c r="B1822" s="511" t="s">
        <v>670</v>
      </c>
    </row>
    <row r="1823" spans="1:2" ht="15" hidden="1" x14ac:dyDescent="0.25">
      <c r="A1823" s="511" t="s">
        <v>1709</v>
      </c>
      <c r="B1823" s="511" t="s">
        <v>1710</v>
      </c>
    </row>
    <row r="1824" spans="1:2" ht="15" hidden="1" x14ac:dyDescent="0.25">
      <c r="A1824" s="511" t="s">
        <v>1709</v>
      </c>
      <c r="B1824" s="511" t="s">
        <v>1710</v>
      </c>
    </row>
    <row r="1825" spans="1:2" ht="15" hidden="1" x14ac:dyDescent="0.25">
      <c r="A1825" s="511" t="s">
        <v>1709</v>
      </c>
      <c r="B1825" s="511" t="s">
        <v>1710</v>
      </c>
    </row>
    <row r="1826" spans="1:2" ht="15" hidden="1" x14ac:dyDescent="0.25">
      <c r="A1826" s="511" t="s">
        <v>1709</v>
      </c>
      <c r="B1826" s="511" t="s">
        <v>1710</v>
      </c>
    </row>
    <row r="1827" spans="1:2" ht="15" hidden="1" x14ac:dyDescent="0.25">
      <c r="A1827" s="511" t="s">
        <v>1711</v>
      </c>
      <c r="B1827" s="511" t="s">
        <v>1712</v>
      </c>
    </row>
    <row r="1828" spans="1:2" ht="15" hidden="1" x14ac:dyDescent="0.25">
      <c r="A1828" s="511" t="s">
        <v>1713</v>
      </c>
      <c r="B1828" s="511" t="s">
        <v>1714</v>
      </c>
    </row>
    <row r="1829" spans="1:2" ht="15" hidden="1" x14ac:dyDescent="0.25">
      <c r="A1829" s="511" t="s">
        <v>240</v>
      </c>
      <c r="B1829" s="511" t="s">
        <v>411</v>
      </c>
    </row>
    <row r="1830" spans="1:2" ht="15" hidden="1" x14ac:dyDescent="0.25">
      <c r="A1830" s="511" t="s">
        <v>240</v>
      </c>
      <c r="B1830" s="511" t="s">
        <v>411</v>
      </c>
    </row>
    <row r="1831" spans="1:2" ht="15" hidden="1" x14ac:dyDescent="0.25">
      <c r="A1831" s="511" t="s">
        <v>1715</v>
      </c>
      <c r="B1831" s="511" t="s">
        <v>1716</v>
      </c>
    </row>
    <row r="1832" spans="1:2" ht="15" hidden="1" x14ac:dyDescent="0.25">
      <c r="A1832" s="511" t="s">
        <v>1715</v>
      </c>
      <c r="B1832" s="511" t="s">
        <v>1716</v>
      </c>
    </row>
    <row r="1833" spans="1:2" ht="15" hidden="1" x14ac:dyDescent="0.25">
      <c r="A1833" s="511" t="s">
        <v>1717</v>
      </c>
      <c r="B1833" s="511" t="s">
        <v>1718</v>
      </c>
    </row>
    <row r="1834" spans="1:2" ht="15" hidden="1" x14ac:dyDescent="0.25">
      <c r="A1834" s="511" t="s">
        <v>1166</v>
      </c>
      <c r="B1834" s="511" t="s">
        <v>1167</v>
      </c>
    </row>
    <row r="1835" spans="1:2" ht="15" hidden="1" x14ac:dyDescent="0.25">
      <c r="A1835" s="511" t="s">
        <v>1719</v>
      </c>
      <c r="B1835" s="511" t="s">
        <v>1720</v>
      </c>
    </row>
    <row r="1836" spans="1:2" ht="15" hidden="1" x14ac:dyDescent="0.25">
      <c r="A1836" s="511" t="s">
        <v>1721</v>
      </c>
      <c r="B1836" s="511" t="s">
        <v>1722</v>
      </c>
    </row>
    <row r="1837" spans="1:2" ht="15" hidden="1" x14ac:dyDescent="0.25">
      <c r="A1837" s="511" t="s">
        <v>1721</v>
      </c>
      <c r="B1837" s="511" t="s">
        <v>1722</v>
      </c>
    </row>
    <row r="1838" spans="1:2" ht="15" hidden="1" x14ac:dyDescent="0.25">
      <c r="A1838" s="511" t="s">
        <v>1723</v>
      </c>
      <c r="B1838" s="511" t="s">
        <v>1724</v>
      </c>
    </row>
    <row r="1839" spans="1:2" ht="15" hidden="1" x14ac:dyDescent="0.25">
      <c r="A1839" s="511" t="s">
        <v>1723</v>
      </c>
      <c r="B1839" s="511" t="s">
        <v>1724</v>
      </c>
    </row>
    <row r="1840" spans="1:2" ht="15" hidden="1" x14ac:dyDescent="0.25">
      <c r="A1840" s="511" t="s">
        <v>1723</v>
      </c>
      <c r="B1840" s="511" t="s">
        <v>1724</v>
      </c>
    </row>
    <row r="1841" spans="1:2" ht="15" hidden="1" x14ac:dyDescent="0.25">
      <c r="A1841" s="511" t="s">
        <v>1725</v>
      </c>
      <c r="B1841" s="511" t="s">
        <v>1726</v>
      </c>
    </row>
    <row r="1842" spans="1:2" ht="15" hidden="1" x14ac:dyDescent="0.25">
      <c r="A1842" s="511" t="s">
        <v>1727</v>
      </c>
      <c r="B1842" s="511" t="s">
        <v>1728</v>
      </c>
    </row>
    <row r="1843" spans="1:2" ht="15" hidden="1" x14ac:dyDescent="0.25">
      <c r="A1843" s="511" t="s">
        <v>1729</v>
      </c>
      <c r="B1843" s="511" t="s">
        <v>1730</v>
      </c>
    </row>
    <row r="1844" spans="1:2" ht="15" hidden="1" x14ac:dyDescent="0.25">
      <c r="A1844" s="511" t="s">
        <v>1731</v>
      </c>
      <c r="B1844" s="511" t="s">
        <v>1732</v>
      </c>
    </row>
    <row r="1845" spans="1:2" ht="15" hidden="1" x14ac:dyDescent="0.25">
      <c r="A1845" s="511" t="s">
        <v>1195</v>
      </c>
      <c r="B1845" s="511" t="s">
        <v>1196</v>
      </c>
    </row>
    <row r="1846" spans="1:2" ht="15" hidden="1" x14ac:dyDescent="0.25">
      <c r="A1846" s="511" t="s">
        <v>1733</v>
      </c>
      <c r="B1846" s="511" t="s">
        <v>1734</v>
      </c>
    </row>
    <row r="1847" spans="1:2" ht="15" hidden="1" x14ac:dyDescent="0.25">
      <c r="A1847" s="511" t="s">
        <v>1733</v>
      </c>
      <c r="B1847" s="511" t="s">
        <v>1734</v>
      </c>
    </row>
    <row r="1848" spans="1:2" ht="15" hidden="1" x14ac:dyDescent="0.25">
      <c r="A1848" s="511" t="s">
        <v>1735</v>
      </c>
      <c r="B1848" s="511" t="s">
        <v>1736</v>
      </c>
    </row>
    <row r="1849" spans="1:2" ht="15" hidden="1" x14ac:dyDescent="0.25">
      <c r="A1849" s="511" t="s">
        <v>1737</v>
      </c>
      <c r="B1849" s="511" t="s">
        <v>1738</v>
      </c>
    </row>
    <row r="1850" spans="1:2" ht="15" hidden="1" x14ac:dyDescent="0.25">
      <c r="A1850" s="511" t="s">
        <v>1739</v>
      </c>
      <c r="B1850" s="511" t="s">
        <v>1740</v>
      </c>
    </row>
    <row r="1851" spans="1:2" ht="15" hidden="1" x14ac:dyDescent="0.25">
      <c r="A1851" s="511" t="s">
        <v>1741</v>
      </c>
      <c r="B1851" s="511" t="s">
        <v>1742</v>
      </c>
    </row>
    <row r="1852" spans="1:2" ht="15" hidden="1" x14ac:dyDescent="0.25">
      <c r="A1852" s="511" t="s">
        <v>1741</v>
      </c>
      <c r="B1852" s="511" t="s">
        <v>1742</v>
      </c>
    </row>
    <row r="1853" spans="1:2" ht="15" hidden="1" x14ac:dyDescent="0.25">
      <c r="A1853" s="511" t="s">
        <v>1741</v>
      </c>
      <c r="B1853" s="511" t="s">
        <v>1742</v>
      </c>
    </row>
    <row r="1854" spans="1:2" ht="15" hidden="1" x14ac:dyDescent="0.25">
      <c r="A1854" s="511" t="s">
        <v>777</v>
      </c>
      <c r="B1854" s="511" t="s">
        <v>778</v>
      </c>
    </row>
    <row r="1855" spans="1:2" ht="15" hidden="1" x14ac:dyDescent="0.25">
      <c r="A1855" s="511" t="s">
        <v>777</v>
      </c>
      <c r="B1855" s="511" t="s">
        <v>778</v>
      </c>
    </row>
    <row r="1856" spans="1:2" ht="15" hidden="1" x14ac:dyDescent="0.25">
      <c r="A1856" s="511" t="s">
        <v>1743</v>
      </c>
      <c r="B1856" s="511" t="s">
        <v>1744</v>
      </c>
    </row>
    <row r="1857" spans="1:2" ht="15" hidden="1" x14ac:dyDescent="0.25">
      <c r="A1857" s="511" t="s">
        <v>1743</v>
      </c>
      <c r="B1857" s="511" t="s">
        <v>1744</v>
      </c>
    </row>
    <row r="1858" spans="1:2" ht="15" hidden="1" x14ac:dyDescent="0.25">
      <c r="A1858" s="511" t="s">
        <v>1745</v>
      </c>
      <c r="B1858" s="511" t="s">
        <v>1746</v>
      </c>
    </row>
    <row r="1859" spans="1:2" ht="15" hidden="1" x14ac:dyDescent="0.25">
      <c r="A1859" s="511" t="s">
        <v>831</v>
      </c>
      <c r="B1859" s="511" t="s">
        <v>832</v>
      </c>
    </row>
    <row r="1860" spans="1:2" ht="15" hidden="1" x14ac:dyDescent="0.25">
      <c r="A1860" s="511" t="s">
        <v>1747</v>
      </c>
      <c r="B1860" s="511" t="s">
        <v>1748</v>
      </c>
    </row>
    <row r="1861" spans="1:2" ht="15" hidden="1" x14ac:dyDescent="0.25">
      <c r="A1861" s="511" t="s">
        <v>1747</v>
      </c>
      <c r="B1861" s="511" t="s">
        <v>1748</v>
      </c>
    </row>
    <row r="1862" spans="1:2" ht="15" hidden="1" x14ac:dyDescent="0.25">
      <c r="A1862" s="511" t="s">
        <v>1747</v>
      </c>
      <c r="B1862" s="511" t="s">
        <v>1748</v>
      </c>
    </row>
    <row r="1863" spans="1:2" ht="15" hidden="1" x14ac:dyDescent="0.25">
      <c r="A1863" s="511" t="s">
        <v>1749</v>
      </c>
      <c r="B1863" s="511" t="s">
        <v>1750</v>
      </c>
    </row>
    <row r="1864" spans="1:2" ht="15" hidden="1" x14ac:dyDescent="0.25">
      <c r="A1864" s="511" t="s">
        <v>1749</v>
      </c>
      <c r="B1864" s="511" t="s">
        <v>1750</v>
      </c>
    </row>
    <row r="1865" spans="1:2" ht="15" hidden="1" x14ac:dyDescent="0.25">
      <c r="A1865" s="511" t="s">
        <v>1751</v>
      </c>
      <c r="B1865" s="511" t="s">
        <v>1752</v>
      </c>
    </row>
    <row r="1866" spans="1:2" ht="15" hidden="1" x14ac:dyDescent="0.25">
      <c r="A1866" s="513" t="s">
        <v>1753</v>
      </c>
      <c r="B1866" s="513" t="s">
        <v>1754</v>
      </c>
    </row>
    <row r="1867" spans="1:2" ht="15" hidden="1" x14ac:dyDescent="0.25">
      <c r="A1867" s="511" t="s">
        <v>231</v>
      </c>
      <c r="B1867" s="511" t="s">
        <v>359</v>
      </c>
    </row>
    <row r="1868" spans="1:2" ht="15" hidden="1" x14ac:dyDescent="0.25">
      <c r="A1868" s="511" t="s">
        <v>231</v>
      </c>
      <c r="B1868" s="511" t="s">
        <v>359</v>
      </c>
    </row>
    <row r="1869" spans="1:2" ht="15" hidden="1" x14ac:dyDescent="0.25">
      <c r="A1869" s="511" t="s">
        <v>231</v>
      </c>
      <c r="B1869" s="511" t="s">
        <v>359</v>
      </c>
    </row>
    <row r="1870" spans="1:2" ht="15" hidden="1" x14ac:dyDescent="0.25">
      <c r="A1870" s="511" t="s">
        <v>231</v>
      </c>
      <c r="B1870" s="511" t="s">
        <v>359</v>
      </c>
    </row>
    <row r="1871" spans="1:2" ht="15" hidden="1" x14ac:dyDescent="0.25">
      <c r="A1871" s="511" t="s">
        <v>231</v>
      </c>
      <c r="B1871" s="511" t="s">
        <v>359</v>
      </c>
    </row>
    <row r="1872" spans="1:2" ht="15" hidden="1" x14ac:dyDescent="0.25">
      <c r="A1872" s="511" t="s">
        <v>231</v>
      </c>
      <c r="B1872" s="511" t="s">
        <v>359</v>
      </c>
    </row>
    <row r="1873" spans="1:2" ht="15" hidden="1" x14ac:dyDescent="0.25">
      <c r="A1873" s="511" t="s">
        <v>231</v>
      </c>
      <c r="B1873" s="511" t="s">
        <v>359</v>
      </c>
    </row>
    <row r="1874" spans="1:2" ht="15" hidden="1" x14ac:dyDescent="0.25">
      <c r="A1874" s="511" t="s">
        <v>192</v>
      </c>
      <c r="B1874" s="511" t="s">
        <v>362</v>
      </c>
    </row>
    <row r="1875" spans="1:2" ht="15" hidden="1" x14ac:dyDescent="0.25">
      <c r="A1875" s="511" t="s">
        <v>445</v>
      </c>
      <c r="B1875" s="511" t="s">
        <v>446</v>
      </c>
    </row>
    <row r="1876" spans="1:2" ht="15" hidden="1" x14ac:dyDescent="0.25">
      <c r="A1876" s="511" t="s">
        <v>1505</v>
      </c>
      <c r="B1876" s="511" t="s">
        <v>1506</v>
      </c>
    </row>
    <row r="1877" spans="1:2" ht="15" hidden="1" x14ac:dyDescent="0.25">
      <c r="A1877" s="511" t="s">
        <v>1505</v>
      </c>
      <c r="B1877" s="511" t="s">
        <v>1506</v>
      </c>
    </row>
    <row r="1878" spans="1:2" ht="15" hidden="1" x14ac:dyDescent="0.25">
      <c r="A1878" s="511" t="s">
        <v>193</v>
      </c>
      <c r="B1878" s="511" t="s">
        <v>363</v>
      </c>
    </row>
    <row r="1879" spans="1:2" ht="15" hidden="1" x14ac:dyDescent="0.25">
      <c r="A1879" s="511" t="s">
        <v>194</v>
      </c>
      <c r="B1879" s="511" t="s">
        <v>365</v>
      </c>
    </row>
    <row r="1880" spans="1:2" ht="15" hidden="1" x14ac:dyDescent="0.25">
      <c r="A1880" s="511" t="s">
        <v>194</v>
      </c>
      <c r="B1880" s="511" t="s">
        <v>365</v>
      </c>
    </row>
    <row r="1881" spans="1:2" ht="15" hidden="1" x14ac:dyDescent="0.25">
      <c r="A1881" s="511" t="s">
        <v>194</v>
      </c>
      <c r="B1881" s="511" t="s">
        <v>365</v>
      </c>
    </row>
    <row r="1882" spans="1:2" ht="15" hidden="1" x14ac:dyDescent="0.25">
      <c r="A1882" s="511" t="s">
        <v>194</v>
      </c>
      <c r="B1882" s="511" t="s">
        <v>365</v>
      </c>
    </row>
    <row r="1883" spans="1:2" ht="15" hidden="1" x14ac:dyDescent="0.25">
      <c r="A1883" s="511" t="s">
        <v>194</v>
      </c>
      <c r="B1883" s="511" t="s">
        <v>365</v>
      </c>
    </row>
    <row r="1884" spans="1:2" ht="15" hidden="1" x14ac:dyDescent="0.25">
      <c r="A1884" s="511" t="s">
        <v>194</v>
      </c>
      <c r="B1884" s="511" t="s">
        <v>365</v>
      </c>
    </row>
    <row r="1885" spans="1:2" ht="15" hidden="1" x14ac:dyDescent="0.25">
      <c r="A1885" s="511" t="s">
        <v>194</v>
      </c>
      <c r="B1885" s="511" t="s">
        <v>365</v>
      </c>
    </row>
    <row r="1886" spans="1:2" ht="15" hidden="1" x14ac:dyDescent="0.25">
      <c r="A1886" s="511" t="s">
        <v>194</v>
      </c>
      <c r="B1886" s="511" t="s">
        <v>365</v>
      </c>
    </row>
    <row r="1887" spans="1:2" ht="15" hidden="1" x14ac:dyDescent="0.25">
      <c r="A1887" s="511" t="s">
        <v>194</v>
      </c>
      <c r="B1887" s="511" t="s">
        <v>365</v>
      </c>
    </row>
    <row r="1888" spans="1:2" ht="15" hidden="1" x14ac:dyDescent="0.25">
      <c r="A1888" s="511" t="s">
        <v>194</v>
      </c>
      <c r="B1888" s="511" t="s">
        <v>365</v>
      </c>
    </row>
    <row r="1889" spans="1:2" ht="15" hidden="1" x14ac:dyDescent="0.25">
      <c r="A1889" s="511" t="s">
        <v>194</v>
      </c>
      <c r="B1889" s="511" t="s">
        <v>365</v>
      </c>
    </row>
    <row r="1890" spans="1:2" ht="15" hidden="1" x14ac:dyDescent="0.25">
      <c r="A1890" s="511" t="s">
        <v>194</v>
      </c>
      <c r="B1890" s="511" t="s">
        <v>365</v>
      </c>
    </row>
    <row r="1891" spans="1:2" ht="15" hidden="1" x14ac:dyDescent="0.25">
      <c r="A1891" s="511" t="s">
        <v>194</v>
      </c>
      <c r="B1891" s="511" t="s">
        <v>365</v>
      </c>
    </row>
    <row r="1892" spans="1:2" ht="15" hidden="1" x14ac:dyDescent="0.25">
      <c r="A1892" s="511" t="s">
        <v>194</v>
      </c>
      <c r="B1892" s="511" t="s">
        <v>365</v>
      </c>
    </row>
    <row r="1893" spans="1:2" ht="15" hidden="1" x14ac:dyDescent="0.25">
      <c r="A1893" s="511" t="s">
        <v>234</v>
      </c>
      <c r="B1893" s="511" t="s">
        <v>366</v>
      </c>
    </row>
    <row r="1894" spans="1:2" ht="15" hidden="1" x14ac:dyDescent="0.25">
      <c r="A1894" s="511" t="s">
        <v>234</v>
      </c>
      <c r="B1894" s="511" t="s">
        <v>366</v>
      </c>
    </row>
    <row r="1895" spans="1:2" ht="15" hidden="1" x14ac:dyDescent="0.25">
      <c r="A1895" s="511" t="s">
        <v>234</v>
      </c>
      <c r="B1895" s="511" t="s">
        <v>366</v>
      </c>
    </row>
    <row r="1896" spans="1:2" ht="15" hidden="1" x14ac:dyDescent="0.25">
      <c r="A1896" s="511" t="s">
        <v>234</v>
      </c>
      <c r="B1896" s="511" t="s">
        <v>366</v>
      </c>
    </row>
    <row r="1897" spans="1:2" ht="15" hidden="1" x14ac:dyDescent="0.25">
      <c r="A1897" s="511" t="s">
        <v>234</v>
      </c>
      <c r="B1897" s="511" t="s">
        <v>366</v>
      </c>
    </row>
    <row r="1898" spans="1:2" ht="15" hidden="1" x14ac:dyDescent="0.25">
      <c r="A1898" s="511" t="s">
        <v>234</v>
      </c>
      <c r="B1898" s="511" t="s">
        <v>366</v>
      </c>
    </row>
    <row r="1899" spans="1:2" ht="15" hidden="1" x14ac:dyDescent="0.25">
      <c r="A1899" s="511" t="s">
        <v>234</v>
      </c>
      <c r="B1899" s="511" t="s">
        <v>366</v>
      </c>
    </row>
    <row r="1900" spans="1:2" ht="15" hidden="1" x14ac:dyDescent="0.25">
      <c r="A1900" s="511" t="s">
        <v>234</v>
      </c>
      <c r="B1900" s="511" t="s">
        <v>366</v>
      </c>
    </row>
    <row r="1901" spans="1:2" ht="15" hidden="1" x14ac:dyDescent="0.25">
      <c r="A1901" s="511" t="s">
        <v>234</v>
      </c>
      <c r="B1901" s="511" t="s">
        <v>366</v>
      </c>
    </row>
    <row r="1902" spans="1:2" ht="15" hidden="1" x14ac:dyDescent="0.25">
      <c r="A1902" s="511" t="s">
        <v>234</v>
      </c>
      <c r="B1902" s="511" t="s">
        <v>366</v>
      </c>
    </row>
    <row r="1903" spans="1:2" ht="15" hidden="1" x14ac:dyDescent="0.25">
      <c r="A1903" s="511" t="s">
        <v>234</v>
      </c>
      <c r="B1903" s="511" t="s">
        <v>366</v>
      </c>
    </row>
    <row r="1904" spans="1:2" ht="15" hidden="1" x14ac:dyDescent="0.25">
      <c r="A1904" s="511" t="s">
        <v>234</v>
      </c>
      <c r="B1904" s="511" t="s">
        <v>366</v>
      </c>
    </row>
    <row r="1905" spans="1:2" ht="15" hidden="1" x14ac:dyDescent="0.25">
      <c r="A1905" s="511" t="s">
        <v>234</v>
      </c>
      <c r="B1905" s="511" t="s">
        <v>366</v>
      </c>
    </row>
    <row r="1906" spans="1:2" ht="15" hidden="1" x14ac:dyDescent="0.25">
      <c r="A1906" s="511" t="s">
        <v>234</v>
      </c>
      <c r="B1906" s="511" t="s">
        <v>366</v>
      </c>
    </row>
    <row r="1907" spans="1:2" ht="15" hidden="1" x14ac:dyDescent="0.25">
      <c r="A1907" s="511" t="s">
        <v>234</v>
      </c>
      <c r="B1907" s="511" t="s">
        <v>366</v>
      </c>
    </row>
    <row r="1908" spans="1:2" ht="15" hidden="1" x14ac:dyDescent="0.25">
      <c r="A1908" s="511" t="s">
        <v>234</v>
      </c>
      <c r="B1908" s="511" t="s">
        <v>366</v>
      </c>
    </row>
    <row r="1909" spans="1:2" ht="15" hidden="1" x14ac:dyDescent="0.25">
      <c r="A1909" s="511" t="s">
        <v>234</v>
      </c>
      <c r="B1909" s="511" t="s">
        <v>366</v>
      </c>
    </row>
    <row r="1910" spans="1:2" ht="15" hidden="1" x14ac:dyDescent="0.25">
      <c r="A1910" s="511" t="s">
        <v>196</v>
      </c>
      <c r="B1910" s="511" t="s">
        <v>368</v>
      </c>
    </row>
    <row r="1911" spans="1:2" ht="15" hidden="1" x14ac:dyDescent="0.25">
      <c r="A1911" s="511" t="s">
        <v>197</v>
      </c>
      <c r="B1911" s="511" t="s">
        <v>369</v>
      </c>
    </row>
    <row r="1912" spans="1:2" ht="15" hidden="1" x14ac:dyDescent="0.25">
      <c r="A1912" s="511" t="s">
        <v>197</v>
      </c>
      <c r="B1912" s="511" t="s">
        <v>369</v>
      </c>
    </row>
    <row r="1913" spans="1:2" ht="15" hidden="1" x14ac:dyDescent="0.25">
      <c r="A1913" s="511" t="s">
        <v>197</v>
      </c>
      <c r="B1913" s="511" t="s">
        <v>369</v>
      </c>
    </row>
    <row r="1914" spans="1:2" ht="15" hidden="1" x14ac:dyDescent="0.25">
      <c r="A1914" s="511" t="s">
        <v>197</v>
      </c>
      <c r="B1914" s="511" t="s">
        <v>369</v>
      </c>
    </row>
    <row r="1915" spans="1:2" ht="15" hidden="1" x14ac:dyDescent="0.25">
      <c r="A1915" s="511" t="s">
        <v>197</v>
      </c>
      <c r="B1915" s="511" t="s">
        <v>369</v>
      </c>
    </row>
    <row r="1916" spans="1:2" ht="15" hidden="1" x14ac:dyDescent="0.25">
      <c r="A1916" s="511" t="s">
        <v>197</v>
      </c>
      <c r="B1916" s="511" t="s">
        <v>369</v>
      </c>
    </row>
    <row r="1917" spans="1:2" ht="15" hidden="1" x14ac:dyDescent="0.25">
      <c r="A1917" s="511" t="s">
        <v>197</v>
      </c>
      <c r="B1917" s="511" t="s">
        <v>369</v>
      </c>
    </row>
    <row r="1918" spans="1:2" ht="15" hidden="1" x14ac:dyDescent="0.25">
      <c r="A1918" s="511" t="s">
        <v>197</v>
      </c>
      <c r="B1918" s="511" t="s">
        <v>369</v>
      </c>
    </row>
    <row r="1919" spans="1:2" ht="15" hidden="1" x14ac:dyDescent="0.25">
      <c r="A1919" s="511" t="s">
        <v>197</v>
      </c>
      <c r="B1919" s="511" t="s">
        <v>369</v>
      </c>
    </row>
    <row r="1920" spans="1:2" ht="15" hidden="1" x14ac:dyDescent="0.25">
      <c r="A1920" s="511" t="s">
        <v>197</v>
      </c>
      <c r="B1920" s="511" t="s">
        <v>369</v>
      </c>
    </row>
    <row r="1921" spans="1:2" ht="15" hidden="1" x14ac:dyDescent="0.25">
      <c r="A1921" s="511" t="s">
        <v>199</v>
      </c>
      <c r="B1921" s="511" t="s">
        <v>372</v>
      </c>
    </row>
    <row r="1922" spans="1:2" ht="15" hidden="1" x14ac:dyDescent="0.25">
      <c r="A1922" s="511" t="s">
        <v>199</v>
      </c>
      <c r="B1922" s="511" t="s">
        <v>372</v>
      </c>
    </row>
    <row r="1923" spans="1:2" ht="15" hidden="1" x14ac:dyDescent="0.25">
      <c r="A1923" s="511" t="s">
        <v>199</v>
      </c>
      <c r="B1923" s="511" t="s">
        <v>372</v>
      </c>
    </row>
    <row r="1924" spans="1:2" ht="15" hidden="1" x14ac:dyDescent="0.25">
      <c r="A1924" s="511" t="s">
        <v>200</v>
      </c>
      <c r="B1924" s="511" t="s">
        <v>373</v>
      </c>
    </row>
    <row r="1925" spans="1:2" ht="15" hidden="1" x14ac:dyDescent="0.25">
      <c r="A1925" s="511" t="s">
        <v>1319</v>
      </c>
      <c r="B1925" s="511" t="s">
        <v>1320</v>
      </c>
    </row>
    <row r="1926" spans="1:2" ht="15" hidden="1" x14ac:dyDescent="0.25">
      <c r="A1926" s="511" t="s">
        <v>1319</v>
      </c>
      <c r="B1926" s="511" t="s">
        <v>1320</v>
      </c>
    </row>
    <row r="1927" spans="1:2" ht="15" hidden="1" x14ac:dyDescent="0.25">
      <c r="A1927" s="511" t="s">
        <v>1319</v>
      </c>
      <c r="B1927" s="511" t="s">
        <v>1320</v>
      </c>
    </row>
    <row r="1928" spans="1:2" ht="15" hidden="1" x14ac:dyDescent="0.25">
      <c r="A1928" s="511" t="s">
        <v>1319</v>
      </c>
      <c r="B1928" s="511" t="s">
        <v>1320</v>
      </c>
    </row>
    <row r="1929" spans="1:2" ht="15" hidden="1" x14ac:dyDescent="0.25">
      <c r="A1929" s="511" t="s">
        <v>1319</v>
      </c>
      <c r="B1929" s="511" t="s">
        <v>1320</v>
      </c>
    </row>
    <row r="1930" spans="1:2" ht="15" hidden="1" x14ac:dyDescent="0.25">
      <c r="A1930" s="511" t="s">
        <v>1319</v>
      </c>
      <c r="B1930" s="511" t="s">
        <v>1320</v>
      </c>
    </row>
    <row r="1931" spans="1:2" ht="15" hidden="1" x14ac:dyDescent="0.25">
      <c r="A1931" s="511" t="s">
        <v>1755</v>
      </c>
      <c r="B1931" s="511" t="s">
        <v>1755</v>
      </c>
    </row>
    <row r="1932" spans="1:2" ht="15" hidden="1" x14ac:dyDescent="0.25">
      <c r="A1932" s="511" t="s">
        <v>1755</v>
      </c>
      <c r="B1932" s="511" t="s">
        <v>1755</v>
      </c>
    </row>
    <row r="1933" spans="1:2" ht="15" hidden="1" x14ac:dyDescent="0.25">
      <c r="A1933" s="511" t="s">
        <v>1756</v>
      </c>
      <c r="B1933" s="511" t="s">
        <v>1756</v>
      </c>
    </row>
    <row r="1934" spans="1:2" ht="15" hidden="1" x14ac:dyDescent="0.25">
      <c r="A1934" s="511" t="s">
        <v>1757</v>
      </c>
      <c r="B1934" s="511" t="s">
        <v>1757</v>
      </c>
    </row>
    <row r="1935" spans="1:2" ht="15" hidden="1" x14ac:dyDescent="0.25">
      <c r="A1935" s="511" t="s">
        <v>1758</v>
      </c>
      <c r="B1935" s="511" t="s">
        <v>1758</v>
      </c>
    </row>
    <row r="1936" spans="1:2" ht="15" hidden="1" x14ac:dyDescent="0.25">
      <c r="A1936" s="511" t="s">
        <v>1759</v>
      </c>
      <c r="B1936" s="511" t="s">
        <v>1759</v>
      </c>
    </row>
    <row r="1937" spans="1:2" ht="15" hidden="1" x14ac:dyDescent="0.25">
      <c r="A1937" s="511" t="s">
        <v>1759</v>
      </c>
      <c r="B1937" s="511" t="s">
        <v>1759</v>
      </c>
    </row>
    <row r="1938" spans="1:2" ht="15" hidden="1" x14ac:dyDescent="0.25">
      <c r="A1938" s="511" t="s">
        <v>1760</v>
      </c>
      <c r="B1938" s="511" t="s">
        <v>1760</v>
      </c>
    </row>
    <row r="1939" spans="1:2" ht="15" hidden="1" x14ac:dyDescent="0.25">
      <c r="A1939" s="511" t="s">
        <v>1761</v>
      </c>
      <c r="B1939" s="511" t="s">
        <v>1761</v>
      </c>
    </row>
    <row r="1940" spans="1:2" ht="15" hidden="1" x14ac:dyDescent="0.25">
      <c r="A1940" s="511" t="s">
        <v>1762</v>
      </c>
      <c r="B1940" s="511" t="s">
        <v>1762</v>
      </c>
    </row>
    <row r="1941" spans="1:2" ht="15" hidden="1" x14ac:dyDescent="0.25">
      <c r="A1941" s="511" t="s">
        <v>1763</v>
      </c>
      <c r="B1941" s="511" t="s">
        <v>1763</v>
      </c>
    </row>
    <row r="1942" spans="1:2" ht="15" hidden="1" x14ac:dyDescent="0.25">
      <c r="A1942" s="511" t="s">
        <v>1763</v>
      </c>
      <c r="B1942" s="511" t="s">
        <v>1763</v>
      </c>
    </row>
    <row r="1943" spans="1:2" ht="15" hidden="1" x14ac:dyDescent="0.25">
      <c r="A1943" s="511" t="s">
        <v>1764</v>
      </c>
      <c r="B1943" s="511" t="s">
        <v>1764</v>
      </c>
    </row>
    <row r="1944" spans="1:2" ht="15" hidden="1" x14ac:dyDescent="0.25">
      <c r="A1944" s="511" t="s">
        <v>1764</v>
      </c>
      <c r="B1944" s="511" t="s">
        <v>1764</v>
      </c>
    </row>
    <row r="1945" spans="1:2" ht="15" hidden="1" x14ac:dyDescent="0.25">
      <c r="A1945" s="511" t="s">
        <v>1765</v>
      </c>
      <c r="B1945" s="511" t="s">
        <v>1765</v>
      </c>
    </row>
    <row r="1946" spans="1:2" ht="15" hidden="1" x14ac:dyDescent="0.25">
      <c r="A1946" s="511" t="s">
        <v>1766</v>
      </c>
      <c r="B1946" s="511" t="s">
        <v>1766</v>
      </c>
    </row>
    <row r="1947" spans="1:2" ht="15" hidden="1" x14ac:dyDescent="0.25">
      <c r="A1947" s="511" t="s">
        <v>1767</v>
      </c>
      <c r="B1947" s="511" t="s">
        <v>1767</v>
      </c>
    </row>
    <row r="1948" spans="1:2" ht="15" hidden="1" x14ac:dyDescent="0.25">
      <c r="A1948" s="511" t="s">
        <v>1768</v>
      </c>
      <c r="B1948" s="511" t="s">
        <v>1768</v>
      </c>
    </row>
    <row r="1949" spans="1:2" ht="15" hidden="1" x14ac:dyDescent="0.25">
      <c r="A1949" s="511" t="s">
        <v>1769</v>
      </c>
      <c r="B1949" s="511" t="s">
        <v>1769</v>
      </c>
    </row>
    <row r="1950" spans="1:2" ht="15" hidden="1" x14ac:dyDescent="0.25">
      <c r="A1950" s="511" t="s">
        <v>1770</v>
      </c>
      <c r="B1950" s="511" t="s">
        <v>1770</v>
      </c>
    </row>
    <row r="1951" spans="1:2" ht="15" hidden="1" x14ac:dyDescent="0.25">
      <c r="A1951" s="511" t="s">
        <v>1770</v>
      </c>
      <c r="B1951" s="511" t="s">
        <v>1770</v>
      </c>
    </row>
    <row r="1952" spans="1:2" ht="15" hidden="1" x14ac:dyDescent="0.25">
      <c r="A1952" s="511" t="s">
        <v>1771</v>
      </c>
      <c r="B1952" s="511" t="s">
        <v>1771</v>
      </c>
    </row>
    <row r="1953" spans="1:2" ht="15" hidden="1" x14ac:dyDescent="0.25">
      <c r="A1953" s="511" t="s">
        <v>1772</v>
      </c>
      <c r="B1953" s="511" t="s">
        <v>1772</v>
      </c>
    </row>
    <row r="1954" spans="1:2" ht="15" hidden="1" x14ac:dyDescent="0.25">
      <c r="A1954" s="511" t="s">
        <v>1773</v>
      </c>
      <c r="B1954" s="511" t="s">
        <v>1773</v>
      </c>
    </row>
    <row r="1955" spans="1:2" ht="15" hidden="1" x14ac:dyDescent="0.25">
      <c r="A1955" s="511" t="s">
        <v>1774</v>
      </c>
      <c r="B1955" s="511" t="s">
        <v>1774</v>
      </c>
    </row>
    <row r="1956" spans="1:2" ht="15" hidden="1" x14ac:dyDescent="0.25">
      <c r="A1956" s="511" t="s">
        <v>1774</v>
      </c>
      <c r="B1956" s="511" t="s">
        <v>1774</v>
      </c>
    </row>
    <row r="1957" spans="1:2" ht="15" hidden="1" x14ac:dyDescent="0.25">
      <c r="A1957" s="511" t="s">
        <v>1775</v>
      </c>
      <c r="B1957" s="511" t="s">
        <v>1775</v>
      </c>
    </row>
    <row r="1958" spans="1:2" ht="15" hidden="1" x14ac:dyDescent="0.25">
      <c r="A1958" s="511" t="s">
        <v>1776</v>
      </c>
      <c r="B1958" s="511" t="s">
        <v>1776</v>
      </c>
    </row>
    <row r="1959" spans="1:2" ht="15" x14ac:dyDescent="0.25">
      <c r="A1959" s="511" t="s">
        <v>1777</v>
      </c>
      <c r="B1959" s="511" t="s">
        <v>1777</v>
      </c>
    </row>
    <row r="1960" spans="1:2" ht="15" hidden="1" x14ac:dyDescent="0.25">
      <c r="A1960" s="511" t="s">
        <v>1778</v>
      </c>
      <c r="B1960" s="511" t="s">
        <v>1778</v>
      </c>
    </row>
    <row r="1961" spans="1:2" ht="15" hidden="1" x14ac:dyDescent="0.25">
      <c r="A1961" s="511" t="s">
        <v>1779</v>
      </c>
      <c r="B1961" s="511" t="s">
        <v>1779</v>
      </c>
    </row>
    <row r="1962" spans="1:2" ht="15" hidden="1" x14ac:dyDescent="0.25">
      <c r="A1962" s="511" t="s">
        <v>1779</v>
      </c>
      <c r="B1962" s="511" t="s">
        <v>1779</v>
      </c>
    </row>
    <row r="1963" spans="1:2" ht="15" hidden="1" x14ac:dyDescent="0.25">
      <c r="A1963" s="511" t="s">
        <v>1780</v>
      </c>
      <c r="B1963" s="511" t="s">
        <v>1780</v>
      </c>
    </row>
    <row r="1964" spans="1:2" ht="15" hidden="1" x14ac:dyDescent="0.25">
      <c r="A1964" s="511" t="s">
        <v>1781</v>
      </c>
      <c r="B1964" s="511" t="s">
        <v>1781</v>
      </c>
    </row>
    <row r="1965" spans="1:2" ht="15" hidden="1" x14ac:dyDescent="0.25">
      <c r="A1965" s="511" t="s">
        <v>1782</v>
      </c>
      <c r="B1965" s="511" t="s">
        <v>1782</v>
      </c>
    </row>
    <row r="1966" spans="1:2" ht="15" hidden="1" x14ac:dyDescent="0.25">
      <c r="A1966" s="511" t="s">
        <v>1782</v>
      </c>
      <c r="B1966" s="511" t="s">
        <v>1782</v>
      </c>
    </row>
    <row r="1967" spans="1:2" ht="15" hidden="1" x14ac:dyDescent="0.25">
      <c r="A1967" s="511" t="s">
        <v>1783</v>
      </c>
      <c r="B1967" s="511" t="s">
        <v>1783</v>
      </c>
    </row>
    <row r="1968" spans="1:2" ht="15" hidden="1" x14ac:dyDescent="0.25">
      <c r="A1968" s="511" t="s">
        <v>1784</v>
      </c>
      <c r="B1968" s="511" t="s">
        <v>1784</v>
      </c>
    </row>
    <row r="1969" spans="1:2" ht="15" hidden="1" x14ac:dyDescent="0.25">
      <c r="A1969" s="511" t="s">
        <v>1785</v>
      </c>
      <c r="B1969" s="511" t="s">
        <v>1785</v>
      </c>
    </row>
    <row r="1970" spans="1:2" ht="15" hidden="1" x14ac:dyDescent="0.25">
      <c r="A1970" s="511" t="s">
        <v>1786</v>
      </c>
      <c r="B1970" s="511" t="s">
        <v>1786</v>
      </c>
    </row>
    <row r="1971" spans="1:2" ht="15" hidden="1" x14ac:dyDescent="0.25">
      <c r="A1971" s="511" t="s">
        <v>1787</v>
      </c>
      <c r="B1971" s="511" t="s">
        <v>1787</v>
      </c>
    </row>
    <row r="1972" spans="1:2" ht="15" hidden="1" x14ac:dyDescent="0.25">
      <c r="A1972" s="511" t="s">
        <v>1787</v>
      </c>
      <c r="B1972" s="511" t="s">
        <v>1787</v>
      </c>
    </row>
    <row r="1973" spans="1:2" ht="15" hidden="1" x14ac:dyDescent="0.25">
      <c r="A1973" s="511" t="s">
        <v>1788</v>
      </c>
      <c r="B1973" s="511" t="s">
        <v>1788</v>
      </c>
    </row>
    <row r="1974" spans="1:2" ht="15" hidden="1" x14ac:dyDescent="0.25">
      <c r="A1974" s="511" t="s">
        <v>1789</v>
      </c>
      <c r="B1974" s="511" t="s">
        <v>1789</v>
      </c>
    </row>
    <row r="1975" spans="1:2" ht="15" hidden="1" x14ac:dyDescent="0.25">
      <c r="A1975" s="511" t="s">
        <v>1790</v>
      </c>
      <c r="B1975" s="511" t="s">
        <v>1790</v>
      </c>
    </row>
    <row r="1976" spans="1:2" ht="15" hidden="1" x14ac:dyDescent="0.25">
      <c r="A1976" s="511" t="s">
        <v>1791</v>
      </c>
      <c r="B1976" s="511" t="s">
        <v>1791</v>
      </c>
    </row>
    <row r="1977" spans="1:2" ht="15" hidden="1" x14ac:dyDescent="0.25">
      <c r="A1977" s="511" t="s">
        <v>1792</v>
      </c>
      <c r="B1977" s="511" t="s">
        <v>1792</v>
      </c>
    </row>
    <row r="1978" spans="1:2" ht="15" hidden="1" x14ac:dyDescent="0.25">
      <c r="A1978" s="511" t="s">
        <v>1793</v>
      </c>
      <c r="B1978" s="511" t="s">
        <v>1793</v>
      </c>
    </row>
    <row r="1979" spans="1:2" ht="15" hidden="1" x14ac:dyDescent="0.25">
      <c r="A1979" s="511" t="s">
        <v>1793</v>
      </c>
      <c r="B1979" s="511" t="s">
        <v>1793</v>
      </c>
    </row>
    <row r="1980" spans="1:2" ht="15" hidden="1" x14ac:dyDescent="0.25">
      <c r="A1980" s="511" t="s">
        <v>1794</v>
      </c>
      <c r="B1980" s="511" t="s">
        <v>1794</v>
      </c>
    </row>
    <row r="1981" spans="1:2" ht="15" hidden="1" x14ac:dyDescent="0.25">
      <c r="A1981" s="511" t="s">
        <v>1795</v>
      </c>
      <c r="B1981" s="511" t="s">
        <v>1795</v>
      </c>
    </row>
    <row r="1982" spans="1:2" ht="15" hidden="1" x14ac:dyDescent="0.25">
      <c r="A1982" s="511" t="s">
        <v>1796</v>
      </c>
      <c r="B1982" s="511" t="s">
        <v>1796</v>
      </c>
    </row>
    <row r="1983" spans="1:2" ht="15" hidden="1" x14ac:dyDescent="0.25">
      <c r="A1983" s="511" t="s">
        <v>1796</v>
      </c>
      <c r="B1983" s="511" t="s">
        <v>1796</v>
      </c>
    </row>
    <row r="1984" spans="1:2" ht="15" hidden="1" x14ac:dyDescent="0.25">
      <c r="A1984" s="511" t="s">
        <v>1797</v>
      </c>
      <c r="B1984" s="511" t="s">
        <v>1797</v>
      </c>
    </row>
    <row r="1985" spans="1:2" ht="15" hidden="1" x14ac:dyDescent="0.25">
      <c r="A1985" s="511" t="s">
        <v>1798</v>
      </c>
      <c r="B1985" s="511" t="s">
        <v>1798</v>
      </c>
    </row>
    <row r="1986" spans="1:2" ht="15" hidden="1" x14ac:dyDescent="0.25">
      <c r="A1986" s="511" t="s">
        <v>1799</v>
      </c>
      <c r="B1986" s="511" t="s">
        <v>1799</v>
      </c>
    </row>
    <row r="1987" spans="1:2" ht="15" hidden="1" x14ac:dyDescent="0.25">
      <c r="A1987" s="511" t="s">
        <v>1799</v>
      </c>
      <c r="B1987" s="511" t="s">
        <v>1799</v>
      </c>
    </row>
    <row r="1988" spans="1:2" ht="15" hidden="1" x14ac:dyDescent="0.25">
      <c r="A1988" s="511" t="s">
        <v>1800</v>
      </c>
      <c r="B1988" s="511" t="s">
        <v>1800</v>
      </c>
    </row>
    <row r="1989" spans="1:2" ht="15" hidden="1" x14ac:dyDescent="0.25">
      <c r="A1989" s="511" t="s">
        <v>1801</v>
      </c>
      <c r="B1989" s="511" t="s">
        <v>1801</v>
      </c>
    </row>
    <row r="1990" spans="1:2" ht="15" hidden="1" x14ac:dyDescent="0.25">
      <c r="A1990" s="511" t="s">
        <v>1802</v>
      </c>
      <c r="B1990" s="511" t="s">
        <v>1802</v>
      </c>
    </row>
    <row r="1991" spans="1:2" ht="15" hidden="1" x14ac:dyDescent="0.25">
      <c r="A1991" s="511" t="s">
        <v>1802</v>
      </c>
      <c r="B1991" s="511" t="s">
        <v>1802</v>
      </c>
    </row>
    <row r="1992" spans="1:2" ht="15" hidden="1" x14ac:dyDescent="0.25">
      <c r="A1992" s="511" t="s">
        <v>1803</v>
      </c>
      <c r="B1992" s="511" t="s">
        <v>1803</v>
      </c>
    </row>
    <row r="1993" spans="1:2" ht="15" hidden="1" x14ac:dyDescent="0.25">
      <c r="A1993" s="511" t="s">
        <v>1803</v>
      </c>
      <c r="B1993" s="511" t="s">
        <v>1803</v>
      </c>
    </row>
    <row r="1994" spans="1:2" ht="15" hidden="1" x14ac:dyDescent="0.25">
      <c r="A1994" s="511" t="s">
        <v>1804</v>
      </c>
      <c r="B1994" s="511" t="s">
        <v>1804</v>
      </c>
    </row>
    <row r="1995" spans="1:2" ht="15" hidden="1" x14ac:dyDescent="0.25">
      <c r="A1995" s="511" t="s">
        <v>1805</v>
      </c>
      <c r="B1995" s="511" t="s">
        <v>1805</v>
      </c>
    </row>
    <row r="1996" spans="1:2" ht="15" hidden="1" x14ac:dyDescent="0.25">
      <c r="A1996" s="511" t="s">
        <v>1806</v>
      </c>
      <c r="B1996" s="511" t="s">
        <v>1806</v>
      </c>
    </row>
    <row r="1997" spans="1:2" ht="15" hidden="1" x14ac:dyDescent="0.25">
      <c r="A1997" s="511" t="s">
        <v>1807</v>
      </c>
      <c r="B1997" s="511" t="s">
        <v>1807</v>
      </c>
    </row>
    <row r="1998" spans="1:2" ht="15" hidden="1" x14ac:dyDescent="0.25">
      <c r="A1998" s="511" t="s">
        <v>1808</v>
      </c>
      <c r="B1998" s="511" t="s">
        <v>1808</v>
      </c>
    </row>
    <row r="1999" spans="1:2" ht="15" hidden="1" x14ac:dyDescent="0.25">
      <c r="A1999" s="511" t="s">
        <v>1809</v>
      </c>
      <c r="B1999" s="511" t="s">
        <v>1809</v>
      </c>
    </row>
    <row r="2000" spans="1:2" ht="15" hidden="1" x14ac:dyDescent="0.25">
      <c r="A2000" s="511" t="s">
        <v>1809</v>
      </c>
      <c r="B2000" s="511" t="s">
        <v>1809</v>
      </c>
    </row>
    <row r="2001" spans="1:2" ht="15" hidden="1" x14ac:dyDescent="0.25">
      <c r="A2001" s="511" t="s">
        <v>1810</v>
      </c>
      <c r="B2001" s="511" t="s">
        <v>1811</v>
      </c>
    </row>
    <row r="2002" spans="1:2" ht="15" hidden="1" x14ac:dyDescent="0.25">
      <c r="A2002" s="511" t="s">
        <v>1810</v>
      </c>
      <c r="B2002" s="511" t="s">
        <v>1811</v>
      </c>
    </row>
    <row r="2003" spans="1:2" ht="15" hidden="1" x14ac:dyDescent="0.25">
      <c r="A2003" s="511" t="s">
        <v>1812</v>
      </c>
      <c r="B2003" s="511" t="s">
        <v>1813</v>
      </c>
    </row>
    <row r="2004" spans="1:2" ht="15" hidden="1" x14ac:dyDescent="0.25">
      <c r="A2004" s="511" t="s">
        <v>1814</v>
      </c>
      <c r="B2004" s="511" t="s">
        <v>1815</v>
      </c>
    </row>
    <row r="2005" spans="1:2" ht="15" hidden="1" x14ac:dyDescent="0.25">
      <c r="A2005" s="511" t="s">
        <v>1816</v>
      </c>
      <c r="B2005" s="511" t="s">
        <v>1817</v>
      </c>
    </row>
    <row r="2006" spans="1:2" ht="15" hidden="1" x14ac:dyDescent="0.25">
      <c r="A2006" s="511" t="s">
        <v>1818</v>
      </c>
      <c r="B2006" s="511" t="s">
        <v>1819</v>
      </c>
    </row>
    <row r="2007" spans="1:2" ht="15" hidden="1" x14ac:dyDescent="0.25">
      <c r="A2007" s="511" t="s">
        <v>1820</v>
      </c>
      <c r="B2007" s="511" t="s">
        <v>1821</v>
      </c>
    </row>
    <row r="2008" spans="1:2" ht="15" hidden="1" x14ac:dyDescent="0.25">
      <c r="A2008" s="511" t="s">
        <v>1822</v>
      </c>
      <c r="B2008" s="511" t="s">
        <v>1823</v>
      </c>
    </row>
    <row r="2009" spans="1:2" ht="15" hidden="1" x14ac:dyDescent="0.25">
      <c r="A2009" s="511" t="s">
        <v>1824</v>
      </c>
      <c r="B2009" s="511" t="s">
        <v>1825</v>
      </c>
    </row>
    <row r="2010" spans="1:2" ht="15" hidden="1" x14ac:dyDescent="0.25">
      <c r="A2010" s="511" t="s">
        <v>1826</v>
      </c>
      <c r="B2010" s="511" t="s">
        <v>1827</v>
      </c>
    </row>
    <row r="2011" spans="1:2" ht="15" hidden="1" x14ac:dyDescent="0.25">
      <c r="A2011" s="511" t="s">
        <v>1828</v>
      </c>
      <c r="B2011" s="511" t="s">
        <v>1829</v>
      </c>
    </row>
    <row r="2012" spans="1:2" ht="15" hidden="1" x14ac:dyDescent="0.25">
      <c r="A2012" s="511" t="s">
        <v>1830</v>
      </c>
      <c r="B2012" s="511" t="s">
        <v>1831</v>
      </c>
    </row>
    <row r="2013" spans="1:2" ht="15" hidden="1" x14ac:dyDescent="0.25">
      <c r="A2013" s="511" t="s">
        <v>1832</v>
      </c>
      <c r="B2013" s="511" t="s">
        <v>1833</v>
      </c>
    </row>
    <row r="2014" spans="1:2" ht="15" hidden="1" x14ac:dyDescent="0.25">
      <c r="A2014" s="511" t="s">
        <v>1834</v>
      </c>
      <c r="B2014" s="511" t="s">
        <v>1835</v>
      </c>
    </row>
    <row r="2015" spans="1:2" ht="15" hidden="1" x14ac:dyDescent="0.25">
      <c r="A2015" s="511" t="s">
        <v>1836</v>
      </c>
      <c r="B2015" s="511" t="s">
        <v>1837</v>
      </c>
    </row>
    <row r="2016" spans="1:2" ht="15" hidden="1" x14ac:dyDescent="0.25">
      <c r="A2016" s="511" t="s">
        <v>1838</v>
      </c>
      <c r="B2016" s="511" t="s">
        <v>1839</v>
      </c>
    </row>
    <row r="2017" spans="1:2" ht="15" hidden="1" x14ac:dyDescent="0.25">
      <c r="A2017" s="511" t="s">
        <v>1615</v>
      </c>
      <c r="B2017" s="511" t="s">
        <v>1616</v>
      </c>
    </row>
    <row r="2018" spans="1:2" ht="15" hidden="1" x14ac:dyDescent="0.25">
      <c r="A2018" s="511" t="s">
        <v>432</v>
      </c>
      <c r="B2018" s="511" t="s">
        <v>433</v>
      </c>
    </row>
    <row r="2019" spans="1:2" ht="15" hidden="1" x14ac:dyDescent="0.25">
      <c r="A2019" s="511" t="s">
        <v>432</v>
      </c>
      <c r="B2019" s="511" t="s">
        <v>433</v>
      </c>
    </row>
    <row r="2020" spans="1:2" ht="15" hidden="1" x14ac:dyDescent="0.25">
      <c r="A2020" s="511" t="s">
        <v>432</v>
      </c>
      <c r="B2020" s="511" t="s">
        <v>433</v>
      </c>
    </row>
    <row r="2021" spans="1:2" ht="15" hidden="1" x14ac:dyDescent="0.25">
      <c r="A2021" s="511" t="s">
        <v>1840</v>
      </c>
      <c r="B2021" s="511" t="s">
        <v>1841</v>
      </c>
    </row>
    <row r="2022" spans="1:2" ht="15" hidden="1" x14ac:dyDescent="0.25">
      <c r="A2022" s="511" t="s">
        <v>1842</v>
      </c>
      <c r="B2022" s="511" t="s">
        <v>1843</v>
      </c>
    </row>
    <row r="2023" spans="1:2" ht="15" hidden="1" x14ac:dyDescent="0.25">
      <c r="A2023" s="511" t="s">
        <v>1844</v>
      </c>
      <c r="B2023" s="511" t="s">
        <v>1845</v>
      </c>
    </row>
    <row r="2024" spans="1:2" ht="15" hidden="1" x14ac:dyDescent="0.25">
      <c r="A2024" s="511" t="s">
        <v>1844</v>
      </c>
      <c r="B2024" s="511" t="s">
        <v>1845</v>
      </c>
    </row>
    <row r="2025" spans="1:2" ht="15" hidden="1" x14ac:dyDescent="0.25">
      <c r="A2025" s="511" t="s">
        <v>1844</v>
      </c>
      <c r="B2025" s="511" t="s">
        <v>1845</v>
      </c>
    </row>
    <row r="2026" spans="1:2" ht="15" hidden="1" x14ac:dyDescent="0.25">
      <c r="A2026" s="511" t="s">
        <v>1844</v>
      </c>
      <c r="B2026" s="511" t="s">
        <v>1845</v>
      </c>
    </row>
    <row r="2027" spans="1:2" ht="15" hidden="1" x14ac:dyDescent="0.25">
      <c r="A2027" s="511" t="s">
        <v>1844</v>
      </c>
      <c r="B2027" s="511" t="s">
        <v>1845</v>
      </c>
    </row>
    <row r="2028" spans="1:2" ht="15" hidden="1" x14ac:dyDescent="0.25">
      <c r="A2028" s="511" t="s">
        <v>1844</v>
      </c>
      <c r="B2028" s="511" t="s">
        <v>1845</v>
      </c>
    </row>
    <row r="2029" spans="1:2" ht="15" hidden="1" x14ac:dyDescent="0.25">
      <c r="A2029" s="511" t="s">
        <v>1846</v>
      </c>
      <c r="B2029" s="511" t="s">
        <v>1847</v>
      </c>
    </row>
    <row r="2030" spans="1:2" ht="15" hidden="1" x14ac:dyDescent="0.25">
      <c r="A2030" s="511" t="s">
        <v>1848</v>
      </c>
      <c r="B2030" s="511" t="s">
        <v>1849</v>
      </c>
    </row>
    <row r="2031" spans="1:2" ht="15" hidden="1" x14ac:dyDescent="0.25">
      <c r="A2031" s="511" t="s">
        <v>1641</v>
      </c>
      <c r="B2031" s="511" t="s">
        <v>1642</v>
      </c>
    </row>
    <row r="2032" spans="1:2" ht="15" hidden="1" x14ac:dyDescent="0.25">
      <c r="A2032" s="511" t="s">
        <v>1850</v>
      </c>
      <c r="B2032" s="511" t="s">
        <v>1851</v>
      </c>
    </row>
    <row r="2033" spans="1:2" ht="15" hidden="1" x14ac:dyDescent="0.25">
      <c r="A2033" s="511" t="s">
        <v>1850</v>
      </c>
      <c r="B2033" s="511" t="s">
        <v>1851</v>
      </c>
    </row>
    <row r="2034" spans="1:2" ht="15" hidden="1" x14ac:dyDescent="0.25">
      <c r="A2034" s="511" t="s">
        <v>1852</v>
      </c>
      <c r="B2034" s="511" t="s">
        <v>1853</v>
      </c>
    </row>
    <row r="2035" spans="1:2" ht="15" hidden="1" x14ac:dyDescent="0.25">
      <c r="A2035" s="511" t="s">
        <v>1854</v>
      </c>
      <c r="B2035" s="511" t="s">
        <v>1855</v>
      </c>
    </row>
    <row r="2036" spans="1:2" ht="15" hidden="1" x14ac:dyDescent="0.25">
      <c r="A2036" s="511" t="s">
        <v>1856</v>
      </c>
      <c r="B2036" s="511" t="s">
        <v>1804</v>
      </c>
    </row>
    <row r="2037" spans="1:2" ht="15" hidden="1" x14ac:dyDescent="0.25">
      <c r="A2037" s="511" t="s">
        <v>1857</v>
      </c>
      <c r="B2037" s="511" t="s">
        <v>1858</v>
      </c>
    </row>
    <row r="2038" spans="1:2" ht="15" hidden="1" x14ac:dyDescent="0.25">
      <c r="A2038" s="511" t="s">
        <v>1859</v>
      </c>
      <c r="B2038" s="511" t="s">
        <v>1860</v>
      </c>
    </row>
    <row r="2039" spans="1:2" ht="15" hidden="1" x14ac:dyDescent="0.25">
      <c r="A2039" s="511" t="s">
        <v>1861</v>
      </c>
      <c r="B2039" s="511" t="s">
        <v>1862</v>
      </c>
    </row>
    <row r="2040" spans="1:2" ht="15" hidden="1" x14ac:dyDescent="0.25">
      <c r="A2040" s="511" t="s">
        <v>1861</v>
      </c>
      <c r="B2040" s="511" t="s">
        <v>1862</v>
      </c>
    </row>
    <row r="2041" spans="1:2" ht="15" hidden="1" x14ac:dyDescent="0.25">
      <c r="A2041" s="511" t="s">
        <v>1863</v>
      </c>
      <c r="B2041" s="511" t="s">
        <v>1864</v>
      </c>
    </row>
    <row r="2042" spans="1:2" ht="15" hidden="1" x14ac:dyDescent="0.25">
      <c r="A2042" s="511" t="s">
        <v>1865</v>
      </c>
      <c r="B2042" s="511" t="s">
        <v>1866</v>
      </c>
    </row>
    <row r="2043" spans="1:2" ht="15" hidden="1" x14ac:dyDescent="0.25">
      <c r="A2043" s="511" t="s">
        <v>1867</v>
      </c>
      <c r="B2043" s="511" t="s">
        <v>1868</v>
      </c>
    </row>
    <row r="2044" spans="1:2" ht="15" hidden="1" x14ac:dyDescent="0.25">
      <c r="A2044" s="511" t="s">
        <v>1867</v>
      </c>
      <c r="B2044" s="511" t="s">
        <v>1868</v>
      </c>
    </row>
    <row r="2045" spans="1:2" ht="15" hidden="1" x14ac:dyDescent="0.25">
      <c r="A2045" s="511" t="s">
        <v>1867</v>
      </c>
      <c r="B2045" s="511" t="s">
        <v>1868</v>
      </c>
    </row>
    <row r="2046" spans="1:2" ht="15" hidden="1" x14ac:dyDescent="0.25">
      <c r="A2046" s="511" t="s">
        <v>1869</v>
      </c>
      <c r="B2046" s="511" t="s">
        <v>1870</v>
      </c>
    </row>
    <row r="2047" spans="1:2" ht="15" hidden="1" x14ac:dyDescent="0.25">
      <c r="A2047" s="511" t="s">
        <v>1869</v>
      </c>
      <c r="B2047" s="511" t="s">
        <v>1870</v>
      </c>
    </row>
    <row r="2048" spans="1:2" ht="15" hidden="1" x14ac:dyDescent="0.25">
      <c r="A2048" s="511" t="s">
        <v>1871</v>
      </c>
      <c r="B2048" s="511" t="s">
        <v>1872</v>
      </c>
    </row>
    <row r="2049" spans="1:2" ht="15" hidden="1" x14ac:dyDescent="0.25">
      <c r="A2049" s="511" t="s">
        <v>1873</v>
      </c>
      <c r="B2049" s="511" t="s">
        <v>1874</v>
      </c>
    </row>
    <row r="2050" spans="1:2" ht="15" hidden="1" x14ac:dyDescent="0.25">
      <c r="A2050" s="511" t="s">
        <v>1663</v>
      </c>
      <c r="B2050" s="511" t="s">
        <v>1664</v>
      </c>
    </row>
    <row r="2051" spans="1:2" ht="15" hidden="1" x14ac:dyDescent="0.25">
      <c r="A2051" s="511" t="s">
        <v>1663</v>
      </c>
      <c r="B2051" s="511" t="s">
        <v>1664</v>
      </c>
    </row>
    <row r="2052" spans="1:2" ht="15" hidden="1" x14ac:dyDescent="0.25">
      <c r="A2052" s="513" t="s">
        <v>1875</v>
      </c>
      <c r="B2052" s="513" t="s">
        <v>1876</v>
      </c>
    </row>
    <row r="2053" spans="1:2" ht="15" hidden="1" x14ac:dyDescent="0.25">
      <c r="A2053" s="511" t="s">
        <v>1877</v>
      </c>
      <c r="B2053" s="511" t="s">
        <v>1878</v>
      </c>
    </row>
    <row r="2054" spans="1:2" ht="15" hidden="1" x14ac:dyDescent="0.25">
      <c r="A2054" s="511" t="s">
        <v>1879</v>
      </c>
      <c r="B2054" s="511" t="s">
        <v>1880</v>
      </c>
    </row>
    <row r="2055" spans="1:2" ht="15" hidden="1" x14ac:dyDescent="0.25">
      <c r="A2055" s="511" t="s">
        <v>1881</v>
      </c>
      <c r="B2055" s="511" t="s">
        <v>1882</v>
      </c>
    </row>
    <row r="2056" spans="1:2" ht="15" hidden="1" x14ac:dyDescent="0.25">
      <c r="A2056" s="511" t="s">
        <v>1883</v>
      </c>
      <c r="B2056" s="511" t="s">
        <v>1884</v>
      </c>
    </row>
    <row r="2057" spans="1:2" ht="15" hidden="1" x14ac:dyDescent="0.25">
      <c r="A2057" s="511" t="s">
        <v>1885</v>
      </c>
      <c r="B2057" s="511" t="s">
        <v>1886</v>
      </c>
    </row>
    <row r="2058" spans="1:2" ht="15" hidden="1" x14ac:dyDescent="0.25">
      <c r="A2058" s="511" t="s">
        <v>1665</v>
      </c>
      <c r="B2058" s="511" t="s">
        <v>1666</v>
      </c>
    </row>
    <row r="2059" spans="1:2" ht="15" hidden="1" x14ac:dyDescent="0.25">
      <c r="A2059" s="511" t="s">
        <v>1665</v>
      </c>
      <c r="B2059" s="511" t="s">
        <v>1666</v>
      </c>
    </row>
    <row r="2060" spans="1:2" ht="15" hidden="1" x14ac:dyDescent="0.25">
      <c r="A2060" s="511" t="s">
        <v>231</v>
      </c>
      <c r="B2060" s="511" t="s">
        <v>359</v>
      </c>
    </row>
    <row r="2061" spans="1:2" ht="15" hidden="1" x14ac:dyDescent="0.25">
      <c r="A2061" s="511" t="s">
        <v>231</v>
      </c>
      <c r="B2061" s="511" t="s">
        <v>359</v>
      </c>
    </row>
    <row r="2062" spans="1:2" ht="15" hidden="1" x14ac:dyDescent="0.25">
      <c r="A2062" s="511" t="s">
        <v>231</v>
      </c>
      <c r="B2062" s="511" t="s">
        <v>359</v>
      </c>
    </row>
    <row r="2063" spans="1:2" ht="15" hidden="1" x14ac:dyDescent="0.25">
      <c r="A2063" s="511" t="s">
        <v>231</v>
      </c>
      <c r="B2063" s="511" t="s">
        <v>359</v>
      </c>
    </row>
    <row r="2064" spans="1:2" ht="15" hidden="1" x14ac:dyDescent="0.25">
      <c r="A2064" s="511" t="s">
        <v>231</v>
      </c>
      <c r="B2064" s="511" t="s">
        <v>359</v>
      </c>
    </row>
    <row r="2065" spans="1:2" ht="15" hidden="1" x14ac:dyDescent="0.25">
      <c r="A2065" s="511" t="s">
        <v>231</v>
      </c>
      <c r="B2065" s="511" t="s">
        <v>359</v>
      </c>
    </row>
    <row r="2066" spans="1:2" ht="15" hidden="1" x14ac:dyDescent="0.25">
      <c r="A2066" s="511" t="s">
        <v>231</v>
      </c>
      <c r="B2066" s="511" t="s">
        <v>359</v>
      </c>
    </row>
    <row r="2067" spans="1:2" ht="15" hidden="1" x14ac:dyDescent="0.25">
      <c r="A2067" s="511" t="s">
        <v>231</v>
      </c>
      <c r="B2067" s="511" t="s">
        <v>359</v>
      </c>
    </row>
    <row r="2068" spans="1:2" ht="15" hidden="1" x14ac:dyDescent="0.25">
      <c r="A2068" s="511" t="s">
        <v>231</v>
      </c>
      <c r="B2068" s="511" t="s">
        <v>359</v>
      </c>
    </row>
    <row r="2069" spans="1:2" ht="15" hidden="1" x14ac:dyDescent="0.25">
      <c r="A2069" s="511" t="s">
        <v>231</v>
      </c>
      <c r="B2069" s="511" t="s">
        <v>359</v>
      </c>
    </row>
    <row r="2070" spans="1:2" ht="15" hidden="1" x14ac:dyDescent="0.25">
      <c r="A2070" s="511" t="s">
        <v>231</v>
      </c>
      <c r="B2070" s="511" t="s">
        <v>359</v>
      </c>
    </row>
    <row r="2071" spans="1:2" ht="15" hidden="1" x14ac:dyDescent="0.25">
      <c r="A2071" s="511" t="s">
        <v>231</v>
      </c>
      <c r="B2071" s="511" t="s">
        <v>359</v>
      </c>
    </row>
    <row r="2072" spans="1:2" ht="15" hidden="1" x14ac:dyDescent="0.25">
      <c r="A2072" s="511" t="s">
        <v>231</v>
      </c>
      <c r="B2072" s="511" t="s">
        <v>359</v>
      </c>
    </row>
    <row r="2073" spans="1:2" ht="15" hidden="1" x14ac:dyDescent="0.25">
      <c r="A2073" s="511" t="s">
        <v>231</v>
      </c>
      <c r="B2073" s="511" t="s">
        <v>359</v>
      </c>
    </row>
    <row r="2074" spans="1:2" ht="15" hidden="1" x14ac:dyDescent="0.25">
      <c r="A2074" s="511" t="s">
        <v>231</v>
      </c>
      <c r="B2074" s="511" t="s">
        <v>359</v>
      </c>
    </row>
    <row r="2075" spans="1:2" ht="15" hidden="1" x14ac:dyDescent="0.25">
      <c r="A2075" s="511" t="s">
        <v>190</v>
      </c>
      <c r="B2075" s="511" t="s">
        <v>360</v>
      </c>
    </row>
    <row r="2076" spans="1:2" ht="15" hidden="1" x14ac:dyDescent="0.25">
      <c r="A2076" s="511" t="s">
        <v>191</v>
      </c>
      <c r="B2076" s="511" t="s">
        <v>361</v>
      </c>
    </row>
    <row r="2077" spans="1:2" ht="15" hidden="1" x14ac:dyDescent="0.25">
      <c r="A2077" s="511" t="s">
        <v>191</v>
      </c>
      <c r="B2077" s="511" t="s">
        <v>361</v>
      </c>
    </row>
    <row r="2078" spans="1:2" ht="15" hidden="1" x14ac:dyDescent="0.25">
      <c r="A2078" s="511" t="s">
        <v>191</v>
      </c>
      <c r="B2078" s="511" t="s">
        <v>361</v>
      </c>
    </row>
    <row r="2079" spans="1:2" ht="15" hidden="1" x14ac:dyDescent="0.25">
      <c r="A2079" s="511" t="s">
        <v>191</v>
      </c>
      <c r="B2079" s="511" t="s">
        <v>361</v>
      </c>
    </row>
    <row r="2080" spans="1:2" ht="15" hidden="1" x14ac:dyDescent="0.25">
      <c r="A2080" s="511" t="s">
        <v>191</v>
      </c>
      <c r="B2080" s="511" t="s">
        <v>361</v>
      </c>
    </row>
    <row r="2081" spans="1:2" ht="15" hidden="1" x14ac:dyDescent="0.25">
      <c r="A2081" s="511" t="s">
        <v>191</v>
      </c>
      <c r="B2081" s="511" t="s">
        <v>361</v>
      </c>
    </row>
    <row r="2082" spans="1:2" ht="15" hidden="1" x14ac:dyDescent="0.25">
      <c r="A2082" s="511" t="s">
        <v>445</v>
      </c>
      <c r="B2082" s="511" t="s">
        <v>446</v>
      </c>
    </row>
    <row r="2083" spans="1:2" ht="15" hidden="1" x14ac:dyDescent="0.25">
      <c r="A2083" s="511" t="s">
        <v>1669</v>
      </c>
      <c r="B2083" s="511" t="s">
        <v>1670</v>
      </c>
    </row>
    <row r="2084" spans="1:2" ht="15" hidden="1" x14ac:dyDescent="0.25">
      <c r="A2084" s="511" t="s">
        <v>1669</v>
      </c>
      <c r="B2084" s="511" t="s">
        <v>1670</v>
      </c>
    </row>
    <row r="2085" spans="1:2" ht="15" hidden="1" x14ac:dyDescent="0.25">
      <c r="A2085" s="511" t="s">
        <v>1669</v>
      </c>
      <c r="B2085" s="511" t="s">
        <v>1670</v>
      </c>
    </row>
    <row r="2086" spans="1:2" ht="15" hidden="1" x14ac:dyDescent="0.25">
      <c r="A2086" s="511" t="s">
        <v>1669</v>
      </c>
      <c r="B2086" s="511" t="s">
        <v>1670</v>
      </c>
    </row>
    <row r="2087" spans="1:2" ht="15" hidden="1" x14ac:dyDescent="0.25">
      <c r="A2087" s="511" t="s">
        <v>1669</v>
      </c>
      <c r="B2087" s="511" t="s">
        <v>1670</v>
      </c>
    </row>
    <row r="2088" spans="1:2" ht="15" hidden="1" x14ac:dyDescent="0.25">
      <c r="A2088" s="511" t="s">
        <v>1669</v>
      </c>
      <c r="B2088" s="511" t="s">
        <v>1670</v>
      </c>
    </row>
    <row r="2089" spans="1:2" ht="15" hidden="1" x14ac:dyDescent="0.25">
      <c r="A2089" s="511" t="s">
        <v>1669</v>
      </c>
      <c r="B2089" s="511" t="s">
        <v>1670</v>
      </c>
    </row>
    <row r="2090" spans="1:2" ht="15" hidden="1" x14ac:dyDescent="0.25">
      <c r="A2090" s="511" t="s">
        <v>1669</v>
      </c>
      <c r="B2090" s="511" t="s">
        <v>1670</v>
      </c>
    </row>
    <row r="2091" spans="1:2" ht="15" hidden="1" x14ac:dyDescent="0.25">
      <c r="A2091" s="511" t="s">
        <v>1669</v>
      </c>
      <c r="B2091" s="511" t="s">
        <v>1670</v>
      </c>
    </row>
    <row r="2092" spans="1:2" ht="15" hidden="1" x14ac:dyDescent="0.25">
      <c r="A2092" s="511" t="s">
        <v>1669</v>
      </c>
      <c r="B2092" s="511" t="s">
        <v>1670</v>
      </c>
    </row>
    <row r="2093" spans="1:2" ht="15" hidden="1" x14ac:dyDescent="0.25">
      <c r="A2093" s="511" t="s">
        <v>1505</v>
      </c>
      <c r="B2093" s="511" t="s">
        <v>1506</v>
      </c>
    </row>
    <row r="2094" spans="1:2" ht="15" hidden="1" x14ac:dyDescent="0.25">
      <c r="A2094" s="511" t="s">
        <v>1505</v>
      </c>
      <c r="B2094" s="511" t="s">
        <v>1506</v>
      </c>
    </row>
    <row r="2095" spans="1:2" ht="15" hidden="1" x14ac:dyDescent="0.25">
      <c r="A2095" s="511" t="s">
        <v>1505</v>
      </c>
      <c r="B2095" s="511" t="s">
        <v>1506</v>
      </c>
    </row>
    <row r="2096" spans="1:2" ht="15" hidden="1" x14ac:dyDescent="0.25">
      <c r="A2096" s="511" t="s">
        <v>1311</v>
      </c>
      <c r="B2096" s="511" t="s">
        <v>1312</v>
      </c>
    </row>
    <row r="2097" spans="1:2" ht="15" hidden="1" x14ac:dyDescent="0.25">
      <c r="A2097" s="511" t="s">
        <v>194</v>
      </c>
      <c r="B2097" s="511" t="s">
        <v>365</v>
      </c>
    </row>
    <row r="2098" spans="1:2" ht="15" hidden="1" x14ac:dyDescent="0.25">
      <c r="A2098" s="511" t="s">
        <v>194</v>
      </c>
      <c r="B2098" s="511" t="s">
        <v>365</v>
      </c>
    </row>
    <row r="2099" spans="1:2" ht="15" hidden="1" x14ac:dyDescent="0.25">
      <c r="A2099" s="511" t="s">
        <v>194</v>
      </c>
      <c r="B2099" s="511" t="s">
        <v>365</v>
      </c>
    </row>
    <row r="2100" spans="1:2" ht="15" hidden="1" x14ac:dyDescent="0.25">
      <c r="A2100" s="511" t="s">
        <v>194</v>
      </c>
      <c r="B2100" s="511" t="s">
        <v>365</v>
      </c>
    </row>
    <row r="2101" spans="1:2" ht="15" hidden="1" x14ac:dyDescent="0.25">
      <c r="A2101" s="511" t="s">
        <v>194</v>
      </c>
      <c r="B2101" s="511" t="s">
        <v>365</v>
      </c>
    </row>
    <row r="2102" spans="1:2" ht="15" hidden="1" x14ac:dyDescent="0.25">
      <c r="A2102" s="511" t="s">
        <v>194</v>
      </c>
      <c r="B2102" s="511" t="s">
        <v>365</v>
      </c>
    </row>
    <row r="2103" spans="1:2" ht="15" hidden="1" x14ac:dyDescent="0.25">
      <c r="A2103" s="511" t="s">
        <v>194</v>
      </c>
      <c r="B2103" s="511" t="s">
        <v>365</v>
      </c>
    </row>
    <row r="2104" spans="1:2" ht="15" hidden="1" x14ac:dyDescent="0.25">
      <c r="A2104" s="511" t="s">
        <v>194</v>
      </c>
      <c r="B2104" s="511" t="s">
        <v>365</v>
      </c>
    </row>
    <row r="2105" spans="1:2" ht="15" hidden="1" x14ac:dyDescent="0.25">
      <c r="A2105" s="511" t="s">
        <v>194</v>
      </c>
      <c r="B2105" s="511" t="s">
        <v>365</v>
      </c>
    </row>
    <row r="2106" spans="1:2" ht="15" hidden="1" x14ac:dyDescent="0.25">
      <c r="A2106" s="511" t="s">
        <v>194</v>
      </c>
      <c r="B2106" s="511" t="s">
        <v>365</v>
      </c>
    </row>
    <row r="2107" spans="1:2" ht="15" hidden="1" x14ac:dyDescent="0.25">
      <c r="A2107" s="511" t="s">
        <v>194</v>
      </c>
      <c r="B2107" s="511" t="s">
        <v>365</v>
      </c>
    </row>
    <row r="2108" spans="1:2" ht="15" hidden="1" x14ac:dyDescent="0.25">
      <c r="A2108" s="511" t="s">
        <v>194</v>
      </c>
      <c r="B2108" s="511" t="s">
        <v>365</v>
      </c>
    </row>
    <row r="2109" spans="1:2" ht="15" hidden="1" x14ac:dyDescent="0.25">
      <c r="A2109" s="511" t="s">
        <v>194</v>
      </c>
      <c r="B2109" s="511" t="s">
        <v>365</v>
      </c>
    </row>
    <row r="2110" spans="1:2" ht="15" hidden="1" x14ac:dyDescent="0.25">
      <c r="A2110" s="511" t="s">
        <v>194</v>
      </c>
      <c r="B2110" s="511" t="s">
        <v>365</v>
      </c>
    </row>
    <row r="2111" spans="1:2" ht="15" hidden="1" x14ac:dyDescent="0.25">
      <c r="A2111" s="511" t="s">
        <v>194</v>
      </c>
      <c r="B2111" s="511" t="s">
        <v>365</v>
      </c>
    </row>
    <row r="2112" spans="1:2" ht="15" hidden="1" x14ac:dyDescent="0.25">
      <c r="A2112" s="511" t="s">
        <v>234</v>
      </c>
      <c r="B2112" s="511" t="s">
        <v>366</v>
      </c>
    </row>
    <row r="2113" spans="1:2" ht="15" hidden="1" x14ac:dyDescent="0.25">
      <c r="A2113" s="511" t="s">
        <v>234</v>
      </c>
      <c r="B2113" s="511" t="s">
        <v>366</v>
      </c>
    </row>
    <row r="2114" spans="1:2" ht="15" hidden="1" x14ac:dyDescent="0.25">
      <c r="A2114" s="511" t="s">
        <v>234</v>
      </c>
      <c r="B2114" s="511" t="s">
        <v>366</v>
      </c>
    </row>
    <row r="2115" spans="1:2" ht="15" hidden="1" x14ac:dyDescent="0.25">
      <c r="A2115" s="511" t="s">
        <v>234</v>
      </c>
      <c r="B2115" s="511" t="s">
        <v>366</v>
      </c>
    </row>
    <row r="2116" spans="1:2" ht="15" hidden="1" x14ac:dyDescent="0.25">
      <c r="A2116" s="511" t="s">
        <v>234</v>
      </c>
      <c r="B2116" s="511" t="s">
        <v>366</v>
      </c>
    </row>
    <row r="2117" spans="1:2" ht="15" hidden="1" x14ac:dyDescent="0.25">
      <c r="A2117" s="511" t="s">
        <v>234</v>
      </c>
      <c r="B2117" s="511" t="s">
        <v>366</v>
      </c>
    </row>
    <row r="2118" spans="1:2" ht="15" hidden="1" x14ac:dyDescent="0.25">
      <c r="A2118" s="511" t="s">
        <v>234</v>
      </c>
      <c r="B2118" s="511" t="s">
        <v>366</v>
      </c>
    </row>
    <row r="2119" spans="1:2" ht="15" hidden="1" x14ac:dyDescent="0.25">
      <c r="A2119" s="511" t="s">
        <v>234</v>
      </c>
      <c r="B2119" s="511" t="s">
        <v>366</v>
      </c>
    </row>
    <row r="2120" spans="1:2" ht="15" hidden="1" x14ac:dyDescent="0.25">
      <c r="A2120" s="511" t="s">
        <v>234</v>
      </c>
      <c r="B2120" s="511" t="s">
        <v>366</v>
      </c>
    </row>
    <row r="2121" spans="1:2" ht="15" hidden="1" x14ac:dyDescent="0.25">
      <c r="A2121" s="511" t="s">
        <v>195</v>
      </c>
      <c r="B2121" s="511" t="s">
        <v>367</v>
      </c>
    </row>
    <row r="2122" spans="1:2" ht="15" hidden="1" x14ac:dyDescent="0.25">
      <c r="A2122" s="511" t="s">
        <v>195</v>
      </c>
      <c r="B2122" s="511" t="s">
        <v>367</v>
      </c>
    </row>
    <row r="2123" spans="1:2" ht="15" hidden="1" x14ac:dyDescent="0.25">
      <c r="A2123" s="511" t="s">
        <v>195</v>
      </c>
      <c r="B2123" s="511" t="s">
        <v>367</v>
      </c>
    </row>
    <row r="2124" spans="1:2" ht="15" hidden="1" x14ac:dyDescent="0.25">
      <c r="A2124" s="511" t="s">
        <v>195</v>
      </c>
      <c r="B2124" s="511" t="s">
        <v>367</v>
      </c>
    </row>
    <row r="2125" spans="1:2" ht="15" hidden="1" x14ac:dyDescent="0.25">
      <c r="A2125" s="511" t="s">
        <v>196</v>
      </c>
      <c r="B2125" s="511" t="s">
        <v>368</v>
      </c>
    </row>
    <row r="2126" spans="1:2" ht="15" hidden="1" x14ac:dyDescent="0.25">
      <c r="A2126" s="511" t="s">
        <v>197</v>
      </c>
      <c r="B2126" s="511" t="s">
        <v>369</v>
      </c>
    </row>
    <row r="2127" spans="1:2" ht="15" hidden="1" x14ac:dyDescent="0.25">
      <c r="A2127" s="511" t="s">
        <v>197</v>
      </c>
      <c r="B2127" s="511" t="s">
        <v>369</v>
      </c>
    </row>
    <row r="2128" spans="1:2" ht="15" hidden="1" x14ac:dyDescent="0.25">
      <c r="A2128" s="511" t="s">
        <v>197</v>
      </c>
      <c r="B2128" s="511" t="s">
        <v>369</v>
      </c>
    </row>
    <row r="2129" spans="1:2" ht="15" hidden="1" x14ac:dyDescent="0.25">
      <c r="A2129" s="511" t="s">
        <v>197</v>
      </c>
      <c r="B2129" s="511" t="s">
        <v>369</v>
      </c>
    </row>
    <row r="2130" spans="1:2" ht="15" hidden="1" x14ac:dyDescent="0.25">
      <c r="A2130" s="511" t="s">
        <v>197</v>
      </c>
      <c r="B2130" s="511" t="s">
        <v>369</v>
      </c>
    </row>
    <row r="2131" spans="1:2" ht="15" hidden="1" x14ac:dyDescent="0.25">
      <c r="A2131" s="511" t="s">
        <v>197</v>
      </c>
      <c r="B2131" s="511" t="s">
        <v>369</v>
      </c>
    </row>
    <row r="2132" spans="1:2" ht="15" hidden="1" x14ac:dyDescent="0.25">
      <c r="A2132" s="511" t="s">
        <v>197</v>
      </c>
      <c r="B2132" s="511" t="s">
        <v>369</v>
      </c>
    </row>
    <row r="2133" spans="1:2" ht="15" hidden="1" x14ac:dyDescent="0.25">
      <c r="A2133" s="511" t="s">
        <v>197</v>
      </c>
      <c r="B2133" s="511" t="s">
        <v>369</v>
      </c>
    </row>
    <row r="2134" spans="1:2" ht="15" hidden="1" x14ac:dyDescent="0.25">
      <c r="A2134" s="511" t="s">
        <v>197</v>
      </c>
      <c r="B2134" s="511" t="s">
        <v>369</v>
      </c>
    </row>
    <row r="2135" spans="1:2" ht="15" hidden="1" x14ac:dyDescent="0.25">
      <c r="A2135" s="511" t="s">
        <v>197</v>
      </c>
      <c r="B2135" s="511" t="s">
        <v>369</v>
      </c>
    </row>
    <row r="2136" spans="1:2" ht="15" hidden="1" x14ac:dyDescent="0.25">
      <c r="A2136" s="511" t="s">
        <v>197</v>
      </c>
      <c r="B2136" s="511" t="s">
        <v>369</v>
      </c>
    </row>
    <row r="2137" spans="1:2" ht="15" hidden="1" x14ac:dyDescent="0.25">
      <c r="A2137" s="511" t="s">
        <v>197</v>
      </c>
      <c r="B2137" s="511" t="s">
        <v>369</v>
      </c>
    </row>
    <row r="2138" spans="1:2" ht="15" hidden="1" x14ac:dyDescent="0.25">
      <c r="A2138" s="511" t="s">
        <v>197</v>
      </c>
      <c r="B2138" s="511" t="s">
        <v>369</v>
      </c>
    </row>
    <row r="2139" spans="1:2" ht="15" hidden="1" x14ac:dyDescent="0.25">
      <c r="A2139" s="511" t="s">
        <v>197</v>
      </c>
      <c r="B2139" s="511" t="s">
        <v>369</v>
      </c>
    </row>
    <row r="2140" spans="1:2" ht="15" hidden="1" x14ac:dyDescent="0.25">
      <c r="A2140" s="511" t="s">
        <v>197</v>
      </c>
      <c r="B2140" s="511" t="s">
        <v>369</v>
      </c>
    </row>
    <row r="2141" spans="1:2" ht="15" hidden="1" x14ac:dyDescent="0.25">
      <c r="A2141" s="511" t="s">
        <v>197</v>
      </c>
      <c r="B2141" s="511" t="s">
        <v>369</v>
      </c>
    </row>
    <row r="2142" spans="1:2" ht="15" hidden="1" x14ac:dyDescent="0.25">
      <c r="A2142" s="511" t="s">
        <v>197</v>
      </c>
      <c r="B2142" s="511" t="s">
        <v>369</v>
      </c>
    </row>
    <row r="2143" spans="1:2" ht="15" hidden="1" x14ac:dyDescent="0.25">
      <c r="A2143" s="511" t="s">
        <v>197</v>
      </c>
      <c r="B2143" s="511" t="s">
        <v>369</v>
      </c>
    </row>
    <row r="2144" spans="1:2" ht="15" hidden="1" x14ac:dyDescent="0.25">
      <c r="A2144" s="511" t="s">
        <v>197</v>
      </c>
      <c r="B2144" s="511" t="s">
        <v>369</v>
      </c>
    </row>
    <row r="2145" spans="1:2" ht="15" hidden="1" x14ac:dyDescent="0.25">
      <c r="A2145" s="511" t="s">
        <v>197</v>
      </c>
      <c r="B2145" s="511" t="s">
        <v>369</v>
      </c>
    </row>
    <row r="2146" spans="1:2" ht="15" hidden="1" x14ac:dyDescent="0.25">
      <c r="A2146" s="511" t="s">
        <v>197</v>
      </c>
      <c r="B2146" s="511" t="s">
        <v>369</v>
      </c>
    </row>
    <row r="2147" spans="1:2" ht="15" hidden="1" x14ac:dyDescent="0.25">
      <c r="A2147" s="511" t="s">
        <v>197</v>
      </c>
      <c r="B2147" s="511" t="s">
        <v>369</v>
      </c>
    </row>
    <row r="2148" spans="1:2" ht="15" hidden="1" x14ac:dyDescent="0.25">
      <c r="A2148" s="511" t="s">
        <v>197</v>
      </c>
      <c r="B2148" s="511" t="s">
        <v>369</v>
      </c>
    </row>
    <row r="2149" spans="1:2" ht="15" hidden="1" x14ac:dyDescent="0.25">
      <c r="A2149" s="511" t="s">
        <v>197</v>
      </c>
      <c r="B2149" s="511" t="s">
        <v>369</v>
      </c>
    </row>
    <row r="2150" spans="1:2" ht="15" hidden="1" x14ac:dyDescent="0.25">
      <c r="A2150" s="511" t="s">
        <v>197</v>
      </c>
      <c r="B2150" s="511" t="s">
        <v>369</v>
      </c>
    </row>
    <row r="2151" spans="1:2" ht="15" hidden="1" x14ac:dyDescent="0.25">
      <c r="A2151" s="511" t="s">
        <v>197</v>
      </c>
      <c r="B2151" s="511" t="s">
        <v>369</v>
      </c>
    </row>
    <row r="2152" spans="1:2" ht="15" hidden="1" x14ac:dyDescent="0.25">
      <c r="A2152" s="511" t="s">
        <v>197</v>
      </c>
      <c r="B2152" s="511" t="s">
        <v>369</v>
      </c>
    </row>
    <row r="2153" spans="1:2" ht="15" hidden="1" x14ac:dyDescent="0.25">
      <c r="A2153" s="511" t="s">
        <v>197</v>
      </c>
      <c r="B2153" s="511" t="s">
        <v>369</v>
      </c>
    </row>
    <row r="2154" spans="1:2" ht="15" hidden="1" x14ac:dyDescent="0.25">
      <c r="A2154" s="511" t="s">
        <v>197</v>
      </c>
      <c r="B2154" s="511" t="s">
        <v>369</v>
      </c>
    </row>
    <row r="2155" spans="1:2" ht="15" hidden="1" x14ac:dyDescent="0.25">
      <c r="A2155" s="511" t="s">
        <v>197</v>
      </c>
      <c r="B2155" s="511" t="s">
        <v>369</v>
      </c>
    </row>
    <row r="2156" spans="1:2" ht="15" hidden="1" x14ac:dyDescent="0.25">
      <c r="A2156" s="511" t="s">
        <v>197</v>
      </c>
      <c r="B2156" s="511" t="s">
        <v>369</v>
      </c>
    </row>
    <row r="2157" spans="1:2" ht="15" hidden="1" x14ac:dyDescent="0.25">
      <c r="A2157" s="511" t="s">
        <v>197</v>
      </c>
      <c r="B2157" s="511" t="s">
        <v>369</v>
      </c>
    </row>
    <row r="2158" spans="1:2" ht="15" hidden="1" x14ac:dyDescent="0.25">
      <c r="A2158" s="511" t="s">
        <v>197</v>
      </c>
      <c r="B2158" s="511" t="s">
        <v>369</v>
      </c>
    </row>
    <row r="2159" spans="1:2" ht="15" hidden="1" x14ac:dyDescent="0.25">
      <c r="A2159" s="511" t="s">
        <v>197</v>
      </c>
      <c r="B2159" s="511" t="s">
        <v>369</v>
      </c>
    </row>
    <row r="2160" spans="1:2" ht="15" hidden="1" x14ac:dyDescent="0.25">
      <c r="A2160" s="511" t="s">
        <v>197</v>
      </c>
      <c r="B2160" s="511" t="s">
        <v>369</v>
      </c>
    </row>
    <row r="2161" spans="1:2" ht="15" hidden="1" x14ac:dyDescent="0.25">
      <c r="A2161" s="511" t="s">
        <v>197</v>
      </c>
      <c r="B2161" s="511" t="s">
        <v>369</v>
      </c>
    </row>
    <row r="2162" spans="1:2" ht="15" hidden="1" x14ac:dyDescent="0.25">
      <c r="A2162" s="511" t="s">
        <v>197</v>
      </c>
      <c r="B2162" s="511" t="s">
        <v>369</v>
      </c>
    </row>
    <row r="2163" spans="1:2" ht="15" hidden="1" x14ac:dyDescent="0.25">
      <c r="A2163" s="511" t="s">
        <v>197</v>
      </c>
      <c r="B2163" s="511" t="s">
        <v>369</v>
      </c>
    </row>
    <row r="2164" spans="1:2" ht="15" hidden="1" x14ac:dyDescent="0.25">
      <c r="A2164" s="511" t="s">
        <v>1315</v>
      </c>
      <c r="B2164" s="511" t="s">
        <v>1316</v>
      </c>
    </row>
    <row r="2165" spans="1:2" ht="15" hidden="1" x14ac:dyDescent="0.25">
      <c r="A2165" s="511" t="s">
        <v>1317</v>
      </c>
      <c r="B2165" s="511" t="s">
        <v>1318</v>
      </c>
    </row>
    <row r="2166" spans="1:2" ht="15" hidden="1" x14ac:dyDescent="0.25">
      <c r="A2166" s="511" t="s">
        <v>199</v>
      </c>
      <c r="B2166" s="511" t="s">
        <v>372</v>
      </c>
    </row>
    <row r="2167" spans="1:2" ht="15" hidden="1" x14ac:dyDescent="0.25">
      <c r="A2167" s="511" t="s">
        <v>199</v>
      </c>
      <c r="B2167" s="511" t="s">
        <v>372</v>
      </c>
    </row>
    <row r="2168" spans="1:2" ht="15" hidden="1" x14ac:dyDescent="0.25">
      <c r="A2168" s="511" t="s">
        <v>199</v>
      </c>
      <c r="B2168" s="511" t="s">
        <v>372</v>
      </c>
    </row>
    <row r="2169" spans="1:2" ht="15" hidden="1" x14ac:dyDescent="0.25">
      <c r="A2169" s="511" t="s">
        <v>199</v>
      </c>
      <c r="B2169" s="511" t="s">
        <v>372</v>
      </c>
    </row>
    <row r="2170" spans="1:2" ht="15" hidden="1" x14ac:dyDescent="0.25">
      <c r="A2170" s="511" t="s">
        <v>1509</v>
      </c>
      <c r="B2170" s="511" t="s">
        <v>1510</v>
      </c>
    </row>
    <row r="2171" spans="1:2" ht="15" hidden="1" x14ac:dyDescent="0.25">
      <c r="A2171" s="511" t="s">
        <v>1509</v>
      </c>
      <c r="B2171" s="511" t="s">
        <v>1510</v>
      </c>
    </row>
    <row r="2172" spans="1:2" ht="15" hidden="1" x14ac:dyDescent="0.25">
      <c r="A2172" s="511" t="s">
        <v>1509</v>
      </c>
      <c r="B2172" s="511" t="s">
        <v>1510</v>
      </c>
    </row>
    <row r="2173" spans="1:2" ht="15" hidden="1" x14ac:dyDescent="0.25">
      <c r="A2173" s="511" t="s">
        <v>200</v>
      </c>
      <c r="B2173" s="511" t="s">
        <v>373</v>
      </c>
    </row>
    <row r="2174" spans="1:2" ht="15" hidden="1" x14ac:dyDescent="0.25">
      <c r="A2174" s="511" t="s">
        <v>200</v>
      </c>
      <c r="B2174" s="511" t="s">
        <v>373</v>
      </c>
    </row>
    <row r="2175" spans="1:2" ht="15" hidden="1" x14ac:dyDescent="0.25">
      <c r="A2175" s="511" t="s">
        <v>200</v>
      </c>
      <c r="B2175" s="511" t="s">
        <v>373</v>
      </c>
    </row>
    <row r="2176" spans="1:2" ht="15" hidden="1" x14ac:dyDescent="0.25">
      <c r="A2176" s="511" t="s">
        <v>200</v>
      </c>
      <c r="B2176" s="511" t="s">
        <v>373</v>
      </c>
    </row>
    <row r="2177" spans="1:2" ht="15" hidden="1" x14ac:dyDescent="0.25">
      <c r="A2177" s="511" t="s">
        <v>200</v>
      </c>
      <c r="B2177" s="511" t="s">
        <v>373</v>
      </c>
    </row>
    <row r="2178" spans="1:2" ht="15" hidden="1" x14ac:dyDescent="0.25">
      <c r="A2178" s="511" t="s">
        <v>200</v>
      </c>
      <c r="B2178" s="511" t="s">
        <v>373</v>
      </c>
    </row>
    <row r="2179" spans="1:2" ht="15" hidden="1" x14ac:dyDescent="0.25">
      <c r="A2179" s="511" t="s">
        <v>200</v>
      </c>
      <c r="B2179" s="511" t="s">
        <v>373</v>
      </c>
    </row>
    <row r="2180" spans="1:2" ht="15" hidden="1" x14ac:dyDescent="0.25">
      <c r="A2180" s="511" t="s">
        <v>200</v>
      </c>
      <c r="B2180" s="511" t="s">
        <v>373</v>
      </c>
    </row>
    <row r="2181" spans="1:2" ht="15" hidden="1" x14ac:dyDescent="0.25">
      <c r="A2181" s="511" t="s">
        <v>1319</v>
      </c>
      <c r="B2181" s="511" t="s">
        <v>1320</v>
      </c>
    </row>
    <row r="2182" spans="1:2" ht="15" hidden="1" x14ac:dyDescent="0.25">
      <c r="A2182" s="511" t="s">
        <v>1319</v>
      </c>
      <c r="B2182" s="511" t="s">
        <v>1320</v>
      </c>
    </row>
    <row r="2183" spans="1:2" ht="15" hidden="1" x14ac:dyDescent="0.25">
      <c r="A2183" s="511" t="s">
        <v>1319</v>
      </c>
      <c r="B2183" s="511" t="s">
        <v>1320</v>
      </c>
    </row>
    <row r="2184" spans="1:2" ht="15" hidden="1" x14ac:dyDescent="0.25">
      <c r="A2184" s="511" t="s">
        <v>1319</v>
      </c>
      <c r="B2184" s="511" t="s">
        <v>1320</v>
      </c>
    </row>
    <row r="2185" spans="1:2" ht="15" hidden="1" x14ac:dyDescent="0.25">
      <c r="A2185" s="511" t="s">
        <v>1887</v>
      </c>
      <c r="B2185" s="511" t="s">
        <v>1887</v>
      </c>
    </row>
    <row r="2186" spans="1:2" ht="15" hidden="1" x14ac:dyDescent="0.25">
      <c r="A2186" s="511" t="s">
        <v>1888</v>
      </c>
      <c r="B2186" s="511" t="s">
        <v>1888</v>
      </c>
    </row>
    <row r="2187" spans="1:2" ht="15" hidden="1" x14ac:dyDescent="0.25">
      <c r="A2187" s="511" t="s">
        <v>1889</v>
      </c>
      <c r="B2187" s="511" t="s">
        <v>1889</v>
      </c>
    </row>
    <row r="2188" spans="1:2" ht="15" hidden="1" x14ac:dyDescent="0.25">
      <c r="A2188" s="511" t="s">
        <v>1890</v>
      </c>
      <c r="B2188" s="511" t="s">
        <v>1890</v>
      </c>
    </row>
    <row r="2189" spans="1:2" ht="15" hidden="1" x14ac:dyDescent="0.25">
      <c r="A2189" s="511" t="s">
        <v>1891</v>
      </c>
      <c r="B2189" s="511" t="s">
        <v>1891</v>
      </c>
    </row>
    <row r="2190" spans="1:2" ht="15" hidden="1" x14ac:dyDescent="0.25">
      <c r="A2190" s="511" t="s">
        <v>1892</v>
      </c>
      <c r="B2190" s="511" t="s">
        <v>1892</v>
      </c>
    </row>
    <row r="2191" spans="1:2" ht="15" hidden="1" x14ac:dyDescent="0.25">
      <c r="A2191" s="511" t="s">
        <v>1893</v>
      </c>
      <c r="B2191" s="511" t="s">
        <v>1893</v>
      </c>
    </row>
    <row r="2192" spans="1:2" ht="15" hidden="1" x14ac:dyDescent="0.25">
      <c r="A2192" s="511" t="s">
        <v>1893</v>
      </c>
      <c r="B2192" s="511" t="s">
        <v>1893</v>
      </c>
    </row>
    <row r="2193" spans="1:2" ht="15" hidden="1" x14ac:dyDescent="0.25">
      <c r="A2193" s="511" t="s">
        <v>1894</v>
      </c>
      <c r="B2193" s="511" t="s">
        <v>1894</v>
      </c>
    </row>
    <row r="2194" spans="1:2" ht="15" hidden="1" x14ac:dyDescent="0.25">
      <c r="A2194" s="511" t="s">
        <v>1895</v>
      </c>
      <c r="B2194" s="511" t="s">
        <v>1895</v>
      </c>
    </row>
    <row r="2195" spans="1:2" ht="15" hidden="1" x14ac:dyDescent="0.25">
      <c r="A2195" s="511" t="s">
        <v>1896</v>
      </c>
      <c r="B2195" s="511" t="s">
        <v>1896</v>
      </c>
    </row>
    <row r="2196" spans="1:2" ht="15" hidden="1" x14ac:dyDescent="0.25">
      <c r="A2196" s="511" t="s">
        <v>1896</v>
      </c>
      <c r="B2196" s="511" t="s">
        <v>1896</v>
      </c>
    </row>
    <row r="2197" spans="1:2" ht="15" hidden="1" x14ac:dyDescent="0.25">
      <c r="A2197" s="511" t="s">
        <v>1897</v>
      </c>
      <c r="B2197" s="511" t="s">
        <v>1897</v>
      </c>
    </row>
    <row r="2198" spans="1:2" ht="15" hidden="1" x14ac:dyDescent="0.25">
      <c r="A2198" s="511" t="s">
        <v>1898</v>
      </c>
      <c r="B2198" s="511" t="s">
        <v>1898</v>
      </c>
    </row>
    <row r="2199" spans="1:2" ht="15" hidden="1" x14ac:dyDescent="0.25">
      <c r="A2199" s="511" t="s">
        <v>1899</v>
      </c>
      <c r="B2199" s="511" t="s">
        <v>1899</v>
      </c>
    </row>
    <row r="2200" spans="1:2" ht="15" hidden="1" x14ac:dyDescent="0.25">
      <c r="A2200" s="511" t="s">
        <v>1900</v>
      </c>
      <c r="B2200" s="511" t="s">
        <v>1900</v>
      </c>
    </row>
    <row r="2201" spans="1:2" ht="15" hidden="1" x14ac:dyDescent="0.25">
      <c r="A2201" s="511" t="s">
        <v>1901</v>
      </c>
      <c r="B2201" s="511" t="s">
        <v>1901</v>
      </c>
    </row>
    <row r="2202" spans="1:2" ht="15" hidden="1" x14ac:dyDescent="0.25">
      <c r="A2202" s="511" t="s">
        <v>1902</v>
      </c>
      <c r="B2202" s="511" t="s">
        <v>1902</v>
      </c>
    </row>
    <row r="2203" spans="1:2" ht="15" hidden="1" x14ac:dyDescent="0.25">
      <c r="A2203" s="511" t="s">
        <v>1902</v>
      </c>
      <c r="B2203" s="511" t="s">
        <v>1902</v>
      </c>
    </row>
    <row r="2204" spans="1:2" ht="15" hidden="1" x14ac:dyDescent="0.25">
      <c r="A2204" s="511" t="s">
        <v>1903</v>
      </c>
      <c r="B2204" s="511" t="s">
        <v>1903</v>
      </c>
    </row>
    <row r="2205" spans="1:2" ht="15" hidden="1" x14ac:dyDescent="0.25">
      <c r="A2205" s="511" t="s">
        <v>1904</v>
      </c>
      <c r="B2205" s="511" t="s">
        <v>1904</v>
      </c>
    </row>
    <row r="2206" spans="1:2" ht="15" hidden="1" x14ac:dyDescent="0.25">
      <c r="A2206" s="511" t="s">
        <v>1905</v>
      </c>
      <c r="B2206" s="511" t="s">
        <v>1905</v>
      </c>
    </row>
    <row r="2207" spans="1:2" ht="15" hidden="1" x14ac:dyDescent="0.25">
      <c r="A2207" s="511" t="s">
        <v>1906</v>
      </c>
      <c r="B2207" s="511" t="s">
        <v>1906</v>
      </c>
    </row>
    <row r="2208" spans="1:2" ht="15" hidden="1" x14ac:dyDescent="0.25">
      <c r="A2208" s="511" t="s">
        <v>1907</v>
      </c>
      <c r="B2208" s="511" t="s">
        <v>1907</v>
      </c>
    </row>
    <row r="2209" spans="1:2" ht="15" hidden="1" x14ac:dyDescent="0.25">
      <c r="A2209" s="511" t="s">
        <v>1907</v>
      </c>
      <c r="B2209" s="511" t="s">
        <v>1907</v>
      </c>
    </row>
    <row r="2210" spans="1:2" ht="15" hidden="1" x14ac:dyDescent="0.25">
      <c r="A2210" s="511" t="s">
        <v>1908</v>
      </c>
      <c r="B2210" s="511" t="s">
        <v>1908</v>
      </c>
    </row>
    <row r="2211" spans="1:2" ht="15" hidden="1" x14ac:dyDescent="0.25">
      <c r="A2211" s="511" t="s">
        <v>1909</v>
      </c>
      <c r="B2211" s="511" t="s">
        <v>1909</v>
      </c>
    </row>
    <row r="2212" spans="1:2" ht="15" hidden="1" x14ac:dyDescent="0.25">
      <c r="A2212" s="511" t="s">
        <v>1910</v>
      </c>
      <c r="B2212" s="511" t="s">
        <v>1910</v>
      </c>
    </row>
    <row r="2213" spans="1:2" ht="15" hidden="1" x14ac:dyDescent="0.25">
      <c r="A2213" s="511" t="s">
        <v>1910</v>
      </c>
      <c r="B2213" s="511" t="s">
        <v>1910</v>
      </c>
    </row>
    <row r="2214" spans="1:2" ht="15" hidden="1" x14ac:dyDescent="0.25">
      <c r="A2214" s="511" t="s">
        <v>1911</v>
      </c>
      <c r="B2214" s="511" t="s">
        <v>1911</v>
      </c>
    </row>
    <row r="2215" spans="1:2" ht="15" hidden="1" x14ac:dyDescent="0.25">
      <c r="A2215" s="511" t="s">
        <v>1912</v>
      </c>
      <c r="B2215" s="511" t="s">
        <v>1912</v>
      </c>
    </row>
    <row r="2216" spans="1:2" ht="15" hidden="1" x14ac:dyDescent="0.25">
      <c r="A2216" s="511" t="s">
        <v>1913</v>
      </c>
      <c r="B2216" s="511" t="s">
        <v>1913</v>
      </c>
    </row>
    <row r="2217" spans="1:2" ht="15" hidden="1" x14ac:dyDescent="0.25">
      <c r="A2217" s="511" t="s">
        <v>1914</v>
      </c>
      <c r="B2217" s="511" t="s">
        <v>1914</v>
      </c>
    </row>
    <row r="2218" spans="1:2" ht="15" hidden="1" x14ac:dyDescent="0.25">
      <c r="A2218" s="511" t="s">
        <v>1915</v>
      </c>
      <c r="B2218" s="511" t="s">
        <v>1915</v>
      </c>
    </row>
    <row r="2219" spans="1:2" ht="15" hidden="1" x14ac:dyDescent="0.25">
      <c r="A2219" s="511" t="s">
        <v>1916</v>
      </c>
      <c r="B2219" s="511" t="s">
        <v>1916</v>
      </c>
    </row>
    <row r="2220" spans="1:2" ht="15" hidden="1" x14ac:dyDescent="0.25">
      <c r="A2220" s="511" t="s">
        <v>1917</v>
      </c>
      <c r="B2220" s="511" t="s">
        <v>1917</v>
      </c>
    </row>
    <row r="2221" spans="1:2" ht="15" hidden="1" x14ac:dyDescent="0.25">
      <c r="A2221" s="511" t="s">
        <v>1918</v>
      </c>
      <c r="B2221" s="511" t="s">
        <v>1918</v>
      </c>
    </row>
    <row r="2222" spans="1:2" ht="15" hidden="1" x14ac:dyDescent="0.25">
      <c r="A2222" s="511" t="s">
        <v>1919</v>
      </c>
      <c r="B2222" s="511" t="s">
        <v>1919</v>
      </c>
    </row>
    <row r="2223" spans="1:2" ht="15" hidden="1" x14ac:dyDescent="0.25">
      <c r="A2223" s="511" t="s">
        <v>1920</v>
      </c>
      <c r="B2223" s="511" t="s">
        <v>1920</v>
      </c>
    </row>
    <row r="2224" spans="1:2" ht="15" hidden="1" x14ac:dyDescent="0.25">
      <c r="A2224" s="511" t="s">
        <v>1921</v>
      </c>
      <c r="B2224" s="511" t="s">
        <v>1921</v>
      </c>
    </row>
    <row r="2225" spans="1:2" ht="15" hidden="1" x14ac:dyDescent="0.25">
      <c r="A2225" s="511" t="s">
        <v>1922</v>
      </c>
      <c r="B2225" s="511" t="s">
        <v>1922</v>
      </c>
    </row>
    <row r="2226" spans="1:2" ht="15" hidden="1" x14ac:dyDescent="0.25">
      <c r="A2226" s="511" t="s">
        <v>1923</v>
      </c>
      <c r="B2226" s="511" t="s">
        <v>1923</v>
      </c>
    </row>
    <row r="2227" spans="1:2" ht="15" hidden="1" x14ac:dyDescent="0.25">
      <c r="A2227" s="511" t="s">
        <v>1924</v>
      </c>
      <c r="B2227" s="511" t="s">
        <v>1924</v>
      </c>
    </row>
    <row r="2228" spans="1:2" ht="15" hidden="1" x14ac:dyDescent="0.25">
      <c r="A2228" s="511" t="s">
        <v>1925</v>
      </c>
      <c r="B2228" s="511" t="s">
        <v>1925</v>
      </c>
    </row>
    <row r="2229" spans="1:2" ht="15" hidden="1" x14ac:dyDescent="0.25">
      <c r="A2229" s="511" t="s">
        <v>1925</v>
      </c>
      <c r="B2229" s="511" t="s">
        <v>1925</v>
      </c>
    </row>
    <row r="2230" spans="1:2" ht="15" hidden="1" x14ac:dyDescent="0.25">
      <c r="A2230" s="511" t="s">
        <v>1926</v>
      </c>
      <c r="B2230" s="511" t="s">
        <v>1926</v>
      </c>
    </row>
    <row r="2231" spans="1:2" ht="15" hidden="1" x14ac:dyDescent="0.25">
      <c r="A2231" s="511" t="s">
        <v>1927</v>
      </c>
      <c r="B2231" s="511" t="s">
        <v>1927</v>
      </c>
    </row>
    <row r="2232" spans="1:2" ht="15" hidden="1" x14ac:dyDescent="0.25">
      <c r="A2232" s="511" t="s">
        <v>1928</v>
      </c>
      <c r="B2232" s="511" t="s">
        <v>1928</v>
      </c>
    </row>
    <row r="2233" spans="1:2" ht="15" hidden="1" x14ac:dyDescent="0.25">
      <c r="A2233" s="511" t="s">
        <v>1929</v>
      </c>
      <c r="B2233" s="511" t="s">
        <v>1929</v>
      </c>
    </row>
    <row r="2234" spans="1:2" ht="15" hidden="1" x14ac:dyDescent="0.25">
      <c r="A2234" s="511" t="s">
        <v>1929</v>
      </c>
      <c r="B2234" s="511" t="s">
        <v>1929</v>
      </c>
    </row>
    <row r="2235" spans="1:2" ht="15" hidden="1" x14ac:dyDescent="0.25">
      <c r="A2235" s="511" t="s">
        <v>1930</v>
      </c>
      <c r="B2235" s="511" t="s">
        <v>1930</v>
      </c>
    </row>
    <row r="2236" spans="1:2" ht="15" hidden="1" x14ac:dyDescent="0.25">
      <c r="A2236" s="511" t="s">
        <v>1931</v>
      </c>
      <c r="B2236" s="511" t="s">
        <v>1931</v>
      </c>
    </row>
    <row r="2237" spans="1:2" ht="15" hidden="1" x14ac:dyDescent="0.25">
      <c r="A2237" s="511" t="s">
        <v>1932</v>
      </c>
      <c r="B2237" s="511" t="s">
        <v>1932</v>
      </c>
    </row>
    <row r="2238" spans="1:2" ht="15" hidden="1" x14ac:dyDescent="0.25">
      <c r="A2238" s="511" t="s">
        <v>1933</v>
      </c>
      <c r="B2238" s="511" t="s">
        <v>1933</v>
      </c>
    </row>
    <row r="2239" spans="1:2" ht="15" hidden="1" x14ac:dyDescent="0.25">
      <c r="A2239" s="511" t="s">
        <v>1934</v>
      </c>
      <c r="B2239" s="511" t="s">
        <v>1934</v>
      </c>
    </row>
    <row r="2240" spans="1:2" ht="15" hidden="1" x14ac:dyDescent="0.25">
      <c r="A2240" s="511" t="s">
        <v>1935</v>
      </c>
      <c r="B2240" s="511" t="s">
        <v>1935</v>
      </c>
    </row>
    <row r="2241" spans="1:2" ht="15" hidden="1" x14ac:dyDescent="0.25">
      <c r="A2241" s="511" t="s">
        <v>1936</v>
      </c>
      <c r="B2241" s="511" t="s">
        <v>1936</v>
      </c>
    </row>
    <row r="2242" spans="1:2" ht="15" hidden="1" x14ac:dyDescent="0.25">
      <c r="A2242" s="511" t="s">
        <v>1936</v>
      </c>
      <c r="B2242" s="511" t="s">
        <v>1936</v>
      </c>
    </row>
    <row r="2243" spans="1:2" ht="15" hidden="1" x14ac:dyDescent="0.25">
      <c r="A2243" s="511" t="s">
        <v>1937</v>
      </c>
      <c r="B2243" s="511" t="s">
        <v>1937</v>
      </c>
    </row>
    <row r="2244" spans="1:2" ht="15" hidden="1" x14ac:dyDescent="0.25">
      <c r="A2244" s="511" t="s">
        <v>1938</v>
      </c>
      <c r="B2244" s="511" t="s">
        <v>1938</v>
      </c>
    </row>
    <row r="2245" spans="1:2" ht="15" hidden="1" x14ac:dyDescent="0.25">
      <c r="A2245" s="511" t="s">
        <v>1939</v>
      </c>
      <c r="B2245" s="511" t="s">
        <v>1939</v>
      </c>
    </row>
    <row r="2246" spans="1:2" ht="15" hidden="1" x14ac:dyDescent="0.25">
      <c r="A2246" s="511" t="s">
        <v>1940</v>
      </c>
      <c r="B2246" s="511" t="s">
        <v>1940</v>
      </c>
    </row>
    <row r="2247" spans="1:2" ht="15" hidden="1" x14ac:dyDescent="0.25">
      <c r="A2247" s="511" t="s">
        <v>1941</v>
      </c>
      <c r="B2247" s="511" t="s">
        <v>1941</v>
      </c>
    </row>
    <row r="2248" spans="1:2" ht="15" hidden="1" x14ac:dyDescent="0.25">
      <c r="A2248" s="511" t="s">
        <v>1941</v>
      </c>
      <c r="B2248" s="511" t="s">
        <v>1941</v>
      </c>
    </row>
    <row r="2249" spans="1:2" ht="15" hidden="1" x14ac:dyDescent="0.25">
      <c r="A2249" s="511" t="s">
        <v>1942</v>
      </c>
      <c r="B2249" s="511" t="s">
        <v>1942</v>
      </c>
    </row>
    <row r="2250" spans="1:2" ht="15" hidden="1" x14ac:dyDescent="0.25">
      <c r="A2250" s="511" t="s">
        <v>1943</v>
      </c>
      <c r="B2250" s="511" t="s">
        <v>1943</v>
      </c>
    </row>
    <row r="2251" spans="1:2" ht="15" hidden="1" x14ac:dyDescent="0.25">
      <c r="A2251" s="511" t="s">
        <v>1944</v>
      </c>
      <c r="B2251" s="511" t="s">
        <v>1944</v>
      </c>
    </row>
    <row r="2252" spans="1:2" ht="15" hidden="1" x14ac:dyDescent="0.25">
      <c r="A2252" s="511" t="s">
        <v>1945</v>
      </c>
      <c r="B2252" s="511" t="s">
        <v>1945</v>
      </c>
    </row>
    <row r="2253" spans="1:2" ht="15" hidden="1" x14ac:dyDescent="0.25">
      <c r="A2253" s="511" t="s">
        <v>1946</v>
      </c>
      <c r="B2253" s="511" t="s">
        <v>1946</v>
      </c>
    </row>
    <row r="2254" spans="1:2" ht="15" hidden="1" x14ac:dyDescent="0.25">
      <c r="A2254" s="511" t="s">
        <v>1947</v>
      </c>
      <c r="B2254" s="511" t="s">
        <v>1947</v>
      </c>
    </row>
    <row r="2255" spans="1:2" ht="15" hidden="1" x14ac:dyDescent="0.25">
      <c r="A2255" s="511" t="s">
        <v>1948</v>
      </c>
      <c r="B2255" s="511" t="s">
        <v>1948</v>
      </c>
    </row>
    <row r="2256" spans="1:2" ht="15" hidden="1" x14ac:dyDescent="0.25">
      <c r="A2256" s="511" t="s">
        <v>1949</v>
      </c>
      <c r="B2256" s="511" t="s">
        <v>1949</v>
      </c>
    </row>
    <row r="2257" spans="1:2" ht="15" hidden="1" x14ac:dyDescent="0.25">
      <c r="A2257" s="511" t="s">
        <v>1950</v>
      </c>
      <c r="B2257" s="511" t="s">
        <v>1950</v>
      </c>
    </row>
    <row r="2258" spans="1:2" ht="15" hidden="1" x14ac:dyDescent="0.25">
      <c r="A2258" s="511" t="s">
        <v>1951</v>
      </c>
      <c r="B2258" s="511" t="s">
        <v>1951</v>
      </c>
    </row>
    <row r="2259" spans="1:2" ht="15" hidden="1" x14ac:dyDescent="0.25">
      <c r="A2259" s="511" t="s">
        <v>1952</v>
      </c>
      <c r="B2259" s="511" t="s">
        <v>1952</v>
      </c>
    </row>
    <row r="2260" spans="1:2" ht="15" hidden="1" x14ac:dyDescent="0.25">
      <c r="A2260" s="511" t="s">
        <v>1953</v>
      </c>
      <c r="B2260" s="511" t="s">
        <v>1953</v>
      </c>
    </row>
    <row r="2261" spans="1:2" ht="15" hidden="1" x14ac:dyDescent="0.25">
      <c r="A2261" s="511" t="s">
        <v>1954</v>
      </c>
      <c r="B2261" s="511" t="s">
        <v>1954</v>
      </c>
    </row>
    <row r="2262" spans="1:2" ht="15" hidden="1" x14ac:dyDescent="0.25">
      <c r="A2262" s="511" t="s">
        <v>1954</v>
      </c>
      <c r="B2262" s="511" t="s">
        <v>1954</v>
      </c>
    </row>
    <row r="2263" spans="1:2" ht="15" hidden="1" x14ac:dyDescent="0.25">
      <c r="A2263" s="511" t="s">
        <v>1955</v>
      </c>
      <c r="B2263" s="511" t="s">
        <v>1955</v>
      </c>
    </row>
    <row r="2264" spans="1:2" ht="15" hidden="1" x14ac:dyDescent="0.25">
      <c r="A2264" s="511" t="s">
        <v>1956</v>
      </c>
      <c r="B2264" s="511" t="s">
        <v>1956</v>
      </c>
    </row>
    <row r="2265" spans="1:2" ht="15" hidden="1" x14ac:dyDescent="0.25">
      <c r="A2265" s="511" t="s">
        <v>1957</v>
      </c>
      <c r="B2265" s="511" t="s">
        <v>1957</v>
      </c>
    </row>
    <row r="2266" spans="1:2" ht="15" hidden="1" x14ac:dyDescent="0.25">
      <c r="A2266" s="511" t="s">
        <v>1957</v>
      </c>
      <c r="B2266" s="511" t="s">
        <v>1957</v>
      </c>
    </row>
    <row r="2267" spans="1:2" ht="15" hidden="1" x14ac:dyDescent="0.25">
      <c r="A2267" s="511" t="s">
        <v>1958</v>
      </c>
      <c r="B2267" s="511" t="s">
        <v>1958</v>
      </c>
    </row>
    <row r="2268" spans="1:2" ht="15" hidden="1" x14ac:dyDescent="0.25">
      <c r="A2268" s="511" t="s">
        <v>1959</v>
      </c>
      <c r="B2268" s="511" t="s">
        <v>1959</v>
      </c>
    </row>
    <row r="2269" spans="1:2" ht="15" hidden="1" x14ac:dyDescent="0.25">
      <c r="A2269" s="511" t="s">
        <v>1960</v>
      </c>
      <c r="B2269" s="511" t="s">
        <v>1960</v>
      </c>
    </row>
    <row r="2270" spans="1:2" ht="15" hidden="1" x14ac:dyDescent="0.25">
      <c r="A2270" s="511" t="s">
        <v>1961</v>
      </c>
      <c r="B2270" s="511" t="s">
        <v>1961</v>
      </c>
    </row>
    <row r="2271" spans="1:2" ht="15" hidden="1" x14ac:dyDescent="0.25">
      <c r="A2271" s="511" t="s">
        <v>1962</v>
      </c>
      <c r="B2271" s="511" t="s">
        <v>1962</v>
      </c>
    </row>
    <row r="2272" spans="1:2" ht="15" hidden="1" x14ac:dyDescent="0.25">
      <c r="A2272" s="511" t="s">
        <v>1963</v>
      </c>
      <c r="B2272" s="511" t="s">
        <v>1963</v>
      </c>
    </row>
    <row r="2273" spans="1:2" ht="15" hidden="1" x14ac:dyDescent="0.25">
      <c r="A2273" s="511" t="s">
        <v>1964</v>
      </c>
      <c r="B2273" s="511" t="s">
        <v>1964</v>
      </c>
    </row>
    <row r="2274" spans="1:2" ht="15" hidden="1" x14ac:dyDescent="0.25">
      <c r="A2274" s="511" t="s">
        <v>1965</v>
      </c>
      <c r="B2274" s="511" t="s">
        <v>1965</v>
      </c>
    </row>
    <row r="2275" spans="1:2" ht="15" hidden="1" x14ac:dyDescent="0.25">
      <c r="A2275" s="511" t="s">
        <v>1966</v>
      </c>
      <c r="B2275" s="511" t="s">
        <v>1966</v>
      </c>
    </row>
    <row r="2276" spans="1:2" ht="15" hidden="1" x14ac:dyDescent="0.25">
      <c r="A2276" s="511" t="s">
        <v>1967</v>
      </c>
      <c r="B2276" s="511" t="s">
        <v>1967</v>
      </c>
    </row>
    <row r="2277" spans="1:2" ht="15" hidden="1" x14ac:dyDescent="0.25">
      <c r="A2277" s="511" t="s">
        <v>1967</v>
      </c>
      <c r="B2277" s="511" t="s">
        <v>1967</v>
      </c>
    </row>
    <row r="2278" spans="1:2" ht="15" hidden="1" x14ac:dyDescent="0.25">
      <c r="A2278" s="511" t="s">
        <v>1968</v>
      </c>
      <c r="B2278" s="511" t="s">
        <v>1968</v>
      </c>
    </row>
    <row r="2279" spans="1:2" ht="15" hidden="1" x14ac:dyDescent="0.25">
      <c r="A2279" s="511" t="s">
        <v>1969</v>
      </c>
      <c r="B2279" s="511" t="s">
        <v>1969</v>
      </c>
    </row>
    <row r="2280" spans="1:2" ht="15" hidden="1" x14ac:dyDescent="0.25">
      <c r="A2280" s="511" t="s">
        <v>1970</v>
      </c>
      <c r="B2280" s="511" t="s">
        <v>1970</v>
      </c>
    </row>
    <row r="2281" spans="1:2" ht="15" hidden="1" x14ac:dyDescent="0.25">
      <c r="A2281" s="511" t="s">
        <v>1971</v>
      </c>
      <c r="B2281" s="511" t="s">
        <v>1971</v>
      </c>
    </row>
    <row r="2282" spans="1:2" ht="15" hidden="1" x14ac:dyDescent="0.25">
      <c r="A2282" s="511" t="s">
        <v>1972</v>
      </c>
      <c r="B2282" s="511" t="s">
        <v>1972</v>
      </c>
    </row>
    <row r="2283" spans="1:2" ht="15" hidden="1" x14ac:dyDescent="0.25">
      <c r="A2283" s="511" t="s">
        <v>1973</v>
      </c>
      <c r="B2283" s="511" t="s">
        <v>1973</v>
      </c>
    </row>
    <row r="2284" spans="1:2" ht="15" hidden="1" x14ac:dyDescent="0.25">
      <c r="A2284" s="511" t="s">
        <v>1974</v>
      </c>
      <c r="B2284" s="511" t="s">
        <v>1974</v>
      </c>
    </row>
    <row r="2285" spans="1:2" ht="15" hidden="1" x14ac:dyDescent="0.25">
      <c r="A2285" s="511" t="s">
        <v>1975</v>
      </c>
      <c r="B2285" s="511" t="s">
        <v>1975</v>
      </c>
    </row>
    <row r="2286" spans="1:2" ht="15" hidden="1" x14ac:dyDescent="0.25">
      <c r="A2286" s="511" t="s">
        <v>1976</v>
      </c>
      <c r="B2286" s="511" t="s">
        <v>1976</v>
      </c>
    </row>
    <row r="2287" spans="1:2" ht="15" hidden="1" x14ac:dyDescent="0.25">
      <c r="A2287" s="511" t="s">
        <v>1977</v>
      </c>
      <c r="B2287" s="511" t="s">
        <v>1977</v>
      </c>
    </row>
    <row r="2288" spans="1:2" ht="15" hidden="1" x14ac:dyDescent="0.25">
      <c r="A2288" s="511" t="s">
        <v>1978</v>
      </c>
      <c r="B2288" s="511" t="s">
        <v>1978</v>
      </c>
    </row>
    <row r="2289" spans="1:2" ht="15" hidden="1" x14ac:dyDescent="0.25">
      <c r="A2289" s="511" t="s">
        <v>1979</v>
      </c>
      <c r="B2289" s="511" t="s">
        <v>1979</v>
      </c>
    </row>
    <row r="2290" spans="1:2" ht="15" hidden="1" x14ac:dyDescent="0.25">
      <c r="A2290" s="511" t="s">
        <v>1980</v>
      </c>
      <c r="B2290" s="511" t="s">
        <v>1980</v>
      </c>
    </row>
    <row r="2291" spans="1:2" ht="15" hidden="1" x14ac:dyDescent="0.25">
      <c r="A2291" s="511" t="s">
        <v>1981</v>
      </c>
      <c r="B2291" s="511" t="s">
        <v>1981</v>
      </c>
    </row>
    <row r="2292" spans="1:2" ht="15" hidden="1" x14ac:dyDescent="0.25">
      <c r="A2292" s="511" t="s">
        <v>1981</v>
      </c>
      <c r="B2292" s="511" t="s">
        <v>1981</v>
      </c>
    </row>
    <row r="2293" spans="1:2" ht="15" hidden="1" x14ac:dyDescent="0.25">
      <c r="A2293" s="511" t="s">
        <v>1982</v>
      </c>
      <c r="B2293" s="511" t="s">
        <v>1982</v>
      </c>
    </row>
    <row r="2294" spans="1:2" ht="15" hidden="1" x14ac:dyDescent="0.25">
      <c r="A2294" s="511" t="s">
        <v>1983</v>
      </c>
      <c r="B2294" s="511" t="s">
        <v>1983</v>
      </c>
    </row>
    <row r="2295" spans="1:2" ht="15" hidden="1" x14ac:dyDescent="0.25">
      <c r="A2295" s="511" t="s">
        <v>1984</v>
      </c>
      <c r="B2295" s="511" t="s">
        <v>1984</v>
      </c>
    </row>
    <row r="2296" spans="1:2" ht="15" hidden="1" x14ac:dyDescent="0.25">
      <c r="A2296" s="511" t="s">
        <v>1985</v>
      </c>
      <c r="B2296" s="511" t="s">
        <v>1985</v>
      </c>
    </row>
    <row r="2297" spans="1:2" ht="15" hidden="1" x14ac:dyDescent="0.25">
      <c r="A2297" s="511" t="s">
        <v>1986</v>
      </c>
      <c r="B2297" s="511" t="s">
        <v>1986</v>
      </c>
    </row>
    <row r="2298" spans="1:2" ht="15" hidden="1" x14ac:dyDescent="0.25">
      <c r="A2298" s="511" t="s">
        <v>1987</v>
      </c>
      <c r="B2298" s="511" t="s">
        <v>1987</v>
      </c>
    </row>
    <row r="2299" spans="1:2" ht="15" hidden="1" x14ac:dyDescent="0.25">
      <c r="A2299" s="511" t="s">
        <v>1988</v>
      </c>
      <c r="B2299" s="511" t="s">
        <v>1988</v>
      </c>
    </row>
    <row r="2300" spans="1:2" ht="15" hidden="1" x14ac:dyDescent="0.25">
      <c r="A2300" s="511" t="s">
        <v>1988</v>
      </c>
      <c r="B2300" s="511" t="s">
        <v>1988</v>
      </c>
    </row>
    <row r="2301" spans="1:2" ht="15" hidden="1" x14ac:dyDescent="0.25">
      <c r="A2301" s="511" t="s">
        <v>1989</v>
      </c>
      <c r="B2301" s="511" t="s">
        <v>1989</v>
      </c>
    </row>
    <row r="2302" spans="1:2" ht="15" hidden="1" x14ac:dyDescent="0.25">
      <c r="A2302" s="511" t="s">
        <v>1990</v>
      </c>
      <c r="B2302" s="511" t="s">
        <v>1991</v>
      </c>
    </row>
    <row r="2303" spans="1:2" ht="15" hidden="1" x14ac:dyDescent="0.25">
      <c r="A2303" s="511" t="s">
        <v>1992</v>
      </c>
      <c r="B2303" s="511" t="s">
        <v>1993</v>
      </c>
    </row>
    <row r="2304" spans="1:2" ht="15" hidden="1" x14ac:dyDescent="0.25">
      <c r="A2304" s="511" t="s">
        <v>1992</v>
      </c>
      <c r="B2304" s="511" t="s">
        <v>1993</v>
      </c>
    </row>
    <row r="2305" spans="1:2" ht="15" hidden="1" x14ac:dyDescent="0.25">
      <c r="A2305" s="511" t="s">
        <v>1816</v>
      </c>
      <c r="B2305" s="511" t="s">
        <v>1817</v>
      </c>
    </row>
    <row r="2306" spans="1:2" ht="15" hidden="1" x14ac:dyDescent="0.25">
      <c r="A2306" s="511" t="s">
        <v>1994</v>
      </c>
      <c r="B2306" s="511" t="s">
        <v>1995</v>
      </c>
    </row>
    <row r="2307" spans="1:2" ht="15" hidden="1" x14ac:dyDescent="0.25">
      <c r="A2307" s="511" t="s">
        <v>1994</v>
      </c>
      <c r="B2307" s="511" t="s">
        <v>1995</v>
      </c>
    </row>
    <row r="2308" spans="1:2" ht="15" hidden="1" x14ac:dyDescent="0.25">
      <c r="A2308" s="511" t="s">
        <v>1417</v>
      </c>
      <c r="B2308" s="511" t="s">
        <v>1418</v>
      </c>
    </row>
    <row r="2309" spans="1:2" ht="15" hidden="1" x14ac:dyDescent="0.25">
      <c r="A2309" s="511" t="s">
        <v>1996</v>
      </c>
      <c r="B2309" s="511" t="s">
        <v>1997</v>
      </c>
    </row>
    <row r="2310" spans="1:2" ht="15" hidden="1" x14ac:dyDescent="0.25">
      <c r="A2310" s="511" t="s">
        <v>1998</v>
      </c>
      <c r="B2310" s="511" t="s">
        <v>1999</v>
      </c>
    </row>
    <row r="2311" spans="1:2" ht="15" hidden="1" x14ac:dyDescent="0.25">
      <c r="A2311" s="512" t="s">
        <v>1998</v>
      </c>
      <c r="B2311" s="511" t="s">
        <v>1999</v>
      </c>
    </row>
    <row r="2312" spans="1:2" ht="15" hidden="1" x14ac:dyDescent="0.25">
      <c r="A2312" s="511" t="s">
        <v>2000</v>
      </c>
      <c r="B2312" s="511" t="s">
        <v>2001</v>
      </c>
    </row>
    <row r="2313" spans="1:2" ht="15" hidden="1" x14ac:dyDescent="0.25">
      <c r="A2313" s="511" t="s">
        <v>2002</v>
      </c>
      <c r="B2313" s="511" t="s">
        <v>2003</v>
      </c>
    </row>
    <row r="2314" spans="1:2" ht="15" hidden="1" x14ac:dyDescent="0.25">
      <c r="A2314" s="511" t="s">
        <v>2004</v>
      </c>
      <c r="B2314" s="511" t="s">
        <v>2005</v>
      </c>
    </row>
    <row r="2315" spans="1:2" ht="15" hidden="1" x14ac:dyDescent="0.25">
      <c r="A2315" s="511" t="s">
        <v>2006</v>
      </c>
      <c r="B2315" s="511" t="s">
        <v>2007</v>
      </c>
    </row>
    <row r="2316" spans="1:2" ht="15" hidden="1" x14ac:dyDescent="0.25">
      <c r="A2316" s="511" t="s">
        <v>2008</v>
      </c>
      <c r="B2316" s="511" t="s">
        <v>2009</v>
      </c>
    </row>
    <row r="2317" spans="1:2" ht="15" hidden="1" x14ac:dyDescent="0.25">
      <c r="A2317" s="511" t="s">
        <v>2010</v>
      </c>
      <c r="B2317" s="511" t="s">
        <v>2011</v>
      </c>
    </row>
    <row r="2318" spans="1:2" ht="15" hidden="1" x14ac:dyDescent="0.25">
      <c r="A2318" s="511" t="s">
        <v>2012</v>
      </c>
      <c r="B2318" s="511" t="s">
        <v>444</v>
      </c>
    </row>
    <row r="2319" spans="1:2" ht="15" hidden="1" x14ac:dyDescent="0.25">
      <c r="A2319" s="511" t="s">
        <v>2012</v>
      </c>
      <c r="B2319" s="511" t="s">
        <v>444</v>
      </c>
    </row>
    <row r="2320" spans="1:2" ht="15" hidden="1" x14ac:dyDescent="0.25">
      <c r="A2320" s="511" t="s">
        <v>2013</v>
      </c>
      <c r="B2320" s="511" t="s">
        <v>2014</v>
      </c>
    </row>
    <row r="2321" spans="1:2" ht="15" hidden="1" x14ac:dyDescent="0.25">
      <c r="A2321" s="511" t="s">
        <v>2013</v>
      </c>
      <c r="B2321" s="511" t="s">
        <v>2014</v>
      </c>
    </row>
    <row r="2322" spans="1:2" ht="15" hidden="1" x14ac:dyDescent="0.25">
      <c r="A2322" s="511" t="s">
        <v>2015</v>
      </c>
      <c r="B2322" s="511" t="s">
        <v>2016</v>
      </c>
    </row>
    <row r="2323" spans="1:2" ht="15" hidden="1" x14ac:dyDescent="0.25">
      <c r="A2323" s="511" t="s">
        <v>2017</v>
      </c>
      <c r="B2323" s="511" t="s">
        <v>2018</v>
      </c>
    </row>
    <row r="2324" spans="1:2" ht="15" hidden="1" x14ac:dyDescent="0.25">
      <c r="A2324" s="511" t="s">
        <v>2019</v>
      </c>
      <c r="B2324" s="511" t="s">
        <v>2020</v>
      </c>
    </row>
    <row r="2325" spans="1:2" ht="15" hidden="1" x14ac:dyDescent="0.25">
      <c r="A2325" s="511" t="s">
        <v>2021</v>
      </c>
      <c r="B2325" s="511" t="s">
        <v>2022</v>
      </c>
    </row>
    <row r="2326" spans="1:2" ht="15" hidden="1" x14ac:dyDescent="0.25">
      <c r="A2326" s="511" t="s">
        <v>2023</v>
      </c>
      <c r="B2326" s="511" t="s">
        <v>2024</v>
      </c>
    </row>
    <row r="2327" spans="1:2" ht="15" hidden="1" x14ac:dyDescent="0.25">
      <c r="A2327" s="511" t="s">
        <v>1441</v>
      </c>
      <c r="B2327" s="511" t="s">
        <v>1442</v>
      </c>
    </row>
    <row r="2328" spans="1:2" ht="15" hidden="1" x14ac:dyDescent="0.25">
      <c r="A2328" s="511" t="s">
        <v>1441</v>
      </c>
      <c r="B2328" s="511" t="s">
        <v>1442</v>
      </c>
    </row>
    <row r="2329" spans="1:2" ht="15" hidden="1" x14ac:dyDescent="0.25">
      <c r="A2329" s="511" t="s">
        <v>2025</v>
      </c>
      <c r="B2329" s="511" t="s">
        <v>2026</v>
      </c>
    </row>
    <row r="2330" spans="1:2" ht="15" hidden="1" x14ac:dyDescent="0.25">
      <c r="A2330" s="511" t="s">
        <v>2027</v>
      </c>
      <c r="B2330" s="511" t="s">
        <v>2028</v>
      </c>
    </row>
    <row r="2331" spans="1:2" ht="15" hidden="1" x14ac:dyDescent="0.25">
      <c r="A2331" s="511" t="s">
        <v>2027</v>
      </c>
      <c r="B2331" s="511" t="s">
        <v>2028</v>
      </c>
    </row>
    <row r="2332" spans="1:2" ht="15" hidden="1" x14ac:dyDescent="0.25">
      <c r="A2332" s="511" t="s">
        <v>2029</v>
      </c>
      <c r="B2332" s="511" t="s">
        <v>2030</v>
      </c>
    </row>
    <row r="2333" spans="1:2" ht="15" hidden="1" x14ac:dyDescent="0.25">
      <c r="A2333" s="511" t="s">
        <v>2031</v>
      </c>
      <c r="B2333" s="511" t="s">
        <v>2032</v>
      </c>
    </row>
    <row r="2334" spans="1:2" ht="15" hidden="1" x14ac:dyDescent="0.25">
      <c r="A2334" s="511" t="s">
        <v>2031</v>
      </c>
      <c r="B2334" s="511" t="s">
        <v>2032</v>
      </c>
    </row>
    <row r="2335" spans="1:2" ht="15" hidden="1" x14ac:dyDescent="0.25">
      <c r="A2335" s="511" t="s">
        <v>2031</v>
      </c>
      <c r="B2335" s="511" t="s">
        <v>2032</v>
      </c>
    </row>
    <row r="2336" spans="1:2" ht="15" hidden="1" x14ac:dyDescent="0.25">
      <c r="A2336" s="511" t="s">
        <v>2031</v>
      </c>
      <c r="B2336" s="511" t="s">
        <v>2032</v>
      </c>
    </row>
    <row r="2337" spans="1:2" ht="15" hidden="1" x14ac:dyDescent="0.25">
      <c r="A2337" s="511" t="s">
        <v>2033</v>
      </c>
      <c r="B2337" s="511" t="s">
        <v>2034</v>
      </c>
    </row>
    <row r="2338" spans="1:2" ht="15" hidden="1" x14ac:dyDescent="0.25">
      <c r="A2338" s="511" t="s">
        <v>2035</v>
      </c>
      <c r="B2338" s="511" t="s">
        <v>2036</v>
      </c>
    </row>
    <row r="2339" spans="1:2" ht="15" hidden="1" x14ac:dyDescent="0.25">
      <c r="A2339" s="511" t="s">
        <v>2035</v>
      </c>
      <c r="B2339" s="511" t="s">
        <v>2036</v>
      </c>
    </row>
    <row r="2340" spans="1:2" ht="15" hidden="1" x14ac:dyDescent="0.25">
      <c r="A2340" s="511" t="s">
        <v>2035</v>
      </c>
      <c r="B2340" s="511" t="s">
        <v>2036</v>
      </c>
    </row>
    <row r="2341" spans="1:2" ht="15" hidden="1" x14ac:dyDescent="0.25">
      <c r="A2341" s="511" t="s">
        <v>2037</v>
      </c>
      <c r="B2341" s="511" t="s">
        <v>2038</v>
      </c>
    </row>
    <row r="2342" spans="1:2" ht="15" hidden="1" x14ac:dyDescent="0.25">
      <c r="A2342" s="511" t="s">
        <v>2037</v>
      </c>
      <c r="B2342" s="511" t="s">
        <v>2038</v>
      </c>
    </row>
    <row r="2343" spans="1:2" ht="15" hidden="1" x14ac:dyDescent="0.25">
      <c r="A2343" s="511" t="s">
        <v>2039</v>
      </c>
      <c r="B2343" s="511" t="s">
        <v>2040</v>
      </c>
    </row>
    <row r="2344" spans="1:2" ht="15" hidden="1" x14ac:dyDescent="0.25">
      <c r="A2344" s="511" t="s">
        <v>2039</v>
      </c>
      <c r="B2344" s="511" t="s">
        <v>2040</v>
      </c>
    </row>
    <row r="2345" spans="1:2" ht="15" hidden="1" x14ac:dyDescent="0.25">
      <c r="A2345" s="511" t="s">
        <v>2041</v>
      </c>
      <c r="B2345" s="511" t="s">
        <v>2042</v>
      </c>
    </row>
    <row r="2346" spans="1:2" ht="15" hidden="1" x14ac:dyDescent="0.25">
      <c r="A2346" s="511" t="s">
        <v>2041</v>
      </c>
      <c r="B2346" s="511" t="s">
        <v>2042</v>
      </c>
    </row>
    <row r="2347" spans="1:2" ht="15" hidden="1" x14ac:dyDescent="0.25">
      <c r="A2347" s="511" t="s">
        <v>2043</v>
      </c>
      <c r="B2347" s="511" t="s">
        <v>2044</v>
      </c>
    </row>
    <row r="2348" spans="1:2" ht="15" hidden="1" x14ac:dyDescent="0.25">
      <c r="A2348" s="511" t="s">
        <v>1459</v>
      </c>
      <c r="B2348" s="511" t="s">
        <v>1460</v>
      </c>
    </row>
    <row r="2349" spans="1:2" ht="15" hidden="1" x14ac:dyDescent="0.25">
      <c r="A2349" s="511" t="s">
        <v>1459</v>
      </c>
      <c r="B2349" s="511" t="s">
        <v>1460</v>
      </c>
    </row>
    <row r="2350" spans="1:2" ht="15" hidden="1" x14ac:dyDescent="0.25">
      <c r="A2350" s="511" t="s">
        <v>2045</v>
      </c>
      <c r="B2350" s="511" t="s">
        <v>2046</v>
      </c>
    </row>
    <row r="2351" spans="1:2" ht="15" hidden="1" x14ac:dyDescent="0.25">
      <c r="A2351" s="511" t="s">
        <v>2045</v>
      </c>
      <c r="B2351" s="511" t="s">
        <v>2046</v>
      </c>
    </row>
    <row r="2352" spans="1:2" ht="15" hidden="1" x14ac:dyDescent="0.25">
      <c r="A2352" s="511" t="s">
        <v>2047</v>
      </c>
      <c r="B2352" s="511" t="s">
        <v>2048</v>
      </c>
    </row>
    <row r="2353" spans="1:2" ht="15" hidden="1" x14ac:dyDescent="0.25">
      <c r="A2353" s="511" t="s">
        <v>2049</v>
      </c>
      <c r="B2353" s="511" t="s">
        <v>2050</v>
      </c>
    </row>
    <row r="2354" spans="1:2" ht="15" hidden="1" x14ac:dyDescent="0.25">
      <c r="A2354" s="511" t="s">
        <v>2049</v>
      </c>
      <c r="B2354" s="511" t="s">
        <v>2050</v>
      </c>
    </row>
    <row r="2355" spans="1:2" ht="15" hidden="1" x14ac:dyDescent="0.25">
      <c r="A2355" s="511" t="s">
        <v>2051</v>
      </c>
      <c r="B2355" s="511" t="s">
        <v>2052</v>
      </c>
    </row>
    <row r="2356" spans="1:2" ht="15" hidden="1" x14ac:dyDescent="0.25">
      <c r="A2356" s="511" t="s">
        <v>2053</v>
      </c>
      <c r="B2356" s="511" t="s">
        <v>2054</v>
      </c>
    </row>
    <row r="2357" spans="1:2" ht="15" hidden="1" x14ac:dyDescent="0.25">
      <c r="A2357" s="511" t="s">
        <v>2055</v>
      </c>
      <c r="B2357" s="511" t="s">
        <v>2056</v>
      </c>
    </row>
    <row r="2358" spans="1:2" ht="15" hidden="1" x14ac:dyDescent="0.25">
      <c r="A2358" s="511" t="s">
        <v>2055</v>
      </c>
      <c r="B2358" s="511" t="s">
        <v>2056</v>
      </c>
    </row>
    <row r="2359" spans="1:2" ht="15" hidden="1" x14ac:dyDescent="0.25">
      <c r="A2359" s="511" t="s">
        <v>258</v>
      </c>
      <c r="B2359" s="511" t="s">
        <v>434</v>
      </c>
    </row>
    <row r="2360" spans="1:2" ht="15" hidden="1" x14ac:dyDescent="0.25">
      <c r="A2360" s="511" t="s">
        <v>258</v>
      </c>
      <c r="B2360" s="511" t="s">
        <v>434</v>
      </c>
    </row>
    <row r="2361" spans="1:2" ht="15" hidden="1" x14ac:dyDescent="0.25">
      <c r="A2361" s="511" t="s">
        <v>2057</v>
      </c>
      <c r="B2361" s="511" t="s">
        <v>2024</v>
      </c>
    </row>
    <row r="2362" spans="1:2" ht="15" hidden="1" x14ac:dyDescent="0.25">
      <c r="A2362" s="511" t="s">
        <v>2058</v>
      </c>
      <c r="B2362" s="511" t="s">
        <v>2059</v>
      </c>
    </row>
    <row r="2363" spans="1:2" ht="15" hidden="1" x14ac:dyDescent="0.25">
      <c r="A2363" s="511" t="s">
        <v>2058</v>
      </c>
      <c r="B2363" s="511" t="s">
        <v>2059</v>
      </c>
    </row>
    <row r="2364" spans="1:2" ht="15" hidden="1" x14ac:dyDescent="0.25">
      <c r="A2364" s="511" t="s">
        <v>1747</v>
      </c>
      <c r="B2364" s="511" t="s">
        <v>1748</v>
      </c>
    </row>
    <row r="2365" spans="1:2" ht="15" hidden="1" x14ac:dyDescent="0.25">
      <c r="A2365" s="511" t="s">
        <v>1747</v>
      </c>
      <c r="B2365" s="511" t="s">
        <v>1748</v>
      </c>
    </row>
    <row r="2366" spans="1:2" ht="15" hidden="1" x14ac:dyDescent="0.25">
      <c r="A2366" s="511" t="s">
        <v>1747</v>
      </c>
      <c r="B2366" s="511" t="s">
        <v>1748</v>
      </c>
    </row>
    <row r="2367" spans="1:2" ht="15" hidden="1" x14ac:dyDescent="0.25">
      <c r="A2367" s="511" t="s">
        <v>2060</v>
      </c>
      <c r="B2367" s="511" t="s">
        <v>2061</v>
      </c>
    </row>
    <row r="2368" spans="1:2" ht="15" hidden="1" x14ac:dyDescent="0.25">
      <c r="A2368" s="511" t="s">
        <v>2062</v>
      </c>
      <c r="B2368" s="511" t="s">
        <v>2063</v>
      </c>
    </row>
    <row r="2369" spans="1:2" ht="15" hidden="1" x14ac:dyDescent="0.25">
      <c r="A2369" s="511" t="s">
        <v>2064</v>
      </c>
      <c r="B2369" s="511" t="s">
        <v>2065</v>
      </c>
    </row>
    <row r="2370" spans="1:2" ht="15" hidden="1" x14ac:dyDescent="0.25">
      <c r="A2370" s="511" t="s">
        <v>2066</v>
      </c>
      <c r="B2370" s="511" t="s">
        <v>2067</v>
      </c>
    </row>
    <row r="2371" spans="1:2" ht="15" hidden="1" x14ac:dyDescent="0.25">
      <c r="A2371" s="511" t="s">
        <v>1978</v>
      </c>
      <c r="B2371" s="511" t="s">
        <v>2068</v>
      </c>
    </row>
    <row r="2372" spans="1:2" ht="15" hidden="1" x14ac:dyDescent="0.25">
      <c r="A2372" s="511" t="s">
        <v>2069</v>
      </c>
      <c r="B2372" s="511" t="s">
        <v>2070</v>
      </c>
    </row>
    <row r="2373" spans="1:2" ht="15" hidden="1" x14ac:dyDescent="0.25">
      <c r="A2373" s="511" t="s">
        <v>2069</v>
      </c>
      <c r="B2373" s="511" t="s">
        <v>2070</v>
      </c>
    </row>
    <row r="2374" spans="1:2" ht="15" hidden="1" x14ac:dyDescent="0.25">
      <c r="A2374" s="511" t="s">
        <v>2071</v>
      </c>
      <c r="B2374" s="511" t="s">
        <v>2072</v>
      </c>
    </row>
    <row r="2375" spans="1:2" ht="15" hidden="1" x14ac:dyDescent="0.25">
      <c r="A2375" s="511" t="s">
        <v>2071</v>
      </c>
      <c r="B2375" s="511" t="s">
        <v>2072</v>
      </c>
    </row>
    <row r="2376" spans="1:2" ht="15" hidden="1" x14ac:dyDescent="0.25">
      <c r="A2376" s="511" t="s">
        <v>2073</v>
      </c>
      <c r="B2376" s="511" t="s">
        <v>2074</v>
      </c>
    </row>
    <row r="2377" spans="1:2" ht="15" hidden="1" x14ac:dyDescent="0.25">
      <c r="A2377" s="511" t="s">
        <v>2073</v>
      </c>
      <c r="B2377" s="511" t="s">
        <v>2074</v>
      </c>
    </row>
    <row r="2378" spans="1:2" ht="15" hidden="1" x14ac:dyDescent="0.25">
      <c r="A2378" s="511" t="s">
        <v>2075</v>
      </c>
      <c r="B2378" s="511" t="s">
        <v>2076</v>
      </c>
    </row>
    <row r="2379" spans="1:2" ht="15" hidden="1" x14ac:dyDescent="0.25">
      <c r="A2379" s="511" t="s">
        <v>2075</v>
      </c>
      <c r="B2379" s="511" t="s">
        <v>2076</v>
      </c>
    </row>
    <row r="2380" spans="1:2" ht="15" hidden="1" x14ac:dyDescent="0.25">
      <c r="A2380" s="511" t="s">
        <v>1863</v>
      </c>
      <c r="B2380" s="511" t="s">
        <v>1864</v>
      </c>
    </row>
    <row r="2381" spans="1:2" ht="15" hidden="1" x14ac:dyDescent="0.25">
      <c r="A2381" s="511" t="s">
        <v>1863</v>
      </c>
      <c r="B2381" s="511" t="s">
        <v>1864</v>
      </c>
    </row>
    <row r="2382" spans="1:2" ht="15" hidden="1" x14ac:dyDescent="0.25">
      <c r="A2382" s="511" t="s">
        <v>2077</v>
      </c>
      <c r="B2382" s="511" t="s">
        <v>2078</v>
      </c>
    </row>
    <row r="2383" spans="1:2" ht="15" hidden="1" x14ac:dyDescent="0.25">
      <c r="A2383" s="511" t="s">
        <v>2077</v>
      </c>
      <c r="B2383" s="511" t="s">
        <v>2078</v>
      </c>
    </row>
    <row r="2384" spans="1:2" ht="15" hidden="1" x14ac:dyDescent="0.25">
      <c r="A2384" s="511" t="s">
        <v>2079</v>
      </c>
      <c r="B2384" s="511" t="s">
        <v>2080</v>
      </c>
    </row>
    <row r="2385" spans="1:2" ht="15" hidden="1" x14ac:dyDescent="0.25">
      <c r="A2385" s="511" t="s">
        <v>2079</v>
      </c>
      <c r="B2385" s="511" t="s">
        <v>2080</v>
      </c>
    </row>
    <row r="2386" spans="1:2" ht="15" hidden="1" x14ac:dyDescent="0.25">
      <c r="A2386" s="511" t="s">
        <v>2081</v>
      </c>
      <c r="B2386" s="511" t="s">
        <v>2082</v>
      </c>
    </row>
    <row r="2387" spans="1:2" ht="15" hidden="1" x14ac:dyDescent="0.25">
      <c r="A2387" s="513" t="s">
        <v>2083</v>
      </c>
      <c r="B2387" s="511" t="s">
        <v>2084</v>
      </c>
    </row>
    <row r="2388" spans="1:2" ht="15" hidden="1" x14ac:dyDescent="0.25">
      <c r="A2388" s="511" t="s">
        <v>231</v>
      </c>
      <c r="B2388" s="511" t="s">
        <v>359</v>
      </c>
    </row>
    <row r="2389" spans="1:2" ht="15" hidden="1" x14ac:dyDescent="0.25">
      <c r="A2389" s="511" t="s">
        <v>231</v>
      </c>
      <c r="B2389" s="511" t="s">
        <v>359</v>
      </c>
    </row>
    <row r="2390" spans="1:2" ht="15" hidden="1" x14ac:dyDescent="0.25">
      <c r="A2390" s="511" t="s">
        <v>231</v>
      </c>
      <c r="B2390" s="511" t="s">
        <v>359</v>
      </c>
    </row>
    <row r="2391" spans="1:2" ht="15" hidden="1" x14ac:dyDescent="0.25">
      <c r="A2391" s="511" t="s">
        <v>2085</v>
      </c>
      <c r="B2391" s="511" t="s">
        <v>2086</v>
      </c>
    </row>
    <row r="2392" spans="1:2" ht="15" hidden="1" x14ac:dyDescent="0.25">
      <c r="A2392" s="511" t="s">
        <v>2085</v>
      </c>
      <c r="B2392" s="511" t="s">
        <v>2086</v>
      </c>
    </row>
    <row r="2393" spans="1:2" ht="15" hidden="1" x14ac:dyDescent="0.25">
      <c r="A2393" s="511" t="s">
        <v>2085</v>
      </c>
      <c r="B2393" s="511" t="s">
        <v>2086</v>
      </c>
    </row>
    <row r="2394" spans="1:2" ht="15" hidden="1" x14ac:dyDescent="0.25">
      <c r="A2394" s="511" t="s">
        <v>2085</v>
      </c>
      <c r="B2394" s="511" t="s">
        <v>2086</v>
      </c>
    </row>
    <row r="2395" spans="1:2" ht="15" hidden="1" x14ac:dyDescent="0.25">
      <c r="A2395" s="511" t="s">
        <v>2085</v>
      </c>
      <c r="B2395" s="511" t="s">
        <v>2086</v>
      </c>
    </row>
    <row r="2396" spans="1:2" ht="15" hidden="1" x14ac:dyDescent="0.25">
      <c r="A2396" s="511" t="s">
        <v>2085</v>
      </c>
      <c r="B2396" s="511" t="s">
        <v>2086</v>
      </c>
    </row>
    <row r="2397" spans="1:2" ht="15" hidden="1" x14ac:dyDescent="0.25">
      <c r="A2397" s="511" t="s">
        <v>194</v>
      </c>
      <c r="B2397" s="511" t="s">
        <v>365</v>
      </c>
    </row>
    <row r="2398" spans="1:2" ht="15" hidden="1" x14ac:dyDescent="0.25">
      <c r="A2398" s="511" t="s">
        <v>194</v>
      </c>
      <c r="B2398" s="511" t="s">
        <v>365</v>
      </c>
    </row>
    <row r="2399" spans="1:2" ht="15" hidden="1" x14ac:dyDescent="0.25">
      <c r="A2399" s="511" t="s">
        <v>194</v>
      </c>
      <c r="B2399" s="511" t="s">
        <v>365</v>
      </c>
    </row>
    <row r="2400" spans="1:2" ht="15" hidden="1" x14ac:dyDescent="0.25">
      <c r="A2400" s="511" t="s">
        <v>194</v>
      </c>
      <c r="B2400" s="511" t="s">
        <v>365</v>
      </c>
    </row>
    <row r="2401" spans="1:2" ht="15" hidden="1" x14ac:dyDescent="0.25">
      <c r="A2401" s="511" t="s">
        <v>194</v>
      </c>
      <c r="B2401" s="511" t="s">
        <v>365</v>
      </c>
    </row>
    <row r="2402" spans="1:2" ht="15" hidden="1" x14ac:dyDescent="0.25">
      <c r="A2402" s="511" t="s">
        <v>194</v>
      </c>
      <c r="B2402" s="511" t="s">
        <v>365</v>
      </c>
    </row>
    <row r="2403" spans="1:2" ht="15" hidden="1" x14ac:dyDescent="0.25">
      <c r="A2403" s="511" t="s">
        <v>194</v>
      </c>
      <c r="B2403" s="511" t="s">
        <v>365</v>
      </c>
    </row>
    <row r="2404" spans="1:2" ht="15" hidden="1" x14ac:dyDescent="0.25">
      <c r="A2404" s="511" t="s">
        <v>194</v>
      </c>
      <c r="B2404" s="511" t="s">
        <v>365</v>
      </c>
    </row>
    <row r="2405" spans="1:2" ht="15" hidden="1" x14ac:dyDescent="0.25">
      <c r="A2405" s="511" t="s">
        <v>194</v>
      </c>
      <c r="B2405" s="511" t="s">
        <v>365</v>
      </c>
    </row>
    <row r="2406" spans="1:2" ht="15" hidden="1" x14ac:dyDescent="0.25">
      <c r="A2406" s="511" t="s">
        <v>234</v>
      </c>
      <c r="B2406" s="511" t="s">
        <v>366</v>
      </c>
    </row>
    <row r="2407" spans="1:2" ht="15" hidden="1" x14ac:dyDescent="0.25">
      <c r="A2407" s="511" t="s">
        <v>234</v>
      </c>
      <c r="B2407" s="511" t="s">
        <v>366</v>
      </c>
    </row>
    <row r="2408" spans="1:2" ht="15" hidden="1" x14ac:dyDescent="0.25">
      <c r="A2408" s="511" t="s">
        <v>234</v>
      </c>
      <c r="B2408" s="511" t="s">
        <v>366</v>
      </c>
    </row>
    <row r="2409" spans="1:2" ht="15" hidden="1" x14ac:dyDescent="0.25">
      <c r="A2409" s="511" t="s">
        <v>234</v>
      </c>
      <c r="B2409" s="511" t="s">
        <v>366</v>
      </c>
    </row>
    <row r="2410" spans="1:2" ht="15" hidden="1" x14ac:dyDescent="0.25">
      <c r="A2410" s="511" t="s">
        <v>234</v>
      </c>
      <c r="B2410" s="511" t="s">
        <v>366</v>
      </c>
    </row>
    <row r="2411" spans="1:2" ht="15" hidden="1" x14ac:dyDescent="0.25">
      <c r="A2411" s="511" t="s">
        <v>234</v>
      </c>
      <c r="B2411" s="511" t="s">
        <v>366</v>
      </c>
    </row>
    <row r="2412" spans="1:2" ht="15" hidden="1" x14ac:dyDescent="0.25">
      <c r="A2412" s="511" t="s">
        <v>234</v>
      </c>
      <c r="B2412" s="511" t="s">
        <v>366</v>
      </c>
    </row>
    <row r="2413" spans="1:2" ht="15" hidden="1" x14ac:dyDescent="0.25">
      <c r="A2413" s="511" t="s">
        <v>234</v>
      </c>
      <c r="B2413" s="511" t="s">
        <v>366</v>
      </c>
    </row>
    <row r="2414" spans="1:2" ht="15" hidden="1" x14ac:dyDescent="0.25">
      <c r="A2414" s="511" t="s">
        <v>234</v>
      </c>
      <c r="B2414" s="511" t="s">
        <v>366</v>
      </c>
    </row>
    <row r="2415" spans="1:2" ht="15" hidden="1" x14ac:dyDescent="0.25">
      <c r="A2415" s="511" t="s">
        <v>234</v>
      </c>
      <c r="B2415" s="511" t="s">
        <v>366</v>
      </c>
    </row>
    <row r="2416" spans="1:2" ht="15" hidden="1" x14ac:dyDescent="0.25">
      <c r="A2416" s="511" t="s">
        <v>195</v>
      </c>
      <c r="B2416" s="511" t="s">
        <v>367</v>
      </c>
    </row>
    <row r="2417" spans="1:2" ht="15" hidden="1" x14ac:dyDescent="0.25">
      <c r="A2417" s="511" t="s">
        <v>197</v>
      </c>
      <c r="B2417" s="511" t="s">
        <v>369</v>
      </c>
    </row>
    <row r="2418" spans="1:2" ht="15" hidden="1" x14ac:dyDescent="0.25">
      <c r="A2418" s="511" t="s">
        <v>197</v>
      </c>
      <c r="B2418" s="511" t="s">
        <v>369</v>
      </c>
    </row>
    <row r="2419" spans="1:2" ht="15" hidden="1" x14ac:dyDescent="0.25">
      <c r="A2419" s="511" t="s">
        <v>197</v>
      </c>
      <c r="B2419" s="511" t="s">
        <v>369</v>
      </c>
    </row>
    <row r="2420" spans="1:2" ht="15" hidden="1" x14ac:dyDescent="0.25">
      <c r="A2420" s="511" t="s">
        <v>197</v>
      </c>
      <c r="B2420" s="511" t="s">
        <v>369</v>
      </c>
    </row>
    <row r="2421" spans="1:2" ht="15" hidden="1" x14ac:dyDescent="0.25">
      <c r="A2421" s="511" t="s">
        <v>199</v>
      </c>
      <c r="B2421" s="511" t="s">
        <v>372</v>
      </c>
    </row>
    <row r="2422" spans="1:2" ht="15" hidden="1" x14ac:dyDescent="0.25">
      <c r="A2422" s="511" t="s">
        <v>199</v>
      </c>
      <c r="B2422" s="511" t="s">
        <v>372</v>
      </c>
    </row>
    <row r="2423" spans="1:2" ht="15" hidden="1" x14ac:dyDescent="0.25">
      <c r="A2423" s="511" t="s">
        <v>199</v>
      </c>
      <c r="B2423" s="511" t="s">
        <v>372</v>
      </c>
    </row>
    <row r="2424" spans="1:2" ht="15" hidden="1" x14ac:dyDescent="0.25">
      <c r="A2424" s="511" t="s">
        <v>199</v>
      </c>
      <c r="B2424" s="511" t="s">
        <v>372</v>
      </c>
    </row>
    <row r="2425" spans="1:2" ht="15" hidden="1" x14ac:dyDescent="0.25">
      <c r="A2425" s="511" t="s">
        <v>199</v>
      </c>
      <c r="B2425" s="511" t="s">
        <v>372</v>
      </c>
    </row>
    <row r="2426" spans="1:2" ht="15" hidden="1" x14ac:dyDescent="0.25">
      <c r="A2426" s="511" t="s">
        <v>199</v>
      </c>
      <c r="B2426" s="511" t="s">
        <v>372</v>
      </c>
    </row>
    <row r="2427" spans="1:2" ht="15" hidden="1" x14ac:dyDescent="0.25">
      <c r="A2427" s="511" t="s">
        <v>1319</v>
      </c>
      <c r="B2427" s="511" t="s">
        <v>1320</v>
      </c>
    </row>
    <row r="2428" spans="1:2" ht="15" hidden="1" x14ac:dyDescent="0.25">
      <c r="A2428" s="511" t="s">
        <v>1319</v>
      </c>
      <c r="B2428" s="511" t="s">
        <v>1320</v>
      </c>
    </row>
    <row r="2429" spans="1:2" ht="15" hidden="1" x14ac:dyDescent="0.25">
      <c r="A2429" s="511" t="s">
        <v>1319</v>
      </c>
      <c r="B2429" s="511" t="s">
        <v>1320</v>
      </c>
    </row>
    <row r="2430" spans="1:2" ht="15" hidden="1" x14ac:dyDescent="0.25">
      <c r="A2430" s="511" t="s">
        <v>1319</v>
      </c>
      <c r="B2430" s="511" t="s">
        <v>1320</v>
      </c>
    </row>
    <row r="2431" spans="1:2" ht="15" hidden="1" x14ac:dyDescent="0.25">
      <c r="A2431" s="511" t="s">
        <v>1319</v>
      </c>
      <c r="B2431" s="511" t="s">
        <v>1320</v>
      </c>
    </row>
    <row r="2432" spans="1:2" ht="15" hidden="1" x14ac:dyDescent="0.25">
      <c r="A2432" s="511" t="s">
        <v>1319</v>
      </c>
      <c r="B2432" s="511" t="s">
        <v>1320</v>
      </c>
    </row>
    <row r="2433" spans="1:2" ht="15" hidden="1" x14ac:dyDescent="0.25">
      <c r="A2433" s="511" t="s">
        <v>1319</v>
      </c>
      <c r="B2433" s="511" t="s">
        <v>1320</v>
      </c>
    </row>
    <row r="2434" spans="1:2" ht="15" hidden="1" x14ac:dyDescent="0.25">
      <c r="A2434" s="511" t="s">
        <v>1319</v>
      </c>
      <c r="B2434" s="511" t="s">
        <v>1320</v>
      </c>
    </row>
    <row r="2435" spans="1:2" ht="15" hidden="1" x14ac:dyDescent="0.25">
      <c r="A2435" s="511" t="s">
        <v>1319</v>
      </c>
      <c r="B2435" s="511" t="s">
        <v>1320</v>
      </c>
    </row>
    <row r="2436" spans="1:2" ht="15" hidden="1" x14ac:dyDescent="0.25">
      <c r="A2436" s="511" t="s">
        <v>2087</v>
      </c>
      <c r="B2436" s="511" t="s">
        <v>2087</v>
      </c>
    </row>
    <row r="2437" spans="1:2" ht="15" hidden="1" x14ac:dyDescent="0.25">
      <c r="A2437" s="511" t="s">
        <v>2088</v>
      </c>
      <c r="B2437" s="511" t="s">
        <v>2088</v>
      </c>
    </row>
    <row r="2438" spans="1:2" ht="15" hidden="1" x14ac:dyDescent="0.25">
      <c r="A2438" s="511" t="s">
        <v>2089</v>
      </c>
      <c r="B2438" s="511" t="s">
        <v>2089</v>
      </c>
    </row>
    <row r="2439" spans="1:2" ht="15" hidden="1" x14ac:dyDescent="0.25">
      <c r="A2439" s="511" t="s">
        <v>2090</v>
      </c>
      <c r="B2439" s="511" t="s">
        <v>2090</v>
      </c>
    </row>
    <row r="2440" spans="1:2" ht="15" hidden="1" x14ac:dyDescent="0.25">
      <c r="A2440" s="511" t="s">
        <v>2091</v>
      </c>
      <c r="B2440" s="511" t="s">
        <v>2091</v>
      </c>
    </row>
    <row r="2441" spans="1:2" ht="15" hidden="1" x14ac:dyDescent="0.25">
      <c r="A2441" s="511" t="s">
        <v>2092</v>
      </c>
      <c r="B2441" s="511" t="s">
        <v>2092</v>
      </c>
    </row>
    <row r="2442" spans="1:2" ht="15" hidden="1" x14ac:dyDescent="0.25">
      <c r="A2442" s="511" t="s">
        <v>2093</v>
      </c>
      <c r="B2442" s="511" t="s">
        <v>2093</v>
      </c>
    </row>
    <row r="2443" spans="1:2" ht="15" hidden="1" x14ac:dyDescent="0.25">
      <c r="A2443" s="511" t="s">
        <v>2094</v>
      </c>
      <c r="B2443" s="511" t="s">
        <v>2094</v>
      </c>
    </row>
    <row r="2444" spans="1:2" ht="15" hidden="1" x14ac:dyDescent="0.25">
      <c r="A2444" s="511" t="s">
        <v>2095</v>
      </c>
      <c r="B2444" s="511" t="s">
        <v>2095</v>
      </c>
    </row>
    <row r="2445" spans="1:2" ht="15" hidden="1" x14ac:dyDescent="0.25">
      <c r="A2445" s="511" t="s">
        <v>2096</v>
      </c>
      <c r="B2445" s="511" t="s">
        <v>2096</v>
      </c>
    </row>
    <row r="2446" spans="1:2" ht="15" hidden="1" x14ac:dyDescent="0.25">
      <c r="A2446" s="511" t="s">
        <v>2097</v>
      </c>
      <c r="B2446" s="511" t="s">
        <v>2097</v>
      </c>
    </row>
    <row r="2447" spans="1:2" ht="15" hidden="1" x14ac:dyDescent="0.25">
      <c r="A2447" s="511" t="s">
        <v>2098</v>
      </c>
      <c r="B2447" s="511" t="s">
        <v>2098</v>
      </c>
    </row>
    <row r="2448" spans="1:2" ht="15" hidden="1" x14ac:dyDescent="0.25">
      <c r="A2448" s="511" t="s">
        <v>2099</v>
      </c>
      <c r="B2448" s="511" t="s">
        <v>2099</v>
      </c>
    </row>
    <row r="2449" spans="1:2" ht="15" hidden="1" x14ac:dyDescent="0.25">
      <c r="A2449" s="511" t="s">
        <v>2100</v>
      </c>
      <c r="B2449" s="511" t="s">
        <v>2100</v>
      </c>
    </row>
    <row r="2450" spans="1:2" ht="15" hidden="1" x14ac:dyDescent="0.25">
      <c r="A2450" s="511" t="s">
        <v>2101</v>
      </c>
      <c r="B2450" s="511" t="s">
        <v>2101</v>
      </c>
    </row>
    <row r="2451" spans="1:2" ht="15" hidden="1" x14ac:dyDescent="0.25">
      <c r="A2451" s="511" t="s">
        <v>2102</v>
      </c>
      <c r="B2451" s="511" t="s">
        <v>2102</v>
      </c>
    </row>
    <row r="2452" spans="1:2" ht="15" hidden="1" x14ac:dyDescent="0.25">
      <c r="A2452" s="511" t="s">
        <v>2103</v>
      </c>
      <c r="B2452" s="511" t="s">
        <v>2103</v>
      </c>
    </row>
    <row r="2453" spans="1:2" ht="15" hidden="1" x14ac:dyDescent="0.25">
      <c r="A2453" s="511" t="s">
        <v>2104</v>
      </c>
      <c r="B2453" s="511" t="s">
        <v>2104</v>
      </c>
    </row>
    <row r="2454" spans="1:2" ht="15" hidden="1" x14ac:dyDescent="0.25">
      <c r="A2454" s="511" t="s">
        <v>2105</v>
      </c>
      <c r="B2454" s="511" t="s">
        <v>2105</v>
      </c>
    </row>
    <row r="2455" spans="1:2" ht="15" hidden="1" x14ac:dyDescent="0.25">
      <c r="A2455" s="511" t="s">
        <v>2106</v>
      </c>
      <c r="B2455" s="511" t="s">
        <v>2106</v>
      </c>
    </row>
    <row r="2456" spans="1:2" ht="15" hidden="1" x14ac:dyDescent="0.25">
      <c r="A2456" s="511" t="s">
        <v>2107</v>
      </c>
      <c r="B2456" s="511" t="s">
        <v>2107</v>
      </c>
    </row>
    <row r="2457" spans="1:2" ht="15" hidden="1" x14ac:dyDescent="0.25">
      <c r="A2457" s="511" t="s">
        <v>2108</v>
      </c>
      <c r="B2457" s="511" t="s">
        <v>2108</v>
      </c>
    </row>
    <row r="2458" spans="1:2" ht="15" hidden="1" x14ac:dyDescent="0.25">
      <c r="A2458" s="511" t="s">
        <v>2109</v>
      </c>
      <c r="B2458" s="511" t="s">
        <v>2109</v>
      </c>
    </row>
    <row r="2459" spans="1:2" ht="15" hidden="1" x14ac:dyDescent="0.25">
      <c r="A2459" s="511" t="s">
        <v>2110</v>
      </c>
      <c r="B2459" s="511" t="s">
        <v>2110</v>
      </c>
    </row>
    <row r="2460" spans="1:2" ht="15" hidden="1" x14ac:dyDescent="0.25">
      <c r="A2460" s="511" t="s">
        <v>2110</v>
      </c>
      <c r="B2460" s="511" t="s">
        <v>2110</v>
      </c>
    </row>
    <row r="2461" spans="1:2" ht="15" hidden="1" x14ac:dyDescent="0.25">
      <c r="A2461" s="511" t="s">
        <v>2111</v>
      </c>
      <c r="B2461" s="511" t="s">
        <v>2111</v>
      </c>
    </row>
    <row r="2462" spans="1:2" ht="15" hidden="1" x14ac:dyDescent="0.25">
      <c r="A2462" s="511" t="s">
        <v>2112</v>
      </c>
      <c r="B2462" s="511" t="s">
        <v>2112</v>
      </c>
    </row>
    <row r="2463" spans="1:2" ht="15" hidden="1" x14ac:dyDescent="0.25">
      <c r="A2463" s="511" t="s">
        <v>2113</v>
      </c>
      <c r="B2463" s="511" t="s">
        <v>2113</v>
      </c>
    </row>
    <row r="2464" spans="1:2" ht="15" hidden="1" x14ac:dyDescent="0.25">
      <c r="A2464" s="511" t="s">
        <v>2114</v>
      </c>
      <c r="B2464" s="511" t="s">
        <v>2114</v>
      </c>
    </row>
    <row r="2465" spans="1:2" ht="15" hidden="1" x14ac:dyDescent="0.25">
      <c r="A2465" s="511" t="s">
        <v>2115</v>
      </c>
      <c r="B2465" s="511" t="s">
        <v>2115</v>
      </c>
    </row>
    <row r="2466" spans="1:2" ht="15" hidden="1" x14ac:dyDescent="0.25">
      <c r="A2466" s="511" t="s">
        <v>2116</v>
      </c>
      <c r="B2466" s="511" t="s">
        <v>2116</v>
      </c>
    </row>
    <row r="2467" spans="1:2" ht="15" hidden="1" x14ac:dyDescent="0.25">
      <c r="A2467" s="511" t="s">
        <v>2117</v>
      </c>
      <c r="B2467" s="511" t="s">
        <v>2117</v>
      </c>
    </row>
    <row r="2468" spans="1:2" ht="15" hidden="1" x14ac:dyDescent="0.25">
      <c r="A2468" s="511" t="s">
        <v>2118</v>
      </c>
      <c r="B2468" s="511" t="s">
        <v>2118</v>
      </c>
    </row>
    <row r="2469" spans="1:2" ht="15" hidden="1" x14ac:dyDescent="0.25">
      <c r="A2469" s="511" t="s">
        <v>2119</v>
      </c>
      <c r="B2469" s="511" t="s">
        <v>2119</v>
      </c>
    </row>
    <row r="2470" spans="1:2" ht="15" hidden="1" x14ac:dyDescent="0.25">
      <c r="A2470" s="511" t="s">
        <v>2120</v>
      </c>
      <c r="B2470" s="511" t="s">
        <v>2120</v>
      </c>
    </row>
    <row r="2471" spans="1:2" ht="15" hidden="1" x14ac:dyDescent="0.25">
      <c r="A2471" s="511" t="s">
        <v>2121</v>
      </c>
      <c r="B2471" s="511" t="s">
        <v>2121</v>
      </c>
    </row>
    <row r="2472" spans="1:2" ht="15" hidden="1" x14ac:dyDescent="0.25">
      <c r="A2472" s="511" t="s">
        <v>2122</v>
      </c>
      <c r="B2472" s="511" t="s">
        <v>2122</v>
      </c>
    </row>
    <row r="2473" spans="1:2" ht="15" hidden="1" x14ac:dyDescent="0.25">
      <c r="A2473" s="511" t="s">
        <v>2123</v>
      </c>
      <c r="B2473" s="511" t="s">
        <v>2123</v>
      </c>
    </row>
    <row r="2474" spans="1:2" ht="15" hidden="1" x14ac:dyDescent="0.25">
      <c r="A2474" s="511" t="s">
        <v>2124</v>
      </c>
      <c r="B2474" s="511" t="s">
        <v>2124</v>
      </c>
    </row>
    <row r="2475" spans="1:2" ht="15" hidden="1" x14ac:dyDescent="0.25">
      <c r="A2475" s="511" t="s">
        <v>2125</v>
      </c>
      <c r="B2475" s="511" t="s">
        <v>2125</v>
      </c>
    </row>
    <row r="2476" spans="1:2" ht="15" hidden="1" x14ac:dyDescent="0.25">
      <c r="A2476" s="511" t="s">
        <v>2126</v>
      </c>
      <c r="B2476" s="511" t="s">
        <v>2126</v>
      </c>
    </row>
    <row r="2477" spans="1:2" ht="15" hidden="1" x14ac:dyDescent="0.25">
      <c r="A2477" s="511" t="s">
        <v>2127</v>
      </c>
      <c r="B2477" s="511" t="s">
        <v>2127</v>
      </c>
    </row>
    <row r="2478" spans="1:2" ht="15" hidden="1" x14ac:dyDescent="0.25">
      <c r="A2478" s="511" t="s">
        <v>2128</v>
      </c>
      <c r="B2478" s="511" t="s">
        <v>2128</v>
      </c>
    </row>
    <row r="2479" spans="1:2" ht="15" hidden="1" x14ac:dyDescent="0.25">
      <c r="A2479" s="511" t="s">
        <v>2129</v>
      </c>
      <c r="B2479" s="511" t="s">
        <v>2129</v>
      </c>
    </row>
    <row r="2480" spans="1:2" ht="15" hidden="1" x14ac:dyDescent="0.25">
      <c r="A2480" s="511" t="s">
        <v>2130</v>
      </c>
      <c r="B2480" s="511" t="s">
        <v>2130</v>
      </c>
    </row>
    <row r="2481" spans="1:2" ht="15" hidden="1" x14ac:dyDescent="0.25">
      <c r="A2481" s="511" t="s">
        <v>2131</v>
      </c>
      <c r="B2481" s="511" t="s">
        <v>2131</v>
      </c>
    </row>
    <row r="2482" spans="1:2" ht="15" hidden="1" x14ac:dyDescent="0.25">
      <c r="A2482" s="511" t="s">
        <v>2132</v>
      </c>
      <c r="B2482" s="511" t="s">
        <v>2132</v>
      </c>
    </row>
    <row r="2483" spans="1:2" ht="15" hidden="1" x14ac:dyDescent="0.25">
      <c r="A2483" s="511" t="s">
        <v>2133</v>
      </c>
      <c r="B2483" s="511" t="s">
        <v>2133</v>
      </c>
    </row>
    <row r="2484" spans="1:2" ht="15" hidden="1" x14ac:dyDescent="0.25">
      <c r="A2484" s="511" t="s">
        <v>2134</v>
      </c>
      <c r="B2484" s="511" t="s">
        <v>2134</v>
      </c>
    </row>
    <row r="2485" spans="1:2" ht="15" hidden="1" x14ac:dyDescent="0.25">
      <c r="A2485" s="511" t="s">
        <v>2135</v>
      </c>
      <c r="B2485" s="511" t="s">
        <v>2135</v>
      </c>
    </row>
    <row r="2486" spans="1:2" ht="15" hidden="1" x14ac:dyDescent="0.25">
      <c r="A2486" s="511" t="s">
        <v>2136</v>
      </c>
      <c r="B2486" s="511" t="s">
        <v>2136</v>
      </c>
    </row>
    <row r="2487" spans="1:2" ht="15" hidden="1" x14ac:dyDescent="0.25">
      <c r="A2487" s="511" t="s">
        <v>2137</v>
      </c>
      <c r="B2487" s="511" t="s">
        <v>2137</v>
      </c>
    </row>
    <row r="2488" spans="1:2" ht="15" hidden="1" x14ac:dyDescent="0.25">
      <c r="A2488" s="511" t="s">
        <v>2138</v>
      </c>
      <c r="B2488" s="511" t="s">
        <v>2138</v>
      </c>
    </row>
    <row r="2489" spans="1:2" ht="15" hidden="1" x14ac:dyDescent="0.25">
      <c r="A2489" s="511" t="s">
        <v>2139</v>
      </c>
      <c r="B2489" s="511" t="s">
        <v>2139</v>
      </c>
    </row>
    <row r="2490" spans="1:2" ht="15" hidden="1" x14ac:dyDescent="0.25">
      <c r="A2490" s="511" t="s">
        <v>2140</v>
      </c>
      <c r="B2490" s="511" t="s">
        <v>2140</v>
      </c>
    </row>
    <row r="2491" spans="1:2" ht="15" hidden="1" x14ac:dyDescent="0.25">
      <c r="A2491" s="511" t="s">
        <v>2141</v>
      </c>
      <c r="B2491" s="511" t="s">
        <v>2141</v>
      </c>
    </row>
    <row r="2492" spans="1:2" ht="15" hidden="1" x14ac:dyDescent="0.25">
      <c r="A2492" s="511" t="s">
        <v>2142</v>
      </c>
      <c r="B2492" s="511" t="s">
        <v>2142</v>
      </c>
    </row>
    <row r="2493" spans="1:2" ht="15" hidden="1" x14ac:dyDescent="0.25">
      <c r="A2493" s="511" t="s">
        <v>2143</v>
      </c>
      <c r="B2493" s="511" t="s">
        <v>2143</v>
      </c>
    </row>
    <row r="2494" spans="1:2" ht="15" hidden="1" x14ac:dyDescent="0.25">
      <c r="A2494" s="511" t="s">
        <v>2144</v>
      </c>
      <c r="B2494" s="511" t="s">
        <v>2144</v>
      </c>
    </row>
    <row r="2495" spans="1:2" ht="15" hidden="1" x14ac:dyDescent="0.25">
      <c r="A2495" s="511" t="s">
        <v>2145</v>
      </c>
      <c r="B2495" s="511" t="s">
        <v>2145</v>
      </c>
    </row>
    <row r="2496" spans="1:2" ht="15" hidden="1" x14ac:dyDescent="0.25">
      <c r="A2496" s="511" t="s">
        <v>2146</v>
      </c>
      <c r="B2496" s="511" t="s">
        <v>2146</v>
      </c>
    </row>
    <row r="2497" spans="1:2" ht="15" hidden="1" x14ac:dyDescent="0.25">
      <c r="A2497" s="511" t="s">
        <v>2147</v>
      </c>
      <c r="B2497" s="511" t="s">
        <v>2147</v>
      </c>
    </row>
    <row r="2498" spans="1:2" ht="15" hidden="1" x14ac:dyDescent="0.25">
      <c r="A2498" s="511" t="s">
        <v>2148</v>
      </c>
      <c r="B2498" s="511" t="s">
        <v>2148</v>
      </c>
    </row>
    <row r="2499" spans="1:2" ht="15" hidden="1" x14ac:dyDescent="0.25">
      <c r="A2499" s="511" t="s">
        <v>2149</v>
      </c>
      <c r="B2499" s="511" t="s">
        <v>2149</v>
      </c>
    </row>
    <row r="2500" spans="1:2" ht="15" hidden="1" x14ac:dyDescent="0.25">
      <c r="A2500" s="511" t="s">
        <v>2150</v>
      </c>
      <c r="B2500" s="511" t="s">
        <v>2150</v>
      </c>
    </row>
    <row r="2501" spans="1:2" ht="15" hidden="1" x14ac:dyDescent="0.25">
      <c r="A2501" s="511" t="s">
        <v>2151</v>
      </c>
      <c r="B2501" s="511" t="s">
        <v>2151</v>
      </c>
    </row>
    <row r="2502" spans="1:2" ht="15" hidden="1" x14ac:dyDescent="0.25">
      <c r="A2502" s="511" t="s">
        <v>2152</v>
      </c>
      <c r="B2502" s="511" t="s">
        <v>2152</v>
      </c>
    </row>
    <row r="2503" spans="1:2" ht="15" hidden="1" x14ac:dyDescent="0.25">
      <c r="A2503" s="511" t="s">
        <v>2153</v>
      </c>
      <c r="B2503" s="511" t="s">
        <v>2153</v>
      </c>
    </row>
    <row r="2504" spans="1:2" ht="15" hidden="1" x14ac:dyDescent="0.25">
      <c r="A2504" s="511" t="s">
        <v>2154</v>
      </c>
      <c r="B2504" s="511" t="s">
        <v>2154</v>
      </c>
    </row>
    <row r="2505" spans="1:2" ht="15" hidden="1" x14ac:dyDescent="0.25">
      <c r="A2505" s="511" t="s">
        <v>2155</v>
      </c>
      <c r="B2505" s="511" t="s">
        <v>2155</v>
      </c>
    </row>
    <row r="2506" spans="1:2" ht="15" hidden="1" x14ac:dyDescent="0.25">
      <c r="A2506" s="511" t="s">
        <v>2156</v>
      </c>
      <c r="B2506" s="511" t="s">
        <v>2156</v>
      </c>
    </row>
    <row r="2507" spans="1:2" ht="15" hidden="1" x14ac:dyDescent="0.25">
      <c r="A2507" s="511" t="s">
        <v>2157</v>
      </c>
      <c r="B2507" s="511" t="s">
        <v>2157</v>
      </c>
    </row>
    <row r="2508" spans="1:2" ht="15" hidden="1" x14ac:dyDescent="0.25">
      <c r="A2508" s="511" t="s">
        <v>2158</v>
      </c>
      <c r="B2508" s="511" t="s">
        <v>2158</v>
      </c>
    </row>
    <row r="2509" spans="1:2" ht="15" hidden="1" x14ac:dyDescent="0.25">
      <c r="A2509" s="511" t="s">
        <v>2159</v>
      </c>
      <c r="B2509" s="511" t="s">
        <v>2159</v>
      </c>
    </row>
    <row r="2510" spans="1:2" ht="15" hidden="1" x14ac:dyDescent="0.25">
      <c r="A2510" s="511" t="s">
        <v>2160</v>
      </c>
      <c r="B2510" s="511" t="s">
        <v>2160</v>
      </c>
    </row>
    <row r="2511" spans="1:2" ht="15" hidden="1" x14ac:dyDescent="0.25">
      <c r="A2511" s="511" t="s">
        <v>2161</v>
      </c>
      <c r="B2511" s="511" t="s">
        <v>2161</v>
      </c>
    </row>
    <row r="2512" spans="1:2" ht="15" hidden="1" x14ac:dyDescent="0.25">
      <c r="A2512" s="511" t="s">
        <v>2162</v>
      </c>
      <c r="B2512" s="511" t="s">
        <v>2162</v>
      </c>
    </row>
    <row r="2513" spans="1:2" ht="15" hidden="1" x14ac:dyDescent="0.25">
      <c r="A2513" s="511" t="s">
        <v>2163</v>
      </c>
      <c r="B2513" s="511" t="s">
        <v>2163</v>
      </c>
    </row>
    <row r="2514" spans="1:2" ht="15" hidden="1" x14ac:dyDescent="0.25">
      <c r="A2514" s="511" t="s">
        <v>2164</v>
      </c>
      <c r="B2514" s="511" t="s">
        <v>2164</v>
      </c>
    </row>
    <row r="2515" spans="1:2" ht="15" hidden="1" x14ac:dyDescent="0.25">
      <c r="A2515" s="511" t="s">
        <v>2165</v>
      </c>
      <c r="B2515" s="511" t="s">
        <v>2165</v>
      </c>
    </row>
    <row r="2516" spans="1:2" ht="15" hidden="1" x14ac:dyDescent="0.25">
      <c r="A2516" s="511" t="s">
        <v>2166</v>
      </c>
      <c r="B2516" s="511" t="s">
        <v>2166</v>
      </c>
    </row>
    <row r="2517" spans="1:2" ht="15" hidden="1" x14ac:dyDescent="0.25">
      <c r="A2517" s="511" t="s">
        <v>2167</v>
      </c>
      <c r="B2517" s="511" t="s">
        <v>2167</v>
      </c>
    </row>
    <row r="2518" spans="1:2" ht="15" hidden="1" x14ac:dyDescent="0.25">
      <c r="A2518" s="511" t="s">
        <v>2168</v>
      </c>
      <c r="B2518" s="511" t="s">
        <v>2168</v>
      </c>
    </row>
    <row r="2519" spans="1:2" ht="15" hidden="1" x14ac:dyDescent="0.25">
      <c r="A2519" s="511" t="s">
        <v>2169</v>
      </c>
      <c r="B2519" s="511" t="s">
        <v>2169</v>
      </c>
    </row>
    <row r="2520" spans="1:2" ht="15" hidden="1" x14ac:dyDescent="0.25">
      <c r="A2520" s="511" t="s">
        <v>2170</v>
      </c>
      <c r="B2520" s="511" t="s">
        <v>2170</v>
      </c>
    </row>
    <row r="2521" spans="1:2" ht="15" hidden="1" x14ac:dyDescent="0.25">
      <c r="A2521" s="511" t="s">
        <v>2171</v>
      </c>
      <c r="B2521" s="511" t="s">
        <v>2171</v>
      </c>
    </row>
    <row r="2522" spans="1:2" ht="15" hidden="1" x14ac:dyDescent="0.25">
      <c r="A2522" s="511" t="s">
        <v>2172</v>
      </c>
      <c r="B2522" s="511" t="s">
        <v>2172</v>
      </c>
    </row>
    <row r="2523" spans="1:2" ht="15" hidden="1" x14ac:dyDescent="0.25">
      <c r="A2523" s="511" t="s">
        <v>2173</v>
      </c>
      <c r="B2523" s="511" t="s">
        <v>2173</v>
      </c>
    </row>
    <row r="2524" spans="1:2" ht="15" hidden="1" x14ac:dyDescent="0.25">
      <c r="A2524" s="511" t="s">
        <v>2174</v>
      </c>
      <c r="B2524" s="511" t="s">
        <v>2174</v>
      </c>
    </row>
    <row r="2525" spans="1:2" ht="15" hidden="1" x14ac:dyDescent="0.25">
      <c r="A2525" s="511" t="s">
        <v>2175</v>
      </c>
      <c r="B2525" s="511" t="s">
        <v>2175</v>
      </c>
    </row>
    <row r="2526" spans="1:2" ht="15" hidden="1" x14ac:dyDescent="0.25">
      <c r="A2526" s="511" t="s">
        <v>2176</v>
      </c>
      <c r="B2526" s="511" t="s">
        <v>2176</v>
      </c>
    </row>
    <row r="2527" spans="1:2" ht="15" hidden="1" x14ac:dyDescent="0.25">
      <c r="A2527" s="511" t="s">
        <v>2177</v>
      </c>
      <c r="B2527" s="511" t="s">
        <v>2177</v>
      </c>
    </row>
    <row r="2528" spans="1:2" ht="15" hidden="1" x14ac:dyDescent="0.25">
      <c r="A2528" s="511" t="s">
        <v>2178</v>
      </c>
      <c r="B2528" s="511" t="s">
        <v>2178</v>
      </c>
    </row>
    <row r="2529" spans="1:2" ht="15" hidden="1" x14ac:dyDescent="0.25">
      <c r="A2529" s="511" t="s">
        <v>2179</v>
      </c>
      <c r="B2529" s="511" t="s">
        <v>2179</v>
      </c>
    </row>
    <row r="2530" spans="1:2" ht="15" hidden="1" x14ac:dyDescent="0.25">
      <c r="A2530" s="511" t="s">
        <v>2180</v>
      </c>
      <c r="B2530" s="511" t="s">
        <v>2180</v>
      </c>
    </row>
    <row r="2531" spans="1:2" ht="15" hidden="1" x14ac:dyDescent="0.25">
      <c r="A2531" s="511" t="s">
        <v>2181</v>
      </c>
      <c r="B2531" s="511" t="s">
        <v>2182</v>
      </c>
    </row>
    <row r="2532" spans="1:2" ht="15" hidden="1" x14ac:dyDescent="0.25">
      <c r="A2532" s="511" t="s">
        <v>2183</v>
      </c>
      <c r="B2532" s="511" t="s">
        <v>2184</v>
      </c>
    </row>
    <row r="2533" spans="1:2" ht="15" hidden="1" x14ac:dyDescent="0.25">
      <c r="A2533" s="511" t="s">
        <v>2185</v>
      </c>
      <c r="B2533" s="511" t="s">
        <v>2186</v>
      </c>
    </row>
    <row r="2534" spans="1:2" ht="15" hidden="1" x14ac:dyDescent="0.25">
      <c r="A2534" s="511" t="s">
        <v>2187</v>
      </c>
      <c r="B2534" s="511" t="s">
        <v>2188</v>
      </c>
    </row>
    <row r="2535" spans="1:2" ht="15" hidden="1" x14ac:dyDescent="0.25">
      <c r="A2535" s="511" t="s">
        <v>2189</v>
      </c>
      <c r="B2535" s="511" t="s">
        <v>2109</v>
      </c>
    </row>
    <row r="2536" spans="1:2" ht="15" hidden="1" x14ac:dyDescent="0.25">
      <c r="A2536" s="511" t="s">
        <v>2190</v>
      </c>
      <c r="B2536" s="511" t="s">
        <v>2191</v>
      </c>
    </row>
    <row r="2537" spans="1:2" ht="15" hidden="1" x14ac:dyDescent="0.25">
      <c r="A2537" s="511" t="s">
        <v>2192</v>
      </c>
      <c r="B2537" s="511" t="s">
        <v>2193</v>
      </c>
    </row>
    <row r="2538" spans="1:2" ht="15" hidden="1" x14ac:dyDescent="0.25">
      <c r="A2538" s="511" t="s">
        <v>1583</v>
      </c>
      <c r="B2538" s="511" t="s">
        <v>1584</v>
      </c>
    </row>
    <row r="2539" spans="1:2" ht="15" hidden="1" x14ac:dyDescent="0.25">
      <c r="A2539" s="511" t="s">
        <v>2194</v>
      </c>
      <c r="B2539" s="511" t="s">
        <v>2195</v>
      </c>
    </row>
    <row r="2540" spans="1:2" ht="15" hidden="1" x14ac:dyDescent="0.25">
      <c r="A2540" s="511" t="s">
        <v>2196</v>
      </c>
      <c r="B2540" s="511" t="s">
        <v>2197</v>
      </c>
    </row>
    <row r="2541" spans="1:2" ht="15" hidden="1" x14ac:dyDescent="0.25">
      <c r="A2541" s="511" t="s">
        <v>1587</v>
      </c>
      <c r="B2541" s="511" t="s">
        <v>1588</v>
      </c>
    </row>
    <row r="2542" spans="1:2" ht="15" hidden="1" x14ac:dyDescent="0.25">
      <c r="A2542" s="511" t="s">
        <v>2198</v>
      </c>
      <c r="B2542" s="511" t="s">
        <v>2199</v>
      </c>
    </row>
    <row r="2543" spans="1:2" ht="15" hidden="1" x14ac:dyDescent="0.25">
      <c r="A2543" s="511" t="s">
        <v>1590</v>
      </c>
      <c r="B2543" s="511" t="s">
        <v>1591</v>
      </c>
    </row>
    <row r="2544" spans="1:2" ht="15" hidden="1" x14ac:dyDescent="0.25">
      <c r="A2544" s="511" t="s">
        <v>2200</v>
      </c>
      <c r="B2544" s="511" t="s">
        <v>2201</v>
      </c>
    </row>
    <row r="2545" spans="1:2" ht="15" hidden="1" x14ac:dyDescent="0.25">
      <c r="A2545" s="511" t="s">
        <v>2202</v>
      </c>
      <c r="B2545" s="511" t="s">
        <v>2203</v>
      </c>
    </row>
    <row r="2546" spans="1:2" ht="15" hidden="1" x14ac:dyDescent="0.25">
      <c r="A2546" s="511" t="s">
        <v>2204</v>
      </c>
      <c r="B2546" s="511" t="s">
        <v>2205</v>
      </c>
    </row>
    <row r="2547" spans="1:2" ht="15" hidden="1" x14ac:dyDescent="0.25">
      <c r="A2547" s="511" t="s">
        <v>2206</v>
      </c>
      <c r="B2547" s="511" t="s">
        <v>2207</v>
      </c>
    </row>
    <row r="2548" spans="1:2" ht="15" hidden="1" x14ac:dyDescent="0.25">
      <c r="A2548" s="511" t="s">
        <v>1719</v>
      </c>
      <c r="B2548" s="511" t="s">
        <v>1720</v>
      </c>
    </row>
    <row r="2549" spans="1:2" ht="15" hidden="1" x14ac:dyDescent="0.25">
      <c r="A2549" s="511" t="s">
        <v>2208</v>
      </c>
      <c r="B2549" s="511" t="s">
        <v>2209</v>
      </c>
    </row>
    <row r="2550" spans="1:2" ht="15" hidden="1" x14ac:dyDescent="0.25">
      <c r="A2550" s="511" t="s">
        <v>2208</v>
      </c>
      <c r="B2550" s="511" t="s">
        <v>2209</v>
      </c>
    </row>
    <row r="2551" spans="1:2" ht="15" hidden="1" x14ac:dyDescent="0.25">
      <c r="A2551" s="511" t="s">
        <v>2210</v>
      </c>
      <c r="B2551" s="511" t="s">
        <v>2211</v>
      </c>
    </row>
    <row r="2552" spans="1:2" ht="15" hidden="1" x14ac:dyDescent="0.25">
      <c r="A2552" s="511" t="s">
        <v>2212</v>
      </c>
      <c r="B2552" s="511" t="s">
        <v>2213</v>
      </c>
    </row>
    <row r="2553" spans="1:2" ht="15" hidden="1" x14ac:dyDescent="0.25">
      <c r="A2553" s="511" t="s">
        <v>2214</v>
      </c>
      <c r="B2553" s="511" t="s">
        <v>2215</v>
      </c>
    </row>
    <row r="2554" spans="1:2" ht="15" hidden="1" x14ac:dyDescent="0.25">
      <c r="A2554" s="511" t="s">
        <v>2216</v>
      </c>
      <c r="B2554" s="511" t="s">
        <v>2217</v>
      </c>
    </row>
    <row r="2555" spans="1:2" ht="15" hidden="1" x14ac:dyDescent="0.25">
      <c r="A2555" s="511" t="s">
        <v>2218</v>
      </c>
      <c r="B2555" s="511" t="s">
        <v>2219</v>
      </c>
    </row>
    <row r="2556" spans="1:2" ht="15" hidden="1" x14ac:dyDescent="0.25">
      <c r="A2556" s="511" t="s">
        <v>2218</v>
      </c>
      <c r="B2556" s="511" t="s">
        <v>2219</v>
      </c>
    </row>
    <row r="2557" spans="1:2" ht="15" hidden="1" x14ac:dyDescent="0.25">
      <c r="A2557" s="511" t="s">
        <v>2220</v>
      </c>
      <c r="B2557" s="511" t="s">
        <v>2221</v>
      </c>
    </row>
    <row r="2558" spans="1:2" ht="15" hidden="1" x14ac:dyDescent="0.25">
      <c r="A2558" s="511" t="s">
        <v>2222</v>
      </c>
      <c r="B2558" s="511" t="s">
        <v>2223</v>
      </c>
    </row>
    <row r="2559" spans="1:2" ht="15" hidden="1" x14ac:dyDescent="0.25">
      <c r="A2559" s="511" t="s">
        <v>2224</v>
      </c>
      <c r="B2559" s="511" t="s">
        <v>2225</v>
      </c>
    </row>
    <row r="2560" spans="1:2" ht="15" hidden="1" x14ac:dyDescent="0.25">
      <c r="A2560" s="511" t="s">
        <v>2226</v>
      </c>
      <c r="B2560" s="511" t="s">
        <v>2227</v>
      </c>
    </row>
    <row r="2561" spans="1:2" ht="15" hidden="1" x14ac:dyDescent="0.25">
      <c r="A2561" s="511" t="s">
        <v>2228</v>
      </c>
      <c r="B2561" s="511" t="s">
        <v>2229</v>
      </c>
    </row>
    <row r="2562" spans="1:2" ht="15" hidden="1" x14ac:dyDescent="0.25">
      <c r="A2562" s="511" t="s">
        <v>2230</v>
      </c>
      <c r="B2562" s="511" t="s">
        <v>2231</v>
      </c>
    </row>
    <row r="2563" spans="1:2" ht="15" hidden="1" x14ac:dyDescent="0.25">
      <c r="A2563" s="511" t="s">
        <v>2230</v>
      </c>
      <c r="B2563" s="511" t="s">
        <v>2231</v>
      </c>
    </row>
    <row r="2564" spans="1:2" ht="15" hidden="1" x14ac:dyDescent="0.25">
      <c r="A2564" s="511" t="s">
        <v>2232</v>
      </c>
      <c r="B2564" s="511" t="s">
        <v>2233</v>
      </c>
    </row>
    <row r="2565" spans="1:2" ht="15" hidden="1" x14ac:dyDescent="0.25">
      <c r="A2565" s="511" t="s">
        <v>2234</v>
      </c>
      <c r="B2565" s="511" t="s">
        <v>2235</v>
      </c>
    </row>
    <row r="2566" spans="1:2" ht="15" hidden="1" x14ac:dyDescent="0.25">
      <c r="A2566" s="511" t="s">
        <v>2236</v>
      </c>
      <c r="B2566" s="511" t="s">
        <v>2237</v>
      </c>
    </row>
    <row r="2567" spans="1:2" ht="15" hidden="1" x14ac:dyDescent="0.25">
      <c r="A2567" s="511" t="s">
        <v>2238</v>
      </c>
      <c r="B2567" s="511" t="s">
        <v>2239</v>
      </c>
    </row>
    <row r="2568" spans="1:2" ht="15" hidden="1" x14ac:dyDescent="0.25">
      <c r="A2568" s="511" t="s">
        <v>2238</v>
      </c>
      <c r="B2568" s="511" t="s">
        <v>2239</v>
      </c>
    </row>
    <row r="2569" spans="1:2" ht="15" hidden="1" x14ac:dyDescent="0.25">
      <c r="A2569" s="511" t="s">
        <v>2240</v>
      </c>
      <c r="B2569" s="511" t="s">
        <v>2241</v>
      </c>
    </row>
    <row r="2570" spans="1:2" ht="15" hidden="1" x14ac:dyDescent="0.25">
      <c r="A2570" s="511" t="s">
        <v>1653</v>
      </c>
      <c r="B2570" s="511" t="s">
        <v>1654</v>
      </c>
    </row>
    <row r="2571" spans="1:2" ht="15" hidden="1" x14ac:dyDescent="0.25">
      <c r="A2571" s="511" t="s">
        <v>2242</v>
      </c>
      <c r="B2571" s="511" t="s">
        <v>1276</v>
      </c>
    </row>
    <row r="2572" spans="1:2" ht="15" hidden="1" x14ac:dyDescent="0.25">
      <c r="A2572" s="511" t="s">
        <v>2243</v>
      </c>
      <c r="B2572" s="511" t="s">
        <v>2244</v>
      </c>
    </row>
    <row r="2573" spans="1:2" ht="15" hidden="1" x14ac:dyDescent="0.25">
      <c r="A2573" s="511" t="s">
        <v>2245</v>
      </c>
      <c r="B2573" s="511" t="s">
        <v>2246</v>
      </c>
    </row>
    <row r="2574" spans="1:2" ht="15" hidden="1" x14ac:dyDescent="0.25">
      <c r="A2574" s="511" t="s">
        <v>2247</v>
      </c>
      <c r="B2574" s="511" t="s">
        <v>2248</v>
      </c>
    </row>
    <row r="2575" spans="1:2" ht="15" hidden="1" x14ac:dyDescent="0.25">
      <c r="A2575" s="511" t="s">
        <v>1751</v>
      </c>
      <c r="B2575" s="511" t="s">
        <v>1752</v>
      </c>
    </row>
    <row r="2576" spans="1:2" ht="15" hidden="1" x14ac:dyDescent="0.25">
      <c r="A2576" s="511" t="s">
        <v>2249</v>
      </c>
      <c r="B2576" s="511" t="s">
        <v>2250</v>
      </c>
    </row>
    <row r="2577" spans="1:2" ht="15" hidden="1" x14ac:dyDescent="0.25">
      <c r="A2577" s="511" t="s">
        <v>2251</v>
      </c>
      <c r="B2577" s="511" t="s">
        <v>2252</v>
      </c>
    </row>
    <row r="2578" spans="1:2" ht="15" hidden="1" x14ac:dyDescent="0.25">
      <c r="A2578" s="511" t="s">
        <v>231</v>
      </c>
      <c r="B2578" s="511" t="s">
        <v>359</v>
      </c>
    </row>
    <row r="2579" spans="1:2" ht="15" hidden="1" x14ac:dyDescent="0.25">
      <c r="A2579" s="511" t="s">
        <v>231</v>
      </c>
      <c r="B2579" s="511" t="s">
        <v>359</v>
      </c>
    </row>
    <row r="2580" spans="1:2" ht="15" hidden="1" x14ac:dyDescent="0.25">
      <c r="A2580" s="511" t="s">
        <v>231</v>
      </c>
      <c r="B2580" s="511" t="s">
        <v>359</v>
      </c>
    </row>
    <row r="2581" spans="1:2" ht="15" hidden="1" x14ac:dyDescent="0.25">
      <c r="A2581" s="511" t="s">
        <v>231</v>
      </c>
      <c r="B2581" s="511" t="s">
        <v>359</v>
      </c>
    </row>
    <row r="2582" spans="1:2" ht="15" hidden="1" x14ac:dyDescent="0.25">
      <c r="A2582" s="511" t="s">
        <v>231</v>
      </c>
      <c r="B2582" s="511" t="s">
        <v>359</v>
      </c>
    </row>
    <row r="2583" spans="1:2" ht="15" hidden="1" x14ac:dyDescent="0.25">
      <c r="A2583" s="511" t="s">
        <v>231</v>
      </c>
      <c r="B2583" s="511" t="s">
        <v>359</v>
      </c>
    </row>
    <row r="2584" spans="1:2" ht="15" hidden="1" x14ac:dyDescent="0.25">
      <c r="A2584" s="511" t="s">
        <v>231</v>
      </c>
      <c r="B2584" s="511" t="s">
        <v>359</v>
      </c>
    </row>
    <row r="2585" spans="1:2" ht="15" hidden="1" x14ac:dyDescent="0.25">
      <c r="A2585" s="511" t="s">
        <v>191</v>
      </c>
      <c r="B2585" s="511" t="s">
        <v>361</v>
      </c>
    </row>
    <row r="2586" spans="1:2" ht="15" hidden="1" x14ac:dyDescent="0.25">
      <c r="A2586" s="511" t="s">
        <v>191</v>
      </c>
      <c r="B2586" s="511" t="s">
        <v>361</v>
      </c>
    </row>
    <row r="2587" spans="1:2" ht="15" hidden="1" x14ac:dyDescent="0.25">
      <c r="A2587" s="511" t="s">
        <v>191</v>
      </c>
      <c r="B2587" s="511" t="s">
        <v>361</v>
      </c>
    </row>
    <row r="2588" spans="1:2" ht="15" hidden="1" x14ac:dyDescent="0.25">
      <c r="A2588" s="511" t="s">
        <v>445</v>
      </c>
      <c r="B2588" s="511" t="s">
        <v>446</v>
      </c>
    </row>
    <row r="2589" spans="1:2" ht="15" hidden="1" x14ac:dyDescent="0.25">
      <c r="A2589" s="511" t="s">
        <v>1669</v>
      </c>
      <c r="B2589" s="511" t="s">
        <v>1670</v>
      </c>
    </row>
    <row r="2590" spans="1:2" ht="15" hidden="1" x14ac:dyDescent="0.25">
      <c r="A2590" s="511" t="s">
        <v>1505</v>
      </c>
      <c r="B2590" s="511" t="s">
        <v>1506</v>
      </c>
    </row>
    <row r="2591" spans="1:2" ht="15" hidden="1" x14ac:dyDescent="0.25">
      <c r="A2591" s="511" t="s">
        <v>1505</v>
      </c>
      <c r="B2591" s="511" t="s">
        <v>1506</v>
      </c>
    </row>
    <row r="2592" spans="1:2" ht="15" hidden="1" x14ac:dyDescent="0.25">
      <c r="A2592" s="512" t="s">
        <v>1505</v>
      </c>
      <c r="B2592" s="512" t="s">
        <v>1506</v>
      </c>
    </row>
    <row r="2593" spans="1:2" ht="15" hidden="1" x14ac:dyDescent="0.25">
      <c r="A2593" s="511" t="s">
        <v>1505</v>
      </c>
      <c r="B2593" s="511" t="s">
        <v>1506</v>
      </c>
    </row>
    <row r="2594" spans="1:2" ht="15" hidden="1" x14ac:dyDescent="0.25">
      <c r="A2594" s="511" t="s">
        <v>1505</v>
      </c>
      <c r="B2594" s="511" t="s">
        <v>1506</v>
      </c>
    </row>
    <row r="2595" spans="1:2" ht="15" hidden="1" x14ac:dyDescent="0.25">
      <c r="A2595" s="511" t="s">
        <v>194</v>
      </c>
      <c r="B2595" s="511" t="s">
        <v>365</v>
      </c>
    </row>
    <row r="2596" spans="1:2" ht="15" hidden="1" x14ac:dyDescent="0.25">
      <c r="A2596" s="511" t="s">
        <v>194</v>
      </c>
      <c r="B2596" s="511" t="s">
        <v>365</v>
      </c>
    </row>
    <row r="2597" spans="1:2" ht="15" hidden="1" x14ac:dyDescent="0.25">
      <c r="A2597" s="511" t="s">
        <v>194</v>
      </c>
      <c r="B2597" s="511" t="s">
        <v>365</v>
      </c>
    </row>
    <row r="2598" spans="1:2" ht="15" hidden="1" x14ac:dyDescent="0.25">
      <c r="A2598" s="511" t="s">
        <v>194</v>
      </c>
      <c r="B2598" s="511" t="s">
        <v>365</v>
      </c>
    </row>
    <row r="2599" spans="1:2" ht="15" hidden="1" x14ac:dyDescent="0.25">
      <c r="A2599" s="511" t="s">
        <v>194</v>
      </c>
      <c r="B2599" s="511" t="s">
        <v>365</v>
      </c>
    </row>
    <row r="2600" spans="1:2" ht="15" hidden="1" x14ac:dyDescent="0.25">
      <c r="A2600" s="511" t="s">
        <v>194</v>
      </c>
      <c r="B2600" s="511" t="s">
        <v>365</v>
      </c>
    </row>
    <row r="2601" spans="1:2" ht="15" hidden="1" x14ac:dyDescent="0.25">
      <c r="A2601" s="511" t="s">
        <v>194</v>
      </c>
      <c r="B2601" s="511" t="s">
        <v>365</v>
      </c>
    </row>
    <row r="2602" spans="1:2" ht="15" hidden="1" x14ac:dyDescent="0.25">
      <c r="A2602" s="511" t="s">
        <v>194</v>
      </c>
      <c r="B2602" s="511" t="s">
        <v>365</v>
      </c>
    </row>
    <row r="2603" spans="1:2" ht="15" hidden="1" x14ac:dyDescent="0.25">
      <c r="A2603" s="511" t="s">
        <v>194</v>
      </c>
      <c r="B2603" s="511" t="s">
        <v>365</v>
      </c>
    </row>
    <row r="2604" spans="1:2" ht="15" hidden="1" x14ac:dyDescent="0.25">
      <c r="A2604" s="511" t="s">
        <v>194</v>
      </c>
      <c r="B2604" s="511" t="s">
        <v>365</v>
      </c>
    </row>
    <row r="2605" spans="1:2" ht="15" hidden="1" x14ac:dyDescent="0.25">
      <c r="A2605" s="511" t="s">
        <v>194</v>
      </c>
      <c r="B2605" s="511" t="s">
        <v>365</v>
      </c>
    </row>
    <row r="2606" spans="1:2" ht="15" hidden="1" x14ac:dyDescent="0.25">
      <c r="A2606" s="511" t="s">
        <v>194</v>
      </c>
      <c r="B2606" s="511" t="s">
        <v>365</v>
      </c>
    </row>
    <row r="2607" spans="1:2" ht="15" hidden="1" x14ac:dyDescent="0.25">
      <c r="A2607" s="511" t="s">
        <v>234</v>
      </c>
      <c r="B2607" s="511" t="s">
        <v>366</v>
      </c>
    </row>
    <row r="2608" spans="1:2" ht="15" hidden="1" x14ac:dyDescent="0.25">
      <c r="A2608" s="511" t="s">
        <v>234</v>
      </c>
      <c r="B2608" s="511" t="s">
        <v>366</v>
      </c>
    </row>
    <row r="2609" spans="1:2" ht="15" hidden="1" x14ac:dyDescent="0.25">
      <c r="A2609" s="511" t="s">
        <v>234</v>
      </c>
      <c r="B2609" s="511" t="s">
        <v>366</v>
      </c>
    </row>
    <row r="2610" spans="1:2" ht="15" hidden="1" x14ac:dyDescent="0.25">
      <c r="A2610" s="511" t="s">
        <v>234</v>
      </c>
      <c r="B2610" s="511" t="s">
        <v>366</v>
      </c>
    </row>
    <row r="2611" spans="1:2" ht="15" hidden="1" x14ac:dyDescent="0.25">
      <c r="A2611" s="511" t="s">
        <v>195</v>
      </c>
      <c r="B2611" s="511" t="s">
        <v>367</v>
      </c>
    </row>
    <row r="2612" spans="1:2" ht="15" hidden="1" x14ac:dyDescent="0.25">
      <c r="A2612" s="511" t="s">
        <v>196</v>
      </c>
      <c r="B2612" s="511" t="s">
        <v>368</v>
      </c>
    </row>
    <row r="2613" spans="1:2" ht="15" hidden="1" x14ac:dyDescent="0.25">
      <c r="A2613" s="511" t="s">
        <v>196</v>
      </c>
      <c r="B2613" s="511" t="s">
        <v>368</v>
      </c>
    </row>
    <row r="2614" spans="1:2" ht="15" hidden="1" x14ac:dyDescent="0.25">
      <c r="A2614" s="511" t="s">
        <v>196</v>
      </c>
      <c r="B2614" s="511" t="s">
        <v>368</v>
      </c>
    </row>
    <row r="2615" spans="1:2" ht="15" hidden="1" x14ac:dyDescent="0.25">
      <c r="A2615" s="511" t="s">
        <v>196</v>
      </c>
      <c r="B2615" s="511" t="s">
        <v>368</v>
      </c>
    </row>
    <row r="2616" spans="1:2" ht="15" hidden="1" x14ac:dyDescent="0.25">
      <c r="A2616" s="511" t="s">
        <v>197</v>
      </c>
      <c r="B2616" s="511" t="s">
        <v>369</v>
      </c>
    </row>
    <row r="2617" spans="1:2" ht="15" hidden="1" x14ac:dyDescent="0.25">
      <c r="A2617" s="511" t="s">
        <v>197</v>
      </c>
      <c r="B2617" s="511" t="s">
        <v>369</v>
      </c>
    </row>
    <row r="2618" spans="1:2" ht="15" hidden="1" x14ac:dyDescent="0.25">
      <c r="A2618" s="511" t="s">
        <v>197</v>
      </c>
      <c r="B2618" s="511" t="s">
        <v>369</v>
      </c>
    </row>
    <row r="2619" spans="1:2" ht="15" hidden="1" x14ac:dyDescent="0.25">
      <c r="A2619" s="511" t="s">
        <v>197</v>
      </c>
      <c r="B2619" s="511" t="s">
        <v>369</v>
      </c>
    </row>
    <row r="2620" spans="1:2" ht="15" hidden="1" x14ac:dyDescent="0.25">
      <c r="A2620" s="511" t="s">
        <v>197</v>
      </c>
      <c r="B2620" s="511" t="s">
        <v>369</v>
      </c>
    </row>
    <row r="2621" spans="1:2" ht="15" hidden="1" x14ac:dyDescent="0.25">
      <c r="A2621" s="511" t="s">
        <v>197</v>
      </c>
      <c r="B2621" s="511" t="s">
        <v>369</v>
      </c>
    </row>
    <row r="2622" spans="1:2" ht="15" hidden="1" x14ac:dyDescent="0.25">
      <c r="A2622" s="511" t="s">
        <v>197</v>
      </c>
      <c r="B2622" s="511" t="s">
        <v>369</v>
      </c>
    </row>
    <row r="2623" spans="1:2" ht="15" hidden="1" x14ac:dyDescent="0.25">
      <c r="A2623" s="511" t="s">
        <v>197</v>
      </c>
      <c r="B2623" s="511" t="s">
        <v>369</v>
      </c>
    </row>
    <row r="2624" spans="1:2" ht="15" hidden="1" x14ac:dyDescent="0.25">
      <c r="A2624" s="511" t="s">
        <v>197</v>
      </c>
      <c r="B2624" s="511" t="s">
        <v>369</v>
      </c>
    </row>
    <row r="2625" spans="1:2" ht="15" hidden="1" x14ac:dyDescent="0.25">
      <c r="A2625" s="511" t="s">
        <v>197</v>
      </c>
      <c r="B2625" s="511" t="s">
        <v>369</v>
      </c>
    </row>
    <row r="2626" spans="1:2" ht="15" hidden="1" x14ac:dyDescent="0.25">
      <c r="A2626" s="511" t="s">
        <v>197</v>
      </c>
      <c r="B2626" s="511" t="s">
        <v>369</v>
      </c>
    </row>
    <row r="2627" spans="1:2" ht="15" hidden="1" x14ac:dyDescent="0.25">
      <c r="A2627" s="511" t="s">
        <v>197</v>
      </c>
      <c r="B2627" s="511" t="s">
        <v>369</v>
      </c>
    </row>
    <row r="2628" spans="1:2" ht="15" hidden="1" x14ac:dyDescent="0.25">
      <c r="A2628" s="511" t="s">
        <v>197</v>
      </c>
      <c r="B2628" s="511" t="s">
        <v>369</v>
      </c>
    </row>
    <row r="2629" spans="1:2" ht="15" hidden="1" x14ac:dyDescent="0.25">
      <c r="A2629" s="511" t="s">
        <v>197</v>
      </c>
      <c r="B2629" s="511" t="s">
        <v>369</v>
      </c>
    </row>
    <row r="2630" spans="1:2" ht="15" hidden="1" x14ac:dyDescent="0.25">
      <c r="A2630" s="511" t="s">
        <v>197</v>
      </c>
      <c r="B2630" s="511" t="s">
        <v>369</v>
      </c>
    </row>
    <row r="2631" spans="1:2" ht="15" hidden="1" x14ac:dyDescent="0.25">
      <c r="A2631" s="511" t="s">
        <v>197</v>
      </c>
      <c r="B2631" s="511" t="s">
        <v>369</v>
      </c>
    </row>
    <row r="2632" spans="1:2" ht="15" hidden="1" x14ac:dyDescent="0.25">
      <c r="A2632" s="511" t="s">
        <v>197</v>
      </c>
      <c r="B2632" s="511" t="s">
        <v>369</v>
      </c>
    </row>
    <row r="2633" spans="1:2" ht="15" hidden="1" x14ac:dyDescent="0.25">
      <c r="A2633" s="511" t="s">
        <v>197</v>
      </c>
      <c r="B2633" s="511" t="s">
        <v>369</v>
      </c>
    </row>
    <row r="2634" spans="1:2" ht="15" hidden="1" x14ac:dyDescent="0.25">
      <c r="A2634" s="511" t="s">
        <v>197</v>
      </c>
      <c r="B2634" s="511" t="s">
        <v>369</v>
      </c>
    </row>
    <row r="2635" spans="1:2" ht="15" hidden="1" x14ac:dyDescent="0.25">
      <c r="A2635" s="511" t="s">
        <v>197</v>
      </c>
      <c r="B2635" s="511" t="s">
        <v>369</v>
      </c>
    </row>
    <row r="2636" spans="1:2" ht="15" hidden="1" x14ac:dyDescent="0.25">
      <c r="A2636" s="511" t="s">
        <v>197</v>
      </c>
      <c r="B2636" s="511" t="s">
        <v>369</v>
      </c>
    </row>
    <row r="2637" spans="1:2" ht="15" hidden="1" x14ac:dyDescent="0.25">
      <c r="A2637" s="511" t="s">
        <v>197</v>
      </c>
      <c r="B2637" s="511" t="s">
        <v>369</v>
      </c>
    </row>
    <row r="2638" spans="1:2" ht="15" hidden="1" x14ac:dyDescent="0.25">
      <c r="A2638" s="511" t="s">
        <v>197</v>
      </c>
      <c r="B2638" s="511" t="s">
        <v>369</v>
      </c>
    </row>
    <row r="2639" spans="1:2" ht="15" hidden="1" x14ac:dyDescent="0.25">
      <c r="A2639" s="511" t="s">
        <v>197</v>
      </c>
      <c r="B2639" s="511" t="s">
        <v>369</v>
      </c>
    </row>
    <row r="2640" spans="1:2" ht="15" hidden="1" x14ac:dyDescent="0.25">
      <c r="A2640" s="511" t="s">
        <v>197</v>
      </c>
      <c r="B2640" s="511" t="s">
        <v>369</v>
      </c>
    </row>
    <row r="2641" spans="1:2" ht="15" hidden="1" x14ac:dyDescent="0.25">
      <c r="A2641" s="511" t="s">
        <v>197</v>
      </c>
      <c r="B2641" s="511" t="s">
        <v>369</v>
      </c>
    </row>
    <row r="2642" spans="1:2" ht="15" hidden="1" x14ac:dyDescent="0.25">
      <c r="A2642" s="511" t="s">
        <v>199</v>
      </c>
      <c r="B2642" s="511" t="s">
        <v>372</v>
      </c>
    </row>
    <row r="2643" spans="1:2" ht="15" hidden="1" x14ac:dyDescent="0.25">
      <c r="A2643" s="511" t="s">
        <v>199</v>
      </c>
      <c r="B2643" s="511" t="s">
        <v>372</v>
      </c>
    </row>
    <row r="2644" spans="1:2" ht="15" hidden="1" x14ac:dyDescent="0.25">
      <c r="A2644" s="511" t="s">
        <v>199</v>
      </c>
      <c r="B2644" s="511" t="s">
        <v>372</v>
      </c>
    </row>
    <row r="2645" spans="1:2" ht="15" hidden="1" x14ac:dyDescent="0.25">
      <c r="A2645" s="511" t="s">
        <v>199</v>
      </c>
      <c r="B2645" s="511" t="s">
        <v>372</v>
      </c>
    </row>
    <row r="2646" spans="1:2" ht="15" hidden="1" x14ac:dyDescent="0.25">
      <c r="A2646" s="511" t="s">
        <v>199</v>
      </c>
      <c r="B2646" s="511" t="s">
        <v>372</v>
      </c>
    </row>
    <row r="2647" spans="1:2" ht="15" hidden="1" x14ac:dyDescent="0.25">
      <c r="A2647" s="511" t="s">
        <v>1509</v>
      </c>
      <c r="B2647" s="511" t="s">
        <v>1510</v>
      </c>
    </row>
    <row r="2648" spans="1:2" ht="15" hidden="1" x14ac:dyDescent="0.25">
      <c r="A2648" s="511" t="s">
        <v>200</v>
      </c>
      <c r="B2648" s="511" t="s">
        <v>373</v>
      </c>
    </row>
    <row r="2649" spans="1:2" ht="15" hidden="1" x14ac:dyDescent="0.25">
      <c r="A2649" s="511" t="s">
        <v>200</v>
      </c>
      <c r="B2649" s="511" t="s">
        <v>373</v>
      </c>
    </row>
    <row r="2650" spans="1:2" ht="15" hidden="1" x14ac:dyDescent="0.25">
      <c r="A2650" s="511" t="s">
        <v>200</v>
      </c>
      <c r="B2650" s="511" t="s">
        <v>373</v>
      </c>
    </row>
    <row r="2651" spans="1:2" ht="15" hidden="1" x14ac:dyDescent="0.25">
      <c r="A2651" s="511" t="s">
        <v>200</v>
      </c>
      <c r="B2651" s="511" t="s">
        <v>373</v>
      </c>
    </row>
    <row r="2652" spans="1:2" ht="15" hidden="1" x14ac:dyDescent="0.25">
      <c r="A2652" s="511" t="s">
        <v>1319</v>
      </c>
      <c r="B2652" s="511" t="s">
        <v>1320</v>
      </c>
    </row>
    <row r="2653" spans="1:2" ht="15" hidden="1" x14ac:dyDescent="0.25">
      <c r="A2653" s="511" t="s">
        <v>1319</v>
      </c>
      <c r="B2653" s="511" t="s">
        <v>1320</v>
      </c>
    </row>
    <row r="2654" spans="1:2" ht="15" hidden="1" x14ac:dyDescent="0.25">
      <c r="A2654" s="511" t="s">
        <v>1319</v>
      </c>
      <c r="B2654" s="511" t="s">
        <v>1320</v>
      </c>
    </row>
    <row r="2655" spans="1:2" ht="15" hidden="1" x14ac:dyDescent="0.25">
      <c r="A2655" s="511" t="s">
        <v>1319</v>
      </c>
      <c r="B2655" s="511" t="s">
        <v>1320</v>
      </c>
    </row>
    <row r="2656" spans="1:2" ht="15" hidden="1" x14ac:dyDescent="0.25">
      <c r="A2656" s="511" t="s">
        <v>1319</v>
      </c>
      <c r="B2656" s="511" t="s">
        <v>1320</v>
      </c>
    </row>
    <row r="2657" spans="1:2" ht="15" hidden="1" x14ac:dyDescent="0.25">
      <c r="A2657" s="511" t="s">
        <v>1319</v>
      </c>
      <c r="B2657" s="511" t="s">
        <v>1320</v>
      </c>
    </row>
    <row r="2658" spans="1:2" ht="15" hidden="1" x14ac:dyDescent="0.25">
      <c r="A2658" s="511" t="s">
        <v>1319</v>
      </c>
      <c r="B2658" s="511" t="s">
        <v>1320</v>
      </c>
    </row>
    <row r="2659" spans="1:2" ht="15" hidden="1" x14ac:dyDescent="0.25">
      <c r="A2659" s="511" t="s">
        <v>1319</v>
      </c>
      <c r="B2659" s="511" t="s">
        <v>1320</v>
      </c>
    </row>
    <row r="2660" spans="1:2" ht="15" hidden="1" x14ac:dyDescent="0.25">
      <c r="A2660" s="511" t="s">
        <v>2253</v>
      </c>
      <c r="B2660" s="511" t="s">
        <v>2253</v>
      </c>
    </row>
    <row r="2661" spans="1:2" ht="15" hidden="1" x14ac:dyDescent="0.25">
      <c r="A2661" s="511" t="s">
        <v>2254</v>
      </c>
      <c r="B2661" s="511" t="s">
        <v>2254</v>
      </c>
    </row>
    <row r="2662" spans="1:2" ht="15" hidden="1" x14ac:dyDescent="0.25">
      <c r="A2662" s="511" t="s">
        <v>2255</v>
      </c>
      <c r="B2662" s="511" t="s">
        <v>2255</v>
      </c>
    </row>
    <row r="2663" spans="1:2" ht="15" hidden="1" x14ac:dyDescent="0.25">
      <c r="A2663" s="511" t="s">
        <v>2256</v>
      </c>
      <c r="B2663" s="511" t="s">
        <v>2256</v>
      </c>
    </row>
    <row r="2664" spans="1:2" ht="15" hidden="1" x14ac:dyDescent="0.25">
      <c r="A2664" s="511" t="s">
        <v>2257</v>
      </c>
      <c r="B2664" s="511" t="s">
        <v>2257</v>
      </c>
    </row>
    <row r="2665" spans="1:2" ht="15" hidden="1" x14ac:dyDescent="0.25">
      <c r="A2665" s="511" t="s">
        <v>2258</v>
      </c>
      <c r="B2665" s="511" t="s">
        <v>2258</v>
      </c>
    </row>
    <row r="2666" spans="1:2" ht="15" hidden="1" x14ac:dyDescent="0.25">
      <c r="A2666" s="511" t="s">
        <v>2259</v>
      </c>
      <c r="B2666" s="511" t="s">
        <v>2259</v>
      </c>
    </row>
    <row r="2667" spans="1:2" ht="15" hidden="1" x14ac:dyDescent="0.25">
      <c r="A2667" s="511" t="s">
        <v>2260</v>
      </c>
      <c r="B2667" s="511" t="s">
        <v>2260</v>
      </c>
    </row>
    <row r="2668" spans="1:2" ht="15" hidden="1" x14ac:dyDescent="0.25">
      <c r="A2668" s="511" t="s">
        <v>2260</v>
      </c>
      <c r="B2668" s="511" t="s">
        <v>2260</v>
      </c>
    </row>
    <row r="2669" spans="1:2" ht="15" hidden="1" x14ac:dyDescent="0.25">
      <c r="A2669" s="511" t="s">
        <v>2261</v>
      </c>
      <c r="B2669" s="511" t="s">
        <v>2261</v>
      </c>
    </row>
    <row r="2670" spans="1:2" ht="15" hidden="1" x14ac:dyDescent="0.25">
      <c r="A2670" s="511" t="s">
        <v>2262</v>
      </c>
      <c r="B2670" s="511" t="s">
        <v>2262</v>
      </c>
    </row>
    <row r="2671" spans="1:2" ht="15" hidden="1" x14ac:dyDescent="0.25">
      <c r="A2671" s="511" t="s">
        <v>2263</v>
      </c>
      <c r="B2671" s="511" t="s">
        <v>2263</v>
      </c>
    </row>
    <row r="2672" spans="1:2" ht="15" hidden="1" x14ac:dyDescent="0.25">
      <c r="A2672" s="511" t="s">
        <v>2264</v>
      </c>
      <c r="B2672" s="511" t="s">
        <v>2264</v>
      </c>
    </row>
    <row r="2673" spans="1:2" ht="15" hidden="1" x14ac:dyDescent="0.25">
      <c r="A2673" s="511" t="s">
        <v>2265</v>
      </c>
      <c r="B2673" s="511" t="s">
        <v>2265</v>
      </c>
    </row>
    <row r="2674" spans="1:2" ht="15" hidden="1" x14ac:dyDescent="0.25">
      <c r="A2674" s="511" t="s">
        <v>2266</v>
      </c>
      <c r="B2674" s="511" t="s">
        <v>2266</v>
      </c>
    </row>
    <row r="2675" spans="1:2" ht="15" hidden="1" x14ac:dyDescent="0.25">
      <c r="A2675" s="511" t="s">
        <v>2267</v>
      </c>
      <c r="B2675" s="511" t="s">
        <v>2267</v>
      </c>
    </row>
    <row r="2676" spans="1:2" ht="15" hidden="1" x14ac:dyDescent="0.25">
      <c r="A2676" s="511" t="s">
        <v>2268</v>
      </c>
      <c r="B2676" s="511" t="s">
        <v>2268</v>
      </c>
    </row>
    <row r="2677" spans="1:2" ht="15" hidden="1" x14ac:dyDescent="0.25">
      <c r="A2677" s="511" t="s">
        <v>2269</v>
      </c>
      <c r="B2677" s="511" t="s">
        <v>2269</v>
      </c>
    </row>
    <row r="2678" spans="1:2" ht="15" hidden="1" x14ac:dyDescent="0.25">
      <c r="A2678" s="511" t="s">
        <v>2270</v>
      </c>
      <c r="B2678" s="511" t="s">
        <v>2270</v>
      </c>
    </row>
    <row r="2679" spans="1:2" ht="15" hidden="1" x14ac:dyDescent="0.25">
      <c r="A2679" s="511" t="s">
        <v>2271</v>
      </c>
      <c r="B2679" s="511" t="s">
        <v>2271</v>
      </c>
    </row>
    <row r="2680" spans="1:2" ht="15" hidden="1" x14ac:dyDescent="0.25">
      <c r="A2680" s="511" t="s">
        <v>2272</v>
      </c>
      <c r="B2680" s="511" t="s">
        <v>2272</v>
      </c>
    </row>
    <row r="2681" spans="1:2" ht="15" hidden="1" x14ac:dyDescent="0.25">
      <c r="A2681" s="511" t="s">
        <v>2273</v>
      </c>
      <c r="B2681" s="511" t="s">
        <v>2273</v>
      </c>
    </row>
    <row r="2682" spans="1:2" ht="15" hidden="1" x14ac:dyDescent="0.25">
      <c r="A2682" s="511" t="s">
        <v>2274</v>
      </c>
      <c r="B2682" s="511" t="s">
        <v>2274</v>
      </c>
    </row>
    <row r="2683" spans="1:2" ht="15" hidden="1" x14ac:dyDescent="0.25">
      <c r="A2683" s="511" t="s">
        <v>2275</v>
      </c>
      <c r="B2683" s="511" t="s">
        <v>2275</v>
      </c>
    </row>
    <row r="2684" spans="1:2" ht="15" hidden="1" x14ac:dyDescent="0.25">
      <c r="A2684" s="511" t="s">
        <v>2276</v>
      </c>
      <c r="B2684" s="511" t="s">
        <v>2276</v>
      </c>
    </row>
    <row r="2685" spans="1:2" ht="15" hidden="1" x14ac:dyDescent="0.25">
      <c r="A2685" s="511" t="s">
        <v>2277</v>
      </c>
      <c r="B2685" s="511" t="s">
        <v>2277</v>
      </c>
    </row>
    <row r="2686" spans="1:2" ht="15" hidden="1" x14ac:dyDescent="0.25">
      <c r="A2686" s="511" t="s">
        <v>2278</v>
      </c>
      <c r="B2686" s="511" t="s">
        <v>2278</v>
      </c>
    </row>
    <row r="2687" spans="1:2" ht="15" hidden="1" x14ac:dyDescent="0.25">
      <c r="A2687" s="511" t="s">
        <v>2279</v>
      </c>
      <c r="B2687" s="511" t="s">
        <v>2279</v>
      </c>
    </row>
    <row r="2688" spans="1:2" ht="15" hidden="1" x14ac:dyDescent="0.25">
      <c r="A2688" s="511" t="s">
        <v>2280</v>
      </c>
      <c r="B2688" s="511" t="s">
        <v>2280</v>
      </c>
    </row>
    <row r="2689" spans="1:2" ht="15" hidden="1" x14ac:dyDescent="0.25">
      <c r="A2689" s="511" t="s">
        <v>2281</v>
      </c>
      <c r="B2689" s="511" t="s">
        <v>2281</v>
      </c>
    </row>
    <row r="2690" spans="1:2" ht="15" hidden="1" x14ac:dyDescent="0.25">
      <c r="A2690" s="511" t="s">
        <v>2282</v>
      </c>
      <c r="B2690" s="511" t="s">
        <v>2282</v>
      </c>
    </row>
    <row r="2691" spans="1:2" ht="15" hidden="1" x14ac:dyDescent="0.25">
      <c r="A2691" s="511" t="s">
        <v>2283</v>
      </c>
      <c r="B2691" s="511" t="s">
        <v>2283</v>
      </c>
    </row>
    <row r="2692" spans="1:2" ht="15" hidden="1" x14ac:dyDescent="0.25">
      <c r="A2692" s="511" t="s">
        <v>2283</v>
      </c>
      <c r="B2692" s="511" t="s">
        <v>2283</v>
      </c>
    </row>
    <row r="2693" spans="1:2" ht="15" hidden="1" x14ac:dyDescent="0.25">
      <c r="A2693" s="511" t="s">
        <v>2284</v>
      </c>
      <c r="B2693" s="511" t="s">
        <v>2284</v>
      </c>
    </row>
    <row r="2694" spans="1:2" ht="15" hidden="1" x14ac:dyDescent="0.25">
      <c r="A2694" s="511" t="s">
        <v>2285</v>
      </c>
      <c r="B2694" s="511" t="s">
        <v>2285</v>
      </c>
    </row>
    <row r="2695" spans="1:2" ht="15" hidden="1" x14ac:dyDescent="0.25">
      <c r="A2695" s="511" t="s">
        <v>2286</v>
      </c>
      <c r="B2695" s="511" t="s">
        <v>2286</v>
      </c>
    </row>
    <row r="2696" spans="1:2" ht="15" hidden="1" x14ac:dyDescent="0.25">
      <c r="A2696" s="511" t="s">
        <v>2287</v>
      </c>
      <c r="B2696" s="511" t="s">
        <v>2287</v>
      </c>
    </row>
    <row r="2697" spans="1:2" ht="15" hidden="1" x14ac:dyDescent="0.25">
      <c r="A2697" s="511" t="s">
        <v>2288</v>
      </c>
      <c r="B2697" s="511" t="s">
        <v>2288</v>
      </c>
    </row>
    <row r="2698" spans="1:2" ht="15" hidden="1" x14ac:dyDescent="0.25">
      <c r="A2698" s="511" t="s">
        <v>2289</v>
      </c>
      <c r="B2698" s="511" t="s">
        <v>2289</v>
      </c>
    </row>
    <row r="2699" spans="1:2" ht="15" hidden="1" x14ac:dyDescent="0.25">
      <c r="A2699" s="511" t="s">
        <v>2290</v>
      </c>
      <c r="B2699" s="511" t="s">
        <v>2290</v>
      </c>
    </row>
    <row r="2700" spans="1:2" ht="15" hidden="1" x14ac:dyDescent="0.25">
      <c r="A2700" s="511" t="s">
        <v>2291</v>
      </c>
      <c r="B2700" s="511" t="s">
        <v>2291</v>
      </c>
    </row>
    <row r="2701" spans="1:2" ht="15" hidden="1" x14ac:dyDescent="0.25">
      <c r="A2701" s="511" t="s">
        <v>2291</v>
      </c>
      <c r="B2701" s="511" t="s">
        <v>2291</v>
      </c>
    </row>
    <row r="2702" spans="1:2" ht="15" hidden="1" x14ac:dyDescent="0.25">
      <c r="A2702" s="511" t="s">
        <v>2292</v>
      </c>
      <c r="B2702" s="511" t="s">
        <v>2292</v>
      </c>
    </row>
    <row r="2703" spans="1:2" ht="15" hidden="1" x14ac:dyDescent="0.25">
      <c r="A2703" s="511" t="s">
        <v>2292</v>
      </c>
      <c r="B2703" s="511" t="s">
        <v>2292</v>
      </c>
    </row>
    <row r="2704" spans="1:2" ht="15" hidden="1" x14ac:dyDescent="0.25">
      <c r="A2704" s="511" t="s">
        <v>2293</v>
      </c>
      <c r="B2704" s="511" t="s">
        <v>2293</v>
      </c>
    </row>
    <row r="2705" spans="1:2" ht="15" hidden="1" x14ac:dyDescent="0.25">
      <c r="A2705" s="511" t="s">
        <v>2293</v>
      </c>
      <c r="B2705" s="511" t="s">
        <v>2293</v>
      </c>
    </row>
    <row r="2706" spans="1:2" ht="15" hidden="1" x14ac:dyDescent="0.25">
      <c r="A2706" s="511" t="s">
        <v>2294</v>
      </c>
      <c r="B2706" s="511" t="s">
        <v>2294</v>
      </c>
    </row>
    <row r="2707" spans="1:2" ht="15" hidden="1" x14ac:dyDescent="0.25">
      <c r="A2707" s="511" t="s">
        <v>2295</v>
      </c>
      <c r="B2707" s="511" t="s">
        <v>2295</v>
      </c>
    </row>
    <row r="2708" spans="1:2" ht="15" hidden="1" x14ac:dyDescent="0.25">
      <c r="A2708" s="511" t="s">
        <v>2296</v>
      </c>
      <c r="B2708" s="511" t="s">
        <v>2296</v>
      </c>
    </row>
    <row r="2709" spans="1:2" ht="15" hidden="1" x14ac:dyDescent="0.25">
      <c r="A2709" s="511" t="s">
        <v>2297</v>
      </c>
      <c r="B2709" s="511" t="s">
        <v>2297</v>
      </c>
    </row>
    <row r="2710" spans="1:2" ht="15" hidden="1" x14ac:dyDescent="0.25">
      <c r="A2710" s="511" t="s">
        <v>2298</v>
      </c>
      <c r="B2710" s="511" t="s">
        <v>2298</v>
      </c>
    </row>
    <row r="2711" spans="1:2" ht="15" hidden="1" x14ac:dyDescent="0.25">
      <c r="A2711" s="511" t="s">
        <v>2299</v>
      </c>
      <c r="B2711" s="511" t="s">
        <v>2299</v>
      </c>
    </row>
    <row r="2712" spans="1:2" ht="15" hidden="1" x14ac:dyDescent="0.25">
      <c r="A2712" s="511" t="s">
        <v>2300</v>
      </c>
      <c r="B2712" s="511" t="s">
        <v>2300</v>
      </c>
    </row>
    <row r="2713" spans="1:2" ht="15" hidden="1" x14ac:dyDescent="0.25">
      <c r="A2713" s="511" t="s">
        <v>2301</v>
      </c>
      <c r="B2713" s="511" t="s">
        <v>2301</v>
      </c>
    </row>
    <row r="2714" spans="1:2" ht="15" hidden="1" x14ac:dyDescent="0.25">
      <c r="A2714" s="511" t="s">
        <v>2302</v>
      </c>
      <c r="B2714" s="511" t="s">
        <v>2302</v>
      </c>
    </row>
    <row r="2715" spans="1:2" ht="15" hidden="1" x14ac:dyDescent="0.25">
      <c r="A2715" s="511" t="s">
        <v>2303</v>
      </c>
      <c r="B2715" s="511" t="s">
        <v>2303</v>
      </c>
    </row>
    <row r="2716" spans="1:2" ht="15" hidden="1" x14ac:dyDescent="0.25">
      <c r="A2716" s="511" t="s">
        <v>2304</v>
      </c>
      <c r="B2716" s="511" t="s">
        <v>2304</v>
      </c>
    </row>
    <row r="2717" spans="1:2" ht="15" hidden="1" x14ac:dyDescent="0.25">
      <c r="A2717" s="511" t="s">
        <v>2305</v>
      </c>
      <c r="B2717" s="511" t="s">
        <v>2305</v>
      </c>
    </row>
    <row r="2718" spans="1:2" ht="15" hidden="1" x14ac:dyDescent="0.25">
      <c r="A2718" s="511" t="s">
        <v>2306</v>
      </c>
      <c r="B2718" s="511" t="s">
        <v>2306</v>
      </c>
    </row>
    <row r="2719" spans="1:2" ht="15" hidden="1" x14ac:dyDescent="0.25">
      <c r="A2719" s="511" t="s">
        <v>2306</v>
      </c>
      <c r="B2719" s="511" t="s">
        <v>2306</v>
      </c>
    </row>
    <row r="2720" spans="1:2" ht="15" hidden="1" x14ac:dyDescent="0.25">
      <c r="A2720" s="511" t="s">
        <v>2307</v>
      </c>
      <c r="B2720" s="511" t="s">
        <v>2307</v>
      </c>
    </row>
    <row r="2721" spans="1:2" ht="15" hidden="1" x14ac:dyDescent="0.25">
      <c r="A2721" s="511" t="s">
        <v>2308</v>
      </c>
      <c r="B2721" s="511" t="s">
        <v>2308</v>
      </c>
    </row>
    <row r="2722" spans="1:2" ht="15" hidden="1" x14ac:dyDescent="0.25">
      <c r="A2722" s="511" t="s">
        <v>2309</v>
      </c>
      <c r="B2722" s="511" t="s">
        <v>2309</v>
      </c>
    </row>
    <row r="2723" spans="1:2" ht="15" hidden="1" x14ac:dyDescent="0.25">
      <c r="A2723" s="511" t="s">
        <v>2310</v>
      </c>
      <c r="B2723" s="511" t="s">
        <v>2310</v>
      </c>
    </row>
    <row r="2724" spans="1:2" ht="15" hidden="1" x14ac:dyDescent="0.25">
      <c r="A2724" s="511" t="s">
        <v>2311</v>
      </c>
      <c r="B2724" s="511" t="s">
        <v>2311</v>
      </c>
    </row>
    <row r="2725" spans="1:2" ht="15" hidden="1" x14ac:dyDescent="0.25">
      <c r="A2725" s="511" t="s">
        <v>2312</v>
      </c>
      <c r="B2725" s="511" t="s">
        <v>2312</v>
      </c>
    </row>
    <row r="2726" spans="1:2" ht="15" hidden="1" x14ac:dyDescent="0.25">
      <c r="A2726" s="511" t="s">
        <v>2313</v>
      </c>
      <c r="B2726" s="511" t="s">
        <v>2313</v>
      </c>
    </row>
    <row r="2727" spans="1:2" ht="15" hidden="1" x14ac:dyDescent="0.25">
      <c r="A2727" s="511" t="s">
        <v>2314</v>
      </c>
      <c r="B2727" s="511" t="s">
        <v>2314</v>
      </c>
    </row>
    <row r="2728" spans="1:2" ht="15" hidden="1" x14ac:dyDescent="0.25">
      <c r="A2728" s="511" t="s">
        <v>2315</v>
      </c>
      <c r="B2728" s="511" t="s">
        <v>2315</v>
      </c>
    </row>
    <row r="2729" spans="1:2" ht="15" hidden="1" x14ac:dyDescent="0.25">
      <c r="A2729" s="511" t="s">
        <v>2316</v>
      </c>
      <c r="B2729" s="511" t="s">
        <v>2316</v>
      </c>
    </row>
    <row r="2730" spans="1:2" ht="15" hidden="1" x14ac:dyDescent="0.25">
      <c r="A2730" s="511" t="s">
        <v>2317</v>
      </c>
      <c r="B2730" s="511" t="s">
        <v>2298</v>
      </c>
    </row>
    <row r="2731" spans="1:2" ht="15" hidden="1" x14ac:dyDescent="0.25">
      <c r="A2731" s="511" t="s">
        <v>2318</v>
      </c>
      <c r="B2731" s="511" t="s">
        <v>2319</v>
      </c>
    </row>
    <row r="2732" spans="1:2" ht="15" hidden="1" x14ac:dyDescent="0.25">
      <c r="A2732" s="511" t="s">
        <v>2320</v>
      </c>
      <c r="B2732" s="511" t="s">
        <v>2321</v>
      </c>
    </row>
    <row r="2733" spans="1:2" ht="15" hidden="1" x14ac:dyDescent="0.25">
      <c r="A2733" s="511" t="s">
        <v>1818</v>
      </c>
      <c r="B2733" s="511" t="s">
        <v>1819</v>
      </c>
    </row>
    <row r="2734" spans="1:2" ht="15" hidden="1" x14ac:dyDescent="0.25">
      <c r="A2734" s="511" t="s">
        <v>2322</v>
      </c>
      <c r="B2734" s="511" t="s">
        <v>2323</v>
      </c>
    </row>
    <row r="2735" spans="1:2" ht="15" hidden="1" x14ac:dyDescent="0.25">
      <c r="A2735" s="511" t="s">
        <v>2324</v>
      </c>
      <c r="B2735" s="511" t="s">
        <v>2325</v>
      </c>
    </row>
    <row r="2736" spans="1:2" ht="15" hidden="1" x14ac:dyDescent="0.25">
      <c r="A2736" s="511" t="s">
        <v>2324</v>
      </c>
      <c r="B2736" s="511" t="s">
        <v>2325</v>
      </c>
    </row>
    <row r="2737" spans="1:2" ht="15" hidden="1" x14ac:dyDescent="0.25">
      <c r="A2737" s="511" t="s">
        <v>2326</v>
      </c>
      <c r="B2737" s="511" t="s">
        <v>2327</v>
      </c>
    </row>
    <row r="2738" spans="1:2" ht="15" hidden="1" x14ac:dyDescent="0.25">
      <c r="A2738" s="511" t="s">
        <v>1822</v>
      </c>
      <c r="B2738" s="511" t="s">
        <v>2328</v>
      </c>
    </row>
    <row r="2739" spans="1:2" ht="15" hidden="1" x14ac:dyDescent="0.25">
      <c r="A2739" s="511" t="s">
        <v>2329</v>
      </c>
      <c r="B2739" s="511" t="s">
        <v>2330</v>
      </c>
    </row>
    <row r="2740" spans="1:2" ht="15" hidden="1" x14ac:dyDescent="0.25">
      <c r="A2740" s="511" t="s">
        <v>2196</v>
      </c>
      <c r="B2740" s="511" t="s">
        <v>2197</v>
      </c>
    </row>
    <row r="2741" spans="1:2" ht="15" hidden="1" x14ac:dyDescent="0.25">
      <c r="A2741" s="511" t="s">
        <v>2331</v>
      </c>
      <c r="B2741" s="511" t="s">
        <v>2332</v>
      </c>
    </row>
    <row r="2742" spans="1:2" ht="15" hidden="1" x14ac:dyDescent="0.25">
      <c r="A2742" s="511" t="s">
        <v>1592</v>
      </c>
      <c r="B2742" s="511" t="s">
        <v>68</v>
      </c>
    </row>
    <row r="2743" spans="1:2" ht="15" hidden="1" x14ac:dyDescent="0.25">
      <c r="A2743" s="511" t="s">
        <v>2333</v>
      </c>
      <c r="B2743" s="511" t="s">
        <v>2334</v>
      </c>
    </row>
    <row r="2744" spans="1:2" ht="15" hidden="1" x14ac:dyDescent="0.25">
      <c r="A2744" s="511" t="s">
        <v>2335</v>
      </c>
      <c r="B2744" s="511" t="s">
        <v>2336</v>
      </c>
    </row>
    <row r="2745" spans="1:2" ht="15" hidden="1" x14ac:dyDescent="0.25">
      <c r="A2745" s="511" t="s">
        <v>2337</v>
      </c>
      <c r="B2745" s="511" t="s">
        <v>2338</v>
      </c>
    </row>
    <row r="2746" spans="1:2" ht="15" hidden="1" x14ac:dyDescent="0.25">
      <c r="A2746" s="511" t="s">
        <v>2339</v>
      </c>
      <c r="B2746" s="511" t="s">
        <v>2340</v>
      </c>
    </row>
    <row r="2747" spans="1:2" ht="15" hidden="1" x14ac:dyDescent="0.25">
      <c r="A2747" s="511" t="s">
        <v>2341</v>
      </c>
      <c r="B2747" s="511" t="s">
        <v>2342</v>
      </c>
    </row>
    <row r="2748" spans="1:2" ht="15" hidden="1" x14ac:dyDescent="0.25">
      <c r="A2748" s="511" t="s">
        <v>2343</v>
      </c>
      <c r="B2748" s="511" t="s">
        <v>2344</v>
      </c>
    </row>
    <row r="2749" spans="1:2" ht="15" hidden="1" x14ac:dyDescent="0.25">
      <c r="A2749" s="511" t="s">
        <v>2345</v>
      </c>
      <c r="B2749" s="511" t="s">
        <v>2346</v>
      </c>
    </row>
    <row r="2750" spans="1:2" ht="15" hidden="1" x14ac:dyDescent="0.25">
      <c r="A2750" s="511" t="s">
        <v>2347</v>
      </c>
      <c r="B2750" s="511" t="s">
        <v>2348</v>
      </c>
    </row>
    <row r="2751" spans="1:2" ht="15" hidden="1" x14ac:dyDescent="0.25">
      <c r="A2751" s="511" t="s">
        <v>2347</v>
      </c>
      <c r="B2751" s="511" t="s">
        <v>2348</v>
      </c>
    </row>
    <row r="2752" spans="1:2" ht="15" hidden="1" x14ac:dyDescent="0.25">
      <c r="A2752" s="511" t="s">
        <v>250</v>
      </c>
      <c r="B2752" s="511" t="s">
        <v>423</v>
      </c>
    </row>
    <row r="2753" spans="1:2" ht="15" hidden="1" x14ac:dyDescent="0.25">
      <c r="A2753" s="511" t="s">
        <v>2349</v>
      </c>
      <c r="B2753" s="511" t="s">
        <v>2350</v>
      </c>
    </row>
    <row r="2754" spans="1:2" ht="15" hidden="1" x14ac:dyDescent="0.25">
      <c r="A2754" s="512" t="s">
        <v>2351</v>
      </c>
      <c r="B2754" s="512" t="s">
        <v>2352</v>
      </c>
    </row>
    <row r="2755" spans="1:2" ht="15" hidden="1" x14ac:dyDescent="0.25">
      <c r="A2755" s="511" t="s">
        <v>2043</v>
      </c>
      <c r="B2755" s="511" t="s">
        <v>2353</v>
      </c>
    </row>
    <row r="2756" spans="1:2" ht="15" hidden="1" x14ac:dyDescent="0.25">
      <c r="A2756" s="511" t="s">
        <v>2354</v>
      </c>
      <c r="B2756" s="511" t="s">
        <v>2355</v>
      </c>
    </row>
    <row r="2757" spans="1:2" ht="15" hidden="1" x14ac:dyDescent="0.25">
      <c r="A2757" s="511" t="s">
        <v>2356</v>
      </c>
      <c r="B2757" s="511" t="s">
        <v>2357</v>
      </c>
    </row>
    <row r="2758" spans="1:2" ht="15" hidden="1" x14ac:dyDescent="0.25">
      <c r="A2758" s="511" t="s">
        <v>2358</v>
      </c>
      <c r="B2758" s="511" t="s">
        <v>2359</v>
      </c>
    </row>
    <row r="2759" spans="1:2" ht="15" hidden="1" x14ac:dyDescent="0.25">
      <c r="A2759" s="511" t="s">
        <v>2360</v>
      </c>
      <c r="B2759" s="511" t="s">
        <v>2361</v>
      </c>
    </row>
    <row r="2760" spans="1:2" ht="15" hidden="1" x14ac:dyDescent="0.25">
      <c r="A2760" s="511" t="s">
        <v>2360</v>
      </c>
      <c r="B2760" s="511" t="s">
        <v>2361</v>
      </c>
    </row>
    <row r="2761" spans="1:2" ht="15" hidden="1" x14ac:dyDescent="0.25">
      <c r="A2761" s="511" t="s">
        <v>2362</v>
      </c>
      <c r="B2761" s="511" t="s">
        <v>2363</v>
      </c>
    </row>
    <row r="2762" spans="1:2" ht="15" hidden="1" x14ac:dyDescent="0.25">
      <c r="A2762" s="511" t="s">
        <v>2362</v>
      </c>
      <c r="B2762" s="511" t="s">
        <v>2363</v>
      </c>
    </row>
    <row r="2763" spans="1:2" ht="15" hidden="1" x14ac:dyDescent="0.25">
      <c r="A2763" s="511" t="s">
        <v>2364</v>
      </c>
      <c r="B2763" s="511" t="s">
        <v>2365</v>
      </c>
    </row>
    <row r="2764" spans="1:2" ht="15" hidden="1" x14ac:dyDescent="0.25">
      <c r="A2764" s="511" t="s">
        <v>432</v>
      </c>
      <c r="B2764" s="511" t="s">
        <v>433</v>
      </c>
    </row>
    <row r="2765" spans="1:2" ht="15" hidden="1" x14ac:dyDescent="0.25">
      <c r="A2765" s="511" t="s">
        <v>432</v>
      </c>
      <c r="B2765" s="511" t="s">
        <v>433</v>
      </c>
    </row>
    <row r="2766" spans="1:2" ht="15" hidden="1" x14ac:dyDescent="0.25">
      <c r="A2766" s="511" t="s">
        <v>432</v>
      </c>
      <c r="B2766" s="511" t="s">
        <v>433</v>
      </c>
    </row>
    <row r="2767" spans="1:2" ht="15" hidden="1" x14ac:dyDescent="0.25">
      <c r="A2767" s="511" t="s">
        <v>432</v>
      </c>
      <c r="B2767" s="511" t="s">
        <v>433</v>
      </c>
    </row>
    <row r="2768" spans="1:2" ht="15" hidden="1" x14ac:dyDescent="0.25">
      <c r="A2768" s="511" t="s">
        <v>432</v>
      </c>
      <c r="B2768" s="511" t="s">
        <v>433</v>
      </c>
    </row>
    <row r="2769" spans="1:2" ht="15" hidden="1" x14ac:dyDescent="0.25">
      <c r="A2769" s="511" t="s">
        <v>2366</v>
      </c>
      <c r="B2769" s="511" t="s">
        <v>2367</v>
      </c>
    </row>
    <row r="2770" spans="1:2" ht="15" hidden="1" x14ac:dyDescent="0.25">
      <c r="A2770" s="511" t="s">
        <v>2368</v>
      </c>
      <c r="B2770" s="511" t="s">
        <v>2369</v>
      </c>
    </row>
    <row r="2771" spans="1:2" ht="15" hidden="1" x14ac:dyDescent="0.25">
      <c r="A2771" s="511" t="s">
        <v>2368</v>
      </c>
      <c r="B2771" s="511" t="s">
        <v>2369</v>
      </c>
    </row>
    <row r="2772" spans="1:2" ht="15" hidden="1" x14ac:dyDescent="0.25">
      <c r="A2772" s="511" t="s">
        <v>2370</v>
      </c>
      <c r="B2772" s="511" t="s">
        <v>2371</v>
      </c>
    </row>
    <row r="2773" spans="1:2" ht="15" hidden="1" x14ac:dyDescent="0.25">
      <c r="A2773" s="511" t="s">
        <v>2370</v>
      </c>
      <c r="B2773" s="511" t="s">
        <v>2371</v>
      </c>
    </row>
    <row r="2774" spans="1:2" ht="15" hidden="1" x14ac:dyDescent="0.25">
      <c r="A2774" s="511" t="s">
        <v>2372</v>
      </c>
      <c r="B2774" s="511" t="s">
        <v>2373</v>
      </c>
    </row>
    <row r="2775" spans="1:2" ht="15" hidden="1" x14ac:dyDescent="0.25">
      <c r="A2775" s="511" t="s">
        <v>1844</v>
      </c>
      <c r="B2775" s="511" t="s">
        <v>1845</v>
      </c>
    </row>
    <row r="2776" spans="1:2" ht="15" hidden="1" x14ac:dyDescent="0.25">
      <c r="A2776" s="511" t="s">
        <v>1747</v>
      </c>
      <c r="B2776" s="511" t="s">
        <v>1748</v>
      </c>
    </row>
    <row r="2777" spans="1:2" ht="15" hidden="1" x14ac:dyDescent="0.25">
      <c r="A2777" s="511" t="s">
        <v>1747</v>
      </c>
      <c r="B2777" s="511" t="s">
        <v>1748</v>
      </c>
    </row>
    <row r="2778" spans="1:2" ht="15" hidden="1" x14ac:dyDescent="0.25">
      <c r="A2778" s="511" t="s">
        <v>2060</v>
      </c>
      <c r="B2778" s="511" t="s">
        <v>2061</v>
      </c>
    </row>
    <row r="2779" spans="1:2" ht="15" hidden="1" x14ac:dyDescent="0.25">
      <c r="A2779" s="511" t="s">
        <v>1848</v>
      </c>
      <c r="B2779" s="511" t="s">
        <v>1849</v>
      </c>
    </row>
    <row r="2780" spans="1:2" ht="15" hidden="1" x14ac:dyDescent="0.25">
      <c r="A2780" s="511" t="s">
        <v>2374</v>
      </c>
      <c r="B2780" s="511" t="s">
        <v>2375</v>
      </c>
    </row>
    <row r="2781" spans="1:2" ht="15" hidden="1" x14ac:dyDescent="0.25">
      <c r="A2781" s="511" t="s">
        <v>2376</v>
      </c>
      <c r="B2781" s="511" t="s">
        <v>2377</v>
      </c>
    </row>
    <row r="2782" spans="1:2" ht="15" hidden="1" x14ac:dyDescent="0.25">
      <c r="A2782" s="511" t="s">
        <v>2376</v>
      </c>
      <c r="B2782" s="511" t="s">
        <v>2377</v>
      </c>
    </row>
    <row r="2783" spans="1:2" ht="15" hidden="1" x14ac:dyDescent="0.25">
      <c r="A2783" s="511" t="s">
        <v>2378</v>
      </c>
      <c r="B2783" s="511" t="s">
        <v>2379</v>
      </c>
    </row>
    <row r="2784" spans="1:2" ht="15" hidden="1" x14ac:dyDescent="0.25">
      <c r="A2784" s="511" t="s">
        <v>2380</v>
      </c>
      <c r="B2784" s="511" t="s">
        <v>2381</v>
      </c>
    </row>
    <row r="2785" spans="1:2" ht="15" hidden="1" x14ac:dyDescent="0.25">
      <c r="A2785" s="511" t="s">
        <v>2382</v>
      </c>
      <c r="B2785" s="511" t="s">
        <v>2383</v>
      </c>
    </row>
    <row r="2786" spans="1:2" ht="15" hidden="1" x14ac:dyDescent="0.25">
      <c r="A2786" s="511" t="s">
        <v>2384</v>
      </c>
      <c r="B2786" s="511" t="s">
        <v>2385</v>
      </c>
    </row>
    <row r="2787" spans="1:2" ht="15" hidden="1" x14ac:dyDescent="0.25">
      <c r="A2787" s="513" t="s">
        <v>2386</v>
      </c>
      <c r="B2787" s="513" t="s">
        <v>2387</v>
      </c>
    </row>
    <row r="2788" spans="1:2" ht="15" hidden="1" x14ac:dyDescent="0.25">
      <c r="A2788" s="511" t="s">
        <v>2388</v>
      </c>
      <c r="B2788" s="511" t="s">
        <v>2389</v>
      </c>
    </row>
    <row r="2789" spans="1:2" ht="15" hidden="1" x14ac:dyDescent="0.25">
      <c r="A2789" s="511" t="s">
        <v>2390</v>
      </c>
      <c r="B2789" s="511" t="s">
        <v>2391</v>
      </c>
    </row>
    <row r="2790" spans="1:2" ht="15" hidden="1" x14ac:dyDescent="0.25">
      <c r="A2790" s="511" t="s">
        <v>2392</v>
      </c>
      <c r="B2790" s="511" t="s">
        <v>2393</v>
      </c>
    </row>
    <row r="2791" spans="1:2" ht="15" hidden="1" x14ac:dyDescent="0.25">
      <c r="A2791" s="511" t="s">
        <v>2394</v>
      </c>
      <c r="B2791" s="511" t="s">
        <v>2395</v>
      </c>
    </row>
    <row r="2792" spans="1:2" ht="15" hidden="1" x14ac:dyDescent="0.25">
      <c r="A2792" s="511" t="s">
        <v>2394</v>
      </c>
      <c r="B2792" s="511" t="s">
        <v>2395</v>
      </c>
    </row>
    <row r="2793" spans="1:2" ht="15" hidden="1" x14ac:dyDescent="0.25">
      <c r="A2793" s="511" t="s">
        <v>1863</v>
      </c>
      <c r="B2793" s="511" t="s">
        <v>1864</v>
      </c>
    </row>
    <row r="2794" spans="1:2" ht="15" hidden="1" x14ac:dyDescent="0.25">
      <c r="A2794" s="513" t="s">
        <v>2396</v>
      </c>
      <c r="B2794" s="513" t="s">
        <v>2397</v>
      </c>
    </row>
    <row r="2795" spans="1:2" ht="15" hidden="1" x14ac:dyDescent="0.25">
      <c r="A2795" s="511" t="s">
        <v>2398</v>
      </c>
      <c r="B2795" s="511" t="s">
        <v>2399</v>
      </c>
    </row>
    <row r="2796" spans="1:2" ht="15" hidden="1" x14ac:dyDescent="0.25">
      <c r="A2796" s="511" t="s">
        <v>2398</v>
      </c>
      <c r="B2796" s="511" t="s">
        <v>2399</v>
      </c>
    </row>
    <row r="2797" spans="1:2" ht="15" hidden="1" x14ac:dyDescent="0.25">
      <c r="A2797" s="511" t="s">
        <v>1657</v>
      </c>
      <c r="B2797" s="511" t="s">
        <v>1658</v>
      </c>
    </row>
    <row r="2798" spans="1:2" ht="15" hidden="1" x14ac:dyDescent="0.25">
      <c r="A2798" s="511" t="s">
        <v>2245</v>
      </c>
      <c r="B2798" s="511" t="s">
        <v>2400</v>
      </c>
    </row>
    <row r="2799" spans="1:2" ht="15" hidden="1" x14ac:dyDescent="0.25">
      <c r="A2799" s="511" t="s">
        <v>2401</v>
      </c>
      <c r="B2799" s="511" t="s">
        <v>2402</v>
      </c>
    </row>
    <row r="2800" spans="1:2" ht="15" hidden="1" x14ac:dyDescent="0.25">
      <c r="A2800" s="511" t="s">
        <v>2401</v>
      </c>
      <c r="B2800" s="511" t="s">
        <v>2402</v>
      </c>
    </row>
    <row r="2801" spans="1:2" ht="15" hidden="1" x14ac:dyDescent="0.25">
      <c r="A2801" s="511" t="s">
        <v>2403</v>
      </c>
      <c r="B2801" s="511" t="s">
        <v>2404</v>
      </c>
    </row>
    <row r="2802" spans="1:2" ht="15" hidden="1" x14ac:dyDescent="0.25">
      <c r="A2802" s="511" t="s">
        <v>2405</v>
      </c>
      <c r="B2802" s="511" t="s">
        <v>2406</v>
      </c>
    </row>
    <row r="2803" spans="1:2" ht="15" hidden="1" x14ac:dyDescent="0.25">
      <c r="A2803" s="511" t="s">
        <v>2405</v>
      </c>
      <c r="B2803" s="511" t="s">
        <v>2406</v>
      </c>
    </row>
    <row r="2804" spans="1:2" ht="15" hidden="1" x14ac:dyDescent="0.25">
      <c r="A2804" s="511" t="s">
        <v>231</v>
      </c>
      <c r="B2804" s="511" t="s">
        <v>359</v>
      </c>
    </row>
    <row r="2805" spans="1:2" ht="15" hidden="1" x14ac:dyDescent="0.25">
      <c r="A2805" s="511" t="s">
        <v>190</v>
      </c>
      <c r="B2805" s="511" t="s">
        <v>360</v>
      </c>
    </row>
    <row r="2806" spans="1:2" ht="15" hidden="1" x14ac:dyDescent="0.25">
      <c r="A2806" s="511" t="s">
        <v>191</v>
      </c>
      <c r="B2806" s="511" t="s">
        <v>361</v>
      </c>
    </row>
    <row r="2807" spans="1:2" ht="15" hidden="1" x14ac:dyDescent="0.25">
      <c r="A2807" s="511" t="s">
        <v>191</v>
      </c>
      <c r="B2807" s="511" t="s">
        <v>361</v>
      </c>
    </row>
    <row r="2808" spans="1:2" ht="15" hidden="1" x14ac:dyDescent="0.25">
      <c r="A2808" s="511" t="s">
        <v>191</v>
      </c>
      <c r="B2808" s="511" t="s">
        <v>361</v>
      </c>
    </row>
    <row r="2809" spans="1:2" ht="15" hidden="1" x14ac:dyDescent="0.25">
      <c r="A2809" s="511" t="s">
        <v>191</v>
      </c>
      <c r="B2809" s="511" t="s">
        <v>361</v>
      </c>
    </row>
    <row r="2810" spans="1:2" ht="15" hidden="1" x14ac:dyDescent="0.25">
      <c r="A2810" s="511" t="s">
        <v>191</v>
      </c>
      <c r="B2810" s="511" t="s">
        <v>361</v>
      </c>
    </row>
    <row r="2811" spans="1:2" ht="15" hidden="1" x14ac:dyDescent="0.25">
      <c r="A2811" s="511" t="s">
        <v>191</v>
      </c>
      <c r="B2811" s="511" t="s">
        <v>361</v>
      </c>
    </row>
    <row r="2812" spans="1:2" ht="15" hidden="1" x14ac:dyDescent="0.25">
      <c r="A2812" s="511" t="s">
        <v>191</v>
      </c>
      <c r="B2812" s="511" t="s">
        <v>361</v>
      </c>
    </row>
    <row r="2813" spans="1:2" ht="15" hidden="1" x14ac:dyDescent="0.25">
      <c r="A2813" s="511" t="s">
        <v>191</v>
      </c>
      <c r="B2813" s="511" t="s">
        <v>361</v>
      </c>
    </row>
    <row r="2814" spans="1:2" ht="15" hidden="1" x14ac:dyDescent="0.25">
      <c r="A2814" s="511" t="s">
        <v>191</v>
      </c>
      <c r="B2814" s="511" t="s">
        <v>361</v>
      </c>
    </row>
    <row r="2815" spans="1:2" ht="15" hidden="1" x14ac:dyDescent="0.25">
      <c r="A2815" s="511" t="s">
        <v>191</v>
      </c>
      <c r="B2815" s="511" t="s">
        <v>361</v>
      </c>
    </row>
    <row r="2816" spans="1:2" ht="15" hidden="1" x14ac:dyDescent="0.25">
      <c r="A2816" s="511" t="s">
        <v>191</v>
      </c>
      <c r="B2816" s="511" t="s">
        <v>361</v>
      </c>
    </row>
    <row r="2817" spans="1:2" ht="15" hidden="1" x14ac:dyDescent="0.25">
      <c r="A2817" s="511" t="s">
        <v>191</v>
      </c>
      <c r="B2817" s="511" t="s">
        <v>361</v>
      </c>
    </row>
    <row r="2818" spans="1:2" ht="15" hidden="1" x14ac:dyDescent="0.25">
      <c r="A2818" s="511" t="s">
        <v>191</v>
      </c>
      <c r="B2818" s="511" t="s">
        <v>361</v>
      </c>
    </row>
    <row r="2819" spans="1:2" ht="15" hidden="1" x14ac:dyDescent="0.25">
      <c r="A2819" s="511" t="s">
        <v>191</v>
      </c>
      <c r="B2819" s="511" t="s">
        <v>361</v>
      </c>
    </row>
    <row r="2820" spans="1:2" ht="15" hidden="1" x14ac:dyDescent="0.25">
      <c r="A2820" s="511" t="s">
        <v>191</v>
      </c>
      <c r="B2820" s="511" t="s">
        <v>361</v>
      </c>
    </row>
    <row r="2821" spans="1:2" ht="15" hidden="1" x14ac:dyDescent="0.25">
      <c r="A2821" s="511" t="s">
        <v>191</v>
      </c>
      <c r="B2821" s="511" t="s">
        <v>361</v>
      </c>
    </row>
    <row r="2822" spans="1:2" ht="15" hidden="1" x14ac:dyDescent="0.25">
      <c r="A2822" s="511" t="s">
        <v>191</v>
      </c>
      <c r="B2822" s="511" t="s">
        <v>361</v>
      </c>
    </row>
    <row r="2823" spans="1:2" ht="15" hidden="1" x14ac:dyDescent="0.25">
      <c r="A2823" s="511" t="s">
        <v>191</v>
      </c>
      <c r="B2823" s="511" t="s">
        <v>361</v>
      </c>
    </row>
    <row r="2824" spans="1:2" ht="15" hidden="1" x14ac:dyDescent="0.25">
      <c r="A2824" s="511" t="s">
        <v>191</v>
      </c>
      <c r="B2824" s="511" t="s">
        <v>361</v>
      </c>
    </row>
    <row r="2825" spans="1:2" ht="15" hidden="1" x14ac:dyDescent="0.25">
      <c r="A2825" s="511" t="s">
        <v>191</v>
      </c>
      <c r="B2825" s="511" t="s">
        <v>361</v>
      </c>
    </row>
    <row r="2826" spans="1:2" ht="15" hidden="1" x14ac:dyDescent="0.25">
      <c r="A2826" s="511" t="s">
        <v>191</v>
      </c>
      <c r="B2826" s="511" t="s">
        <v>361</v>
      </c>
    </row>
    <row r="2827" spans="1:2" ht="15" hidden="1" x14ac:dyDescent="0.25">
      <c r="A2827" s="511" t="s">
        <v>191</v>
      </c>
      <c r="B2827" s="511" t="s">
        <v>361</v>
      </c>
    </row>
    <row r="2828" spans="1:2" ht="15" hidden="1" x14ac:dyDescent="0.25">
      <c r="A2828" s="511" t="s">
        <v>191</v>
      </c>
      <c r="B2828" s="511" t="s">
        <v>361</v>
      </c>
    </row>
    <row r="2829" spans="1:2" ht="15" hidden="1" x14ac:dyDescent="0.25">
      <c r="A2829" s="511" t="s">
        <v>191</v>
      </c>
      <c r="B2829" s="511" t="s">
        <v>361</v>
      </c>
    </row>
    <row r="2830" spans="1:2" ht="15" hidden="1" x14ac:dyDescent="0.25">
      <c r="A2830" s="511" t="s">
        <v>191</v>
      </c>
      <c r="B2830" s="511" t="s">
        <v>361</v>
      </c>
    </row>
    <row r="2831" spans="1:2" ht="15" hidden="1" x14ac:dyDescent="0.25">
      <c r="A2831" s="511" t="s">
        <v>191</v>
      </c>
      <c r="B2831" s="511" t="s">
        <v>361</v>
      </c>
    </row>
    <row r="2832" spans="1:2" ht="15" hidden="1" x14ac:dyDescent="0.25">
      <c r="A2832" s="511" t="s">
        <v>191</v>
      </c>
      <c r="B2832" s="511" t="s">
        <v>361</v>
      </c>
    </row>
    <row r="2833" spans="1:2" ht="15" hidden="1" x14ac:dyDescent="0.25">
      <c r="A2833" s="511" t="s">
        <v>191</v>
      </c>
      <c r="B2833" s="511" t="s">
        <v>361</v>
      </c>
    </row>
    <row r="2834" spans="1:2" ht="15" hidden="1" x14ac:dyDescent="0.25">
      <c r="A2834" s="511" t="s">
        <v>191</v>
      </c>
      <c r="B2834" s="511" t="s">
        <v>361</v>
      </c>
    </row>
    <row r="2835" spans="1:2" ht="15" hidden="1" x14ac:dyDescent="0.25">
      <c r="A2835" s="511" t="s">
        <v>191</v>
      </c>
      <c r="B2835" s="511" t="s">
        <v>361</v>
      </c>
    </row>
    <row r="2836" spans="1:2" ht="15" hidden="1" x14ac:dyDescent="0.25">
      <c r="A2836" s="511" t="s">
        <v>191</v>
      </c>
      <c r="B2836" s="511" t="s">
        <v>361</v>
      </c>
    </row>
    <row r="2837" spans="1:2" ht="15" hidden="1" x14ac:dyDescent="0.25">
      <c r="A2837" s="511" t="s">
        <v>191</v>
      </c>
      <c r="B2837" s="511" t="s">
        <v>361</v>
      </c>
    </row>
    <row r="2838" spans="1:2" ht="15" hidden="1" x14ac:dyDescent="0.25">
      <c r="A2838" s="511" t="s">
        <v>191</v>
      </c>
      <c r="B2838" s="511" t="s">
        <v>361</v>
      </c>
    </row>
    <row r="2839" spans="1:2" ht="15" hidden="1" x14ac:dyDescent="0.25">
      <c r="A2839" s="511" t="s">
        <v>191</v>
      </c>
      <c r="B2839" s="511" t="s">
        <v>361</v>
      </c>
    </row>
    <row r="2840" spans="1:2" ht="15" hidden="1" x14ac:dyDescent="0.25">
      <c r="A2840" s="511" t="s">
        <v>191</v>
      </c>
      <c r="B2840" s="511" t="s">
        <v>361</v>
      </c>
    </row>
    <row r="2841" spans="1:2" ht="15" hidden="1" x14ac:dyDescent="0.25">
      <c r="A2841" s="511" t="s">
        <v>191</v>
      </c>
      <c r="B2841" s="511" t="s">
        <v>361</v>
      </c>
    </row>
    <row r="2842" spans="1:2" ht="15" hidden="1" x14ac:dyDescent="0.25">
      <c r="A2842" s="511" t="s">
        <v>191</v>
      </c>
      <c r="B2842" s="511" t="s">
        <v>361</v>
      </c>
    </row>
    <row r="2843" spans="1:2" ht="15" hidden="1" x14ac:dyDescent="0.25">
      <c r="A2843" s="511" t="s">
        <v>191</v>
      </c>
      <c r="B2843" s="511" t="s">
        <v>361</v>
      </c>
    </row>
    <row r="2844" spans="1:2" ht="15" hidden="1" x14ac:dyDescent="0.25">
      <c r="A2844" s="511" t="s">
        <v>191</v>
      </c>
      <c r="B2844" s="511" t="s">
        <v>361</v>
      </c>
    </row>
    <row r="2845" spans="1:2" ht="15" hidden="1" x14ac:dyDescent="0.25">
      <c r="A2845" s="511" t="s">
        <v>191</v>
      </c>
      <c r="B2845" s="511" t="s">
        <v>361</v>
      </c>
    </row>
    <row r="2846" spans="1:2" ht="15" hidden="1" x14ac:dyDescent="0.25">
      <c r="A2846" s="511" t="s">
        <v>191</v>
      </c>
      <c r="B2846" s="511" t="s">
        <v>361</v>
      </c>
    </row>
    <row r="2847" spans="1:2" ht="15" hidden="1" x14ac:dyDescent="0.25">
      <c r="A2847" s="511" t="s">
        <v>191</v>
      </c>
      <c r="B2847" s="511" t="s">
        <v>361</v>
      </c>
    </row>
    <row r="2848" spans="1:2" ht="15" hidden="1" x14ac:dyDescent="0.25">
      <c r="A2848" s="511" t="s">
        <v>191</v>
      </c>
      <c r="B2848" s="511" t="s">
        <v>361</v>
      </c>
    </row>
    <row r="2849" spans="1:2" ht="15" hidden="1" x14ac:dyDescent="0.25">
      <c r="A2849" s="511" t="s">
        <v>191</v>
      </c>
      <c r="B2849" s="511" t="s">
        <v>361</v>
      </c>
    </row>
    <row r="2850" spans="1:2" ht="15" hidden="1" x14ac:dyDescent="0.25">
      <c r="A2850" s="511" t="s">
        <v>191</v>
      </c>
      <c r="B2850" s="511" t="s">
        <v>361</v>
      </c>
    </row>
    <row r="2851" spans="1:2" ht="15" hidden="1" x14ac:dyDescent="0.25">
      <c r="A2851" s="511" t="s">
        <v>191</v>
      </c>
      <c r="B2851" s="511" t="s">
        <v>361</v>
      </c>
    </row>
    <row r="2852" spans="1:2" ht="15" hidden="1" x14ac:dyDescent="0.25">
      <c r="A2852" s="511" t="s">
        <v>191</v>
      </c>
      <c r="B2852" s="511" t="s">
        <v>361</v>
      </c>
    </row>
    <row r="2853" spans="1:2" ht="15" hidden="1" x14ac:dyDescent="0.25">
      <c r="A2853" s="511" t="s">
        <v>191</v>
      </c>
      <c r="B2853" s="511" t="s">
        <v>361</v>
      </c>
    </row>
    <row r="2854" spans="1:2" ht="15" hidden="1" x14ac:dyDescent="0.25">
      <c r="A2854" s="511" t="s">
        <v>191</v>
      </c>
      <c r="B2854" s="511" t="s">
        <v>361</v>
      </c>
    </row>
    <row r="2855" spans="1:2" ht="15" hidden="1" x14ac:dyDescent="0.25">
      <c r="A2855" s="511" t="s">
        <v>1667</v>
      </c>
      <c r="B2855" s="511" t="s">
        <v>1668</v>
      </c>
    </row>
    <row r="2856" spans="1:2" ht="15" hidden="1" x14ac:dyDescent="0.25">
      <c r="A2856" s="511" t="s">
        <v>192</v>
      </c>
      <c r="B2856" s="511" t="s">
        <v>362</v>
      </c>
    </row>
    <row r="2857" spans="1:2" ht="15" hidden="1" x14ac:dyDescent="0.25">
      <c r="A2857" s="511" t="s">
        <v>192</v>
      </c>
      <c r="B2857" s="511" t="s">
        <v>362</v>
      </c>
    </row>
    <row r="2858" spans="1:2" ht="15" hidden="1" x14ac:dyDescent="0.25">
      <c r="A2858" s="511" t="s">
        <v>192</v>
      </c>
      <c r="B2858" s="511" t="s">
        <v>362</v>
      </c>
    </row>
    <row r="2859" spans="1:2" ht="15" hidden="1" x14ac:dyDescent="0.25">
      <c r="A2859" s="511" t="s">
        <v>192</v>
      </c>
      <c r="B2859" s="511" t="s">
        <v>362</v>
      </c>
    </row>
    <row r="2860" spans="1:2" ht="15" hidden="1" x14ac:dyDescent="0.25">
      <c r="A2860" s="511" t="s">
        <v>192</v>
      </c>
      <c r="B2860" s="511" t="s">
        <v>362</v>
      </c>
    </row>
    <row r="2861" spans="1:2" ht="15" hidden="1" x14ac:dyDescent="0.25">
      <c r="A2861" s="511" t="s">
        <v>192</v>
      </c>
      <c r="B2861" s="511" t="s">
        <v>362</v>
      </c>
    </row>
    <row r="2862" spans="1:2" ht="15" hidden="1" x14ac:dyDescent="0.25">
      <c r="A2862" s="511" t="s">
        <v>192</v>
      </c>
      <c r="B2862" s="511" t="s">
        <v>362</v>
      </c>
    </row>
    <row r="2863" spans="1:2" ht="15" hidden="1" x14ac:dyDescent="0.25">
      <c r="A2863" s="511" t="s">
        <v>192</v>
      </c>
      <c r="B2863" s="511" t="s">
        <v>362</v>
      </c>
    </row>
    <row r="2864" spans="1:2" ht="15" hidden="1" x14ac:dyDescent="0.25">
      <c r="A2864" s="511" t="s">
        <v>192</v>
      </c>
      <c r="B2864" s="511" t="s">
        <v>362</v>
      </c>
    </row>
    <row r="2865" spans="1:2" ht="15" hidden="1" x14ac:dyDescent="0.25">
      <c r="A2865" s="511" t="s">
        <v>192</v>
      </c>
      <c r="B2865" s="511" t="s">
        <v>362</v>
      </c>
    </row>
    <row r="2866" spans="1:2" ht="15" hidden="1" x14ac:dyDescent="0.25">
      <c r="A2866" s="511" t="s">
        <v>192</v>
      </c>
      <c r="B2866" s="511" t="s">
        <v>362</v>
      </c>
    </row>
    <row r="2867" spans="1:2" ht="15" hidden="1" x14ac:dyDescent="0.25">
      <c r="A2867" s="511" t="s">
        <v>192</v>
      </c>
      <c r="B2867" s="511" t="s">
        <v>362</v>
      </c>
    </row>
    <row r="2868" spans="1:2" ht="15" hidden="1" x14ac:dyDescent="0.25">
      <c r="A2868" s="511" t="s">
        <v>445</v>
      </c>
      <c r="B2868" s="511" t="s">
        <v>446</v>
      </c>
    </row>
    <row r="2869" spans="1:2" ht="15" hidden="1" x14ac:dyDescent="0.25">
      <c r="A2869" s="511" t="s">
        <v>1669</v>
      </c>
      <c r="B2869" s="511" t="s">
        <v>1670</v>
      </c>
    </row>
    <row r="2870" spans="1:2" ht="15" hidden="1" x14ac:dyDescent="0.25">
      <c r="A2870" s="511" t="s">
        <v>233</v>
      </c>
      <c r="B2870" s="511" t="s">
        <v>364</v>
      </c>
    </row>
    <row r="2871" spans="1:2" ht="15" hidden="1" x14ac:dyDescent="0.25">
      <c r="A2871" s="511" t="s">
        <v>194</v>
      </c>
      <c r="B2871" s="511" t="s">
        <v>365</v>
      </c>
    </row>
    <row r="2872" spans="1:2" ht="15" hidden="1" x14ac:dyDescent="0.25">
      <c r="A2872" s="511" t="s">
        <v>194</v>
      </c>
      <c r="B2872" s="511" t="s">
        <v>365</v>
      </c>
    </row>
    <row r="2873" spans="1:2" ht="15" hidden="1" x14ac:dyDescent="0.25">
      <c r="A2873" s="511" t="s">
        <v>194</v>
      </c>
      <c r="B2873" s="511" t="s">
        <v>365</v>
      </c>
    </row>
    <row r="2874" spans="1:2" ht="15" hidden="1" x14ac:dyDescent="0.25">
      <c r="A2874" s="511" t="s">
        <v>194</v>
      </c>
      <c r="B2874" s="511" t="s">
        <v>365</v>
      </c>
    </row>
    <row r="2875" spans="1:2" ht="15" hidden="1" x14ac:dyDescent="0.25">
      <c r="A2875" s="511" t="s">
        <v>194</v>
      </c>
      <c r="B2875" s="511" t="s">
        <v>365</v>
      </c>
    </row>
    <row r="2876" spans="1:2" ht="15" hidden="1" x14ac:dyDescent="0.25">
      <c r="A2876" s="511" t="s">
        <v>194</v>
      </c>
      <c r="B2876" s="511" t="s">
        <v>365</v>
      </c>
    </row>
    <row r="2877" spans="1:2" ht="15" hidden="1" x14ac:dyDescent="0.25">
      <c r="A2877" s="511" t="s">
        <v>194</v>
      </c>
      <c r="B2877" s="511" t="s">
        <v>365</v>
      </c>
    </row>
    <row r="2878" spans="1:2" ht="15" hidden="1" x14ac:dyDescent="0.25">
      <c r="A2878" s="511" t="s">
        <v>194</v>
      </c>
      <c r="B2878" s="511" t="s">
        <v>365</v>
      </c>
    </row>
    <row r="2879" spans="1:2" ht="15" hidden="1" x14ac:dyDescent="0.25">
      <c r="A2879" s="511" t="s">
        <v>194</v>
      </c>
      <c r="B2879" s="511" t="s">
        <v>365</v>
      </c>
    </row>
    <row r="2880" spans="1:2" ht="15" hidden="1" x14ac:dyDescent="0.25">
      <c r="A2880" s="511" t="s">
        <v>194</v>
      </c>
      <c r="B2880" s="511" t="s">
        <v>365</v>
      </c>
    </row>
    <row r="2881" spans="1:2" ht="15" hidden="1" x14ac:dyDescent="0.25">
      <c r="A2881" s="511" t="s">
        <v>194</v>
      </c>
      <c r="B2881" s="511" t="s">
        <v>365</v>
      </c>
    </row>
    <row r="2882" spans="1:2" ht="15" hidden="1" x14ac:dyDescent="0.25">
      <c r="A2882" s="511" t="s">
        <v>194</v>
      </c>
      <c r="B2882" s="511" t="s">
        <v>365</v>
      </c>
    </row>
    <row r="2883" spans="1:2" ht="15" hidden="1" x14ac:dyDescent="0.25">
      <c r="A2883" s="511" t="s">
        <v>194</v>
      </c>
      <c r="B2883" s="511" t="s">
        <v>365</v>
      </c>
    </row>
    <row r="2884" spans="1:2" ht="15" hidden="1" x14ac:dyDescent="0.25">
      <c r="A2884" s="511" t="s">
        <v>234</v>
      </c>
      <c r="B2884" s="511" t="s">
        <v>366</v>
      </c>
    </row>
    <row r="2885" spans="1:2" ht="15" hidden="1" x14ac:dyDescent="0.25">
      <c r="A2885" s="511" t="s">
        <v>234</v>
      </c>
      <c r="B2885" s="511" t="s">
        <v>366</v>
      </c>
    </row>
    <row r="2886" spans="1:2" ht="15" hidden="1" x14ac:dyDescent="0.25">
      <c r="A2886" s="511" t="s">
        <v>234</v>
      </c>
      <c r="B2886" s="511" t="s">
        <v>366</v>
      </c>
    </row>
    <row r="2887" spans="1:2" ht="15" hidden="1" x14ac:dyDescent="0.25">
      <c r="A2887" s="511" t="s">
        <v>234</v>
      </c>
      <c r="B2887" s="511" t="s">
        <v>366</v>
      </c>
    </row>
    <row r="2888" spans="1:2" ht="15" hidden="1" x14ac:dyDescent="0.25">
      <c r="A2888" s="511" t="s">
        <v>234</v>
      </c>
      <c r="B2888" s="511" t="s">
        <v>366</v>
      </c>
    </row>
    <row r="2889" spans="1:2" ht="15" hidden="1" x14ac:dyDescent="0.25">
      <c r="A2889" s="511" t="s">
        <v>234</v>
      </c>
      <c r="B2889" s="511" t="s">
        <v>366</v>
      </c>
    </row>
    <row r="2890" spans="1:2" ht="15" hidden="1" x14ac:dyDescent="0.25">
      <c r="A2890" s="511" t="s">
        <v>234</v>
      </c>
      <c r="B2890" s="511" t="s">
        <v>366</v>
      </c>
    </row>
    <row r="2891" spans="1:2" ht="15" hidden="1" x14ac:dyDescent="0.25">
      <c r="A2891" s="511" t="s">
        <v>234</v>
      </c>
      <c r="B2891" s="511" t="s">
        <v>366</v>
      </c>
    </row>
    <row r="2892" spans="1:2" ht="15" hidden="1" x14ac:dyDescent="0.25">
      <c r="A2892" s="511" t="s">
        <v>234</v>
      </c>
      <c r="B2892" s="511" t="s">
        <v>366</v>
      </c>
    </row>
    <row r="2893" spans="1:2" ht="15" hidden="1" x14ac:dyDescent="0.25">
      <c r="A2893" s="511" t="s">
        <v>196</v>
      </c>
      <c r="B2893" s="511" t="s">
        <v>368</v>
      </c>
    </row>
    <row r="2894" spans="1:2" ht="15" hidden="1" x14ac:dyDescent="0.25">
      <c r="A2894" s="511" t="s">
        <v>197</v>
      </c>
      <c r="B2894" s="511" t="s">
        <v>369</v>
      </c>
    </row>
    <row r="2895" spans="1:2" ht="15" hidden="1" x14ac:dyDescent="0.25">
      <c r="A2895" s="511" t="s">
        <v>197</v>
      </c>
      <c r="B2895" s="511" t="s">
        <v>369</v>
      </c>
    </row>
    <row r="2896" spans="1:2" ht="15" hidden="1" x14ac:dyDescent="0.25">
      <c r="A2896" s="511" t="s">
        <v>197</v>
      </c>
      <c r="B2896" s="511" t="s">
        <v>369</v>
      </c>
    </row>
    <row r="2897" spans="1:2" ht="15" hidden="1" x14ac:dyDescent="0.25">
      <c r="A2897" s="511" t="s">
        <v>197</v>
      </c>
      <c r="B2897" s="511" t="s">
        <v>369</v>
      </c>
    </row>
    <row r="2898" spans="1:2" ht="15" hidden="1" x14ac:dyDescent="0.25">
      <c r="A2898" s="511" t="s">
        <v>197</v>
      </c>
      <c r="B2898" s="511" t="s">
        <v>369</v>
      </c>
    </row>
    <row r="2899" spans="1:2" ht="15" hidden="1" x14ac:dyDescent="0.25">
      <c r="A2899" s="511" t="s">
        <v>197</v>
      </c>
      <c r="B2899" s="511" t="s">
        <v>369</v>
      </c>
    </row>
    <row r="2900" spans="1:2" ht="15" hidden="1" x14ac:dyDescent="0.25">
      <c r="A2900" s="511" t="s">
        <v>451</v>
      </c>
      <c r="B2900" s="511" t="s">
        <v>452</v>
      </c>
    </row>
    <row r="2901" spans="1:2" ht="15" hidden="1" x14ac:dyDescent="0.25">
      <c r="A2901" s="511" t="s">
        <v>1313</v>
      </c>
      <c r="B2901" s="511" t="s">
        <v>1314</v>
      </c>
    </row>
    <row r="2902" spans="1:2" ht="15" hidden="1" x14ac:dyDescent="0.25">
      <c r="A2902" s="511" t="s">
        <v>1313</v>
      </c>
      <c r="B2902" s="511" t="s">
        <v>1314</v>
      </c>
    </row>
    <row r="2903" spans="1:2" ht="15" hidden="1" x14ac:dyDescent="0.25">
      <c r="A2903" s="511" t="s">
        <v>1313</v>
      </c>
      <c r="B2903" s="511" t="s">
        <v>1314</v>
      </c>
    </row>
    <row r="2904" spans="1:2" ht="15" hidden="1" x14ac:dyDescent="0.25">
      <c r="A2904" s="511" t="s">
        <v>1313</v>
      </c>
      <c r="B2904" s="511" t="s">
        <v>1314</v>
      </c>
    </row>
    <row r="2905" spans="1:2" ht="15" hidden="1" x14ac:dyDescent="0.25">
      <c r="A2905" s="511" t="s">
        <v>1313</v>
      </c>
      <c r="B2905" s="511" t="s">
        <v>1314</v>
      </c>
    </row>
    <row r="2906" spans="1:2" ht="15" hidden="1" x14ac:dyDescent="0.25">
      <c r="A2906" s="511" t="s">
        <v>1315</v>
      </c>
      <c r="B2906" s="511" t="s">
        <v>1316</v>
      </c>
    </row>
    <row r="2907" spans="1:2" ht="15" hidden="1" x14ac:dyDescent="0.25">
      <c r="A2907" s="511" t="s">
        <v>1315</v>
      </c>
      <c r="B2907" s="511" t="s">
        <v>1316</v>
      </c>
    </row>
    <row r="2908" spans="1:2" ht="15" hidden="1" x14ac:dyDescent="0.25">
      <c r="A2908" s="511" t="s">
        <v>1315</v>
      </c>
      <c r="B2908" s="511" t="s">
        <v>1316</v>
      </c>
    </row>
    <row r="2909" spans="1:2" ht="15" hidden="1" x14ac:dyDescent="0.25">
      <c r="A2909" s="511" t="s">
        <v>1315</v>
      </c>
      <c r="B2909" s="511" t="s">
        <v>1316</v>
      </c>
    </row>
    <row r="2910" spans="1:2" ht="15" hidden="1" x14ac:dyDescent="0.25">
      <c r="A2910" s="511" t="s">
        <v>1317</v>
      </c>
      <c r="B2910" s="511" t="s">
        <v>1318</v>
      </c>
    </row>
    <row r="2911" spans="1:2" ht="15" hidden="1" x14ac:dyDescent="0.25">
      <c r="A2911" s="511" t="s">
        <v>1317</v>
      </c>
      <c r="B2911" s="511" t="s">
        <v>1318</v>
      </c>
    </row>
    <row r="2912" spans="1:2" ht="15" hidden="1" x14ac:dyDescent="0.25">
      <c r="A2912" s="511" t="s">
        <v>1317</v>
      </c>
      <c r="B2912" s="511" t="s">
        <v>1318</v>
      </c>
    </row>
    <row r="2913" spans="1:2" ht="15" hidden="1" x14ac:dyDescent="0.25">
      <c r="A2913" s="511" t="s">
        <v>1317</v>
      </c>
      <c r="B2913" s="511" t="s">
        <v>1318</v>
      </c>
    </row>
    <row r="2914" spans="1:2" ht="15" hidden="1" x14ac:dyDescent="0.25">
      <c r="A2914" s="511" t="s">
        <v>1317</v>
      </c>
      <c r="B2914" s="511" t="s">
        <v>1318</v>
      </c>
    </row>
    <row r="2915" spans="1:2" ht="15" hidden="1" x14ac:dyDescent="0.25">
      <c r="A2915" s="511" t="s">
        <v>1317</v>
      </c>
      <c r="B2915" s="511" t="s">
        <v>1318</v>
      </c>
    </row>
    <row r="2916" spans="1:2" ht="15" hidden="1" x14ac:dyDescent="0.25">
      <c r="A2916" s="511" t="s">
        <v>1317</v>
      </c>
      <c r="B2916" s="511" t="s">
        <v>1318</v>
      </c>
    </row>
    <row r="2917" spans="1:2" ht="15" hidden="1" x14ac:dyDescent="0.25">
      <c r="A2917" s="511" t="s">
        <v>1317</v>
      </c>
      <c r="B2917" s="511" t="s">
        <v>1318</v>
      </c>
    </row>
    <row r="2918" spans="1:2" ht="15" hidden="1" x14ac:dyDescent="0.25">
      <c r="A2918" s="511" t="s">
        <v>1317</v>
      </c>
      <c r="B2918" s="511" t="s">
        <v>1318</v>
      </c>
    </row>
    <row r="2919" spans="1:2" ht="15" hidden="1" x14ac:dyDescent="0.25">
      <c r="A2919" s="511" t="s">
        <v>1317</v>
      </c>
      <c r="B2919" s="511" t="s">
        <v>1318</v>
      </c>
    </row>
    <row r="2920" spans="1:2" ht="15" hidden="1" x14ac:dyDescent="0.25">
      <c r="A2920" s="511" t="s">
        <v>1317</v>
      </c>
      <c r="B2920" s="511" t="s">
        <v>1318</v>
      </c>
    </row>
    <row r="2921" spans="1:2" ht="15" hidden="1" x14ac:dyDescent="0.25">
      <c r="A2921" s="511" t="s">
        <v>1317</v>
      </c>
      <c r="B2921" s="511" t="s">
        <v>1318</v>
      </c>
    </row>
    <row r="2922" spans="1:2" ht="15" hidden="1" x14ac:dyDescent="0.25">
      <c r="A2922" s="511" t="s">
        <v>1317</v>
      </c>
      <c r="B2922" s="511" t="s">
        <v>1318</v>
      </c>
    </row>
    <row r="2923" spans="1:2" ht="15" hidden="1" x14ac:dyDescent="0.25">
      <c r="A2923" s="511" t="s">
        <v>1317</v>
      </c>
      <c r="B2923" s="511" t="s">
        <v>1318</v>
      </c>
    </row>
    <row r="2924" spans="1:2" ht="15" hidden="1" x14ac:dyDescent="0.25">
      <c r="A2924" s="511" t="s">
        <v>1317</v>
      </c>
      <c r="B2924" s="511" t="s">
        <v>1318</v>
      </c>
    </row>
    <row r="2925" spans="1:2" ht="15" hidden="1" x14ac:dyDescent="0.25">
      <c r="A2925" s="511" t="s">
        <v>1317</v>
      </c>
      <c r="B2925" s="511" t="s">
        <v>1318</v>
      </c>
    </row>
    <row r="2926" spans="1:2" ht="15" hidden="1" x14ac:dyDescent="0.25">
      <c r="A2926" s="511" t="s">
        <v>1317</v>
      </c>
      <c r="B2926" s="511" t="s">
        <v>1318</v>
      </c>
    </row>
    <row r="2927" spans="1:2" ht="15" hidden="1" x14ac:dyDescent="0.25">
      <c r="A2927" s="511" t="s">
        <v>1317</v>
      </c>
      <c r="B2927" s="511" t="s">
        <v>1318</v>
      </c>
    </row>
    <row r="2928" spans="1:2" ht="15" hidden="1" x14ac:dyDescent="0.25">
      <c r="A2928" s="511" t="s">
        <v>1317</v>
      </c>
      <c r="B2928" s="511" t="s">
        <v>1318</v>
      </c>
    </row>
    <row r="2929" spans="1:2" ht="15" hidden="1" x14ac:dyDescent="0.25">
      <c r="A2929" s="511" t="s">
        <v>1317</v>
      </c>
      <c r="B2929" s="511" t="s">
        <v>1318</v>
      </c>
    </row>
    <row r="2930" spans="1:2" ht="15" hidden="1" x14ac:dyDescent="0.25">
      <c r="A2930" s="511" t="s">
        <v>1317</v>
      </c>
      <c r="B2930" s="511" t="s">
        <v>1318</v>
      </c>
    </row>
    <row r="2931" spans="1:2" ht="15" hidden="1" x14ac:dyDescent="0.25">
      <c r="A2931" s="511" t="s">
        <v>1317</v>
      </c>
      <c r="B2931" s="511" t="s">
        <v>1318</v>
      </c>
    </row>
    <row r="2932" spans="1:2" ht="15" hidden="1" x14ac:dyDescent="0.25">
      <c r="A2932" s="511" t="s">
        <v>1317</v>
      </c>
      <c r="B2932" s="511" t="s">
        <v>1318</v>
      </c>
    </row>
    <row r="2933" spans="1:2" ht="15" hidden="1" x14ac:dyDescent="0.25">
      <c r="A2933" s="511" t="s">
        <v>1317</v>
      </c>
      <c r="B2933" s="511" t="s">
        <v>1318</v>
      </c>
    </row>
    <row r="2934" spans="1:2" ht="15" hidden="1" x14ac:dyDescent="0.25">
      <c r="A2934" s="511" t="s">
        <v>1317</v>
      </c>
      <c r="B2934" s="511" t="s">
        <v>1318</v>
      </c>
    </row>
    <row r="2935" spans="1:2" ht="15" hidden="1" x14ac:dyDescent="0.25">
      <c r="A2935" s="511" t="s">
        <v>1317</v>
      </c>
      <c r="B2935" s="511" t="s">
        <v>1318</v>
      </c>
    </row>
    <row r="2936" spans="1:2" ht="15" hidden="1" x14ac:dyDescent="0.25">
      <c r="A2936" s="511" t="s">
        <v>1317</v>
      </c>
      <c r="B2936" s="511" t="s">
        <v>1318</v>
      </c>
    </row>
    <row r="2937" spans="1:2" ht="15" hidden="1" x14ac:dyDescent="0.25">
      <c r="A2937" s="511" t="s">
        <v>1317</v>
      </c>
      <c r="B2937" s="511" t="s">
        <v>1318</v>
      </c>
    </row>
    <row r="2938" spans="1:2" ht="15" hidden="1" x14ac:dyDescent="0.25">
      <c r="A2938" s="511" t="s">
        <v>1317</v>
      </c>
      <c r="B2938" s="511" t="s">
        <v>1318</v>
      </c>
    </row>
    <row r="2939" spans="1:2" ht="15" hidden="1" x14ac:dyDescent="0.25">
      <c r="A2939" s="511" t="s">
        <v>1317</v>
      </c>
      <c r="B2939" s="511" t="s">
        <v>1318</v>
      </c>
    </row>
    <row r="2940" spans="1:2" ht="15" hidden="1" x14ac:dyDescent="0.25">
      <c r="A2940" s="511" t="s">
        <v>1317</v>
      </c>
      <c r="B2940" s="511" t="s">
        <v>1318</v>
      </c>
    </row>
    <row r="2941" spans="1:2" ht="15" hidden="1" x14ac:dyDescent="0.25">
      <c r="A2941" s="511" t="s">
        <v>1317</v>
      </c>
      <c r="B2941" s="511" t="s">
        <v>1318</v>
      </c>
    </row>
    <row r="2942" spans="1:2" ht="15" hidden="1" x14ac:dyDescent="0.25">
      <c r="A2942" s="511" t="s">
        <v>1317</v>
      </c>
      <c r="B2942" s="511" t="s">
        <v>1318</v>
      </c>
    </row>
    <row r="2943" spans="1:2" ht="15" hidden="1" x14ac:dyDescent="0.25">
      <c r="A2943" s="511" t="s">
        <v>1317</v>
      </c>
      <c r="B2943" s="511" t="s">
        <v>1318</v>
      </c>
    </row>
    <row r="2944" spans="1:2" ht="15" hidden="1" x14ac:dyDescent="0.25">
      <c r="A2944" s="511" t="s">
        <v>1317</v>
      </c>
      <c r="B2944" s="511" t="s">
        <v>1318</v>
      </c>
    </row>
    <row r="2945" spans="1:2" ht="15" hidden="1" x14ac:dyDescent="0.25">
      <c r="A2945" s="511" t="s">
        <v>1317</v>
      </c>
      <c r="B2945" s="511" t="s">
        <v>1318</v>
      </c>
    </row>
    <row r="2946" spans="1:2" ht="15" hidden="1" x14ac:dyDescent="0.25">
      <c r="A2946" s="511" t="s">
        <v>1317</v>
      </c>
      <c r="B2946" s="511" t="s">
        <v>1318</v>
      </c>
    </row>
    <row r="2947" spans="1:2" ht="15" hidden="1" x14ac:dyDescent="0.25">
      <c r="A2947" s="511" t="s">
        <v>1317</v>
      </c>
      <c r="B2947" s="511" t="s">
        <v>1318</v>
      </c>
    </row>
    <row r="2948" spans="1:2" ht="15" hidden="1" x14ac:dyDescent="0.25">
      <c r="A2948" s="511" t="s">
        <v>1317</v>
      </c>
      <c r="B2948" s="511" t="s">
        <v>1318</v>
      </c>
    </row>
    <row r="2949" spans="1:2" ht="15" hidden="1" x14ac:dyDescent="0.25">
      <c r="A2949" s="511" t="s">
        <v>199</v>
      </c>
      <c r="B2949" s="511" t="s">
        <v>372</v>
      </c>
    </row>
    <row r="2950" spans="1:2" ht="15" hidden="1" x14ac:dyDescent="0.25">
      <c r="A2950" s="511" t="s">
        <v>199</v>
      </c>
      <c r="B2950" s="511" t="s">
        <v>372</v>
      </c>
    </row>
    <row r="2951" spans="1:2" ht="15" hidden="1" x14ac:dyDescent="0.25">
      <c r="A2951" s="511" t="s">
        <v>200</v>
      </c>
      <c r="B2951" s="511" t="s">
        <v>373</v>
      </c>
    </row>
    <row r="2952" spans="1:2" ht="15" hidden="1" x14ac:dyDescent="0.25">
      <c r="A2952" s="511" t="s">
        <v>200</v>
      </c>
      <c r="B2952" s="511" t="s">
        <v>373</v>
      </c>
    </row>
    <row r="2953" spans="1:2" ht="15" hidden="1" x14ac:dyDescent="0.25">
      <c r="A2953" s="511" t="s">
        <v>200</v>
      </c>
      <c r="B2953" s="511" t="s">
        <v>373</v>
      </c>
    </row>
    <row r="2954" spans="1:2" ht="15" hidden="1" x14ac:dyDescent="0.25">
      <c r="A2954" s="511" t="s">
        <v>200</v>
      </c>
      <c r="B2954" s="511" t="s">
        <v>373</v>
      </c>
    </row>
    <row r="2955" spans="1:2" ht="15" hidden="1" x14ac:dyDescent="0.25">
      <c r="A2955" s="511" t="s">
        <v>200</v>
      </c>
      <c r="B2955" s="511" t="s">
        <v>373</v>
      </c>
    </row>
    <row r="2956" spans="1:2" ht="15" hidden="1" x14ac:dyDescent="0.25">
      <c r="A2956" s="511" t="s">
        <v>1319</v>
      </c>
      <c r="B2956" s="511" t="s">
        <v>1320</v>
      </c>
    </row>
    <row r="2957" spans="1:2" ht="15" hidden="1" x14ac:dyDescent="0.25">
      <c r="A2957" s="511" t="s">
        <v>1319</v>
      </c>
      <c r="B2957" s="511" t="s">
        <v>1320</v>
      </c>
    </row>
    <row r="2958" spans="1:2" ht="15" hidden="1" x14ac:dyDescent="0.25">
      <c r="A2958" s="511" t="s">
        <v>1319</v>
      </c>
      <c r="B2958" s="511" t="s">
        <v>1320</v>
      </c>
    </row>
    <row r="2959" spans="1:2" ht="15" hidden="1" x14ac:dyDescent="0.25">
      <c r="A2959" s="511" t="s">
        <v>2407</v>
      </c>
      <c r="B2959" s="511" t="s">
        <v>2407</v>
      </c>
    </row>
    <row r="2960" spans="1:2" ht="15" hidden="1" x14ac:dyDescent="0.25">
      <c r="A2960" s="511" t="s">
        <v>2408</v>
      </c>
      <c r="B2960" s="511" t="s">
        <v>2408</v>
      </c>
    </row>
    <row r="2961" spans="1:2" ht="15" hidden="1" x14ac:dyDescent="0.25">
      <c r="A2961" s="511" t="s">
        <v>2409</v>
      </c>
      <c r="B2961" s="511" t="s">
        <v>2409</v>
      </c>
    </row>
    <row r="2962" spans="1:2" ht="15" hidden="1" x14ac:dyDescent="0.25">
      <c r="A2962" s="511" t="s">
        <v>2410</v>
      </c>
      <c r="B2962" s="511" t="s">
        <v>2410</v>
      </c>
    </row>
    <row r="2963" spans="1:2" ht="15" hidden="1" x14ac:dyDescent="0.25">
      <c r="A2963" s="511" t="s">
        <v>2411</v>
      </c>
      <c r="B2963" s="511" t="s">
        <v>2411</v>
      </c>
    </row>
    <row r="2964" spans="1:2" ht="15" hidden="1" x14ac:dyDescent="0.25">
      <c r="A2964" s="511" t="s">
        <v>2412</v>
      </c>
      <c r="B2964" s="511" t="s">
        <v>2412</v>
      </c>
    </row>
    <row r="2965" spans="1:2" ht="15" hidden="1" x14ac:dyDescent="0.25">
      <c r="A2965" s="511" t="s">
        <v>2412</v>
      </c>
      <c r="B2965" s="511" t="s">
        <v>2412</v>
      </c>
    </row>
    <row r="2966" spans="1:2" ht="15" hidden="1" x14ac:dyDescent="0.25">
      <c r="A2966" s="511" t="s">
        <v>2413</v>
      </c>
      <c r="B2966" s="511" t="s">
        <v>2413</v>
      </c>
    </row>
    <row r="2967" spans="1:2" ht="15" hidden="1" x14ac:dyDescent="0.25">
      <c r="A2967" s="511" t="s">
        <v>2414</v>
      </c>
      <c r="B2967" s="511" t="s">
        <v>2414</v>
      </c>
    </row>
    <row r="2968" spans="1:2" ht="15" hidden="1" x14ac:dyDescent="0.25">
      <c r="A2968" s="511" t="s">
        <v>2414</v>
      </c>
      <c r="B2968" s="511" t="s">
        <v>2414</v>
      </c>
    </row>
    <row r="2969" spans="1:2" ht="15" hidden="1" x14ac:dyDescent="0.25">
      <c r="A2969" s="511" t="s">
        <v>2415</v>
      </c>
      <c r="B2969" s="511" t="s">
        <v>2415</v>
      </c>
    </row>
    <row r="2970" spans="1:2" ht="15" hidden="1" x14ac:dyDescent="0.25">
      <c r="A2970" s="511" t="s">
        <v>2416</v>
      </c>
      <c r="B2970" s="511" t="s">
        <v>2416</v>
      </c>
    </row>
    <row r="2971" spans="1:2" ht="15" hidden="1" x14ac:dyDescent="0.25">
      <c r="A2971" s="511" t="s">
        <v>2417</v>
      </c>
      <c r="B2971" s="511" t="s">
        <v>2417</v>
      </c>
    </row>
    <row r="2972" spans="1:2" ht="15" hidden="1" x14ac:dyDescent="0.25">
      <c r="A2972" s="511" t="s">
        <v>2417</v>
      </c>
      <c r="B2972" s="511" t="s">
        <v>2417</v>
      </c>
    </row>
    <row r="2973" spans="1:2" ht="15" hidden="1" x14ac:dyDescent="0.25">
      <c r="A2973" s="511" t="s">
        <v>2418</v>
      </c>
      <c r="B2973" s="511" t="s">
        <v>2418</v>
      </c>
    </row>
    <row r="2974" spans="1:2" ht="15" hidden="1" x14ac:dyDescent="0.25">
      <c r="A2974" s="511" t="s">
        <v>2419</v>
      </c>
      <c r="B2974" s="511" t="s">
        <v>2419</v>
      </c>
    </row>
    <row r="2975" spans="1:2" ht="15" hidden="1" x14ac:dyDescent="0.25">
      <c r="A2975" s="511" t="s">
        <v>2419</v>
      </c>
      <c r="B2975" s="511" t="s">
        <v>2419</v>
      </c>
    </row>
    <row r="2976" spans="1:2" ht="15" hidden="1" x14ac:dyDescent="0.25">
      <c r="A2976" s="511" t="s">
        <v>2420</v>
      </c>
      <c r="B2976" s="511" t="s">
        <v>2420</v>
      </c>
    </row>
    <row r="2977" spans="1:2" ht="15" hidden="1" x14ac:dyDescent="0.25">
      <c r="A2977" s="511" t="s">
        <v>2421</v>
      </c>
      <c r="B2977" s="511" t="s">
        <v>2421</v>
      </c>
    </row>
    <row r="2978" spans="1:2" ht="15" hidden="1" x14ac:dyDescent="0.25">
      <c r="A2978" s="511" t="s">
        <v>2422</v>
      </c>
      <c r="B2978" s="511" t="s">
        <v>2422</v>
      </c>
    </row>
    <row r="2979" spans="1:2" ht="15" hidden="1" x14ac:dyDescent="0.25">
      <c r="A2979" s="511" t="s">
        <v>2423</v>
      </c>
      <c r="B2979" s="511" t="s">
        <v>2423</v>
      </c>
    </row>
    <row r="2980" spans="1:2" ht="15" hidden="1" x14ac:dyDescent="0.25">
      <c r="A2980" s="511" t="s">
        <v>2424</v>
      </c>
      <c r="B2980" s="511" t="s">
        <v>2424</v>
      </c>
    </row>
    <row r="2981" spans="1:2" ht="15" hidden="1" x14ac:dyDescent="0.25">
      <c r="A2981" s="511" t="s">
        <v>2424</v>
      </c>
      <c r="B2981" s="511" t="s">
        <v>2424</v>
      </c>
    </row>
    <row r="2982" spans="1:2" ht="15" hidden="1" x14ac:dyDescent="0.25">
      <c r="A2982" s="511" t="s">
        <v>2425</v>
      </c>
      <c r="B2982" s="511" t="s">
        <v>2425</v>
      </c>
    </row>
    <row r="2983" spans="1:2" ht="15" hidden="1" x14ac:dyDescent="0.25">
      <c r="A2983" s="511" t="s">
        <v>2426</v>
      </c>
      <c r="B2983" s="511" t="s">
        <v>2426</v>
      </c>
    </row>
    <row r="2984" spans="1:2" ht="15" hidden="1" x14ac:dyDescent="0.25">
      <c r="A2984" s="511" t="s">
        <v>2427</v>
      </c>
      <c r="B2984" s="511" t="s">
        <v>2427</v>
      </c>
    </row>
    <row r="2985" spans="1:2" ht="15" hidden="1" x14ac:dyDescent="0.25">
      <c r="A2985" s="511" t="s">
        <v>2428</v>
      </c>
      <c r="B2985" s="511" t="s">
        <v>2428</v>
      </c>
    </row>
    <row r="2986" spans="1:2" ht="15" hidden="1" x14ac:dyDescent="0.25">
      <c r="A2986" s="511" t="s">
        <v>2429</v>
      </c>
      <c r="B2986" s="511" t="s">
        <v>2429</v>
      </c>
    </row>
    <row r="2987" spans="1:2" ht="15" hidden="1" x14ac:dyDescent="0.25">
      <c r="A2987" s="511" t="s">
        <v>2430</v>
      </c>
      <c r="B2987" s="511" t="s">
        <v>2430</v>
      </c>
    </row>
    <row r="2988" spans="1:2" ht="15" hidden="1" x14ac:dyDescent="0.25">
      <c r="A2988" s="511" t="s">
        <v>2430</v>
      </c>
      <c r="B2988" s="511" t="s">
        <v>2430</v>
      </c>
    </row>
    <row r="2989" spans="1:2" ht="15" hidden="1" x14ac:dyDescent="0.25">
      <c r="A2989" s="511" t="s">
        <v>2431</v>
      </c>
      <c r="B2989" s="511" t="s">
        <v>2431</v>
      </c>
    </row>
    <row r="2990" spans="1:2" ht="15" hidden="1" x14ac:dyDescent="0.25">
      <c r="A2990" s="511" t="s">
        <v>2432</v>
      </c>
      <c r="B2990" s="511" t="s">
        <v>2432</v>
      </c>
    </row>
    <row r="2991" spans="1:2" ht="15" hidden="1" x14ac:dyDescent="0.25">
      <c r="A2991" s="511" t="s">
        <v>2433</v>
      </c>
      <c r="B2991" s="511" t="s">
        <v>2433</v>
      </c>
    </row>
    <row r="2992" spans="1:2" ht="15" hidden="1" x14ac:dyDescent="0.25">
      <c r="A2992" s="511" t="s">
        <v>2434</v>
      </c>
      <c r="B2992" s="511" t="s">
        <v>2434</v>
      </c>
    </row>
    <row r="2993" spans="1:2" ht="15" hidden="1" x14ac:dyDescent="0.25">
      <c r="A2993" s="511" t="s">
        <v>2435</v>
      </c>
      <c r="B2993" s="511" t="s">
        <v>2435</v>
      </c>
    </row>
    <row r="2994" spans="1:2" ht="15" hidden="1" x14ac:dyDescent="0.25">
      <c r="A2994" s="511" t="s">
        <v>2436</v>
      </c>
      <c r="B2994" s="511" t="s">
        <v>2436</v>
      </c>
    </row>
    <row r="2995" spans="1:2" ht="15" hidden="1" x14ac:dyDescent="0.25">
      <c r="A2995" s="511" t="s">
        <v>2437</v>
      </c>
      <c r="B2995" s="511" t="s">
        <v>2437</v>
      </c>
    </row>
    <row r="2996" spans="1:2" ht="15" hidden="1" x14ac:dyDescent="0.25">
      <c r="A2996" s="511" t="s">
        <v>2438</v>
      </c>
      <c r="B2996" s="511" t="s">
        <v>2438</v>
      </c>
    </row>
    <row r="2997" spans="1:2" ht="15" hidden="1" x14ac:dyDescent="0.25">
      <c r="A2997" s="511" t="s">
        <v>2439</v>
      </c>
      <c r="B2997" s="511" t="s">
        <v>2439</v>
      </c>
    </row>
    <row r="2998" spans="1:2" ht="15" hidden="1" x14ac:dyDescent="0.25">
      <c r="A2998" s="511" t="s">
        <v>2440</v>
      </c>
      <c r="B2998" s="511" t="s">
        <v>2440</v>
      </c>
    </row>
    <row r="2999" spans="1:2" ht="15" hidden="1" x14ac:dyDescent="0.25">
      <c r="A2999" s="511" t="s">
        <v>2441</v>
      </c>
      <c r="B2999" s="511" t="s">
        <v>2441</v>
      </c>
    </row>
    <row r="3000" spans="1:2" ht="15" hidden="1" x14ac:dyDescent="0.25">
      <c r="A3000" s="511" t="s">
        <v>2441</v>
      </c>
      <c r="B3000" s="511" t="s">
        <v>2441</v>
      </c>
    </row>
    <row r="3001" spans="1:2" ht="15" hidden="1" x14ac:dyDescent="0.25">
      <c r="A3001" s="511" t="s">
        <v>2442</v>
      </c>
      <c r="B3001" s="511" t="s">
        <v>2442</v>
      </c>
    </row>
    <row r="3002" spans="1:2" ht="15" hidden="1" x14ac:dyDescent="0.25">
      <c r="A3002" s="511" t="s">
        <v>2443</v>
      </c>
      <c r="B3002" s="511" t="s">
        <v>2443</v>
      </c>
    </row>
    <row r="3003" spans="1:2" ht="15" hidden="1" x14ac:dyDescent="0.25">
      <c r="A3003" s="511" t="s">
        <v>2444</v>
      </c>
      <c r="B3003" s="511" t="s">
        <v>2444</v>
      </c>
    </row>
    <row r="3004" spans="1:2" ht="15" hidden="1" x14ac:dyDescent="0.25">
      <c r="A3004" s="511" t="s">
        <v>2445</v>
      </c>
      <c r="B3004" s="511" t="s">
        <v>2445</v>
      </c>
    </row>
    <row r="3005" spans="1:2" ht="15" hidden="1" x14ac:dyDescent="0.25">
      <c r="A3005" s="511" t="s">
        <v>2446</v>
      </c>
      <c r="B3005" s="511" t="s">
        <v>2446</v>
      </c>
    </row>
    <row r="3006" spans="1:2" ht="15" hidden="1" x14ac:dyDescent="0.25">
      <c r="A3006" s="511" t="s">
        <v>2446</v>
      </c>
      <c r="B3006" s="511" t="s">
        <v>2446</v>
      </c>
    </row>
    <row r="3007" spans="1:2" ht="15" hidden="1" x14ac:dyDescent="0.25">
      <c r="A3007" s="511" t="s">
        <v>2447</v>
      </c>
      <c r="B3007" s="511" t="s">
        <v>2447</v>
      </c>
    </row>
    <row r="3008" spans="1:2" ht="15" hidden="1" x14ac:dyDescent="0.25">
      <c r="A3008" s="511" t="s">
        <v>2448</v>
      </c>
      <c r="B3008" s="511" t="s">
        <v>2448</v>
      </c>
    </row>
    <row r="3009" spans="1:2" ht="15" hidden="1" x14ac:dyDescent="0.25">
      <c r="A3009" s="511" t="s">
        <v>2449</v>
      </c>
      <c r="B3009" s="511" t="s">
        <v>2449</v>
      </c>
    </row>
    <row r="3010" spans="1:2" ht="15" hidden="1" x14ac:dyDescent="0.25">
      <c r="A3010" s="511" t="s">
        <v>2449</v>
      </c>
      <c r="B3010" s="511" t="s">
        <v>2449</v>
      </c>
    </row>
    <row r="3011" spans="1:2" ht="15" hidden="1" x14ac:dyDescent="0.25">
      <c r="A3011" s="511" t="s">
        <v>2450</v>
      </c>
      <c r="B3011" s="511" t="s">
        <v>2450</v>
      </c>
    </row>
    <row r="3012" spans="1:2" ht="15" hidden="1" x14ac:dyDescent="0.25">
      <c r="A3012" s="511" t="s">
        <v>2450</v>
      </c>
      <c r="B3012" s="511" t="s">
        <v>2450</v>
      </c>
    </row>
    <row r="3013" spans="1:2" ht="15" hidden="1" x14ac:dyDescent="0.25">
      <c r="A3013" s="511" t="s">
        <v>2451</v>
      </c>
      <c r="B3013" s="511" t="s">
        <v>2451</v>
      </c>
    </row>
    <row r="3014" spans="1:2" ht="15" hidden="1" x14ac:dyDescent="0.25">
      <c r="A3014" s="511" t="s">
        <v>2452</v>
      </c>
      <c r="B3014" s="511" t="s">
        <v>2452</v>
      </c>
    </row>
    <row r="3015" spans="1:2" ht="15" hidden="1" x14ac:dyDescent="0.25">
      <c r="A3015" s="511" t="s">
        <v>2453</v>
      </c>
      <c r="B3015" s="511" t="s">
        <v>2453</v>
      </c>
    </row>
    <row r="3016" spans="1:2" ht="15" hidden="1" x14ac:dyDescent="0.25">
      <c r="A3016" s="511" t="s">
        <v>2453</v>
      </c>
      <c r="B3016" s="511" t="s">
        <v>2453</v>
      </c>
    </row>
    <row r="3017" spans="1:2" ht="15" hidden="1" x14ac:dyDescent="0.25">
      <c r="A3017" s="511" t="s">
        <v>2454</v>
      </c>
      <c r="B3017" s="511" t="s">
        <v>2454</v>
      </c>
    </row>
    <row r="3018" spans="1:2" ht="15" hidden="1" x14ac:dyDescent="0.25">
      <c r="A3018" s="511" t="s">
        <v>2454</v>
      </c>
      <c r="B3018" s="511" t="s">
        <v>2454</v>
      </c>
    </row>
    <row r="3019" spans="1:2" ht="15" hidden="1" x14ac:dyDescent="0.25">
      <c r="A3019" s="511" t="s">
        <v>2455</v>
      </c>
      <c r="B3019" s="511" t="s">
        <v>2455</v>
      </c>
    </row>
    <row r="3020" spans="1:2" ht="15" hidden="1" x14ac:dyDescent="0.25">
      <c r="A3020" s="511" t="s">
        <v>2456</v>
      </c>
      <c r="B3020" s="511" t="s">
        <v>2456</v>
      </c>
    </row>
    <row r="3021" spans="1:2" ht="15" hidden="1" x14ac:dyDescent="0.25">
      <c r="A3021" s="511" t="s">
        <v>2457</v>
      </c>
      <c r="B3021" s="511" t="s">
        <v>2457</v>
      </c>
    </row>
    <row r="3022" spans="1:2" ht="15" hidden="1" x14ac:dyDescent="0.25">
      <c r="A3022" s="511" t="s">
        <v>2458</v>
      </c>
      <c r="B3022" s="511" t="s">
        <v>2458</v>
      </c>
    </row>
    <row r="3023" spans="1:2" ht="15" hidden="1" x14ac:dyDescent="0.25">
      <c r="A3023" s="511" t="s">
        <v>2458</v>
      </c>
      <c r="B3023" s="511" t="s">
        <v>2458</v>
      </c>
    </row>
    <row r="3024" spans="1:2" ht="15" hidden="1" x14ac:dyDescent="0.25">
      <c r="A3024" s="511" t="s">
        <v>2459</v>
      </c>
      <c r="B3024" s="511" t="s">
        <v>2459</v>
      </c>
    </row>
    <row r="3025" spans="1:2" ht="15" hidden="1" x14ac:dyDescent="0.25">
      <c r="A3025" s="511" t="s">
        <v>2459</v>
      </c>
      <c r="B3025" s="511" t="s">
        <v>2459</v>
      </c>
    </row>
    <row r="3026" spans="1:2" ht="15" hidden="1" x14ac:dyDescent="0.25">
      <c r="A3026" s="511" t="s">
        <v>2460</v>
      </c>
      <c r="B3026" s="511" t="s">
        <v>2460</v>
      </c>
    </row>
    <row r="3027" spans="1:2" ht="15" hidden="1" x14ac:dyDescent="0.25">
      <c r="A3027" s="511" t="s">
        <v>2461</v>
      </c>
      <c r="B3027" s="511" t="s">
        <v>2461</v>
      </c>
    </row>
    <row r="3028" spans="1:2" ht="15" hidden="1" x14ac:dyDescent="0.25">
      <c r="A3028" s="511" t="s">
        <v>2461</v>
      </c>
      <c r="B3028" s="511" t="s">
        <v>2461</v>
      </c>
    </row>
    <row r="3029" spans="1:2" ht="15" hidden="1" x14ac:dyDescent="0.25">
      <c r="A3029" s="511" t="s">
        <v>2462</v>
      </c>
      <c r="B3029" s="511" t="s">
        <v>2462</v>
      </c>
    </row>
    <row r="3030" spans="1:2" ht="15" hidden="1" x14ac:dyDescent="0.25">
      <c r="A3030" s="511" t="s">
        <v>2462</v>
      </c>
      <c r="B3030" s="511" t="s">
        <v>2462</v>
      </c>
    </row>
    <row r="3031" spans="1:2" ht="15" hidden="1" x14ac:dyDescent="0.25">
      <c r="A3031" s="511" t="s">
        <v>2463</v>
      </c>
      <c r="B3031" s="511" t="s">
        <v>2463</v>
      </c>
    </row>
    <row r="3032" spans="1:2" ht="15" hidden="1" x14ac:dyDescent="0.25">
      <c r="A3032" s="511" t="s">
        <v>2464</v>
      </c>
      <c r="B3032" s="511" t="s">
        <v>2464</v>
      </c>
    </row>
    <row r="3033" spans="1:2" ht="15" hidden="1" x14ac:dyDescent="0.25">
      <c r="A3033" s="511" t="s">
        <v>2465</v>
      </c>
      <c r="B3033" s="511" t="s">
        <v>2465</v>
      </c>
    </row>
    <row r="3034" spans="1:2" ht="15" hidden="1" x14ac:dyDescent="0.25">
      <c r="A3034" s="511" t="s">
        <v>2466</v>
      </c>
      <c r="B3034" s="511" t="s">
        <v>2466</v>
      </c>
    </row>
    <row r="3035" spans="1:2" ht="15" hidden="1" x14ac:dyDescent="0.25">
      <c r="A3035" s="511" t="s">
        <v>2467</v>
      </c>
      <c r="B3035" s="511" t="s">
        <v>2467</v>
      </c>
    </row>
    <row r="3036" spans="1:2" ht="15" hidden="1" x14ac:dyDescent="0.25">
      <c r="A3036" s="511" t="s">
        <v>2468</v>
      </c>
      <c r="B3036" s="511" t="s">
        <v>2468</v>
      </c>
    </row>
    <row r="3037" spans="1:2" ht="15" hidden="1" x14ac:dyDescent="0.25">
      <c r="A3037" s="511" t="s">
        <v>2469</v>
      </c>
      <c r="B3037" s="511" t="s">
        <v>2469</v>
      </c>
    </row>
    <row r="3038" spans="1:2" ht="15" hidden="1" x14ac:dyDescent="0.25">
      <c r="A3038" s="511" t="s">
        <v>2470</v>
      </c>
      <c r="B3038" s="511" t="s">
        <v>2470</v>
      </c>
    </row>
    <row r="3039" spans="1:2" ht="15" hidden="1" x14ac:dyDescent="0.25">
      <c r="A3039" s="511" t="s">
        <v>2471</v>
      </c>
      <c r="B3039" s="511" t="s">
        <v>2471</v>
      </c>
    </row>
    <row r="3040" spans="1:2" ht="15" hidden="1" x14ac:dyDescent="0.25">
      <c r="A3040" s="511" t="s">
        <v>2472</v>
      </c>
      <c r="B3040" s="511" t="s">
        <v>2472</v>
      </c>
    </row>
    <row r="3041" spans="1:2" ht="15" hidden="1" x14ac:dyDescent="0.25">
      <c r="A3041" s="511" t="s">
        <v>2473</v>
      </c>
      <c r="B3041" s="511" t="s">
        <v>2473</v>
      </c>
    </row>
    <row r="3042" spans="1:2" ht="15" hidden="1" x14ac:dyDescent="0.25">
      <c r="A3042" s="511" t="s">
        <v>2474</v>
      </c>
      <c r="B3042" s="511" t="s">
        <v>2474</v>
      </c>
    </row>
    <row r="3043" spans="1:2" ht="15" hidden="1" x14ac:dyDescent="0.25">
      <c r="A3043" s="511" t="s">
        <v>2474</v>
      </c>
      <c r="B3043" s="511" t="s">
        <v>2474</v>
      </c>
    </row>
    <row r="3044" spans="1:2" ht="15" hidden="1" x14ac:dyDescent="0.25">
      <c r="A3044" s="511" t="s">
        <v>2475</v>
      </c>
      <c r="B3044" s="511" t="s">
        <v>2475</v>
      </c>
    </row>
    <row r="3045" spans="1:2" ht="15" hidden="1" x14ac:dyDescent="0.25">
      <c r="A3045" s="511" t="s">
        <v>2476</v>
      </c>
      <c r="B3045" s="511" t="s">
        <v>2476</v>
      </c>
    </row>
    <row r="3046" spans="1:2" ht="15" hidden="1" x14ac:dyDescent="0.25">
      <c r="A3046" s="511" t="s">
        <v>2477</v>
      </c>
      <c r="B3046" s="511" t="s">
        <v>2477</v>
      </c>
    </row>
    <row r="3047" spans="1:2" ht="15" hidden="1" x14ac:dyDescent="0.25">
      <c r="A3047" s="511" t="s">
        <v>2477</v>
      </c>
      <c r="B3047" s="511" t="s">
        <v>2477</v>
      </c>
    </row>
    <row r="3048" spans="1:2" ht="15" hidden="1" x14ac:dyDescent="0.25">
      <c r="A3048" s="511" t="s">
        <v>2478</v>
      </c>
      <c r="B3048" s="511" t="s">
        <v>2478</v>
      </c>
    </row>
    <row r="3049" spans="1:2" ht="15" hidden="1" x14ac:dyDescent="0.25">
      <c r="A3049" s="511" t="s">
        <v>2479</v>
      </c>
      <c r="B3049" s="511" t="s">
        <v>2479</v>
      </c>
    </row>
    <row r="3050" spans="1:2" ht="15" hidden="1" x14ac:dyDescent="0.25">
      <c r="A3050" s="511" t="s">
        <v>2480</v>
      </c>
      <c r="B3050" s="511" t="s">
        <v>2480</v>
      </c>
    </row>
    <row r="3051" spans="1:2" ht="15" hidden="1" x14ac:dyDescent="0.25">
      <c r="A3051" s="511" t="s">
        <v>2481</v>
      </c>
      <c r="B3051" s="511" t="s">
        <v>2481</v>
      </c>
    </row>
    <row r="3052" spans="1:2" ht="15" hidden="1" x14ac:dyDescent="0.25">
      <c r="A3052" s="511" t="s">
        <v>2482</v>
      </c>
      <c r="B3052" s="511" t="s">
        <v>2482</v>
      </c>
    </row>
    <row r="3053" spans="1:2" ht="15" hidden="1" x14ac:dyDescent="0.25">
      <c r="A3053" s="511" t="s">
        <v>2483</v>
      </c>
      <c r="B3053" s="511" t="s">
        <v>2483</v>
      </c>
    </row>
    <row r="3054" spans="1:2" ht="15" hidden="1" x14ac:dyDescent="0.25">
      <c r="A3054" s="511" t="s">
        <v>2484</v>
      </c>
      <c r="B3054" s="511" t="s">
        <v>2484</v>
      </c>
    </row>
    <row r="3055" spans="1:2" ht="15" hidden="1" x14ac:dyDescent="0.25">
      <c r="A3055" s="511" t="s">
        <v>2484</v>
      </c>
      <c r="B3055" s="511" t="s">
        <v>2484</v>
      </c>
    </row>
    <row r="3056" spans="1:2" ht="15" hidden="1" x14ac:dyDescent="0.25">
      <c r="A3056" s="511" t="s">
        <v>2485</v>
      </c>
      <c r="B3056" s="511" t="s">
        <v>2485</v>
      </c>
    </row>
    <row r="3057" spans="1:2" ht="15" hidden="1" x14ac:dyDescent="0.25">
      <c r="A3057" s="511" t="s">
        <v>2486</v>
      </c>
      <c r="B3057" s="511" t="s">
        <v>2486</v>
      </c>
    </row>
    <row r="3058" spans="1:2" ht="15" hidden="1" x14ac:dyDescent="0.25">
      <c r="A3058" s="511" t="s">
        <v>2487</v>
      </c>
      <c r="B3058" s="511" t="s">
        <v>2487</v>
      </c>
    </row>
    <row r="3059" spans="1:2" ht="15" hidden="1" x14ac:dyDescent="0.25">
      <c r="A3059" s="511" t="s">
        <v>2488</v>
      </c>
      <c r="B3059" s="511" t="s">
        <v>2488</v>
      </c>
    </row>
    <row r="3060" spans="1:2" ht="15" hidden="1" x14ac:dyDescent="0.25">
      <c r="A3060" s="511" t="s">
        <v>2488</v>
      </c>
      <c r="B3060" s="511" t="s">
        <v>2488</v>
      </c>
    </row>
    <row r="3061" spans="1:2" ht="15" hidden="1" x14ac:dyDescent="0.25">
      <c r="A3061" s="511" t="s">
        <v>2489</v>
      </c>
      <c r="B3061" s="511" t="s">
        <v>2489</v>
      </c>
    </row>
    <row r="3062" spans="1:2" ht="15" hidden="1" x14ac:dyDescent="0.25">
      <c r="A3062" s="511" t="s">
        <v>2490</v>
      </c>
      <c r="B3062" s="511" t="s">
        <v>2490</v>
      </c>
    </row>
    <row r="3063" spans="1:2" ht="15" hidden="1" x14ac:dyDescent="0.25">
      <c r="A3063" s="511" t="s">
        <v>2491</v>
      </c>
      <c r="B3063" s="511" t="s">
        <v>2491</v>
      </c>
    </row>
    <row r="3064" spans="1:2" ht="15" hidden="1" x14ac:dyDescent="0.25">
      <c r="A3064" s="511" t="s">
        <v>2492</v>
      </c>
      <c r="B3064" s="511" t="s">
        <v>2492</v>
      </c>
    </row>
    <row r="3065" spans="1:2" ht="15" hidden="1" x14ac:dyDescent="0.25">
      <c r="A3065" s="511" t="s">
        <v>2493</v>
      </c>
      <c r="B3065" s="511" t="s">
        <v>2493</v>
      </c>
    </row>
    <row r="3066" spans="1:2" ht="15" hidden="1" x14ac:dyDescent="0.25">
      <c r="A3066" s="511" t="s">
        <v>2494</v>
      </c>
      <c r="B3066" s="511" t="s">
        <v>2494</v>
      </c>
    </row>
    <row r="3067" spans="1:2" ht="15" hidden="1" x14ac:dyDescent="0.25">
      <c r="A3067" s="511" t="s">
        <v>2495</v>
      </c>
      <c r="B3067" s="511" t="s">
        <v>2495</v>
      </c>
    </row>
    <row r="3068" spans="1:2" ht="15" hidden="1" x14ac:dyDescent="0.25">
      <c r="A3068" s="511" t="s">
        <v>2496</v>
      </c>
      <c r="B3068" s="511" t="s">
        <v>2496</v>
      </c>
    </row>
    <row r="3069" spans="1:2" ht="15" hidden="1" x14ac:dyDescent="0.25">
      <c r="A3069" s="511" t="s">
        <v>2497</v>
      </c>
      <c r="B3069" s="511" t="s">
        <v>2497</v>
      </c>
    </row>
    <row r="3070" spans="1:2" ht="15" hidden="1" x14ac:dyDescent="0.25">
      <c r="A3070" s="511" t="s">
        <v>2498</v>
      </c>
      <c r="B3070" s="511" t="s">
        <v>2498</v>
      </c>
    </row>
    <row r="3071" spans="1:2" ht="15" hidden="1" x14ac:dyDescent="0.25">
      <c r="A3071" s="511" t="s">
        <v>2498</v>
      </c>
      <c r="B3071" s="511" t="s">
        <v>2498</v>
      </c>
    </row>
    <row r="3072" spans="1:2" ht="15" hidden="1" x14ac:dyDescent="0.25">
      <c r="A3072" s="511" t="s">
        <v>2499</v>
      </c>
      <c r="B3072" s="511" t="s">
        <v>2499</v>
      </c>
    </row>
    <row r="3073" spans="1:2" ht="15" hidden="1" x14ac:dyDescent="0.25">
      <c r="A3073" s="511" t="s">
        <v>2500</v>
      </c>
      <c r="B3073" s="511" t="s">
        <v>2500</v>
      </c>
    </row>
    <row r="3074" spans="1:2" ht="15" hidden="1" x14ac:dyDescent="0.25">
      <c r="A3074" s="511" t="s">
        <v>2501</v>
      </c>
      <c r="B3074" s="511" t="s">
        <v>2501</v>
      </c>
    </row>
    <row r="3075" spans="1:2" ht="15" hidden="1" x14ac:dyDescent="0.25">
      <c r="A3075" s="511" t="s">
        <v>2502</v>
      </c>
      <c r="B3075" s="511" t="s">
        <v>2502</v>
      </c>
    </row>
    <row r="3076" spans="1:2" ht="15" hidden="1" x14ac:dyDescent="0.25">
      <c r="A3076" s="511" t="s">
        <v>2502</v>
      </c>
      <c r="B3076" s="511" t="s">
        <v>2502</v>
      </c>
    </row>
    <row r="3077" spans="1:2" ht="15" hidden="1" x14ac:dyDescent="0.25">
      <c r="A3077" s="511" t="s">
        <v>2503</v>
      </c>
      <c r="B3077" s="511" t="s">
        <v>2503</v>
      </c>
    </row>
    <row r="3078" spans="1:2" ht="15" hidden="1" x14ac:dyDescent="0.25">
      <c r="A3078" s="511" t="s">
        <v>2504</v>
      </c>
      <c r="B3078" s="511" t="s">
        <v>2504</v>
      </c>
    </row>
    <row r="3079" spans="1:2" ht="15" hidden="1" x14ac:dyDescent="0.25">
      <c r="A3079" s="511" t="s">
        <v>2504</v>
      </c>
      <c r="B3079" s="511" t="s">
        <v>2504</v>
      </c>
    </row>
    <row r="3080" spans="1:2" ht="15" hidden="1" x14ac:dyDescent="0.25">
      <c r="A3080" s="511" t="s">
        <v>2505</v>
      </c>
      <c r="B3080" s="511" t="s">
        <v>2505</v>
      </c>
    </row>
    <row r="3081" spans="1:2" ht="15" hidden="1" x14ac:dyDescent="0.25">
      <c r="A3081" s="511" t="s">
        <v>2506</v>
      </c>
      <c r="B3081" s="511" t="s">
        <v>2506</v>
      </c>
    </row>
    <row r="3082" spans="1:2" ht="15" hidden="1" x14ac:dyDescent="0.25">
      <c r="A3082" s="511" t="s">
        <v>2506</v>
      </c>
      <c r="B3082" s="511" t="s">
        <v>2506</v>
      </c>
    </row>
    <row r="3083" spans="1:2" ht="15" hidden="1" x14ac:dyDescent="0.25">
      <c r="A3083" s="511" t="s">
        <v>2507</v>
      </c>
      <c r="B3083" s="511" t="s">
        <v>2507</v>
      </c>
    </row>
    <row r="3084" spans="1:2" ht="15" hidden="1" x14ac:dyDescent="0.25">
      <c r="A3084" s="511" t="s">
        <v>2508</v>
      </c>
      <c r="B3084" s="511" t="s">
        <v>2508</v>
      </c>
    </row>
    <row r="3085" spans="1:2" ht="15" hidden="1" x14ac:dyDescent="0.25">
      <c r="A3085" s="511" t="s">
        <v>2508</v>
      </c>
      <c r="B3085" s="511" t="s">
        <v>2508</v>
      </c>
    </row>
    <row r="3086" spans="1:2" ht="15" hidden="1" x14ac:dyDescent="0.25">
      <c r="A3086" s="511" t="s">
        <v>2509</v>
      </c>
      <c r="B3086" s="511" t="s">
        <v>2509</v>
      </c>
    </row>
    <row r="3087" spans="1:2" ht="15" hidden="1" x14ac:dyDescent="0.25">
      <c r="A3087" s="511" t="s">
        <v>2510</v>
      </c>
      <c r="B3087" s="511" t="s">
        <v>2510</v>
      </c>
    </row>
    <row r="3088" spans="1:2" ht="15" hidden="1" x14ac:dyDescent="0.25">
      <c r="A3088" s="511" t="s">
        <v>2511</v>
      </c>
      <c r="B3088" s="511" t="s">
        <v>2511</v>
      </c>
    </row>
    <row r="3089" spans="1:2" ht="15" hidden="1" x14ac:dyDescent="0.25">
      <c r="A3089" s="511" t="s">
        <v>2511</v>
      </c>
      <c r="B3089" s="511" t="s">
        <v>2511</v>
      </c>
    </row>
    <row r="3090" spans="1:2" ht="15" hidden="1" x14ac:dyDescent="0.25">
      <c r="A3090" s="511" t="s">
        <v>2512</v>
      </c>
      <c r="B3090" s="511" t="s">
        <v>2512</v>
      </c>
    </row>
    <row r="3091" spans="1:2" ht="15" hidden="1" x14ac:dyDescent="0.25">
      <c r="A3091" s="511" t="s">
        <v>2512</v>
      </c>
      <c r="B3091" s="511" t="s">
        <v>2512</v>
      </c>
    </row>
    <row r="3092" spans="1:2" ht="15" hidden="1" x14ac:dyDescent="0.25">
      <c r="A3092" s="511" t="s">
        <v>2513</v>
      </c>
      <c r="B3092" s="511" t="s">
        <v>2513</v>
      </c>
    </row>
    <row r="3093" spans="1:2" ht="15" hidden="1" x14ac:dyDescent="0.25">
      <c r="A3093" s="511" t="s">
        <v>2513</v>
      </c>
      <c r="B3093" s="511" t="s">
        <v>2513</v>
      </c>
    </row>
    <row r="3094" spans="1:2" ht="15" hidden="1" x14ac:dyDescent="0.25">
      <c r="A3094" s="511" t="s">
        <v>2514</v>
      </c>
      <c r="B3094" s="511" t="s">
        <v>2514</v>
      </c>
    </row>
    <row r="3095" spans="1:2" ht="15" hidden="1" x14ac:dyDescent="0.25">
      <c r="A3095" s="511" t="s">
        <v>2514</v>
      </c>
      <c r="B3095" s="511" t="s">
        <v>2514</v>
      </c>
    </row>
    <row r="3096" spans="1:2" ht="15" hidden="1" x14ac:dyDescent="0.25">
      <c r="A3096" s="511" t="s">
        <v>2515</v>
      </c>
      <c r="B3096" s="511" t="s">
        <v>2515</v>
      </c>
    </row>
    <row r="3097" spans="1:2" ht="15" hidden="1" x14ac:dyDescent="0.25">
      <c r="A3097" s="511" t="s">
        <v>2516</v>
      </c>
      <c r="B3097" s="511" t="s">
        <v>2516</v>
      </c>
    </row>
    <row r="3098" spans="1:2" ht="15" hidden="1" x14ac:dyDescent="0.25">
      <c r="A3098" s="511" t="s">
        <v>2517</v>
      </c>
      <c r="B3098" s="511" t="s">
        <v>2517</v>
      </c>
    </row>
    <row r="3099" spans="1:2" ht="15" hidden="1" x14ac:dyDescent="0.25">
      <c r="A3099" s="511" t="s">
        <v>2518</v>
      </c>
      <c r="B3099" s="511" t="s">
        <v>2518</v>
      </c>
    </row>
    <row r="3100" spans="1:2" ht="15" hidden="1" x14ac:dyDescent="0.25">
      <c r="A3100" s="511" t="s">
        <v>2519</v>
      </c>
      <c r="B3100" s="511" t="s">
        <v>2519</v>
      </c>
    </row>
    <row r="3101" spans="1:2" ht="15" hidden="1" x14ac:dyDescent="0.25">
      <c r="A3101" s="511" t="s">
        <v>2520</v>
      </c>
      <c r="B3101" s="511" t="s">
        <v>2520</v>
      </c>
    </row>
    <row r="3102" spans="1:2" ht="15" hidden="1" x14ac:dyDescent="0.25">
      <c r="A3102" s="511" t="s">
        <v>2521</v>
      </c>
      <c r="B3102" s="511" t="s">
        <v>2521</v>
      </c>
    </row>
    <row r="3103" spans="1:2" ht="15" hidden="1" x14ac:dyDescent="0.25">
      <c r="A3103" s="511" t="s">
        <v>2521</v>
      </c>
      <c r="B3103" s="511" t="s">
        <v>2521</v>
      </c>
    </row>
    <row r="3104" spans="1:2" ht="15" hidden="1" x14ac:dyDescent="0.25">
      <c r="A3104" s="511" t="s">
        <v>2522</v>
      </c>
      <c r="B3104" s="511" t="s">
        <v>2522</v>
      </c>
    </row>
    <row r="3105" spans="1:2" ht="15" hidden="1" x14ac:dyDescent="0.25">
      <c r="A3105" s="511" t="s">
        <v>2523</v>
      </c>
      <c r="B3105" s="511" t="s">
        <v>2523</v>
      </c>
    </row>
    <row r="3106" spans="1:2" ht="15" hidden="1" x14ac:dyDescent="0.25">
      <c r="A3106" s="511" t="s">
        <v>2523</v>
      </c>
      <c r="B3106" s="511" t="s">
        <v>2523</v>
      </c>
    </row>
    <row r="3107" spans="1:2" ht="15" hidden="1" x14ac:dyDescent="0.25">
      <c r="A3107" s="511" t="s">
        <v>2524</v>
      </c>
      <c r="B3107" s="511" t="s">
        <v>2524</v>
      </c>
    </row>
    <row r="3108" spans="1:2" ht="15" hidden="1" x14ac:dyDescent="0.25">
      <c r="A3108" s="511" t="s">
        <v>2525</v>
      </c>
      <c r="B3108" s="511" t="s">
        <v>2525</v>
      </c>
    </row>
    <row r="3109" spans="1:2" ht="15" hidden="1" x14ac:dyDescent="0.25">
      <c r="A3109" s="511" t="s">
        <v>2526</v>
      </c>
      <c r="B3109" s="511" t="s">
        <v>2526</v>
      </c>
    </row>
    <row r="3110" spans="1:2" ht="15" hidden="1" x14ac:dyDescent="0.25">
      <c r="A3110" s="511" t="s">
        <v>2527</v>
      </c>
      <c r="B3110" s="511" t="s">
        <v>2527</v>
      </c>
    </row>
    <row r="3111" spans="1:2" ht="15" hidden="1" x14ac:dyDescent="0.25">
      <c r="A3111" s="511" t="s">
        <v>2528</v>
      </c>
      <c r="B3111" s="511" t="s">
        <v>2528</v>
      </c>
    </row>
    <row r="3112" spans="1:2" ht="15" hidden="1" x14ac:dyDescent="0.25">
      <c r="A3112" s="511" t="s">
        <v>2528</v>
      </c>
      <c r="B3112" s="511" t="s">
        <v>2528</v>
      </c>
    </row>
    <row r="3113" spans="1:2" ht="15" hidden="1" x14ac:dyDescent="0.25">
      <c r="A3113" s="511" t="s">
        <v>2529</v>
      </c>
      <c r="B3113" s="511" t="s">
        <v>2529</v>
      </c>
    </row>
    <row r="3114" spans="1:2" ht="15" hidden="1" x14ac:dyDescent="0.25">
      <c r="A3114" s="511" t="s">
        <v>2530</v>
      </c>
      <c r="B3114" s="511" t="s">
        <v>2530</v>
      </c>
    </row>
    <row r="3115" spans="1:2" ht="15" hidden="1" x14ac:dyDescent="0.25">
      <c r="A3115" s="511" t="s">
        <v>2531</v>
      </c>
      <c r="B3115" s="511" t="s">
        <v>2531</v>
      </c>
    </row>
    <row r="3116" spans="1:2" ht="15" hidden="1" x14ac:dyDescent="0.25">
      <c r="A3116" s="511" t="s">
        <v>2532</v>
      </c>
      <c r="B3116" s="511" t="s">
        <v>2532</v>
      </c>
    </row>
    <row r="3117" spans="1:2" ht="15" hidden="1" x14ac:dyDescent="0.25">
      <c r="A3117" s="511" t="s">
        <v>2532</v>
      </c>
      <c r="B3117" s="511" t="s">
        <v>2532</v>
      </c>
    </row>
    <row r="3118" spans="1:2" ht="15" hidden="1" x14ac:dyDescent="0.25">
      <c r="A3118" s="511" t="s">
        <v>2533</v>
      </c>
      <c r="B3118" s="511" t="s">
        <v>2533</v>
      </c>
    </row>
    <row r="3119" spans="1:2" ht="15" hidden="1" x14ac:dyDescent="0.25">
      <c r="A3119" s="511" t="s">
        <v>2534</v>
      </c>
      <c r="B3119" s="511" t="s">
        <v>2534</v>
      </c>
    </row>
    <row r="3120" spans="1:2" ht="15" hidden="1" x14ac:dyDescent="0.25">
      <c r="A3120" s="511" t="s">
        <v>2535</v>
      </c>
      <c r="B3120" s="511" t="s">
        <v>2535</v>
      </c>
    </row>
    <row r="3121" spans="1:2" ht="15" hidden="1" x14ac:dyDescent="0.25">
      <c r="A3121" s="511" t="s">
        <v>2536</v>
      </c>
      <c r="B3121" s="511" t="s">
        <v>2536</v>
      </c>
    </row>
    <row r="3122" spans="1:2" ht="15" hidden="1" x14ac:dyDescent="0.25">
      <c r="A3122" s="511" t="s">
        <v>2536</v>
      </c>
      <c r="B3122" s="511" t="s">
        <v>2536</v>
      </c>
    </row>
    <row r="3123" spans="1:2" ht="15" hidden="1" x14ac:dyDescent="0.25">
      <c r="A3123" s="511" t="s">
        <v>2537</v>
      </c>
      <c r="B3123" s="511" t="s">
        <v>2537</v>
      </c>
    </row>
    <row r="3124" spans="1:2" ht="15" hidden="1" x14ac:dyDescent="0.25">
      <c r="A3124" s="511" t="s">
        <v>2538</v>
      </c>
      <c r="B3124" s="511" t="s">
        <v>2538</v>
      </c>
    </row>
    <row r="3125" spans="1:2" ht="15" hidden="1" x14ac:dyDescent="0.25">
      <c r="A3125" s="511" t="s">
        <v>2539</v>
      </c>
      <c r="B3125" s="511" t="s">
        <v>2539</v>
      </c>
    </row>
    <row r="3126" spans="1:2" ht="15" hidden="1" x14ac:dyDescent="0.25">
      <c r="A3126" s="511" t="s">
        <v>2540</v>
      </c>
      <c r="B3126" s="511" t="s">
        <v>2540</v>
      </c>
    </row>
    <row r="3127" spans="1:2" ht="15" hidden="1" x14ac:dyDescent="0.25">
      <c r="A3127" s="511" t="s">
        <v>2541</v>
      </c>
      <c r="B3127" s="511" t="s">
        <v>2541</v>
      </c>
    </row>
    <row r="3128" spans="1:2" ht="15" hidden="1" x14ac:dyDescent="0.25">
      <c r="A3128" s="511" t="s">
        <v>2542</v>
      </c>
      <c r="B3128" s="511" t="s">
        <v>2542</v>
      </c>
    </row>
    <row r="3129" spans="1:2" ht="15" hidden="1" x14ac:dyDescent="0.25">
      <c r="A3129" s="511" t="s">
        <v>2543</v>
      </c>
      <c r="B3129" s="511" t="s">
        <v>2543</v>
      </c>
    </row>
    <row r="3130" spans="1:2" ht="15" hidden="1" x14ac:dyDescent="0.25">
      <c r="A3130" s="511" t="s">
        <v>2544</v>
      </c>
      <c r="B3130" s="511" t="s">
        <v>2544</v>
      </c>
    </row>
    <row r="3131" spans="1:2" ht="15" hidden="1" x14ac:dyDescent="0.25">
      <c r="A3131" s="511" t="s">
        <v>2545</v>
      </c>
      <c r="B3131" s="511" t="s">
        <v>2545</v>
      </c>
    </row>
    <row r="3132" spans="1:2" ht="15" hidden="1" x14ac:dyDescent="0.25">
      <c r="A3132" s="511" t="s">
        <v>2546</v>
      </c>
      <c r="B3132" s="511" t="s">
        <v>2546</v>
      </c>
    </row>
    <row r="3133" spans="1:2" ht="15" hidden="1" x14ac:dyDescent="0.25">
      <c r="A3133" s="511" t="s">
        <v>2546</v>
      </c>
      <c r="B3133" s="511" t="s">
        <v>2546</v>
      </c>
    </row>
    <row r="3134" spans="1:2" ht="15" hidden="1" x14ac:dyDescent="0.25">
      <c r="A3134" s="511" t="s">
        <v>2547</v>
      </c>
      <c r="B3134" s="511" t="s">
        <v>2547</v>
      </c>
    </row>
    <row r="3135" spans="1:2" ht="15" hidden="1" x14ac:dyDescent="0.25">
      <c r="A3135" s="511" t="s">
        <v>2547</v>
      </c>
      <c r="B3135" s="511" t="s">
        <v>2547</v>
      </c>
    </row>
    <row r="3136" spans="1:2" ht="15" hidden="1" x14ac:dyDescent="0.25">
      <c r="A3136" s="511" t="s">
        <v>2548</v>
      </c>
      <c r="B3136" s="511" t="s">
        <v>2548</v>
      </c>
    </row>
    <row r="3137" spans="1:2" ht="15" hidden="1" x14ac:dyDescent="0.25">
      <c r="A3137" s="511" t="s">
        <v>2548</v>
      </c>
      <c r="B3137" s="511" t="s">
        <v>2548</v>
      </c>
    </row>
    <row r="3138" spans="1:2" ht="15" hidden="1" x14ac:dyDescent="0.25">
      <c r="A3138" s="511" t="s">
        <v>2549</v>
      </c>
      <c r="B3138" s="511" t="s">
        <v>2549</v>
      </c>
    </row>
    <row r="3139" spans="1:2" ht="15" hidden="1" x14ac:dyDescent="0.25">
      <c r="A3139" s="511" t="s">
        <v>2550</v>
      </c>
      <c r="B3139" s="511" t="s">
        <v>2550</v>
      </c>
    </row>
    <row r="3140" spans="1:2" ht="15" hidden="1" x14ac:dyDescent="0.25">
      <c r="A3140" s="511" t="s">
        <v>2550</v>
      </c>
      <c r="B3140" s="511" t="s">
        <v>2550</v>
      </c>
    </row>
    <row r="3141" spans="1:2" ht="15" hidden="1" x14ac:dyDescent="0.25">
      <c r="A3141" s="511" t="s">
        <v>2551</v>
      </c>
      <c r="B3141" s="511" t="s">
        <v>2551</v>
      </c>
    </row>
    <row r="3142" spans="1:2" ht="15" hidden="1" x14ac:dyDescent="0.25">
      <c r="A3142" s="511" t="s">
        <v>2552</v>
      </c>
      <c r="B3142" s="511" t="s">
        <v>2552</v>
      </c>
    </row>
    <row r="3143" spans="1:2" ht="15" hidden="1" x14ac:dyDescent="0.25">
      <c r="A3143" s="511" t="s">
        <v>2553</v>
      </c>
      <c r="B3143" s="511" t="s">
        <v>2553</v>
      </c>
    </row>
    <row r="3144" spans="1:2" ht="15" hidden="1" x14ac:dyDescent="0.25">
      <c r="A3144" s="511" t="s">
        <v>2553</v>
      </c>
      <c r="B3144" s="511" t="s">
        <v>2553</v>
      </c>
    </row>
    <row r="3145" spans="1:2" ht="15" hidden="1" x14ac:dyDescent="0.25">
      <c r="A3145" s="511" t="s">
        <v>2554</v>
      </c>
      <c r="B3145" s="511" t="s">
        <v>2554</v>
      </c>
    </row>
    <row r="3146" spans="1:2" ht="15" hidden="1" x14ac:dyDescent="0.25">
      <c r="A3146" s="511" t="s">
        <v>2554</v>
      </c>
      <c r="B3146" s="511" t="s">
        <v>2554</v>
      </c>
    </row>
    <row r="3147" spans="1:2" ht="15" hidden="1" x14ac:dyDescent="0.25">
      <c r="A3147" s="511" t="s">
        <v>2555</v>
      </c>
      <c r="B3147" s="511" t="s">
        <v>2555</v>
      </c>
    </row>
    <row r="3148" spans="1:2" ht="15" hidden="1" x14ac:dyDescent="0.25">
      <c r="A3148" s="511" t="s">
        <v>2556</v>
      </c>
      <c r="B3148" s="511" t="s">
        <v>2556</v>
      </c>
    </row>
    <row r="3149" spans="1:2" ht="15" hidden="1" x14ac:dyDescent="0.25">
      <c r="A3149" s="511" t="s">
        <v>2556</v>
      </c>
      <c r="B3149" s="511" t="s">
        <v>2556</v>
      </c>
    </row>
    <row r="3150" spans="1:2" ht="15" hidden="1" x14ac:dyDescent="0.25">
      <c r="A3150" s="511" t="s">
        <v>2557</v>
      </c>
      <c r="B3150" s="511" t="s">
        <v>2557</v>
      </c>
    </row>
    <row r="3151" spans="1:2" ht="15" hidden="1" x14ac:dyDescent="0.25">
      <c r="A3151" s="511" t="s">
        <v>2558</v>
      </c>
      <c r="B3151" s="511" t="s">
        <v>2558</v>
      </c>
    </row>
    <row r="3152" spans="1:2" ht="15" hidden="1" x14ac:dyDescent="0.25">
      <c r="A3152" s="511" t="s">
        <v>2558</v>
      </c>
      <c r="B3152" s="511" t="s">
        <v>2558</v>
      </c>
    </row>
    <row r="3153" spans="1:2" ht="15" hidden="1" x14ac:dyDescent="0.25">
      <c r="A3153" s="511" t="s">
        <v>2559</v>
      </c>
      <c r="B3153" s="511" t="s">
        <v>2559</v>
      </c>
    </row>
    <row r="3154" spans="1:2" ht="15" hidden="1" x14ac:dyDescent="0.25">
      <c r="A3154" s="511" t="s">
        <v>2560</v>
      </c>
      <c r="B3154" s="511" t="s">
        <v>2560</v>
      </c>
    </row>
    <row r="3155" spans="1:2" ht="15" hidden="1" x14ac:dyDescent="0.25">
      <c r="A3155" s="511" t="s">
        <v>2561</v>
      </c>
      <c r="B3155" s="511" t="s">
        <v>2561</v>
      </c>
    </row>
    <row r="3156" spans="1:2" ht="15" hidden="1" x14ac:dyDescent="0.25">
      <c r="A3156" s="511" t="s">
        <v>2562</v>
      </c>
      <c r="B3156" s="511" t="s">
        <v>2562</v>
      </c>
    </row>
    <row r="3157" spans="1:2" ht="15" hidden="1" x14ac:dyDescent="0.25">
      <c r="A3157" s="511" t="s">
        <v>2563</v>
      </c>
      <c r="B3157" s="511" t="s">
        <v>2563</v>
      </c>
    </row>
    <row r="3158" spans="1:2" ht="15" hidden="1" x14ac:dyDescent="0.25">
      <c r="A3158" s="511" t="s">
        <v>2564</v>
      </c>
      <c r="B3158" s="511" t="s">
        <v>2564</v>
      </c>
    </row>
    <row r="3159" spans="1:2" ht="15" hidden="1" x14ac:dyDescent="0.25">
      <c r="A3159" s="511" t="s">
        <v>2564</v>
      </c>
      <c r="B3159" s="511" t="s">
        <v>2564</v>
      </c>
    </row>
    <row r="3160" spans="1:2" ht="15" hidden="1" x14ac:dyDescent="0.25">
      <c r="A3160" s="511" t="s">
        <v>2565</v>
      </c>
      <c r="B3160" s="511" t="s">
        <v>2565</v>
      </c>
    </row>
    <row r="3161" spans="1:2" ht="15" hidden="1" x14ac:dyDescent="0.25">
      <c r="A3161" s="511" t="s">
        <v>2565</v>
      </c>
      <c r="B3161" s="511" t="s">
        <v>2565</v>
      </c>
    </row>
    <row r="3162" spans="1:2" ht="15" hidden="1" x14ac:dyDescent="0.25">
      <c r="A3162" s="511" t="s">
        <v>2566</v>
      </c>
      <c r="B3162" s="511" t="s">
        <v>2566</v>
      </c>
    </row>
    <row r="3163" spans="1:2" ht="15" hidden="1" x14ac:dyDescent="0.25">
      <c r="A3163" s="511" t="s">
        <v>2567</v>
      </c>
      <c r="B3163" s="511" t="s">
        <v>2567</v>
      </c>
    </row>
    <row r="3164" spans="1:2" ht="15" hidden="1" x14ac:dyDescent="0.25">
      <c r="A3164" s="511" t="s">
        <v>2568</v>
      </c>
      <c r="B3164" s="511" t="s">
        <v>2568</v>
      </c>
    </row>
    <row r="3165" spans="1:2" ht="15" hidden="1" x14ac:dyDescent="0.25">
      <c r="A3165" s="511" t="s">
        <v>2569</v>
      </c>
      <c r="B3165" s="511" t="s">
        <v>2569</v>
      </c>
    </row>
    <row r="3166" spans="1:2" ht="15" hidden="1" x14ac:dyDescent="0.25">
      <c r="A3166" s="511" t="s">
        <v>2570</v>
      </c>
      <c r="B3166" s="511" t="s">
        <v>2570</v>
      </c>
    </row>
    <row r="3167" spans="1:2" ht="15" hidden="1" x14ac:dyDescent="0.25">
      <c r="A3167" s="511" t="s">
        <v>2571</v>
      </c>
      <c r="B3167" s="511" t="s">
        <v>2571</v>
      </c>
    </row>
    <row r="3168" spans="1:2" ht="15" hidden="1" x14ac:dyDescent="0.25">
      <c r="A3168" s="511" t="s">
        <v>2572</v>
      </c>
      <c r="B3168" s="511" t="s">
        <v>2572</v>
      </c>
    </row>
    <row r="3169" spans="1:2" ht="15" hidden="1" x14ac:dyDescent="0.25">
      <c r="A3169" s="511" t="s">
        <v>2573</v>
      </c>
      <c r="B3169" s="511" t="s">
        <v>2573</v>
      </c>
    </row>
    <row r="3170" spans="1:2" ht="15" hidden="1" x14ac:dyDescent="0.25">
      <c r="A3170" s="511" t="s">
        <v>2574</v>
      </c>
      <c r="B3170" s="511" t="s">
        <v>2574</v>
      </c>
    </row>
    <row r="3171" spans="1:2" ht="15" hidden="1" x14ac:dyDescent="0.25">
      <c r="A3171" s="511" t="s">
        <v>2574</v>
      </c>
      <c r="B3171" s="511" t="s">
        <v>2574</v>
      </c>
    </row>
    <row r="3172" spans="1:2" ht="15" hidden="1" x14ac:dyDescent="0.25">
      <c r="A3172" s="511" t="s">
        <v>2575</v>
      </c>
      <c r="B3172" s="511" t="s">
        <v>2575</v>
      </c>
    </row>
    <row r="3173" spans="1:2" ht="15" hidden="1" x14ac:dyDescent="0.25">
      <c r="A3173" s="511" t="s">
        <v>2575</v>
      </c>
      <c r="B3173" s="511" t="s">
        <v>2575</v>
      </c>
    </row>
    <row r="3174" spans="1:2" ht="15" hidden="1" x14ac:dyDescent="0.25">
      <c r="A3174" s="511" t="s">
        <v>2576</v>
      </c>
      <c r="B3174" s="511" t="s">
        <v>2576</v>
      </c>
    </row>
    <row r="3175" spans="1:2" ht="15" hidden="1" x14ac:dyDescent="0.25">
      <c r="A3175" s="511" t="s">
        <v>2577</v>
      </c>
      <c r="B3175" s="511" t="s">
        <v>2577</v>
      </c>
    </row>
    <row r="3176" spans="1:2" ht="15" hidden="1" x14ac:dyDescent="0.25">
      <c r="A3176" s="511" t="s">
        <v>2578</v>
      </c>
      <c r="B3176" s="511" t="s">
        <v>2578</v>
      </c>
    </row>
    <row r="3177" spans="1:2" ht="15" hidden="1" x14ac:dyDescent="0.25">
      <c r="A3177" s="511" t="s">
        <v>2578</v>
      </c>
      <c r="B3177" s="511" t="s">
        <v>2578</v>
      </c>
    </row>
    <row r="3178" spans="1:2" ht="15" hidden="1" x14ac:dyDescent="0.25">
      <c r="A3178" s="511" t="s">
        <v>2579</v>
      </c>
      <c r="B3178" s="511" t="s">
        <v>2579</v>
      </c>
    </row>
    <row r="3179" spans="1:2" ht="15" hidden="1" x14ac:dyDescent="0.25">
      <c r="A3179" s="511" t="s">
        <v>2580</v>
      </c>
      <c r="B3179" s="511" t="s">
        <v>2580</v>
      </c>
    </row>
    <row r="3180" spans="1:2" ht="15" hidden="1" x14ac:dyDescent="0.25">
      <c r="A3180" s="511" t="s">
        <v>2581</v>
      </c>
      <c r="B3180" s="511" t="s">
        <v>2581</v>
      </c>
    </row>
    <row r="3181" spans="1:2" ht="15" hidden="1" x14ac:dyDescent="0.25">
      <c r="A3181" s="511" t="s">
        <v>2582</v>
      </c>
      <c r="B3181" s="511" t="s">
        <v>2582</v>
      </c>
    </row>
    <row r="3182" spans="1:2" ht="15" hidden="1" x14ac:dyDescent="0.25">
      <c r="A3182" s="511" t="s">
        <v>2583</v>
      </c>
      <c r="B3182" s="511" t="s">
        <v>2583</v>
      </c>
    </row>
    <row r="3183" spans="1:2" ht="15" hidden="1" x14ac:dyDescent="0.25">
      <c r="A3183" s="511" t="s">
        <v>2584</v>
      </c>
      <c r="B3183" s="511" t="s">
        <v>2584</v>
      </c>
    </row>
    <row r="3184" spans="1:2" ht="15" hidden="1" x14ac:dyDescent="0.25">
      <c r="A3184" s="511" t="s">
        <v>2585</v>
      </c>
      <c r="B3184" s="511" t="s">
        <v>2585</v>
      </c>
    </row>
    <row r="3185" spans="1:2" ht="15" hidden="1" x14ac:dyDescent="0.25">
      <c r="A3185" s="511" t="s">
        <v>2585</v>
      </c>
      <c r="B3185" s="511" t="s">
        <v>2585</v>
      </c>
    </row>
    <row r="3186" spans="1:2" ht="15" hidden="1" x14ac:dyDescent="0.25">
      <c r="A3186" s="511" t="s">
        <v>2586</v>
      </c>
      <c r="B3186" s="511" t="s">
        <v>2586</v>
      </c>
    </row>
    <row r="3187" spans="1:2" ht="15" hidden="1" x14ac:dyDescent="0.25">
      <c r="A3187" s="511" t="s">
        <v>2586</v>
      </c>
      <c r="B3187" s="511" t="s">
        <v>2586</v>
      </c>
    </row>
    <row r="3188" spans="1:2" ht="15" hidden="1" x14ac:dyDescent="0.25">
      <c r="A3188" s="511" t="s">
        <v>2587</v>
      </c>
      <c r="B3188" s="511" t="s">
        <v>2587</v>
      </c>
    </row>
    <row r="3189" spans="1:2" ht="15" hidden="1" x14ac:dyDescent="0.25">
      <c r="A3189" s="511" t="s">
        <v>2588</v>
      </c>
      <c r="B3189" s="511" t="s">
        <v>2588</v>
      </c>
    </row>
    <row r="3190" spans="1:2" ht="15" hidden="1" x14ac:dyDescent="0.25">
      <c r="A3190" s="511" t="s">
        <v>2589</v>
      </c>
      <c r="B3190" s="511" t="s">
        <v>2589</v>
      </c>
    </row>
    <row r="3191" spans="1:2" ht="15" hidden="1" x14ac:dyDescent="0.25">
      <c r="A3191" s="511" t="s">
        <v>2590</v>
      </c>
      <c r="B3191" s="511" t="s">
        <v>2590</v>
      </c>
    </row>
    <row r="3192" spans="1:2" ht="15" hidden="1" x14ac:dyDescent="0.25">
      <c r="A3192" s="511" t="s">
        <v>2590</v>
      </c>
      <c r="B3192" s="511" t="s">
        <v>2590</v>
      </c>
    </row>
    <row r="3193" spans="1:2" ht="15" hidden="1" x14ac:dyDescent="0.25">
      <c r="A3193" s="511" t="s">
        <v>2591</v>
      </c>
      <c r="B3193" s="511" t="s">
        <v>2591</v>
      </c>
    </row>
    <row r="3194" spans="1:2" ht="15" hidden="1" x14ac:dyDescent="0.25">
      <c r="A3194" s="511" t="s">
        <v>2592</v>
      </c>
      <c r="B3194" s="511" t="s">
        <v>2592</v>
      </c>
    </row>
    <row r="3195" spans="1:2" ht="15" hidden="1" x14ac:dyDescent="0.25">
      <c r="A3195" s="511" t="s">
        <v>2593</v>
      </c>
      <c r="B3195" s="511" t="s">
        <v>2593</v>
      </c>
    </row>
    <row r="3196" spans="1:2" ht="15" hidden="1" x14ac:dyDescent="0.25">
      <c r="A3196" s="511" t="s">
        <v>2594</v>
      </c>
      <c r="B3196" s="511" t="s">
        <v>2594</v>
      </c>
    </row>
    <row r="3197" spans="1:2" ht="15" hidden="1" x14ac:dyDescent="0.25">
      <c r="A3197" s="511" t="s">
        <v>2595</v>
      </c>
      <c r="B3197" s="511" t="s">
        <v>2595</v>
      </c>
    </row>
    <row r="3198" spans="1:2" ht="15" hidden="1" x14ac:dyDescent="0.25">
      <c r="A3198" s="511" t="s">
        <v>2596</v>
      </c>
      <c r="B3198" s="511" t="s">
        <v>2596</v>
      </c>
    </row>
    <row r="3199" spans="1:2" ht="15" hidden="1" x14ac:dyDescent="0.25">
      <c r="A3199" s="511" t="s">
        <v>2597</v>
      </c>
      <c r="B3199" s="511" t="s">
        <v>2597</v>
      </c>
    </row>
    <row r="3200" spans="1:2" ht="15" hidden="1" x14ac:dyDescent="0.25">
      <c r="A3200" s="511" t="s">
        <v>2598</v>
      </c>
      <c r="B3200" s="511" t="s">
        <v>2598</v>
      </c>
    </row>
    <row r="3201" spans="1:2" ht="15" hidden="1" x14ac:dyDescent="0.25">
      <c r="A3201" s="511" t="s">
        <v>2599</v>
      </c>
      <c r="B3201" s="511" t="s">
        <v>2599</v>
      </c>
    </row>
    <row r="3202" spans="1:2" ht="15" hidden="1" x14ac:dyDescent="0.25">
      <c r="A3202" s="511" t="s">
        <v>2600</v>
      </c>
      <c r="B3202" s="511" t="s">
        <v>2600</v>
      </c>
    </row>
    <row r="3203" spans="1:2" ht="15" hidden="1" x14ac:dyDescent="0.25">
      <c r="A3203" s="511" t="s">
        <v>2601</v>
      </c>
      <c r="B3203" s="511" t="s">
        <v>2601</v>
      </c>
    </row>
    <row r="3204" spans="1:2" ht="15" hidden="1" x14ac:dyDescent="0.25">
      <c r="A3204" s="511" t="s">
        <v>2601</v>
      </c>
      <c r="B3204" s="511" t="s">
        <v>2601</v>
      </c>
    </row>
    <row r="3205" spans="1:2" ht="15" hidden="1" x14ac:dyDescent="0.25">
      <c r="A3205" s="511" t="s">
        <v>2602</v>
      </c>
      <c r="B3205" s="511" t="s">
        <v>2602</v>
      </c>
    </row>
    <row r="3206" spans="1:2" ht="15" hidden="1" x14ac:dyDescent="0.25">
      <c r="A3206" s="511" t="s">
        <v>2603</v>
      </c>
      <c r="B3206" s="511" t="s">
        <v>2603</v>
      </c>
    </row>
    <row r="3207" spans="1:2" ht="15" hidden="1" x14ac:dyDescent="0.25">
      <c r="A3207" s="511" t="s">
        <v>2604</v>
      </c>
      <c r="B3207" s="511" t="s">
        <v>2604</v>
      </c>
    </row>
    <row r="3208" spans="1:2" ht="15" hidden="1" x14ac:dyDescent="0.25">
      <c r="A3208" s="511" t="s">
        <v>2605</v>
      </c>
      <c r="B3208" s="511" t="s">
        <v>2605</v>
      </c>
    </row>
    <row r="3209" spans="1:2" ht="15" hidden="1" x14ac:dyDescent="0.25">
      <c r="A3209" s="511" t="s">
        <v>2606</v>
      </c>
      <c r="B3209" s="511" t="s">
        <v>2606</v>
      </c>
    </row>
    <row r="3210" spans="1:2" ht="15" hidden="1" x14ac:dyDescent="0.25">
      <c r="A3210" s="511" t="s">
        <v>2607</v>
      </c>
      <c r="B3210" s="511" t="s">
        <v>2607</v>
      </c>
    </row>
    <row r="3211" spans="1:2" ht="15" hidden="1" x14ac:dyDescent="0.25">
      <c r="A3211" s="511" t="s">
        <v>2607</v>
      </c>
      <c r="B3211" s="511" t="s">
        <v>2607</v>
      </c>
    </row>
    <row r="3212" spans="1:2" ht="15" hidden="1" x14ac:dyDescent="0.25">
      <c r="A3212" s="511" t="s">
        <v>2608</v>
      </c>
      <c r="B3212" s="511" t="s">
        <v>2608</v>
      </c>
    </row>
    <row r="3213" spans="1:2" ht="15" hidden="1" x14ac:dyDescent="0.25">
      <c r="A3213" s="511" t="s">
        <v>2609</v>
      </c>
      <c r="B3213" s="511" t="s">
        <v>2609</v>
      </c>
    </row>
    <row r="3214" spans="1:2" ht="15" hidden="1" x14ac:dyDescent="0.25">
      <c r="A3214" s="511" t="s">
        <v>2610</v>
      </c>
      <c r="B3214" s="511" t="s">
        <v>2610</v>
      </c>
    </row>
    <row r="3215" spans="1:2" ht="15" hidden="1" x14ac:dyDescent="0.25">
      <c r="A3215" s="511" t="s">
        <v>2611</v>
      </c>
      <c r="B3215" s="511" t="s">
        <v>2611</v>
      </c>
    </row>
    <row r="3216" spans="1:2" ht="15" hidden="1" x14ac:dyDescent="0.25">
      <c r="A3216" s="511" t="s">
        <v>2612</v>
      </c>
      <c r="B3216" s="511" t="s">
        <v>2612</v>
      </c>
    </row>
    <row r="3217" spans="1:2" ht="15" hidden="1" x14ac:dyDescent="0.25">
      <c r="A3217" s="511" t="s">
        <v>2613</v>
      </c>
      <c r="B3217" s="511" t="s">
        <v>2613</v>
      </c>
    </row>
    <row r="3218" spans="1:2" ht="15" hidden="1" x14ac:dyDescent="0.25">
      <c r="A3218" s="511" t="s">
        <v>2614</v>
      </c>
      <c r="B3218" s="511" t="s">
        <v>2614</v>
      </c>
    </row>
    <row r="3219" spans="1:2" ht="15" hidden="1" x14ac:dyDescent="0.25">
      <c r="A3219" s="511" t="s">
        <v>2615</v>
      </c>
      <c r="B3219" s="511" t="s">
        <v>2615</v>
      </c>
    </row>
    <row r="3220" spans="1:2" ht="15" hidden="1" x14ac:dyDescent="0.25">
      <c r="A3220" s="511" t="s">
        <v>2616</v>
      </c>
      <c r="B3220" s="511" t="s">
        <v>2616</v>
      </c>
    </row>
    <row r="3221" spans="1:2" ht="15" hidden="1" x14ac:dyDescent="0.25">
      <c r="A3221" s="511" t="s">
        <v>2616</v>
      </c>
      <c r="B3221" s="511" t="s">
        <v>2616</v>
      </c>
    </row>
    <row r="3222" spans="1:2" ht="15" hidden="1" x14ac:dyDescent="0.25">
      <c r="A3222" s="511" t="s">
        <v>2617</v>
      </c>
      <c r="B3222" s="511" t="s">
        <v>2617</v>
      </c>
    </row>
    <row r="3223" spans="1:2" ht="15" hidden="1" x14ac:dyDescent="0.25">
      <c r="A3223" s="511" t="s">
        <v>2618</v>
      </c>
      <c r="B3223" s="511" t="s">
        <v>2618</v>
      </c>
    </row>
    <row r="3224" spans="1:2" ht="15" hidden="1" x14ac:dyDescent="0.25">
      <c r="A3224" s="511" t="s">
        <v>2619</v>
      </c>
      <c r="B3224" s="511" t="s">
        <v>2619</v>
      </c>
    </row>
    <row r="3225" spans="1:2" ht="15" hidden="1" x14ac:dyDescent="0.25">
      <c r="A3225" s="511" t="s">
        <v>2620</v>
      </c>
      <c r="B3225" s="511" t="s">
        <v>2620</v>
      </c>
    </row>
    <row r="3226" spans="1:2" ht="15" hidden="1" x14ac:dyDescent="0.25">
      <c r="A3226" s="511" t="s">
        <v>2621</v>
      </c>
      <c r="B3226" s="511" t="s">
        <v>2621</v>
      </c>
    </row>
    <row r="3227" spans="1:2" ht="15" hidden="1" x14ac:dyDescent="0.25">
      <c r="A3227" s="511" t="s">
        <v>2622</v>
      </c>
      <c r="B3227" s="511" t="s">
        <v>2485</v>
      </c>
    </row>
    <row r="3228" spans="1:2" ht="15" hidden="1" x14ac:dyDescent="0.25">
      <c r="A3228" s="511" t="s">
        <v>2623</v>
      </c>
      <c r="B3228" s="511" t="s">
        <v>2624</v>
      </c>
    </row>
    <row r="3229" spans="1:2" ht="15" hidden="1" x14ac:dyDescent="0.25">
      <c r="A3229" s="511" t="s">
        <v>2625</v>
      </c>
      <c r="B3229" s="511" t="s">
        <v>2626</v>
      </c>
    </row>
    <row r="3230" spans="1:2" ht="15" hidden="1" x14ac:dyDescent="0.25">
      <c r="A3230" s="511" t="s">
        <v>2627</v>
      </c>
      <c r="B3230" s="511" t="s">
        <v>2628</v>
      </c>
    </row>
    <row r="3231" spans="1:2" ht="15" hidden="1" x14ac:dyDescent="0.25">
      <c r="A3231" s="511" t="s">
        <v>2629</v>
      </c>
      <c r="B3231" s="511" t="s">
        <v>2630</v>
      </c>
    </row>
    <row r="3232" spans="1:2" ht="15" hidden="1" x14ac:dyDescent="0.25">
      <c r="A3232" s="511" t="s">
        <v>2631</v>
      </c>
      <c r="B3232" s="511" t="s">
        <v>2632</v>
      </c>
    </row>
    <row r="3233" spans="1:2" ht="15" hidden="1" x14ac:dyDescent="0.25">
      <c r="A3233" s="511" t="s">
        <v>2633</v>
      </c>
      <c r="B3233" s="511" t="s">
        <v>2634</v>
      </c>
    </row>
    <row r="3234" spans="1:2" ht="15" hidden="1" x14ac:dyDescent="0.25">
      <c r="A3234" s="511" t="s">
        <v>1816</v>
      </c>
      <c r="B3234" s="511" t="s">
        <v>1817</v>
      </c>
    </row>
    <row r="3235" spans="1:2" ht="15" hidden="1" x14ac:dyDescent="0.25">
      <c r="A3235" s="511" t="s">
        <v>2635</v>
      </c>
      <c r="B3235" s="511" t="s">
        <v>2636</v>
      </c>
    </row>
    <row r="3236" spans="1:2" ht="15" hidden="1" x14ac:dyDescent="0.25">
      <c r="A3236" s="511" t="s">
        <v>221</v>
      </c>
      <c r="B3236" s="511" t="s">
        <v>402</v>
      </c>
    </row>
    <row r="3237" spans="1:2" ht="15" hidden="1" x14ac:dyDescent="0.25">
      <c r="A3237" s="511" t="s">
        <v>221</v>
      </c>
      <c r="B3237" s="511" t="s">
        <v>402</v>
      </c>
    </row>
    <row r="3238" spans="1:2" ht="15" hidden="1" x14ac:dyDescent="0.25">
      <c r="A3238" s="511" t="s">
        <v>221</v>
      </c>
      <c r="B3238" s="511" t="s">
        <v>402</v>
      </c>
    </row>
    <row r="3239" spans="1:2" ht="15" hidden="1" x14ac:dyDescent="0.25">
      <c r="A3239" s="511" t="s">
        <v>221</v>
      </c>
      <c r="B3239" s="511" t="s">
        <v>402</v>
      </c>
    </row>
    <row r="3240" spans="1:2" ht="15" hidden="1" x14ac:dyDescent="0.25">
      <c r="A3240" s="511" t="s">
        <v>2637</v>
      </c>
      <c r="B3240" s="511" t="s">
        <v>2638</v>
      </c>
    </row>
    <row r="3241" spans="1:2" ht="15" hidden="1" x14ac:dyDescent="0.25">
      <c r="A3241" s="511" t="s">
        <v>2639</v>
      </c>
      <c r="B3241" s="511" t="s">
        <v>2640</v>
      </c>
    </row>
    <row r="3242" spans="1:2" ht="15" hidden="1" x14ac:dyDescent="0.25">
      <c r="A3242" s="511" t="s">
        <v>2639</v>
      </c>
      <c r="B3242" s="511" t="s">
        <v>2640</v>
      </c>
    </row>
    <row r="3243" spans="1:2" ht="15" hidden="1" x14ac:dyDescent="0.25">
      <c r="A3243" s="511" t="s">
        <v>2641</v>
      </c>
      <c r="B3243" s="511" t="s">
        <v>2642</v>
      </c>
    </row>
    <row r="3244" spans="1:2" ht="15" hidden="1" x14ac:dyDescent="0.25">
      <c r="A3244" s="511" t="s">
        <v>2641</v>
      </c>
      <c r="B3244" s="511" t="s">
        <v>2642</v>
      </c>
    </row>
    <row r="3245" spans="1:2" ht="15" hidden="1" x14ac:dyDescent="0.25">
      <c r="A3245" s="511" t="s">
        <v>2643</v>
      </c>
      <c r="B3245" s="511" t="s">
        <v>2644</v>
      </c>
    </row>
    <row r="3246" spans="1:2" ht="15" hidden="1" x14ac:dyDescent="0.25">
      <c r="A3246" s="511" t="s">
        <v>2645</v>
      </c>
      <c r="B3246" s="511" t="s">
        <v>2646</v>
      </c>
    </row>
    <row r="3247" spans="1:2" ht="15" hidden="1" x14ac:dyDescent="0.25">
      <c r="A3247" s="511" t="s">
        <v>2645</v>
      </c>
      <c r="B3247" s="511" t="s">
        <v>2646</v>
      </c>
    </row>
    <row r="3248" spans="1:2" ht="15" hidden="1" x14ac:dyDescent="0.25">
      <c r="A3248" s="512" t="s">
        <v>2647</v>
      </c>
      <c r="B3248" s="512" t="s">
        <v>2648</v>
      </c>
    </row>
    <row r="3249" spans="1:2" ht="15" hidden="1" x14ac:dyDescent="0.25">
      <c r="A3249" s="511" t="s">
        <v>2649</v>
      </c>
      <c r="B3249" s="511" t="s">
        <v>2650</v>
      </c>
    </row>
    <row r="3250" spans="1:2" ht="15" hidden="1" x14ac:dyDescent="0.25">
      <c r="A3250" s="511" t="s">
        <v>2651</v>
      </c>
      <c r="B3250" s="511" t="s">
        <v>2652</v>
      </c>
    </row>
    <row r="3251" spans="1:2" ht="15" hidden="1" x14ac:dyDescent="0.25">
      <c r="A3251" s="511" t="s">
        <v>2651</v>
      </c>
      <c r="B3251" s="511" t="s">
        <v>2652</v>
      </c>
    </row>
    <row r="3252" spans="1:2" ht="15" hidden="1" x14ac:dyDescent="0.25">
      <c r="A3252" s="511" t="s">
        <v>238</v>
      </c>
      <c r="B3252" s="511" t="s">
        <v>409</v>
      </c>
    </row>
    <row r="3253" spans="1:2" ht="15" hidden="1" x14ac:dyDescent="0.25">
      <c r="A3253" s="511" t="s">
        <v>2653</v>
      </c>
      <c r="B3253" s="511" t="s">
        <v>2654</v>
      </c>
    </row>
    <row r="3254" spans="1:2" ht="15" hidden="1" x14ac:dyDescent="0.25">
      <c r="A3254" s="511" t="s">
        <v>2655</v>
      </c>
      <c r="B3254" s="511" t="s">
        <v>2656</v>
      </c>
    </row>
    <row r="3255" spans="1:2" ht="15" hidden="1" x14ac:dyDescent="0.25">
      <c r="A3255" s="511" t="s">
        <v>2655</v>
      </c>
      <c r="B3255" s="511" t="s">
        <v>2656</v>
      </c>
    </row>
    <row r="3256" spans="1:2" ht="15" hidden="1" x14ac:dyDescent="0.25">
      <c r="A3256" s="511" t="s">
        <v>2657</v>
      </c>
      <c r="B3256" s="511" t="s">
        <v>2658</v>
      </c>
    </row>
    <row r="3257" spans="1:2" ht="15" hidden="1" x14ac:dyDescent="0.25">
      <c r="A3257" s="511" t="s">
        <v>2657</v>
      </c>
      <c r="B3257" s="511" t="s">
        <v>2658</v>
      </c>
    </row>
    <row r="3258" spans="1:2" ht="15" hidden="1" x14ac:dyDescent="0.25">
      <c r="A3258" s="511" t="s">
        <v>2657</v>
      </c>
      <c r="B3258" s="511" t="s">
        <v>2658</v>
      </c>
    </row>
    <row r="3259" spans="1:2" ht="15" hidden="1" x14ac:dyDescent="0.25">
      <c r="A3259" s="511" t="s">
        <v>2659</v>
      </c>
      <c r="B3259" s="511" t="s">
        <v>2660</v>
      </c>
    </row>
    <row r="3260" spans="1:2" ht="15" hidden="1" x14ac:dyDescent="0.25">
      <c r="A3260" s="511" t="s">
        <v>2661</v>
      </c>
      <c r="B3260" s="511" t="s">
        <v>2662</v>
      </c>
    </row>
    <row r="3261" spans="1:2" ht="15" hidden="1" x14ac:dyDescent="0.25">
      <c r="A3261" s="511" t="s">
        <v>2663</v>
      </c>
      <c r="B3261" s="511" t="s">
        <v>2664</v>
      </c>
    </row>
    <row r="3262" spans="1:2" ht="15" hidden="1" x14ac:dyDescent="0.25">
      <c r="A3262" s="511" t="s">
        <v>2665</v>
      </c>
      <c r="B3262" s="511" t="s">
        <v>2666</v>
      </c>
    </row>
    <row r="3263" spans="1:2" ht="15" hidden="1" x14ac:dyDescent="0.25">
      <c r="A3263" s="511" t="s">
        <v>2667</v>
      </c>
      <c r="B3263" s="511" t="s">
        <v>2668</v>
      </c>
    </row>
    <row r="3264" spans="1:2" ht="15" hidden="1" x14ac:dyDescent="0.25">
      <c r="A3264" s="511" t="s">
        <v>2669</v>
      </c>
      <c r="B3264" s="511" t="s">
        <v>2670</v>
      </c>
    </row>
    <row r="3265" spans="1:2" ht="15" hidden="1" x14ac:dyDescent="0.25">
      <c r="A3265" s="511" t="s">
        <v>2671</v>
      </c>
      <c r="B3265" s="511" t="s">
        <v>2672</v>
      </c>
    </row>
    <row r="3266" spans="1:2" ht="15" hidden="1" x14ac:dyDescent="0.25">
      <c r="A3266" s="511" t="s">
        <v>2671</v>
      </c>
      <c r="B3266" s="511" t="s">
        <v>2672</v>
      </c>
    </row>
    <row r="3267" spans="1:2" ht="15" hidden="1" x14ac:dyDescent="0.25">
      <c r="A3267" s="511" t="s">
        <v>2673</v>
      </c>
      <c r="B3267" s="511" t="s">
        <v>2674</v>
      </c>
    </row>
    <row r="3268" spans="1:2" ht="15" hidden="1" x14ac:dyDescent="0.25">
      <c r="A3268" s="511" t="s">
        <v>2675</v>
      </c>
      <c r="B3268" s="511" t="s">
        <v>2472</v>
      </c>
    </row>
    <row r="3269" spans="1:2" ht="15" hidden="1" x14ac:dyDescent="0.25">
      <c r="A3269" s="511" t="s">
        <v>2676</v>
      </c>
      <c r="B3269" s="511" t="s">
        <v>2677</v>
      </c>
    </row>
    <row r="3270" spans="1:2" ht="15" hidden="1" x14ac:dyDescent="0.25">
      <c r="A3270" s="511" t="s">
        <v>1164</v>
      </c>
      <c r="B3270" s="511" t="s">
        <v>1165</v>
      </c>
    </row>
    <row r="3271" spans="1:2" ht="15" hidden="1" x14ac:dyDescent="0.25">
      <c r="A3271" s="511" t="s">
        <v>1164</v>
      </c>
      <c r="B3271" s="511" t="s">
        <v>1165</v>
      </c>
    </row>
    <row r="3272" spans="1:2" ht="15" hidden="1" x14ac:dyDescent="0.25">
      <c r="A3272" s="511" t="s">
        <v>247</v>
      </c>
      <c r="B3272" s="511" t="s">
        <v>417</v>
      </c>
    </row>
    <row r="3273" spans="1:2" ht="15" hidden="1" x14ac:dyDescent="0.25">
      <c r="A3273" s="511" t="s">
        <v>2678</v>
      </c>
      <c r="B3273" s="511" t="s">
        <v>2679</v>
      </c>
    </row>
    <row r="3274" spans="1:2" ht="15" hidden="1" x14ac:dyDescent="0.25">
      <c r="A3274" s="511" t="s">
        <v>2680</v>
      </c>
      <c r="B3274" s="511" t="s">
        <v>2681</v>
      </c>
    </row>
    <row r="3275" spans="1:2" ht="15" hidden="1" x14ac:dyDescent="0.25">
      <c r="A3275" s="511" t="s">
        <v>2680</v>
      </c>
      <c r="B3275" s="511" t="s">
        <v>2681</v>
      </c>
    </row>
    <row r="3276" spans="1:2" ht="15" hidden="1" x14ac:dyDescent="0.25">
      <c r="A3276" s="513" t="s">
        <v>2682</v>
      </c>
      <c r="B3276" s="513" t="s">
        <v>2683</v>
      </c>
    </row>
    <row r="3277" spans="1:2" ht="15" hidden="1" x14ac:dyDescent="0.25">
      <c r="A3277" s="511" t="s">
        <v>2684</v>
      </c>
      <c r="B3277" s="511" t="s">
        <v>2685</v>
      </c>
    </row>
    <row r="3278" spans="1:2" ht="15" hidden="1" x14ac:dyDescent="0.25">
      <c r="A3278" s="511" t="s">
        <v>2686</v>
      </c>
      <c r="B3278" s="511" t="s">
        <v>2489</v>
      </c>
    </row>
    <row r="3279" spans="1:2" ht="15" hidden="1" x14ac:dyDescent="0.25">
      <c r="A3279" s="511" t="s">
        <v>2687</v>
      </c>
      <c r="B3279" s="511" t="s">
        <v>2688</v>
      </c>
    </row>
    <row r="3280" spans="1:2" ht="15" hidden="1" x14ac:dyDescent="0.25">
      <c r="A3280" s="511" t="s">
        <v>2687</v>
      </c>
      <c r="B3280" s="511" t="s">
        <v>2688</v>
      </c>
    </row>
    <row r="3281" spans="1:2" ht="15" hidden="1" x14ac:dyDescent="0.25">
      <c r="A3281" s="511" t="s">
        <v>2687</v>
      </c>
      <c r="B3281" s="511" t="s">
        <v>2688</v>
      </c>
    </row>
    <row r="3282" spans="1:2" ht="15" hidden="1" x14ac:dyDescent="0.25">
      <c r="A3282" s="511" t="s">
        <v>2689</v>
      </c>
      <c r="B3282" s="511" t="s">
        <v>2690</v>
      </c>
    </row>
    <row r="3283" spans="1:2" ht="15" hidden="1" x14ac:dyDescent="0.25">
      <c r="A3283" s="511" t="s">
        <v>2691</v>
      </c>
      <c r="B3283" s="511" t="s">
        <v>2692</v>
      </c>
    </row>
    <row r="3284" spans="1:2" ht="15" hidden="1" x14ac:dyDescent="0.25">
      <c r="A3284" s="511" t="s">
        <v>2691</v>
      </c>
      <c r="B3284" s="511" t="s">
        <v>2692</v>
      </c>
    </row>
    <row r="3285" spans="1:2" ht="15" hidden="1" x14ac:dyDescent="0.25">
      <c r="A3285" s="511" t="s">
        <v>2693</v>
      </c>
      <c r="B3285" s="511" t="s">
        <v>2694</v>
      </c>
    </row>
    <row r="3286" spans="1:2" ht="15" hidden="1" x14ac:dyDescent="0.25">
      <c r="A3286" s="511" t="s">
        <v>2693</v>
      </c>
      <c r="B3286" s="511" t="s">
        <v>2694</v>
      </c>
    </row>
    <row r="3287" spans="1:2" ht="15" hidden="1" x14ac:dyDescent="0.25">
      <c r="A3287" s="511" t="s">
        <v>2695</v>
      </c>
      <c r="B3287" s="511" t="s">
        <v>2696</v>
      </c>
    </row>
    <row r="3288" spans="1:2" ht="15" hidden="1" x14ac:dyDescent="0.25">
      <c r="A3288" s="511" t="s">
        <v>2695</v>
      </c>
      <c r="B3288" s="511" t="s">
        <v>2696</v>
      </c>
    </row>
    <row r="3289" spans="1:2" ht="15" hidden="1" x14ac:dyDescent="0.25">
      <c r="A3289" s="511" t="s">
        <v>2695</v>
      </c>
      <c r="B3289" s="511" t="s">
        <v>2696</v>
      </c>
    </row>
    <row r="3290" spans="1:2" ht="15" hidden="1" x14ac:dyDescent="0.25">
      <c r="A3290" s="511" t="s">
        <v>2697</v>
      </c>
      <c r="B3290" s="511" t="s">
        <v>2698</v>
      </c>
    </row>
    <row r="3291" spans="1:2" ht="15" hidden="1" x14ac:dyDescent="0.25">
      <c r="A3291" s="511" t="s">
        <v>2699</v>
      </c>
      <c r="B3291" s="511" t="s">
        <v>2700</v>
      </c>
    </row>
    <row r="3292" spans="1:2" ht="15" hidden="1" x14ac:dyDescent="0.25">
      <c r="A3292" s="511" t="s">
        <v>2699</v>
      </c>
      <c r="B3292" s="511" t="s">
        <v>2700</v>
      </c>
    </row>
    <row r="3293" spans="1:2" ht="15" hidden="1" x14ac:dyDescent="0.25">
      <c r="A3293" s="511" t="s">
        <v>2699</v>
      </c>
      <c r="B3293" s="511" t="s">
        <v>2700</v>
      </c>
    </row>
    <row r="3294" spans="1:2" ht="15" hidden="1" x14ac:dyDescent="0.25">
      <c r="A3294" s="511" t="s">
        <v>2699</v>
      </c>
      <c r="B3294" s="511" t="s">
        <v>2700</v>
      </c>
    </row>
    <row r="3295" spans="1:2" ht="15" hidden="1" x14ac:dyDescent="0.25">
      <c r="A3295" s="511" t="s">
        <v>2701</v>
      </c>
      <c r="B3295" s="511" t="s">
        <v>2702</v>
      </c>
    </row>
    <row r="3296" spans="1:2" ht="15" hidden="1" x14ac:dyDescent="0.25">
      <c r="A3296" s="511" t="s">
        <v>2701</v>
      </c>
      <c r="B3296" s="511" t="s">
        <v>2702</v>
      </c>
    </row>
    <row r="3297" spans="1:2" ht="15" hidden="1" x14ac:dyDescent="0.25">
      <c r="A3297" s="511" t="s">
        <v>2703</v>
      </c>
      <c r="B3297" s="511" t="s">
        <v>2704</v>
      </c>
    </row>
    <row r="3298" spans="1:2" ht="15" hidden="1" x14ac:dyDescent="0.25">
      <c r="A3298" s="511" t="s">
        <v>2703</v>
      </c>
      <c r="B3298" s="511" t="s">
        <v>2704</v>
      </c>
    </row>
    <row r="3299" spans="1:2" ht="15" hidden="1" x14ac:dyDescent="0.25">
      <c r="A3299" s="511" t="s">
        <v>250</v>
      </c>
      <c r="B3299" s="511" t="s">
        <v>423</v>
      </c>
    </row>
    <row r="3300" spans="1:2" ht="15" hidden="1" x14ac:dyDescent="0.25">
      <c r="A3300" s="511" t="s">
        <v>250</v>
      </c>
      <c r="B3300" s="511" t="s">
        <v>423</v>
      </c>
    </row>
    <row r="3301" spans="1:2" ht="15" hidden="1" x14ac:dyDescent="0.25">
      <c r="A3301" s="511" t="s">
        <v>250</v>
      </c>
      <c r="B3301" s="511" t="s">
        <v>423</v>
      </c>
    </row>
    <row r="3302" spans="1:2" ht="15" hidden="1" x14ac:dyDescent="0.25">
      <c r="A3302" s="511" t="s">
        <v>250</v>
      </c>
      <c r="B3302" s="511" t="s">
        <v>423</v>
      </c>
    </row>
    <row r="3303" spans="1:2" ht="15" hidden="1" x14ac:dyDescent="0.25">
      <c r="A3303" s="511" t="s">
        <v>250</v>
      </c>
      <c r="B3303" s="511" t="s">
        <v>423</v>
      </c>
    </row>
    <row r="3304" spans="1:2" ht="15" hidden="1" x14ac:dyDescent="0.25">
      <c r="A3304" s="511" t="s">
        <v>2705</v>
      </c>
      <c r="B3304" s="511" t="s">
        <v>2706</v>
      </c>
    </row>
    <row r="3305" spans="1:2" ht="15" hidden="1" x14ac:dyDescent="0.25">
      <c r="A3305" s="511" t="s">
        <v>2705</v>
      </c>
      <c r="B3305" s="511" t="s">
        <v>2706</v>
      </c>
    </row>
    <row r="3306" spans="1:2" ht="15" hidden="1" x14ac:dyDescent="0.25">
      <c r="A3306" s="511" t="s">
        <v>251</v>
      </c>
      <c r="B3306" s="511" t="s">
        <v>424</v>
      </c>
    </row>
    <row r="3307" spans="1:2" ht="15" hidden="1" x14ac:dyDescent="0.25">
      <c r="A3307" s="511" t="s">
        <v>251</v>
      </c>
      <c r="B3307" s="511" t="s">
        <v>424</v>
      </c>
    </row>
    <row r="3308" spans="1:2" ht="15" hidden="1" x14ac:dyDescent="0.25">
      <c r="A3308" s="511" t="s">
        <v>251</v>
      </c>
      <c r="B3308" s="511" t="s">
        <v>424</v>
      </c>
    </row>
    <row r="3309" spans="1:2" ht="15" hidden="1" x14ac:dyDescent="0.25">
      <c r="A3309" s="511" t="s">
        <v>2707</v>
      </c>
      <c r="B3309" s="511" t="s">
        <v>2708</v>
      </c>
    </row>
    <row r="3310" spans="1:2" ht="15" hidden="1" x14ac:dyDescent="0.25">
      <c r="A3310" s="511" t="s">
        <v>2709</v>
      </c>
      <c r="B3310" s="511" t="s">
        <v>2710</v>
      </c>
    </row>
    <row r="3311" spans="1:2" ht="15" hidden="1" x14ac:dyDescent="0.25">
      <c r="A3311" s="511" t="s">
        <v>777</v>
      </c>
      <c r="B3311" s="511" t="s">
        <v>778</v>
      </c>
    </row>
    <row r="3312" spans="1:2" ht="15" hidden="1" x14ac:dyDescent="0.25">
      <c r="A3312" s="511" t="s">
        <v>2711</v>
      </c>
      <c r="B3312" s="511" t="s">
        <v>2712</v>
      </c>
    </row>
    <row r="3313" spans="1:2" ht="15" hidden="1" x14ac:dyDescent="0.25">
      <c r="A3313" s="511" t="s">
        <v>2713</v>
      </c>
      <c r="B3313" s="511" t="s">
        <v>2714</v>
      </c>
    </row>
    <row r="3314" spans="1:2" ht="15" hidden="1" x14ac:dyDescent="0.25">
      <c r="A3314" s="511" t="s">
        <v>2715</v>
      </c>
      <c r="B3314" s="511" t="s">
        <v>2716</v>
      </c>
    </row>
    <row r="3315" spans="1:2" ht="15" hidden="1" x14ac:dyDescent="0.25">
      <c r="A3315" s="511" t="s">
        <v>2717</v>
      </c>
      <c r="B3315" s="511" t="s">
        <v>2718</v>
      </c>
    </row>
    <row r="3316" spans="1:2" ht="15" hidden="1" x14ac:dyDescent="0.25">
      <c r="A3316" s="511" t="s">
        <v>2719</v>
      </c>
      <c r="B3316" s="511" t="s">
        <v>2720</v>
      </c>
    </row>
    <row r="3317" spans="1:2" ht="15" hidden="1" x14ac:dyDescent="0.25">
      <c r="A3317" s="511" t="s">
        <v>2719</v>
      </c>
      <c r="B3317" s="511" t="s">
        <v>2720</v>
      </c>
    </row>
    <row r="3318" spans="1:2" ht="15" hidden="1" x14ac:dyDescent="0.25">
      <c r="A3318" s="511" t="s">
        <v>2721</v>
      </c>
      <c r="B3318" s="511" t="s">
        <v>2722</v>
      </c>
    </row>
    <row r="3319" spans="1:2" ht="15" hidden="1" x14ac:dyDescent="0.25">
      <c r="A3319" s="511" t="s">
        <v>2723</v>
      </c>
      <c r="B3319" s="511" t="s">
        <v>2724</v>
      </c>
    </row>
    <row r="3320" spans="1:2" ht="15" hidden="1" x14ac:dyDescent="0.25">
      <c r="A3320" s="511" t="s">
        <v>2723</v>
      </c>
      <c r="B3320" s="511" t="s">
        <v>2724</v>
      </c>
    </row>
    <row r="3321" spans="1:2" ht="15" hidden="1" x14ac:dyDescent="0.25">
      <c r="A3321" s="511" t="s">
        <v>2725</v>
      </c>
      <c r="B3321" s="511" t="s">
        <v>2726</v>
      </c>
    </row>
    <row r="3322" spans="1:2" ht="15" hidden="1" x14ac:dyDescent="0.25">
      <c r="A3322" s="511" t="s">
        <v>2727</v>
      </c>
      <c r="B3322" s="511" t="s">
        <v>2728</v>
      </c>
    </row>
    <row r="3323" spans="1:2" ht="15" hidden="1" x14ac:dyDescent="0.25">
      <c r="A3323" s="511" t="s">
        <v>2729</v>
      </c>
      <c r="B3323" s="511" t="s">
        <v>2730</v>
      </c>
    </row>
    <row r="3324" spans="1:2" ht="15" hidden="1" x14ac:dyDescent="0.25">
      <c r="A3324" s="511" t="s">
        <v>2731</v>
      </c>
      <c r="B3324" s="511" t="s">
        <v>2732</v>
      </c>
    </row>
    <row r="3325" spans="1:2" ht="15" hidden="1" x14ac:dyDescent="0.25">
      <c r="A3325" s="511" t="s">
        <v>1472</v>
      </c>
      <c r="B3325" s="511" t="s">
        <v>1473</v>
      </c>
    </row>
    <row r="3326" spans="1:2" ht="15" hidden="1" x14ac:dyDescent="0.25">
      <c r="A3326" s="511" t="s">
        <v>1472</v>
      </c>
      <c r="B3326" s="511" t="s">
        <v>1473</v>
      </c>
    </row>
    <row r="3327" spans="1:2" ht="15" hidden="1" x14ac:dyDescent="0.25">
      <c r="A3327" s="511" t="s">
        <v>2733</v>
      </c>
      <c r="B3327" s="511" t="s">
        <v>2734</v>
      </c>
    </row>
    <row r="3328" spans="1:2" ht="15" hidden="1" x14ac:dyDescent="0.25">
      <c r="A3328" s="511" t="s">
        <v>2733</v>
      </c>
      <c r="B3328" s="511" t="s">
        <v>2734</v>
      </c>
    </row>
    <row r="3329" spans="1:2" ht="15" hidden="1" x14ac:dyDescent="0.25">
      <c r="A3329" s="511" t="s">
        <v>2733</v>
      </c>
      <c r="B3329" s="511" t="s">
        <v>2734</v>
      </c>
    </row>
    <row r="3330" spans="1:2" ht="15" hidden="1" x14ac:dyDescent="0.25">
      <c r="A3330" s="512" t="s">
        <v>2735</v>
      </c>
      <c r="B3330" s="512" t="s">
        <v>2736</v>
      </c>
    </row>
    <row r="3331" spans="1:2" ht="15" hidden="1" x14ac:dyDescent="0.25">
      <c r="A3331" s="511" t="s">
        <v>2053</v>
      </c>
      <c r="B3331" s="511" t="s">
        <v>2054</v>
      </c>
    </row>
    <row r="3332" spans="1:2" ht="15" hidden="1" x14ac:dyDescent="0.25">
      <c r="A3332" s="511" t="s">
        <v>1745</v>
      </c>
      <c r="B3332" s="511" t="s">
        <v>1746</v>
      </c>
    </row>
    <row r="3333" spans="1:2" ht="15" hidden="1" x14ac:dyDescent="0.25">
      <c r="A3333" s="511" t="s">
        <v>2737</v>
      </c>
      <c r="B3333" s="511" t="s">
        <v>2738</v>
      </c>
    </row>
    <row r="3334" spans="1:2" ht="15" hidden="1" x14ac:dyDescent="0.25">
      <c r="A3334" s="511" t="s">
        <v>2737</v>
      </c>
      <c r="B3334" s="511" t="s">
        <v>2738</v>
      </c>
    </row>
    <row r="3335" spans="1:2" ht="15" hidden="1" x14ac:dyDescent="0.25">
      <c r="A3335" s="511" t="s">
        <v>2737</v>
      </c>
      <c r="B3335" s="511" t="s">
        <v>2738</v>
      </c>
    </row>
    <row r="3336" spans="1:2" ht="15" hidden="1" x14ac:dyDescent="0.25">
      <c r="A3336" s="511" t="s">
        <v>2737</v>
      </c>
      <c r="B3336" s="511" t="s">
        <v>2738</v>
      </c>
    </row>
    <row r="3337" spans="1:2" ht="15" hidden="1" x14ac:dyDescent="0.25">
      <c r="A3337" s="511" t="s">
        <v>258</v>
      </c>
      <c r="B3337" s="511" t="s">
        <v>434</v>
      </c>
    </row>
    <row r="3338" spans="1:2" ht="15" hidden="1" x14ac:dyDescent="0.25">
      <c r="A3338" s="511" t="s">
        <v>2739</v>
      </c>
      <c r="B3338" s="511" t="s">
        <v>2564</v>
      </c>
    </row>
    <row r="3339" spans="1:2" ht="15" hidden="1" x14ac:dyDescent="0.25">
      <c r="A3339" s="511" t="s">
        <v>2740</v>
      </c>
      <c r="B3339" s="511" t="s">
        <v>2567</v>
      </c>
    </row>
    <row r="3340" spans="1:2" ht="15" hidden="1" x14ac:dyDescent="0.25">
      <c r="A3340" s="511" t="s">
        <v>2741</v>
      </c>
      <c r="B3340" s="511" t="s">
        <v>2742</v>
      </c>
    </row>
    <row r="3341" spans="1:2" ht="15" hidden="1" x14ac:dyDescent="0.25">
      <c r="A3341" s="511" t="s">
        <v>2743</v>
      </c>
      <c r="B3341" s="511" t="s">
        <v>2744</v>
      </c>
    </row>
    <row r="3342" spans="1:2" ht="15" hidden="1" x14ac:dyDescent="0.25">
      <c r="A3342" s="511" t="s">
        <v>2745</v>
      </c>
      <c r="B3342" s="511" t="s">
        <v>2746</v>
      </c>
    </row>
    <row r="3343" spans="1:2" ht="15" hidden="1" x14ac:dyDescent="0.25">
      <c r="A3343" s="511" t="s">
        <v>2747</v>
      </c>
      <c r="B3343" s="511" t="s">
        <v>2748</v>
      </c>
    </row>
    <row r="3344" spans="1:2" ht="15" hidden="1" x14ac:dyDescent="0.25">
      <c r="A3344" s="511" t="s">
        <v>2749</v>
      </c>
      <c r="B3344" s="511" t="s">
        <v>2750</v>
      </c>
    </row>
    <row r="3345" spans="1:2" ht="15" hidden="1" x14ac:dyDescent="0.25">
      <c r="A3345" s="511" t="s">
        <v>2749</v>
      </c>
      <c r="B3345" s="511" t="s">
        <v>2750</v>
      </c>
    </row>
    <row r="3346" spans="1:2" ht="15" hidden="1" x14ac:dyDescent="0.25">
      <c r="A3346" s="511" t="s">
        <v>2751</v>
      </c>
      <c r="B3346" s="511" t="s">
        <v>2752</v>
      </c>
    </row>
    <row r="3347" spans="1:2" ht="15" hidden="1" x14ac:dyDescent="0.25">
      <c r="A3347" s="511" t="s">
        <v>2751</v>
      </c>
      <c r="B3347" s="511" t="s">
        <v>2752</v>
      </c>
    </row>
    <row r="3348" spans="1:2" ht="15" hidden="1" x14ac:dyDescent="0.25">
      <c r="A3348" s="511" t="s">
        <v>2753</v>
      </c>
      <c r="B3348" s="511" t="s">
        <v>2754</v>
      </c>
    </row>
    <row r="3349" spans="1:2" ht="15" hidden="1" x14ac:dyDescent="0.25">
      <c r="A3349" s="511" t="s">
        <v>2755</v>
      </c>
      <c r="B3349" s="511" t="s">
        <v>2756</v>
      </c>
    </row>
    <row r="3350" spans="1:2" ht="15" hidden="1" x14ac:dyDescent="0.25">
      <c r="A3350" s="511" t="s">
        <v>2757</v>
      </c>
      <c r="B3350" s="511" t="s">
        <v>2758</v>
      </c>
    </row>
    <row r="3351" spans="1:2" ht="15" hidden="1" x14ac:dyDescent="0.25">
      <c r="A3351" s="511" t="s">
        <v>2759</v>
      </c>
      <c r="B3351" s="511" t="s">
        <v>2576</v>
      </c>
    </row>
    <row r="3352" spans="1:2" ht="15" hidden="1" x14ac:dyDescent="0.25">
      <c r="A3352" s="511" t="s">
        <v>2760</v>
      </c>
      <c r="B3352" s="511" t="s">
        <v>2580</v>
      </c>
    </row>
    <row r="3353" spans="1:2" ht="15" hidden="1" x14ac:dyDescent="0.25">
      <c r="A3353" s="511" t="s">
        <v>2761</v>
      </c>
      <c r="B3353" s="511" t="s">
        <v>2762</v>
      </c>
    </row>
    <row r="3354" spans="1:2" ht="15" hidden="1" x14ac:dyDescent="0.25">
      <c r="A3354" s="511" t="s">
        <v>2763</v>
      </c>
      <c r="B3354" s="511" t="s">
        <v>2764</v>
      </c>
    </row>
    <row r="3355" spans="1:2" ht="15" hidden="1" x14ac:dyDescent="0.25">
      <c r="A3355" s="511" t="s">
        <v>2765</v>
      </c>
      <c r="B3355" s="511" t="s">
        <v>2766</v>
      </c>
    </row>
    <row r="3356" spans="1:2" ht="15" hidden="1" x14ac:dyDescent="0.25">
      <c r="A3356" s="511" t="s">
        <v>2767</v>
      </c>
      <c r="B3356" s="511" t="s">
        <v>2768</v>
      </c>
    </row>
    <row r="3357" spans="1:2" ht="15" hidden="1" x14ac:dyDescent="0.25">
      <c r="A3357" s="511" t="s">
        <v>2769</v>
      </c>
      <c r="B3357" s="511" t="s">
        <v>2770</v>
      </c>
    </row>
    <row r="3358" spans="1:2" ht="15" hidden="1" x14ac:dyDescent="0.25">
      <c r="A3358" s="511" t="s">
        <v>2771</v>
      </c>
      <c r="B3358" s="511" t="s">
        <v>2772</v>
      </c>
    </row>
    <row r="3359" spans="1:2" ht="15" hidden="1" x14ac:dyDescent="0.25">
      <c r="A3359" s="511" t="s">
        <v>2773</v>
      </c>
      <c r="B3359" s="511" t="s">
        <v>2774</v>
      </c>
    </row>
    <row r="3360" spans="1:2" ht="15" hidden="1" x14ac:dyDescent="0.25">
      <c r="A3360" s="511" t="s">
        <v>2775</v>
      </c>
      <c r="B3360" s="511" t="s">
        <v>2776</v>
      </c>
    </row>
    <row r="3361" spans="1:2" ht="15" hidden="1" x14ac:dyDescent="0.25">
      <c r="A3361" s="511" t="s">
        <v>1487</v>
      </c>
      <c r="B3361" s="511" t="s">
        <v>1488</v>
      </c>
    </row>
    <row r="3362" spans="1:2" ht="15" hidden="1" x14ac:dyDescent="0.25">
      <c r="A3362" s="511" t="s">
        <v>1487</v>
      </c>
      <c r="B3362" s="511" t="s">
        <v>1488</v>
      </c>
    </row>
    <row r="3363" spans="1:2" ht="15" hidden="1" x14ac:dyDescent="0.25">
      <c r="A3363" s="511" t="s">
        <v>2777</v>
      </c>
      <c r="B3363" s="511" t="s">
        <v>2778</v>
      </c>
    </row>
    <row r="3364" spans="1:2" ht="15" hidden="1" x14ac:dyDescent="0.25">
      <c r="A3364" s="513" t="s">
        <v>2779</v>
      </c>
      <c r="B3364" s="513" t="s">
        <v>2780</v>
      </c>
    </row>
    <row r="3365" spans="1:2" ht="15" hidden="1" x14ac:dyDescent="0.25">
      <c r="A3365" s="511" t="s">
        <v>2781</v>
      </c>
      <c r="B3365" s="511" t="s">
        <v>2782</v>
      </c>
    </row>
    <row r="3366" spans="1:2" ht="15" hidden="1" x14ac:dyDescent="0.25">
      <c r="A3366" s="511" t="s">
        <v>2781</v>
      </c>
      <c r="B3366" s="511" t="s">
        <v>2782</v>
      </c>
    </row>
    <row r="3367" spans="1:2" ht="15" hidden="1" x14ac:dyDescent="0.25">
      <c r="A3367" s="511" t="s">
        <v>2783</v>
      </c>
      <c r="B3367" s="511" t="s">
        <v>2784</v>
      </c>
    </row>
    <row r="3368" spans="1:2" ht="15" hidden="1" x14ac:dyDescent="0.25">
      <c r="A3368" s="511" t="s">
        <v>2783</v>
      </c>
      <c r="B3368" s="511" t="s">
        <v>2784</v>
      </c>
    </row>
    <row r="3369" spans="1:2" ht="15" hidden="1" x14ac:dyDescent="0.25">
      <c r="A3369" s="511" t="s">
        <v>2785</v>
      </c>
      <c r="B3369" s="511" t="s">
        <v>2786</v>
      </c>
    </row>
    <row r="3370" spans="1:2" ht="15" hidden="1" x14ac:dyDescent="0.25">
      <c r="A3370" s="511" t="s">
        <v>2787</v>
      </c>
      <c r="B3370" s="511" t="s">
        <v>2788</v>
      </c>
    </row>
    <row r="3371" spans="1:2" ht="15" hidden="1" x14ac:dyDescent="0.25">
      <c r="A3371" s="511" t="s">
        <v>2789</v>
      </c>
      <c r="B3371" s="511" t="s">
        <v>2790</v>
      </c>
    </row>
    <row r="3372" spans="1:2" ht="15" hidden="1" x14ac:dyDescent="0.25">
      <c r="A3372" s="511" t="s">
        <v>2791</v>
      </c>
      <c r="B3372" s="511" t="s">
        <v>2792</v>
      </c>
    </row>
    <row r="3373" spans="1:2" ht="15" hidden="1" x14ac:dyDescent="0.25">
      <c r="A3373" s="511" t="s">
        <v>2793</v>
      </c>
      <c r="B3373" s="511" t="s">
        <v>2794</v>
      </c>
    </row>
    <row r="3374" spans="1:2" ht="15" hidden="1" x14ac:dyDescent="0.25">
      <c r="A3374" s="511" t="s">
        <v>2795</v>
      </c>
      <c r="B3374" s="511" t="s">
        <v>2796</v>
      </c>
    </row>
    <row r="3375" spans="1:2" ht="15" hidden="1" x14ac:dyDescent="0.25">
      <c r="A3375" s="511" t="s">
        <v>2797</v>
      </c>
      <c r="B3375" s="511" t="s">
        <v>2798</v>
      </c>
    </row>
    <row r="3376" spans="1:2" ht="15" hidden="1" x14ac:dyDescent="0.25">
      <c r="A3376" s="511" t="s">
        <v>2799</v>
      </c>
      <c r="B3376" s="511" t="s">
        <v>2800</v>
      </c>
    </row>
    <row r="3377" spans="1:2" ht="15" hidden="1" x14ac:dyDescent="0.25">
      <c r="A3377" s="511" t="s">
        <v>2801</v>
      </c>
      <c r="B3377" s="511" t="s">
        <v>2802</v>
      </c>
    </row>
    <row r="3378" spans="1:2" ht="15" hidden="1" x14ac:dyDescent="0.25">
      <c r="A3378" s="511" t="s">
        <v>2803</v>
      </c>
      <c r="B3378" s="511" t="s">
        <v>2804</v>
      </c>
    </row>
    <row r="3379" spans="1:2" ht="15" hidden="1" x14ac:dyDescent="0.25">
      <c r="A3379" s="511" t="s">
        <v>2805</v>
      </c>
      <c r="B3379" s="511" t="s">
        <v>2806</v>
      </c>
    </row>
    <row r="3380" spans="1:2" ht="15" hidden="1" x14ac:dyDescent="0.25">
      <c r="A3380" s="511" t="s">
        <v>2807</v>
      </c>
      <c r="B3380" s="511" t="s">
        <v>2808</v>
      </c>
    </row>
    <row r="3381" spans="1:2" ht="15" hidden="1" x14ac:dyDescent="0.25">
      <c r="A3381" s="511" t="s">
        <v>2809</v>
      </c>
      <c r="B3381" s="511" t="s">
        <v>2810</v>
      </c>
    </row>
    <row r="3382" spans="1:2" ht="15" hidden="1" x14ac:dyDescent="0.25">
      <c r="A3382" s="511" t="s">
        <v>2811</v>
      </c>
      <c r="B3382" s="511" t="s">
        <v>2812</v>
      </c>
    </row>
    <row r="3383" spans="1:2" ht="15" hidden="1" x14ac:dyDescent="0.25">
      <c r="A3383" s="511" t="s">
        <v>2403</v>
      </c>
      <c r="B3383" s="511" t="s">
        <v>2404</v>
      </c>
    </row>
    <row r="3384" spans="1:2" ht="15" hidden="1" x14ac:dyDescent="0.25">
      <c r="A3384" s="511" t="s">
        <v>2403</v>
      </c>
      <c r="B3384" s="511" t="s">
        <v>2404</v>
      </c>
    </row>
    <row r="3385" spans="1:2" ht="15" hidden="1" x14ac:dyDescent="0.25">
      <c r="A3385" s="511" t="s">
        <v>2813</v>
      </c>
      <c r="B3385" s="511" t="s">
        <v>2814</v>
      </c>
    </row>
    <row r="3386" spans="1:2" ht="15" hidden="1" x14ac:dyDescent="0.25">
      <c r="A3386" s="511" t="s">
        <v>1499</v>
      </c>
      <c r="B3386" s="511" t="s">
        <v>1500</v>
      </c>
    </row>
    <row r="3387" spans="1:2" ht="15" hidden="1" x14ac:dyDescent="0.25">
      <c r="A3387" s="511" t="s">
        <v>1885</v>
      </c>
      <c r="B3387" s="511" t="s">
        <v>1886</v>
      </c>
    </row>
    <row r="3388" spans="1:2" ht="15" hidden="1" x14ac:dyDescent="0.25">
      <c r="A3388" s="511" t="s">
        <v>1885</v>
      </c>
      <c r="B3388" s="511" t="s">
        <v>1886</v>
      </c>
    </row>
    <row r="3389" spans="1:2" ht="15" hidden="1" x14ac:dyDescent="0.25">
      <c r="A3389" s="511" t="s">
        <v>2815</v>
      </c>
      <c r="B3389" s="511" t="s">
        <v>2816</v>
      </c>
    </row>
    <row r="3390" spans="1:2" ht="15" hidden="1" x14ac:dyDescent="0.25">
      <c r="A3390" s="511" t="s">
        <v>2817</v>
      </c>
      <c r="B3390" s="511" t="s">
        <v>2818</v>
      </c>
    </row>
    <row r="3391" spans="1:2" ht="15" hidden="1" x14ac:dyDescent="0.25">
      <c r="A3391" s="511" t="s">
        <v>231</v>
      </c>
      <c r="B3391" s="511" t="s">
        <v>359</v>
      </c>
    </row>
    <row r="3392" spans="1:2" ht="15" hidden="1" x14ac:dyDescent="0.25">
      <c r="A3392" s="511" t="s">
        <v>231</v>
      </c>
      <c r="B3392" s="511" t="s">
        <v>359</v>
      </c>
    </row>
    <row r="3393" spans="1:2" ht="15" hidden="1" x14ac:dyDescent="0.25">
      <c r="A3393" s="511" t="s">
        <v>231</v>
      </c>
      <c r="B3393" s="511" t="s">
        <v>359</v>
      </c>
    </row>
    <row r="3394" spans="1:2" ht="15" hidden="1" x14ac:dyDescent="0.25">
      <c r="A3394" s="511" t="s">
        <v>231</v>
      </c>
      <c r="B3394" s="511" t="s">
        <v>359</v>
      </c>
    </row>
    <row r="3395" spans="1:2" ht="15" hidden="1" x14ac:dyDescent="0.25">
      <c r="A3395" s="511" t="s">
        <v>190</v>
      </c>
      <c r="B3395" s="511" t="s">
        <v>360</v>
      </c>
    </row>
    <row r="3396" spans="1:2" ht="15" hidden="1" x14ac:dyDescent="0.25">
      <c r="A3396" s="511" t="s">
        <v>190</v>
      </c>
      <c r="B3396" s="511" t="s">
        <v>360</v>
      </c>
    </row>
    <row r="3397" spans="1:2" ht="15" hidden="1" x14ac:dyDescent="0.25">
      <c r="A3397" s="511" t="s">
        <v>190</v>
      </c>
      <c r="B3397" s="511" t="s">
        <v>360</v>
      </c>
    </row>
    <row r="3398" spans="1:2" ht="15" hidden="1" x14ac:dyDescent="0.25">
      <c r="A3398" s="511" t="s">
        <v>190</v>
      </c>
      <c r="B3398" s="511" t="s">
        <v>360</v>
      </c>
    </row>
    <row r="3399" spans="1:2" ht="15" hidden="1" x14ac:dyDescent="0.25">
      <c r="A3399" s="511" t="s">
        <v>190</v>
      </c>
      <c r="B3399" s="511" t="s">
        <v>360</v>
      </c>
    </row>
    <row r="3400" spans="1:2" ht="15" hidden="1" x14ac:dyDescent="0.25">
      <c r="A3400" s="511" t="s">
        <v>190</v>
      </c>
      <c r="B3400" s="511" t="s">
        <v>360</v>
      </c>
    </row>
    <row r="3401" spans="1:2" ht="15" hidden="1" x14ac:dyDescent="0.25">
      <c r="A3401" s="511" t="s">
        <v>1667</v>
      </c>
      <c r="B3401" s="511" t="s">
        <v>1668</v>
      </c>
    </row>
    <row r="3402" spans="1:2" ht="15" hidden="1" x14ac:dyDescent="0.25">
      <c r="A3402" s="511" t="s">
        <v>192</v>
      </c>
      <c r="B3402" s="511" t="s">
        <v>362</v>
      </c>
    </row>
    <row r="3403" spans="1:2" ht="15" hidden="1" x14ac:dyDescent="0.25">
      <c r="A3403" s="511" t="s">
        <v>192</v>
      </c>
      <c r="B3403" s="511" t="s">
        <v>362</v>
      </c>
    </row>
    <row r="3404" spans="1:2" ht="15" hidden="1" x14ac:dyDescent="0.25">
      <c r="A3404" s="511" t="s">
        <v>192</v>
      </c>
      <c r="B3404" s="511" t="s">
        <v>362</v>
      </c>
    </row>
    <row r="3405" spans="1:2" ht="15" hidden="1" x14ac:dyDescent="0.25">
      <c r="A3405" s="511" t="s">
        <v>445</v>
      </c>
      <c r="B3405" s="511" t="s">
        <v>446</v>
      </c>
    </row>
    <row r="3406" spans="1:2" ht="15" hidden="1" x14ac:dyDescent="0.25">
      <c r="A3406" s="511" t="s">
        <v>445</v>
      </c>
      <c r="B3406" s="511" t="s">
        <v>446</v>
      </c>
    </row>
    <row r="3407" spans="1:2" ht="15" hidden="1" x14ac:dyDescent="0.25">
      <c r="A3407" s="511" t="s">
        <v>445</v>
      </c>
      <c r="B3407" s="511" t="s">
        <v>446</v>
      </c>
    </row>
    <row r="3408" spans="1:2" ht="15" hidden="1" x14ac:dyDescent="0.25">
      <c r="A3408" s="511" t="s">
        <v>193</v>
      </c>
      <c r="B3408" s="511" t="s">
        <v>363</v>
      </c>
    </row>
    <row r="3409" spans="1:2" ht="15" hidden="1" x14ac:dyDescent="0.25">
      <c r="A3409" s="511" t="s">
        <v>193</v>
      </c>
      <c r="B3409" s="511" t="s">
        <v>363</v>
      </c>
    </row>
    <row r="3410" spans="1:2" ht="15" hidden="1" x14ac:dyDescent="0.25">
      <c r="A3410" s="511" t="s">
        <v>193</v>
      </c>
      <c r="B3410" s="511" t="s">
        <v>363</v>
      </c>
    </row>
    <row r="3411" spans="1:2" ht="15" hidden="1" x14ac:dyDescent="0.25">
      <c r="A3411" s="511" t="s">
        <v>193</v>
      </c>
      <c r="B3411" s="511" t="s">
        <v>363</v>
      </c>
    </row>
    <row r="3412" spans="1:2" ht="15" hidden="1" x14ac:dyDescent="0.25">
      <c r="A3412" s="511" t="s">
        <v>193</v>
      </c>
      <c r="B3412" s="511" t="s">
        <v>363</v>
      </c>
    </row>
    <row r="3413" spans="1:2" ht="15" hidden="1" x14ac:dyDescent="0.25">
      <c r="A3413" s="511" t="s">
        <v>193</v>
      </c>
      <c r="B3413" s="511" t="s">
        <v>363</v>
      </c>
    </row>
    <row r="3414" spans="1:2" ht="15" hidden="1" x14ac:dyDescent="0.25">
      <c r="A3414" s="511" t="s">
        <v>193</v>
      </c>
      <c r="B3414" s="511" t="s">
        <v>363</v>
      </c>
    </row>
    <row r="3415" spans="1:2" ht="15" hidden="1" x14ac:dyDescent="0.25">
      <c r="A3415" s="511" t="s">
        <v>193</v>
      </c>
      <c r="B3415" s="511" t="s">
        <v>363</v>
      </c>
    </row>
    <row r="3416" spans="1:2" ht="15" hidden="1" x14ac:dyDescent="0.25">
      <c r="A3416" s="511" t="s">
        <v>193</v>
      </c>
      <c r="B3416" s="511" t="s">
        <v>363</v>
      </c>
    </row>
    <row r="3417" spans="1:2" ht="15" hidden="1" x14ac:dyDescent="0.25">
      <c r="A3417" s="511" t="s">
        <v>193</v>
      </c>
      <c r="B3417" s="511" t="s">
        <v>363</v>
      </c>
    </row>
    <row r="3418" spans="1:2" ht="15" hidden="1" x14ac:dyDescent="0.25">
      <c r="A3418" s="511" t="s">
        <v>193</v>
      </c>
      <c r="B3418" s="511" t="s">
        <v>363</v>
      </c>
    </row>
    <row r="3419" spans="1:2" ht="15" hidden="1" x14ac:dyDescent="0.25">
      <c r="A3419" s="511" t="s">
        <v>193</v>
      </c>
      <c r="B3419" s="511" t="s">
        <v>363</v>
      </c>
    </row>
    <row r="3420" spans="1:2" ht="15" hidden="1" x14ac:dyDescent="0.25">
      <c r="A3420" s="511" t="s">
        <v>193</v>
      </c>
      <c r="B3420" s="511" t="s">
        <v>363</v>
      </c>
    </row>
    <row r="3421" spans="1:2" ht="15" hidden="1" x14ac:dyDescent="0.25">
      <c r="A3421" s="511" t="s">
        <v>193</v>
      </c>
      <c r="B3421" s="511" t="s">
        <v>363</v>
      </c>
    </row>
    <row r="3422" spans="1:2" ht="15" hidden="1" x14ac:dyDescent="0.25">
      <c r="A3422" s="511" t="s">
        <v>193</v>
      </c>
      <c r="B3422" s="511" t="s">
        <v>363</v>
      </c>
    </row>
    <row r="3423" spans="1:2" ht="15" hidden="1" x14ac:dyDescent="0.25">
      <c r="A3423" s="511" t="s">
        <v>193</v>
      </c>
      <c r="B3423" s="511" t="s">
        <v>363</v>
      </c>
    </row>
    <row r="3424" spans="1:2" ht="15" hidden="1" x14ac:dyDescent="0.25">
      <c r="A3424" s="511" t="s">
        <v>193</v>
      </c>
      <c r="B3424" s="511" t="s">
        <v>363</v>
      </c>
    </row>
    <row r="3425" spans="1:2" ht="15" hidden="1" x14ac:dyDescent="0.25">
      <c r="A3425" s="511" t="s">
        <v>193</v>
      </c>
      <c r="B3425" s="511" t="s">
        <v>363</v>
      </c>
    </row>
    <row r="3426" spans="1:2" ht="15" hidden="1" x14ac:dyDescent="0.25">
      <c r="A3426" s="511" t="s">
        <v>193</v>
      </c>
      <c r="B3426" s="511" t="s">
        <v>363</v>
      </c>
    </row>
    <row r="3427" spans="1:2" ht="15" hidden="1" x14ac:dyDescent="0.25">
      <c r="A3427" s="511" t="s">
        <v>194</v>
      </c>
      <c r="B3427" s="511" t="s">
        <v>365</v>
      </c>
    </row>
    <row r="3428" spans="1:2" ht="15" hidden="1" x14ac:dyDescent="0.25">
      <c r="A3428" s="511" t="s">
        <v>194</v>
      </c>
      <c r="B3428" s="511" t="s">
        <v>365</v>
      </c>
    </row>
    <row r="3429" spans="1:2" ht="15" hidden="1" x14ac:dyDescent="0.25">
      <c r="A3429" s="511" t="s">
        <v>194</v>
      </c>
      <c r="B3429" s="511" t="s">
        <v>365</v>
      </c>
    </row>
    <row r="3430" spans="1:2" ht="15" hidden="1" x14ac:dyDescent="0.25">
      <c r="A3430" s="511" t="s">
        <v>194</v>
      </c>
      <c r="B3430" s="511" t="s">
        <v>365</v>
      </c>
    </row>
    <row r="3431" spans="1:2" ht="15" hidden="1" x14ac:dyDescent="0.25">
      <c r="A3431" s="511" t="s">
        <v>194</v>
      </c>
      <c r="B3431" s="511" t="s">
        <v>365</v>
      </c>
    </row>
    <row r="3432" spans="1:2" ht="15" hidden="1" x14ac:dyDescent="0.25">
      <c r="A3432" s="511" t="s">
        <v>194</v>
      </c>
      <c r="B3432" s="511" t="s">
        <v>365</v>
      </c>
    </row>
    <row r="3433" spans="1:2" ht="15" hidden="1" x14ac:dyDescent="0.25">
      <c r="A3433" s="511" t="s">
        <v>194</v>
      </c>
      <c r="B3433" s="511" t="s">
        <v>365</v>
      </c>
    </row>
    <row r="3434" spans="1:2" ht="15" hidden="1" x14ac:dyDescent="0.25">
      <c r="A3434" s="511" t="s">
        <v>194</v>
      </c>
      <c r="B3434" s="511" t="s">
        <v>365</v>
      </c>
    </row>
    <row r="3435" spans="1:2" ht="15" hidden="1" x14ac:dyDescent="0.25">
      <c r="A3435" s="511" t="s">
        <v>194</v>
      </c>
      <c r="B3435" s="511" t="s">
        <v>365</v>
      </c>
    </row>
    <row r="3436" spans="1:2" ht="15" hidden="1" x14ac:dyDescent="0.25">
      <c r="A3436" s="511" t="s">
        <v>194</v>
      </c>
      <c r="B3436" s="511" t="s">
        <v>365</v>
      </c>
    </row>
    <row r="3437" spans="1:2" ht="15" hidden="1" x14ac:dyDescent="0.25">
      <c r="A3437" s="511" t="s">
        <v>194</v>
      </c>
      <c r="B3437" s="511" t="s">
        <v>365</v>
      </c>
    </row>
    <row r="3438" spans="1:2" ht="15" hidden="1" x14ac:dyDescent="0.25">
      <c r="A3438" s="511" t="s">
        <v>194</v>
      </c>
      <c r="B3438" s="511" t="s">
        <v>365</v>
      </c>
    </row>
    <row r="3439" spans="1:2" ht="15" hidden="1" x14ac:dyDescent="0.25">
      <c r="A3439" s="511" t="s">
        <v>194</v>
      </c>
      <c r="B3439" s="511" t="s">
        <v>365</v>
      </c>
    </row>
    <row r="3440" spans="1:2" ht="15" hidden="1" x14ac:dyDescent="0.25">
      <c r="A3440" s="511" t="s">
        <v>194</v>
      </c>
      <c r="B3440" s="511" t="s">
        <v>365</v>
      </c>
    </row>
    <row r="3441" spans="1:2" ht="15" hidden="1" x14ac:dyDescent="0.25">
      <c r="A3441" s="511" t="s">
        <v>194</v>
      </c>
      <c r="B3441" s="511" t="s">
        <v>365</v>
      </c>
    </row>
    <row r="3442" spans="1:2" ht="15" hidden="1" x14ac:dyDescent="0.25">
      <c r="A3442" s="511" t="s">
        <v>194</v>
      </c>
      <c r="B3442" s="511" t="s">
        <v>365</v>
      </c>
    </row>
    <row r="3443" spans="1:2" ht="15" hidden="1" x14ac:dyDescent="0.25">
      <c r="A3443" s="511" t="s">
        <v>194</v>
      </c>
      <c r="B3443" s="511" t="s">
        <v>365</v>
      </c>
    </row>
    <row r="3444" spans="1:2" ht="15" hidden="1" x14ac:dyDescent="0.25">
      <c r="A3444" s="511" t="s">
        <v>194</v>
      </c>
      <c r="B3444" s="511" t="s">
        <v>365</v>
      </c>
    </row>
    <row r="3445" spans="1:2" ht="15" hidden="1" x14ac:dyDescent="0.25">
      <c r="A3445" s="511" t="s">
        <v>194</v>
      </c>
      <c r="B3445" s="511" t="s">
        <v>365</v>
      </c>
    </row>
    <row r="3446" spans="1:2" ht="15" hidden="1" x14ac:dyDescent="0.25">
      <c r="A3446" s="511" t="s">
        <v>194</v>
      </c>
      <c r="B3446" s="511" t="s">
        <v>365</v>
      </c>
    </row>
    <row r="3447" spans="1:2" ht="15" hidden="1" x14ac:dyDescent="0.25">
      <c r="A3447" s="511" t="s">
        <v>194</v>
      </c>
      <c r="B3447" s="511" t="s">
        <v>365</v>
      </c>
    </row>
    <row r="3448" spans="1:2" ht="15" hidden="1" x14ac:dyDescent="0.25">
      <c r="A3448" s="511" t="s">
        <v>194</v>
      </c>
      <c r="B3448" s="511" t="s">
        <v>365</v>
      </c>
    </row>
    <row r="3449" spans="1:2" ht="15" hidden="1" x14ac:dyDescent="0.25">
      <c r="A3449" s="511" t="s">
        <v>194</v>
      </c>
      <c r="B3449" s="511" t="s">
        <v>365</v>
      </c>
    </row>
    <row r="3450" spans="1:2" ht="15" hidden="1" x14ac:dyDescent="0.25">
      <c r="A3450" s="511" t="s">
        <v>194</v>
      </c>
      <c r="B3450" s="511" t="s">
        <v>365</v>
      </c>
    </row>
    <row r="3451" spans="1:2" ht="15" hidden="1" x14ac:dyDescent="0.25">
      <c r="A3451" s="511" t="s">
        <v>195</v>
      </c>
      <c r="B3451" s="511" t="s">
        <v>367</v>
      </c>
    </row>
    <row r="3452" spans="1:2" ht="15" hidden="1" x14ac:dyDescent="0.25">
      <c r="A3452" s="511" t="s">
        <v>195</v>
      </c>
      <c r="B3452" s="511" t="s">
        <v>367</v>
      </c>
    </row>
    <row r="3453" spans="1:2" ht="15" hidden="1" x14ac:dyDescent="0.25">
      <c r="A3453" s="511" t="s">
        <v>195</v>
      </c>
      <c r="B3453" s="511" t="s">
        <v>367</v>
      </c>
    </row>
    <row r="3454" spans="1:2" ht="15" hidden="1" x14ac:dyDescent="0.25">
      <c r="A3454" s="511" t="s">
        <v>195</v>
      </c>
      <c r="B3454" s="511" t="s">
        <v>367</v>
      </c>
    </row>
    <row r="3455" spans="1:2" ht="15" hidden="1" x14ac:dyDescent="0.25">
      <c r="A3455" s="511" t="s">
        <v>195</v>
      </c>
      <c r="B3455" s="511" t="s">
        <v>367</v>
      </c>
    </row>
    <row r="3456" spans="1:2" ht="15" hidden="1" x14ac:dyDescent="0.25">
      <c r="A3456" s="511" t="s">
        <v>195</v>
      </c>
      <c r="B3456" s="511" t="s">
        <v>367</v>
      </c>
    </row>
    <row r="3457" spans="1:2" ht="15" hidden="1" x14ac:dyDescent="0.25">
      <c r="A3457" s="511" t="s">
        <v>195</v>
      </c>
      <c r="B3457" s="511" t="s">
        <v>367</v>
      </c>
    </row>
    <row r="3458" spans="1:2" ht="15" hidden="1" x14ac:dyDescent="0.25">
      <c r="A3458" s="511" t="s">
        <v>195</v>
      </c>
      <c r="B3458" s="511" t="s">
        <v>367</v>
      </c>
    </row>
    <row r="3459" spans="1:2" ht="15" hidden="1" x14ac:dyDescent="0.25">
      <c r="A3459" s="511" t="s">
        <v>195</v>
      </c>
      <c r="B3459" s="511" t="s">
        <v>367</v>
      </c>
    </row>
    <row r="3460" spans="1:2" ht="15" hidden="1" x14ac:dyDescent="0.25">
      <c r="A3460" s="511" t="s">
        <v>195</v>
      </c>
      <c r="B3460" s="511" t="s">
        <v>367</v>
      </c>
    </row>
    <row r="3461" spans="1:2" ht="15" hidden="1" x14ac:dyDescent="0.25">
      <c r="A3461" s="511" t="s">
        <v>451</v>
      </c>
      <c r="B3461" s="511" t="s">
        <v>452</v>
      </c>
    </row>
    <row r="3462" spans="1:2" ht="15" hidden="1" x14ac:dyDescent="0.25">
      <c r="A3462" s="511" t="s">
        <v>451</v>
      </c>
      <c r="B3462" s="511" t="s">
        <v>452</v>
      </c>
    </row>
    <row r="3463" spans="1:2" ht="15" hidden="1" x14ac:dyDescent="0.25">
      <c r="A3463" s="511" t="s">
        <v>451</v>
      </c>
      <c r="B3463" s="511" t="s">
        <v>452</v>
      </c>
    </row>
    <row r="3464" spans="1:2" ht="15" hidden="1" x14ac:dyDescent="0.25">
      <c r="A3464" s="511" t="s">
        <v>906</v>
      </c>
      <c r="B3464" s="511" t="s">
        <v>907</v>
      </c>
    </row>
    <row r="3465" spans="1:2" ht="15" hidden="1" x14ac:dyDescent="0.25">
      <c r="A3465" s="511" t="s">
        <v>2819</v>
      </c>
      <c r="B3465" s="511" t="s">
        <v>2819</v>
      </c>
    </row>
    <row r="3466" spans="1:2" ht="15" hidden="1" x14ac:dyDescent="0.25">
      <c r="A3466" s="511" t="s">
        <v>2820</v>
      </c>
      <c r="B3466" s="511" t="s">
        <v>2820</v>
      </c>
    </row>
    <row r="3467" spans="1:2" ht="15" hidden="1" x14ac:dyDescent="0.25">
      <c r="A3467" s="511" t="s">
        <v>2821</v>
      </c>
      <c r="B3467" s="511" t="s">
        <v>2821</v>
      </c>
    </row>
    <row r="3468" spans="1:2" ht="15" hidden="1" x14ac:dyDescent="0.25">
      <c r="A3468" s="511" t="s">
        <v>2822</v>
      </c>
      <c r="B3468" s="511" t="s">
        <v>2822</v>
      </c>
    </row>
    <row r="3469" spans="1:2" ht="15" hidden="1" x14ac:dyDescent="0.25">
      <c r="A3469" s="511" t="s">
        <v>2823</v>
      </c>
      <c r="B3469" s="511" t="s">
        <v>2823</v>
      </c>
    </row>
    <row r="3470" spans="1:2" ht="15" hidden="1" x14ac:dyDescent="0.25">
      <c r="A3470" s="511" t="s">
        <v>2824</v>
      </c>
      <c r="B3470" s="511" t="s">
        <v>2824</v>
      </c>
    </row>
    <row r="3471" spans="1:2" ht="15" hidden="1" x14ac:dyDescent="0.25">
      <c r="A3471" s="511" t="s">
        <v>2825</v>
      </c>
      <c r="B3471" s="511" t="s">
        <v>2825</v>
      </c>
    </row>
    <row r="3472" spans="1:2" ht="15" hidden="1" x14ac:dyDescent="0.25">
      <c r="A3472" s="511" t="s">
        <v>2826</v>
      </c>
      <c r="B3472" s="511" t="s">
        <v>2826</v>
      </c>
    </row>
    <row r="3473" spans="1:2" ht="15" hidden="1" x14ac:dyDescent="0.25">
      <c r="A3473" s="511" t="s">
        <v>2827</v>
      </c>
      <c r="B3473" s="511" t="s">
        <v>2827</v>
      </c>
    </row>
    <row r="3474" spans="1:2" ht="15" hidden="1" x14ac:dyDescent="0.25">
      <c r="A3474" s="511" t="s">
        <v>2828</v>
      </c>
      <c r="B3474" s="511" t="s">
        <v>2828</v>
      </c>
    </row>
    <row r="3475" spans="1:2" ht="15" hidden="1" x14ac:dyDescent="0.25">
      <c r="A3475" s="511" t="s">
        <v>2829</v>
      </c>
      <c r="B3475" s="511" t="s">
        <v>2829</v>
      </c>
    </row>
    <row r="3476" spans="1:2" ht="15" hidden="1" x14ac:dyDescent="0.25">
      <c r="A3476" s="511" t="s">
        <v>2830</v>
      </c>
      <c r="B3476" s="511" t="s">
        <v>2830</v>
      </c>
    </row>
    <row r="3477" spans="1:2" ht="15" hidden="1" x14ac:dyDescent="0.25">
      <c r="A3477" s="511" t="s">
        <v>2831</v>
      </c>
      <c r="B3477" s="511" t="s">
        <v>2831</v>
      </c>
    </row>
    <row r="3478" spans="1:2" ht="15" hidden="1" x14ac:dyDescent="0.25">
      <c r="A3478" s="511" t="s">
        <v>2832</v>
      </c>
      <c r="B3478" s="511" t="s">
        <v>2832</v>
      </c>
    </row>
    <row r="3479" spans="1:2" ht="15" hidden="1" x14ac:dyDescent="0.25">
      <c r="A3479" s="511" t="s">
        <v>2833</v>
      </c>
      <c r="B3479" s="511" t="s">
        <v>2833</v>
      </c>
    </row>
    <row r="3480" spans="1:2" ht="15" hidden="1" x14ac:dyDescent="0.25">
      <c r="A3480" s="511" t="s">
        <v>2834</v>
      </c>
      <c r="B3480" s="511" t="s">
        <v>2834</v>
      </c>
    </row>
    <row r="3481" spans="1:2" ht="15" hidden="1" x14ac:dyDescent="0.25">
      <c r="A3481" s="511" t="s">
        <v>2835</v>
      </c>
      <c r="B3481" s="511" t="s">
        <v>2835</v>
      </c>
    </row>
    <row r="3482" spans="1:2" ht="15" hidden="1" x14ac:dyDescent="0.25">
      <c r="A3482" s="511" t="s">
        <v>2836</v>
      </c>
      <c r="B3482" s="511" t="s">
        <v>2836</v>
      </c>
    </row>
    <row r="3483" spans="1:2" ht="15" hidden="1" x14ac:dyDescent="0.25">
      <c r="A3483" s="511" t="s">
        <v>2837</v>
      </c>
      <c r="B3483" s="511" t="s">
        <v>2837</v>
      </c>
    </row>
    <row r="3484" spans="1:2" ht="15" hidden="1" x14ac:dyDescent="0.25">
      <c r="A3484" s="511" t="s">
        <v>2838</v>
      </c>
      <c r="B3484" s="511" t="s">
        <v>2838</v>
      </c>
    </row>
    <row r="3485" spans="1:2" ht="15" hidden="1" x14ac:dyDescent="0.25">
      <c r="A3485" s="511" t="s">
        <v>2839</v>
      </c>
      <c r="B3485" s="511" t="s">
        <v>2839</v>
      </c>
    </row>
    <row r="3486" spans="1:2" ht="15" hidden="1" x14ac:dyDescent="0.25">
      <c r="A3486" s="511" t="s">
        <v>2840</v>
      </c>
      <c r="B3486" s="511" t="s">
        <v>2840</v>
      </c>
    </row>
    <row r="3487" spans="1:2" ht="15" hidden="1" x14ac:dyDescent="0.25">
      <c r="A3487" s="511" t="s">
        <v>2841</v>
      </c>
      <c r="B3487" s="511" t="s">
        <v>2841</v>
      </c>
    </row>
    <row r="3488" spans="1:2" ht="15" hidden="1" x14ac:dyDescent="0.25">
      <c r="A3488" s="511" t="s">
        <v>2842</v>
      </c>
      <c r="B3488" s="511" t="s">
        <v>2842</v>
      </c>
    </row>
    <row r="3489" spans="1:2" ht="15" hidden="1" x14ac:dyDescent="0.25">
      <c r="A3489" s="511" t="s">
        <v>2843</v>
      </c>
      <c r="B3489" s="511" t="s">
        <v>2843</v>
      </c>
    </row>
    <row r="3490" spans="1:2" ht="15" hidden="1" x14ac:dyDescent="0.25">
      <c r="A3490" s="511" t="s">
        <v>2844</v>
      </c>
      <c r="B3490" s="511" t="s">
        <v>2844</v>
      </c>
    </row>
    <row r="3491" spans="1:2" ht="15" hidden="1" x14ac:dyDescent="0.25">
      <c r="A3491" s="511" t="s">
        <v>2845</v>
      </c>
      <c r="B3491" s="511" t="s">
        <v>2845</v>
      </c>
    </row>
    <row r="3492" spans="1:2" ht="15" hidden="1" x14ac:dyDescent="0.25">
      <c r="A3492" s="511" t="s">
        <v>2846</v>
      </c>
      <c r="B3492" s="511" t="s">
        <v>2846</v>
      </c>
    </row>
    <row r="3493" spans="1:2" ht="15" hidden="1" x14ac:dyDescent="0.25">
      <c r="A3493" s="511" t="s">
        <v>2847</v>
      </c>
      <c r="B3493" s="511" t="s">
        <v>2847</v>
      </c>
    </row>
    <row r="3494" spans="1:2" ht="15" hidden="1" x14ac:dyDescent="0.25">
      <c r="A3494" s="511" t="s">
        <v>2848</v>
      </c>
      <c r="B3494" s="511" t="s">
        <v>2848</v>
      </c>
    </row>
    <row r="3495" spans="1:2" ht="15" hidden="1" x14ac:dyDescent="0.25">
      <c r="A3495" s="511" t="s">
        <v>2849</v>
      </c>
      <c r="B3495" s="511" t="s">
        <v>2849</v>
      </c>
    </row>
    <row r="3496" spans="1:2" ht="15" hidden="1" x14ac:dyDescent="0.25">
      <c r="A3496" s="511" t="s">
        <v>2849</v>
      </c>
      <c r="B3496" s="511" t="s">
        <v>2849</v>
      </c>
    </row>
    <row r="3497" spans="1:2" ht="15" hidden="1" x14ac:dyDescent="0.25">
      <c r="A3497" s="511" t="s">
        <v>2850</v>
      </c>
      <c r="B3497" s="511" t="s">
        <v>2850</v>
      </c>
    </row>
    <row r="3498" spans="1:2" ht="15" hidden="1" x14ac:dyDescent="0.25">
      <c r="A3498" s="511" t="s">
        <v>2851</v>
      </c>
      <c r="B3498" s="511" t="s">
        <v>2851</v>
      </c>
    </row>
    <row r="3499" spans="1:2" ht="15" hidden="1" x14ac:dyDescent="0.25">
      <c r="A3499" s="511" t="s">
        <v>2852</v>
      </c>
      <c r="B3499" s="511" t="s">
        <v>2852</v>
      </c>
    </row>
    <row r="3500" spans="1:2" ht="15" hidden="1" x14ac:dyDescent="0.25">
      <c r="A3500" s="511" t="s">
        <v>2853</v>
      </c>
      <c r="B3500" s="511" t="s">
        <v>2853</v>
      </c>
    </row>
    <row r="3501" spans="1:2" ht="15" hidden="1" x14ac:dyDescent="0.25">
      <c r="A3501" s="511" t="s">
        <v>2854</v>
      </c>
      <c r="B3501" s="511" t="s">
        <v>2854</v>
      </c>
    </row>
    <row r="3502" spans="1:2" ht="15" hidden="1" x14ac:dyDescent="0.25">
      <c r="A3502" s="511" t="s">
        <v>2855</v>
      </c>
      <c r="B3502" s="511" t="s">
        <v>2855</v>
      </c>
    </row>
    <row r="3503" spans="1:2" ht="15" hidden="1" x14ac:dyDescent="0.25">
      <c r="A3503" s="511" t="s">
        <v>2856</v>
      </c>
      <c r="B3503" s="511" t="s">
        <v>2856</v>
      </c>
    </row>
    <row r="3504" spans="1:2" ht="15" hidden="1" x14ac:dyDescent="0.25">
      <c r="A3504" s="511" t="s">
        <v>2857</v>
      </c>
      <c r="B3504" s="511" t="s">
        <v>2857</v>
      </c>
    </row>
    <row r="3505" spans="1:2" ht="15" hidden="1" x14ac:dyDescent="0.25">
      <c r="A3505" s="511" t="s">
        <v>2858</v>
      </c>
      <c r="B3505" s="511" t="s">
        <v>2858</v>
      </c>
    </row>
    <row r="3506" spans="1:2" ht="15" hidden="1" x14ac:dyDescent="0.25">
      <c r="A3506" s="511" t="s">
        <v>2859</v>
      </c>
      <c r="B3506" s="511" t="s">
        <v>2859</v>
      </c>
    </row>
    <row r="3507" spans="1:2" ht="15" hidden="1" x14ac:dyDescent="0.25">
      <c r="A3507" s="511" t="s">
        <v>2860</v>
      </c>
      <c r="B3507" s="511" t="s">
        <v>2860</v>
      </c>
    </row>
    <row r="3508" spans="1:2" ht="15" hidden="1" x14ac:dyDescent="0.25">
      <c r="A3508" s="511" t="s">
        <v>2861</v>
      </c>
      <c r="B3508" s="511" t="s">
        <v>2861</v>
      </c>
    </row>
    <row r="3509" spans="1:2" ht="15" hidden="1" x14ac:dyDescent="0.25">
      <c r="A3509" s="511" t="s">
        <v>2862</v>
      </c>
      <c r="B3509" s="511" t="s">
        <v>2862</v>
      </c>
    </row>
    <row r="3510" spans="1:2" ht="15" hidden="1" x14ac:dyDescent="0.25">
      <c r="A3510" s="511" t="s">
        <v>2863</v>
      </c>
      <c r="B3510" s="511" t="s">
        <v>2863</v>
      </c>
    </row>
    <row r="3511" spans="1:2" ht="15" hidden="1" x14ac:dyDescent="0.25">
      <c r="A3511" s="511" t="s">
        <v>2864</v>
      </c>
      <c r="B3511" s="511" t="s">
        <v>2864</v>
      </c>
    </row>
    <row r="3512" spans="1:2" ht="15" hidden="1" x14ac:dyDescent="0.25">
      <c r="A3512" s="511" t="s">
        <v>2865</v>
      </c>
      <c r="B3512" s="511" t="s">
        <v>2865</v>
      </c>
    </row>
    <row r="3513" spans="1:2" ht="15" hidden="1" x14ac:dyDescent="0.25">
      <c r="A3513" s="511" t="s">
        <v>2866</v>
      </c>
      <c r="B3513" s="511" t="s">
        <v>2866</v>
      </c>
    </row>
    <row r="3514" spans="1:2" ht="15" hidden="1" x14ac:dyDescent="0.25">
      <c r="A3514" s="511" t="s">
        <v>2867</v>
      </c>
      <c r="B3514" s="511" t="s">
        <v>2867</v>
      </c>
    </row>
    <row r="3515" spans="1:2" ht="15" hidden="1" x14ac:dyDescent="0.25">
      <c r="A3515" s="511" t="s">
        <v>2868</v>
      </c>
      <c r="B3515" s="511" t="s">
        <v>2868</v>
      </c>
    </row>
    <row r="3516" spans="1:2" ht="15" hidden="1" x14ac:dyDescent="0.25">
      <c r="A3516" s="511" t="s">
        <v>2868</v>
      </c>
      <c r="B3516" s="511" t="s">
        <v>2868</v>
      </c>
    </row>
    <row r="3517" spans="1:2" ht="15" hidden="1" x14ac:dyDescent="0.25">
      <c r="A3517" s="511" t="s">
        <v>2869</v>
      </c>
      <c r="B3517" s="511" t="s">
        <v>2869</v>
      </c>
    </row>
    <row r="3518" spans="1:2" ht="15" hidden="1" x14ac:dyDescent="0.25">
      <c r="A3518" s="511" t="s">
        <v>2870</v>
      </c>
      <c r="B3518" s="511" t="s">
        <v>2870</v>
      </c>
    </row>
    <row r="3519" spans="1:2" ht="15" hidden="1" x14ac:dyDescent="0.25">
      <c r="A3519" s="511" t="s">
        <v>2871</v>
      </c>
      <c r="B3519" s="511" t="s">
        <v>2871</v>
      </c>
    </row>
    <row r="3520" spans="1:2" ht="15" hidden="1" x14ac:dyDescent="0.25">
      <c r="A3520" s="511" t="s">
        <v>2872</v>
      </c>
      <c r="B3520" s="511" t="s">
        <v>2872</v>
      </c>
    </row>
    <row r="3521" spans="1:2" ht="15" hidden="1" x14ac:dyDescent="0.25">
      <c r="A3521" s="511" t="s">
        <v>2873</v>
      </c>
      <c r="B3521" s="511" t="s">
        <v>2873</v>
      </c>
    </row>
    <row r="3522" spans="1:2" ht="15" hidden="1" x14ac:dyDescent="0.25">
      <c r="A3522" s="511" t="s">
        <v>2874</v>
      </c>
      <c r="B3522" s="511" t="s">
        <v>2874</v>
      </c>
    </row>
    <row r="3523" spans="1:2" ht="15" hidden="1" x14ac:dyDescent="0.25">
      <c r="A3523" s="511" t="s">
        <v>2875</v>
      </c>
      <c r="B3523" s="511" t="s">
        <v>2875</v>
      </c>
    </row>
    <row r="3524" spans="1:2" ht="15" hidden="1" x14ac:dyDescent="0.25">
      <c r="A3524" s="511" t="s">
        <v>2876</v>
      </c>
      <c r="B3524" s="511" t="s">
        <v>2876</v>
      </c>
    </row>
    <row r="3525" spans="1:2" ht="15" hidden="1" x14ac:dyDescent="0.25">
      <c r="A3525" s="511" t="s">
        <v>2877</v>
      </c>
      <c r="B3525" s="511" t="s">
        <v>2877</v>
      </c>
    </row>
    <row r="3526" spans="1:2" ht="15" hidden="1" x14ac:dyDescent="0.25">
      <c r="A3526" s="511" t="s">
        <v>2878</v>
      </c>
      <c r="B3526" s="511" t="s">
        <v>2878</v>
      </c>
    </row>
    <row r="3527" spans="1:2" ht="15" hidden="1" x14ac:dyDescent="0.25">
      <c r="A3527" s="511" t="s">
        <v>2879</v>
      </c>
      <c r="B3527" s="511" t="s">
        <v>2879</v>
      </c>
    </row>
    <row r="3528" spans="1:2" ht="15" hidden="1" x14ac:dyDescent="0.25">
      <c r="A3528" s="511" t="s">
        <v>2880</v>
      </c>
      <c r="B3528" s="511" t="s">
        <v>2880</v>
      </c>
    </row>
    <row r="3529" spans="1:2" ht="15" hidden="1" x14ac:dyDescent="0.25">
      <c r="A3529" s="511" t="s">
        <v>2881</v>
      </c>
      <c r="B3529" s="511" t="s">
        <v>2881</v>
      </c>
    </row>
    <row r="3530" spans="1:2" ht="15" hidden="1" x14ac:dyDescent="0.25">
      <c r="A3530" s="511" t="s">
        <v>2882</v>
      </c>
      <c r="B3530" s="511" t="s">
        <v>2882</v>
      </c>
    </row>
    <row r="3531" spans="1:2" ht="15" hidden="1" x14ac:dyDescent="0.25">
      <c r="A3531" s="511" t="s">
        <v>2883</v>
      </c>
      <c r="B3531" s="511" t="s">
        <v>2883</v>
      </c>
    </row>
    <row r="3532" spans="1:2" ht="15" hidden="1" x14ac:dyDescent="0.25">
      <c r="A3532" s="511" t="s">
        <v>2884</v>
      </c>
      <c r="B3532" s="511" t="s">
        <v>2884</v>
      </c>
    </row>
    <row r="3533" spans="1:2" ht="15" hidden="1" x14ac:dyDescent="0.25">
      <c r="A3533" s="511" t="s">
        <v>2885</v>
      </c>
      <c r="B3533" s="511" t="s">
        <v>2885</v>
      </c>
    </row>
    <row r="3534" spans="1:2" ht="15" hidden="1" x14ac:dyDescent="0.25">
      <c r="A3534" s="511" t="s">
        <v>2886</v>
      </c>
      <c r="B3534" s="511" t="s">
        <v>2886</v>
      </c>
    </row>
    <row r="3535" spans="1:2" ht="15" hidden="1" x14ac:dyDescent="0.25">
      <c r="A3535" s="511" t="s">
        <v>2887</v>
      </c>
      <c r="B3535" s="511" t="s">
        <v>2887</v>
      </c>
    </row>
    <row r="3536" spans="1:2" ht="15" hidden="1" x14ac:dyDescent="0.25">
      <c r="A3536" s="511" t="s">
        <v>2888</v>
      </c>
      <c r="B3536" s="511" t="s">
        <v>2888</v>
      </c>
    </row>
    <row r="3537" spans="1:2" ht="15" hidden="1" x14ac:dyDescent="0.25">
      <c r="A3537" s="511" t="s">
        <v>2889</v>
      </c>
      <c r="B3537" s="511" t="s">
        <v>2889</v>
      </c>
    </row>
    <row r="3538" spans="1:2" ht="15" hidden="1" x14ac:dyDescent="0.25">
      <c r="A3538" s="511" t="s">
        <v>2890</v>
      </c>
      <c r="B3538" s="511" t="s">
        <v>2890</v>
      </c>
    </row>
    <row r="3539" spans="1:2" ht="15" hidden="1" x14ac:dyDescent="0.25">
      <c r="A3539" s="511" t="s">
        <v>2891</v>
      </c>
      <c r="B3539" s="511" t="s">
        <v>2891</v>
      </c>
    </row>
    <row r="3540" spans="1:2" ht="15" hidden="1" x14ac:dyDescent="0.25">
      <c r="A3540" s="511" t="s">
        <v>2892</v>
      </c>
      <c r="B3540" s="511" t="s">
        <v>2892</v>
      </c>
    </row>
    <row r="3541" spans="1:2" ht="15" hidden="1" x14ac:dyDescent="0.25">
      <c r="A3541" s="511" t="s">
        <v>2893</v>
      </c>
      <c r="B3541" s="511" t="s">
        <v>2893</v>
      </c>
    </row>
    <row r="3542" spans="1:2" ht="15" hidden="1" x14ac:dyDescent="0.25">
      <c r="A3542" s="511" t="s">
        <v>2894</v>
      </c>
      <c r="B3542" s="511" t="s">
        <v>2894</v>
      </c>
    </row>
    <row r="3543" spans="1:2" ht="15" hidden="1" x14ac:dyDescent="0.25">
      <c r="A3543" s="511" t="s">
        <v>2895</v>
      </c>
      <c r="B3543" s="511" t="s">
        <v>2895</v>
      </c>
    </row>
    <row r="3544" spans="1:2" ht="15" hidden="1" x14ac:dyDescent="0.25">
      <c r="A3544" s="511" t="s">
        <v>2896</v>
      </c>
      <c r="B3544" s="511" t="s">
        <v>2896</v>
      </c>
    </row>
    <row r="3545" spans="1:2" ht="15" hidden="1" x14ac:dyDescent="0.25">
      <c r="A3545" s="511" t="s">
        <v>2897</v>
      </c>
      <c r="B3545" s="511" t="s">
        <v>2897</v>
      </c>
    </row>
    <row r="3546" spans="1:2" ht="15" hidden="1" x14ac:dyDescent="0.25">
      <c r="A3546" s="511" t="s">
        <v>2898</v>
      </c>
      <c r="B3546" s="511" t="s">
        <v>2898</v>
      </c>
    </row>
    <row r="3547" spans="1:2" ht="15" hidden="1" x14ac:dyDescent="0.25">
      <c r="A3547" s="511" t="s">
        <v>2899</v>
      </c>
      <c r="B3547" s="511" t="s">
        <v>2899</v>
      </c>
    </row>
    <row r="3548" spans="1:2" ht="15" hidden="1" x14ac:dyDescent="0.25">
      <c r="A3548" s="511" t="s">
        <v>2900</v>
      </c>
      <c r="B3548" s="511" t="s">
        <v>2900</v>
      </c>
    </row>
    <row r="3549" spans="1:2" ht="15" hidden="1" x14ac:dyDescent="0.25">
      <c r="A3549" s="511" t="s">
        <v>2901</v>
      </c>
      <c r="B3549" s="511" t="s">
        <v>2902</v>
      </c>
    </row>
    <row r="3550" spans="1:2" ht="15" hidden="1" x14ac:dyDescent="0.25">
      <c r="A3550" s="511" t="s">
        <v>2903</v>
      </c>
      <c r="B3550" s="511" t="s">
        <v>2904</v>
      </c>
    </row>
    <row r="3551" spans="1:2" ht="15" hidden="1" x14ac:dyDescent="0.25">
      <c r="A3551" s="511" t="s">
        <v>2903</v>
      </c>
      <c r="B3551" s="511" t="s">
        <v>2904</v>
      </c>
    </row>
    <row r="3552" spans="1:2" ht="15" hidden="1" x14ac:dyDescent="0.25">
      <c r="A3552" s="511" t="s">
        <v>2905</v>
      </c>
      <c r="B3552" s="511" t="s">
        <v>2906</v>
      </c>
    </row>
    <row r="3553" spans="1:2" ht="15" hidden="1" x14ac:dyDescent="0.25">
      <c r="A3553" s="511" t="s">
        <v>2905</v>
      </c>
      <c r="B3553" s="511" t="s">
        <v>2906</v>
      </c>
    </row>
    <row r="3554" spans="1:2" ht="15" hidden="1" x14ac:dyDescent="0.25">
      <c r="A3554" s="511" t="s">
        <v>2907</v>
      </c>
      <c r="B3554" s="511" t="s">
        <v>2908</v>
      </c>
    </row>
    <row r="3555" spans="1:2" ht="15" hidden="1" x14ac:dyDescent="0.25">
      <c r="A3555" s="511" t="s">
        <v>2907</v>
      </c>
      <c r="B3555" s="511" t="s">
        <v>2908</v>
      </c>
    </row>
    <row r="3556" spans="1:2" ht="15" hidden="1" x14ac:dyDescent="0.25">
      <c r="A3556" s="511" t="s">
        <v>2909</v>
      </c>
      <c r="B3556" s="511" t="s">
        <v>2910</v>
      </c>
    </row>
    <row r="3557" spans="1:2" ht="15" hidden="1" x14ac:dyDescent="0.25">
      <c r="A3557" s="511" t="s">
        <v>2911</v>
      </c>
      <c r="B3557" s="511" t="s">
        <v>2912</v>
      </c>
    </row>
    <row r="3558" spans="1:2" ht="15" hidden="1" x14ac:dyDescent="0.25">
      <c r="A3558" s="511" t="s">
        <v>2913</v>
      </c>
      <c r="B3558" s="511" t="s">
        <v>2914</v>
      </c>
    </row>
    <row r="3559" spans="1:2" ht="15" hidden="1" x14ac:dyDescent="0.25">
      <c r="A3559" s="511" t="s">
        <v>673</v>
      </c>
      <c r="B3559" s="511" t="s">
        <v>674</v>
      </c>
    </row>
    <row r="3560" spans="1:2" ht="15" hidden="1" x14ac:dyDescent="0.25">
      <c r="A3560" s="511" t="s">
        <v>2915</v>
      </c>
      <c r="B3560" s="511" t="s">
        <v>2916</v>
      </c>
    </row>
    <row r="3561" spans="1:2" ht="15" hidden="1" x14ac:dyDescent="0.25">
      <c r="A3561" s="511" t="s">
        <v>2915</v>
      </c>
      <c r="B3561" s="511" t="s">
        <v>2916</v>
      </c>
    </row>
    <row r="3562" spans="1:2" ht="15" hidden="1" x14ac:dyDescent="0.25">
      <c r="A3562" s="511" t="s">
        <v>2917</v>
      </c>
      <c r="B3562" s="511" t="s">
        <v>2918</v>
      </c>
    </row>
    <row r="3563" spans="1:2" ht="15" hidden="1" x14ac:dyDescent="0.25">
      <c r="A3563" s="511" t="s">
        <v>2917</v>
      </c>
      <c r="B3563" s="511" t="s">
        <v>2918</v>
      </c>
    </row>
    <row r="3564" spans="1:2" ht="15" hidden="1" x14ac:dyDescent="0.25">
      <c r="A3564" s="511" t="s">
        <v>2917</v>
      </c>
      <c r="B3564" s="511" t="s">
        <v>2918</v>
      </c>
    </row>
    <row r="3565" spans="1:2" ht="15" hidden="1" x14ac:dyDescent="0.25">
      <c r="A3565" s="511" t="s">
        <v>229</v>
      </c>
      <c r="B3565" s="511" t="s">
        <v>405</v>
      </c>
    </row>
    <row r="3566" spans="1:2" ht="15" hidden="1" x14ac:dyDescent="0.25">
      <c r="A3566" s="511" t="s">
        <v>1709</v>
      </c>
      <c r="B3566" s="511" t="s">
        <v>1710</v>
      </c>
    </row>
    <row r="3567" spans="1:2" ht="15" hidden="1" x14ac:dyDescent="0.25">
      <c r="A3567" s="511" t="s">
        <v>2919</v>
      </c>
      <c r="B3567" s="511" t="s">
        <v>2920</v>
      </c>
    </row>
    <row r="3568" spans="1:2" ht="15" hidden="1" x14ac:dyDescent="0.25">
      <c r="A3568" s="511" t="s">
        <v>2921</v>
      </c>
      <c r="B3568" s="511" t="s">
        <v>2922</v>
      </c>
    </row>
    <row r="3569" spans="1:2" ht="15" hidden="1" x14ac:dyDescent="0.25">
      <c r="A3569" s="511" t="s">
        <v>2923</v>
      </c>
      <c r="B3569" s="511" t="s">
        <v>2924</v>
      </c>
    </row>
    <row r="3570" spans="1:2" ht="15" hidden="1" x14ac:dyDescent="0.25">
      <c r="A3570" s="511" t="s">
        <v>2925</v>
      </c>
      <c r="B3570" s="511" t="s">
        <v>2926</v>
      </c>
    </row>
    <row r="3571" spans="1:2" ht="15" hidden="1" x14ac:dyDescent="0.25">
      <c r="A3571" s="511" t="s">
        <v>2927</v>
      </c>
      <c r="B3571" s="511" t="s">
        <v>2928</v>
      </c>
    </row>
    <row r="3572" spans="1:2" ht="15" hidden="1" x14ac:dyDescent="0.25">
      <c r="A3572" s="511" t="s">
        <v>2927</v>
      </c>
      <c r="B3572" s="511" t="s">
        <v>2928</v>
      </c>
    </row>
    <row r="3573" spans="1:2" ht="15" hidden="1" x14ac:dyDescent="0.25">
      <c r="A3573" s="511" t="s">
        <v>2927</v>
      </c>
      <c r="B3573" s="511" t="s">
        <v>2928</v>
      </c>
    </row>
    <row r="3574" spans="1:2" ht="15" hidden="1" x14ac:dyDescent="0.25">
      <c r="A3574" s="511" t="s">
        <v>2929</v>
      </c>
      <c r="B3574" s="511" t="s">
        <v>2930</v>
      </c>
    </row>
    <row r="3575" spans="1:2" ht="15" hidden="1" x14ac:dyDescent="0.25">
      <c r="A3575" s="511" t="s">
        <v>2931</v>
      </c>
      <c r="B3575" s="511" t="s">
        <v>2932</v>
      </c>
    </row>
    <row r="3576" spans="1:2" ht="15" hidden="1" x14ac:dyDescent="0.25">
      <c r="A3576" s="511" t="s">
        <v>2931</v>
      </c>
      <c r="B3576" s="511" t="s">
        <v>2932</v>
      </c>
    </row>
    <row r="3577" spans="1:2" ht="15" hidden="1" x14ac:dyDescent="0.25">
      <c r="A3577" s="511" t="s">
        <v>2931</v>
      </c>
      <c r="B3577" s="511" t="s">
        <v>2932</v>
      </c>
    </row>
    <row r="3578" spans="1:2" ht="15" hidden="1" x14ac:dyDescent="0.25">
      <c r="A3578" s="511" t="s">
        <v>2933</v>
      </c>
      <c r="B3578" s="511" t="s">
        <v>2934</v>
      </c>
    </row>
    <row r="3579" spans="1:2" ht="15" hidden="1" x14ac:dyDescent="0.25">
      <c r="A3579" s="511" t="s">
        <v>2933</v>
      </c>
      <c r="B3579" s="511" t="s">
        <v>2934</v>
      </c>
    </row>
    <row r="3580" spans="1:2" ht="15" hidden="1" x14ac:dyDescent="0.25">
      <c r="A3580" s="511" t="s">
        <v>2933</v>
      </c>
      <c r="B3580" s="511" t="s">
        <v>2934</v>
      </c>
    </row>
    <row r="3581" spans="1:2" ht="15" hidden="1" x14ac:dyDescent="0.25">
      <c r="A3581" s="511" t="s">
        <v>2935</v>
      </c>
      <c r="B3581" s="511" t="s">
        <v>2936</v>
      </c>
    </row>
    <row r="3582" spans="1:2" ht="15" hidden="1" x14ac:dyDescent="0.25">
      <c r="A3582" s="511" t="s">
        <v>246</v>
      </c>
      <c r="B3582" s="511" t="s">
        <v>416</v>
      </c>
    </row>
    <row r="3583" spans="1:2" ht="15" hidden="1" x14ac:dyDescent="0.25">
      <c r="A3583" s="511" t="s">
        <v>2937</v>
      </c>
      <c r="B3583" s="511" t="s">
        <v>2938</v>
      </c>
    </row>
    <row r="3584" spans="1:2" ht="15" hidden="1" x14ac:dyDescent="0.25">
      <c r="A3584" s="511" t="s">
        <v>2937</v>
      </c>
      <c r="B3584" s="511" t="s">
        <v>2938</v>
      </c>
    </row>
    <row r="3585" spans="1:2" ht="15" hidden="1" x14ac:dyDescent="0.25">
      <c r="A3585" s="511" t="s">
        <v>2939</v>
      </c>
      <c r="B3585" s="511" t="s">
        <v>2940</v>
      </c>
    </row>
    <row r="3586" spans="1:2" ht="15" hidden="1" x14ac:dyDescent="0.25">
      <c r="A3586" s="511" t="s">
        <v>2941</v>
      </c>
      <c r="B3586" s="511" t="s">
        <v>2942</v>
      </c>
    </row>
    <row r="3587" spans="1:2" ht="15" hidden="1" x14ac:dyDescent="0.25">
      <c r="A3587" s="511" t="s">
        <v>2941</v>
      </c>
      <c r="B3587" s="511" t="s">
        <v>2942</v>
      </c>
    </row>
    <row r="3588" spans="1:2" ht="15" hidden="1" x14ac:dyDescent="0.25">
      <c r="A3588" s="511" t="s">
        <v>2941</v>
      </c>
      <c r="B3588" s="511" t="s">
        <v>2942</v>
      </c>
    </row>
    <row r="3589" spans="1:2" ht="15" hidden="1" x14ac:dyDescent="0.25">
      <c r="A3589" s="511" t="s">
        <v>2943</v>
      </c>
      <c r="B3589" s="511" t="s">
        <v>2944</v>
      </c>
    </row>
    <row r="3590" spans="1:2" ht="15" hidden="1" x14ac:dyDescent="0.25">
      <c r="A3590" s="511" t="s">
        <v>2945</v>
      </c>
      <c r="B3590" s="511" t="s">
        <v>2946</v>
      </c>
    </row>
    <row r="3591" spans="1:2" ht="15" hidden="1" x14ac:dyDescent="0.25">
      <c r="A3591" s="511" t="s">
        <v>2945</v>
      </c>
      <c r="B3591" s="511" t="s">
        <v>2946</v>
      </c>
    </row>
    <row r="3592" spans="1:2" ht="15" hidden="1" x14ac:dyDescent="0.25">
      <c r="A3592" s="511" t="s">
        <v>2945</v>
      </c>
      <c r="B3592" s="511" t="s">
        <v>2946</v>
      </c>
    </row>
    <row r="3593" spans="1:2" ht="15" hidden="1" x14ac:dyDescent="0.25">
      <c r="A3593" s="511" t="s">
        <v>2947</v>
      </c>
      <c r="B3593" s="511" t="s">
        <v>2948</v>
      </c>
    </row>
    <row r="3594" spans="1:2" ht="15" hidden="1" x14ac:dyDescent="0.25">
      <c r="A3594" s="511" t="s">
        <v>2949</v>
      </c>
      <c r="B3594" s="511" t="s">
        <v>2950</v>
      </c>
    </row>
    <row r="3595" spans="1:2" ht="15" hidden="1" x14ac:dyDescent="0.25">
      <c r="A3595" s="511" t="s">
        <v>1731</v>
      </c>
      <c r="B3595" s="511" t="s">
        <v>2951</v>
      </c>
    </row>
    <row r="3596" spans="1:2" ht="15" hidden="1" x14ac:dyDescent="0.25">
      <c r="A3596" s="511" t="s">
        <v>2952</v>
      </c>
      <c r="B3596" s="511" t="s">
        <v>2953</v>
      </c>
    </row>
    <row r="3597" spans="1:2" ht="15" hidden="1" x14ac:dyDescent="0.25">
      <c r="A3597" s="511" t="s">
        <v>2954</v>
      </c>
      <c r="B3597" s="511" t="s">
        <v>2955</v>
      </c>
    </row>
    <row r="3598" spans="1:2" ht="15" hidden="1" x14ac:dyDescent="0.25">
      <c r="A3598" s="511" t="s">
        <v>1735</v>
      </c>
      <c r="B3598" s="511" t="s">
        <v>1736</v>
      </c>
    </row>
    <row r="3599" spans="1:2" ht="15" hidden="1" x14ac:dyDescent="0.25">
      <c r="A3599" s="511" t="s">
        <v>2956</v>
      </c>
      <c r="B3599" s="511" t="s">
        <v>2957</v>
      </c>
    </row>
    <row r="3600" spans="1:2" ht="15" hidden="1" x14ac:dyDescent="0.25">
      <c r="A3600" s="511" t="s">
        <v>2958</v>
      </c>
      <c r="B3600" s="511" t="s">
        <v>2959</v>
      </c>
    </row>
    <row r="3601" spans="1:2" ht="15" hidden="1" x14ac:dyDescent="0.25">
      <c r="A3601" s="511" t="s">
        <v>2960</v>
      </c>
      <c r="B3601" s="511" t="s">
        <v>2961</v>
      </c>
    </row>
    <row r="3602" spans="1:2" ht="15" hidden="1" x14ac:dyDescent="0.25">
      <c r="A3602" s="511" t="s">
        <v>1745</v>
      </c>
      <c r="B3602" s="511" t="s">
        <v>1746</v>
      </c>
    </row>
    <row r="3603" spans="1:2" ht="15" hidden="1" x14ac:dyDescent="0.25">
      <c r="A3603" s="511" t="s">
        <v>2962</v>
      </c>
      <c r="B3603" s="511" t="s">
        <v>2963</v>
      </c>
    </row>
    <row r="3604" spans="1:2" ht="15" hidden="1" x14ac:dyDescent="0.25">
      <c r="A3604" s="511" t="s">
        <v>2962</v>
      </c>
      <c r="B3604" s="511" t="s">
        <v>2963</v>
      </c>
    </row>
    <row r="3605" spans="1:2" ht="15" hidden="1" x14ac:dyDescent="0.25">
      <c r="A3605" s="511" t="s">
        <v>2964</v>
      </c>
      <c r="B3605" s="511" t="s">
        <v>2965</v>
      </c>
    </row>
    <row r="3606" spans="1:2" ht="15" hidden="1" x14ac:dyDescent="0.25">
      <c r="A3606" s="511" t="s">
        <v>2966</v>
      </c>
      <c r="B3606" s="511" t="s">
        <v>2967</v>
      </c>
    </row>
    <row r="3607" spans="1:2" ht="15" hidden="1" x14ac:dyDescent="0.25">
      <c r="A3607" s="511" t="s">
        <v>2966</v>
      </c>
      <c r="B3607" s="511" t="s">
        <v>2967</v>
      </c>
    </row>
    <row r="3608" spans="1:2" ht="15" hidden="1" x14ac:dyDescent="0.25">
      <c r="A3608" s="511" t="s">
        <v>2966</v>
      </c>
      <c r="B3608" s="511" t="s">
        <v>2967</v>
      </c>
    </row>
    <row r="3609" spans="1:2" ht="15" hidden="1" x14ac:dyDescent="0.25">
      <c r="A3609" s="511" t="s">
        <v>2966</v>
      </c>
      <c r="B3609" s="511" t="s">
        <v>2967</v>
      </c>
    </row>
    <row r="3610" spans="1:2" ht="15" hidden="1" x14ac:dyDescent="0.25">
      <c r="A3610" s="511" t="s">
        <v>2966</v>
      </c>
      <c r="B3610" s="511" t="s">
        <v>2967</v>
      </c>
    </row>
    <row r="3611" spans="1:2" ht="15" hidden="1" x14ac:dyDescent="0.25">
      <c r="A3611" s="511" t="s">
        <v>2966</v>
      </c>
      <c r="B3611" s="511" t="s">
        <v>2967</v>
      </c>
    </row>
    <row r="3612" spans="1:2" ht="15" hidden="1" x14ac:dyDescent="0.25">
      <c r="A3612" s="511" t="s">
        <v>2966</v>
      </c>
      <c r="B3612" s="511" t="s">
        <v>2967</v>
      </c>
    </row>
    <row r="3613" spans="1:2" ht="15" hidden="1" x14ac:dyDescent="0.25">
      <c r="A3613" s="511" t="s">
        <v>2968</v>
      </c>
      <c r="B3613" s="511" t="s">
        <v>2969</v>
      </c>
    </row>
    <row r="3614" spans="1:2" ht="15" hidden="1" x14ac:dyDescent="0.25">
      <c r="A3614" s="511" t="s">
        <v>2970</v>
      </c>
      <c r="B3614" s="511" t="s">
        <v>2971</v>
      </c>
    </row>
    <row r="3615" spans="1:2" ht="15" hidden="1" x14ac:dyDescent="0.25">
      <c r="A3615" s="511" t="s">
        <v>2972</v>
      </c>
      <c r="B3615" s="511" t="s">
        <v>2973</v>
      </c>
    </row>
    <row r="3616" spans="1:2" ht="15" hidden="1" x14ac:dyDescent="0.25">
      <c r="A3616" s="511" t="s">
        <v>2972</v>
      </c>
      <c r="B3616" s="511" t="s">
        <v>2973</v>
      </c>
    </row>
    <row r="3617" spans="1:2" ht="15" hidden="1" x14ac:dyDescent="0.25">
      <c r="A3617" s="511" t="s">
        <v>2974</v>
      </c>
      <c r="B3617" s="511" t="s">
        <v>2975</v>
      </c>
    </row>
    <row r="3618" spans="1:2" ht="15" hidden="1" x14ac:dyDescent="0.25">
      <c r="A3618" s="511" t="s">
        <v>2974</v>
      </c>
      <c r="B3618" s="511" t="s">
        <v>2975</v>
      </c>
    </row>
    <row r="3619" spans="1:2" ht="15" hidden="1" x14ac:dyDescent="0.25">
      <c r="A3619" s="511" t="s">
        <v>204</v>
      </c>
      <c r="B3619" s="511" t="s">
        <v>438</v>
      </c>
    </row>
    <row r="3620" spans="1:2" ht="15" hidden="1" x14ac:dyDescent="0.25">
      <c r="A3620" s="511" t="s">
        <v>2976</v>
      </c>
      <c r="B3620" s="511" t="s">
        <v>2977</v>
      </c>
    </row>
    <row r="3621" spans="1:2" ht="15" hidden="1" x14ac:dyDescent="0.25">
      <c r="A3621" s="511" t="s">
        <v>2978</v>
      </c>
      <c r="B3621" s="511" t="s">
        <v>2979</v>
      </c>
    </row>
    <row r="3622" spans="1:2" ht="15" hidden="1" x14ac:dyDescent="0.25">
      <c r="A3622" s="511" t="s">
        <v>2980</v>
      </c>
      <c r="B3622" s="511" t="s">
        <v>2981</v>
      </c>
    </row>
    <row r="3623" spans="1:2" ht="15" hidden="1" x14ac:dyDescent="0.25">
      <c r="A3623" s="511" t="s">
        <v>2982</v>
      </c>
      <c r="B3623" s="511" t="s">
        <v>2983</v>
      </c>
    </row>
    <row r="3624" spans="1:2" ht="15" hidden="1" x14ac:dyDescent="0.25">
      <c r="A3624" s="511" t="s">
        <v>2984</v>
      </c>
      <c r="B3624" s="511" t="s">
        <v>2985</v>
      </c>
    </row>
    <row r="3625" spans="1:2" ht="15" hidden="1" x14ac:dyDescent="0.25">
      <c r="A3625" s="511" t="s">
        <v>2984</v>
      </c>
      <c r="B3625" s="511" t="s">
        <v>2985</v>
      </c>
    </row>
    <row r="3626" spans="1:2" ht="15" hidden="1" x14ac:dyDescent="0.25">
      <c r="A3626" s="511" t="s">
        <v>2986</v>
      </c>
      <c r="B3626" s="511" t="s">
        <v>2987</v>
      </c>
    </row>
    <row r="3627" spans="1:2" ht="15" hidden="1" x14ac:dyDescent="0.25">
      <c r="A3627" s="511" t="s">
        <v>2988</v>
      </c>
      <c r="B3627" s="511" t="s">
        <v>2989</v>
      </c>
    </row>
    <row r="3628" spans="1:2" ht="15" hidden="1" x14ac:dyDescent="0.25">
      <c r="A3628" s="511" t="s">
        <v>2990</v>
      </c>
      <c r="B3628" s="511" t="s">
        <v>2991</v>
      </c>
    </row>
    <row r="3629" spans="1:2" ht="15" hidden="1" x14ac:dyDescent="0.25">
      <c r="A3629" s="511" t="s">
        <v>1269</v>
      </c>
      <c r="B3629" s="511" t="s">
        <v>1270</v>
      </c>
    </row>
    <row r="3630" spans="1:2" ht="15" hidden="1" x14ac:dyDescent="0.25">
      <c r="A3630" s="511" t="s">
        <v>2992</v>
      </c>
      <c r="B3630" s="511" t="s">
        <v>2993</v>
      </c>
    </row>
    <row r="3631" spans="1:2" ht="15" hidden="1" x14ac:dyDescent="0.25">
      <c r="A3631" s="511" t="s">
        <v>2994</v>
      </c>
      <c r="B3631" s="511" t="s">
        <v>2995</v>
      </c>
    </row>
    <row r="3632" spans="1:2" ht="15" hidden="1" x14ac:dyDescent="0.25">
      <c r="A3632" s="511" t="s">
        <v>2994</v>
      </c>
      <c r="B3632" s="511" t="s">
        <v>2995</v>
      </c>
    </row>
    <row r="3633" spans="1:2" ht="15" hidden="1" x14ac:dyDescent="0.25">
      <c r="A3633" s="511" t="s">
        <v>2994</v>
      </c>
      <c r="B3633" s="511" t="s">
        <v>2995</v>
      </c>
    </row>
    <row r="3634" spans="1:2" ht="15" hidden="1" x14ac:dyDescent="0.25">
      <c r="A3634" s="511" t="s">
        <v>2996</v>
      </c>
      <c r="B3634" s="511" t="s">
        <v>2997</v>
      </c>
    </row>
    <row r="3635" spans="1:2" ht="15" hidden="1" x14ac:dyDescent="0.25">
      <c r="A3635" s="511" t="s">
        <v>2998</v>
      </c>
      <c r="B3635" s="511" t="s">
        <v>2999</v>
      </c>
    </row>
    <row r="3636" spans="1:2" ht="15" hidden="1" x14ac:dyDescent="0.25">
      <c r="A3636" s="511" t="s">
        <v>2998</v>
      </c>
      <c r="B3636" s="511" t="s">
        <v>2999</v>
      </c>
    </row>
    <row r="3637" spans="1:2" ht="15" hidden="1" x14ac:dyDescent="0.25">
      <c r="A3637" s="511" t="s">
        <v>3000</v>
      </c>
      <c r="B3637" s="511" t="s">
        <v>3001</v>
      </c>
    </row>
    <row r="3638" spans="1:2" ht="15" hidden="1" x14ac:dyDescent="0.25">
      <c r="A3638" s="511" t="s">
        <v>3000</v>
      </c>
      <c r="B3638" s="511" t="s">
        <v>3001</v>
      </c>
    </row>
    <row r="3639" spans="1:2" ht="15" hidden="1" x14ac:dyDescent="0.25">
      <c r="A3639" s="511" t="s">
        <v>3002</v>
      </c>
      <c r="B3639" s="511" t="s">
        <v>3003</v>
      </c>
    </row>
    <row r="3640" spans="1:2" ht="15" hidden="1" x14ac:dyDescent="0.25">
      <c r="A3640" s="511" t="s">
        <v>3004</v>
      </c>
      <c r="B3640" s="511" t="s">
        <v>3005</v>
      </c>
    </row>
    <row r="3641" spans="1:2" ht="15" hidden="1" x14ac:dyDescent="0.25">
      <c r="A3641" s="511" t="s">
        <v>3006</v>
      </c>
      <c r="B3641" s="511" t="s">
        <v>3007</v>
      </c>
    </row>
    <row r="3642" spans="1:2" ht="15" hidden="1" x14ac:dyDescent="0.25">
      <c r="A3642" s="511" t="s">
        <v>3008</v>
      </c>
      <c r="B3642" s="511" t="s">
        <v>3009</v>
      </c>
    </row>
    <row r="3643" spans="1:2" ht="15" hidden="1" x14ac:dyDescent="0.25">
      <c r="A3643" s="511" t="s">
        <v>3008</v>
      </c>
      <c r="B3643" s="511" t="s">
        <v>3009</v>
      </c>
    </row>
    <row r="3644" spans="1:2" ht="15" hidden="1" x14ac:dyDescent="0.25">
      <c r="A3644" s="511" t="s">
        <v>3010</v>
      </c>
      <c r="B3644" s="511" t="s">
        <v>3011</v>
      </c>
    </row>
    <row r="3645" spans="1:2" ht="15" hidden="1" x14ac:dyDescent="0.25">
      <c r="A3645" s="511" t="s">
        <v>3012</v>
      </c>
      <c r="B3645" s="511" t="s">
        <v>3013</v>
      </c>
    </row>
    <row r="3646" spans="1:2" ht="15" hidden="1" x14ac:dyDescent="0.25">
      <c r="A3646" s="511" t="s">
        <v>231</v>
      </c>
      <c r="B3646" s="511" t="s">
        <v>359</v>
      </c>
    </row>
    <row r="3647" spans="1:2" ht="15" hidden="1" x14ac:dyDescent="0.25">
      <c r="A3647" s="511" t="s">
        <v>231</v>
      </c>
      <c r="B3647" s="511" t="s">
        <v>359</v>
      </c>
    </row>
    <row r="3648" spans="1:2" ht="15" hidden="1" x14ac:dyDescent="0.25">
      <c r="A3648" s="511" t="s">
        <v>231</v>
      </c>
      <c r="B3648" s="511" t="s">
        <v>359</v>
      </c>
    </row>
    <row r="3649" spans="1:2" ht="15" hidden="1" x14ac:dyDescent="0.25">
      <c r="A3649" s="511" t="s">
        <v>231</v>
      </c>
      <c r="B3649" s="511" t="s">
        <v>359</v>
      </c>
    </row>
    <row r="3650" spans="1:2" ht="15" hidden="1" x14ac:dyDescent="0.25">
      <c r="A3650" s="511" t="s">
        <v>231</v>
      </c>
      <c r="B3650" s="511" t="s">
        <v>359</v>
      </c>
    </row>
    <row r="3651" spans="1:2" ht="15" hidden="1" x14ac:dyDescent="0.25">
      <c r="A3651" s="511" t="s">
        <v>231</v>
      </c>
      <c r="B3651" s="511" t="s">
        <v>359</v>
      </c>
    </row>
    <row r="3652" spans="1:2" ht="15" hidden="1" x14ac:dyDescent="0.25">
      <c r="A3652" s="511" t="s">
        <v>2085</v>
      </c>
      <c r="B3652" s="511" t="s">
        <v>2086</v>
      </c>
    </row>
    <row r="3653" spans="1:2" ht="15" hidden="1" x14ac:dyDescent="0.25">
      <c r="A3653" s="511" t="s">
        <v>445</v>
      </c>
      <c r="B3653" s="511" t="s">
        <v>446</v>
      </c>
    </row>
    <row r="3654" spans="1:2" ht="15" hidden="1" x14ac:dyDescent="0.25">
      <c r="A3654" s="511" t="s">
        <v>445</v>
      </c>
      <c r="B3654" s="511" t="s">
        <v>446</v>
      </c>
    </row>
    <row r="3655" spans="1:2" ht="15" hidden="1" x14ac:dyDescent="0.25">
      <c r="A3655" s="511" t="s">
        <v>445</v>
      </c>
      <c r="B3655" s="511" t="s">
        <v>446</v>
      </c>
    </row>
    <row r="3656" spans="1:2" ht="15" hidden="1" x14ac:dyDescent="0.25">
      <c r="A3656" s="511" t="s">
        <v>194</v>
      </c>
      <c r="B3656" s="511" t="s">
        <v>365</v>
      </c>
    </row>
    <row r="3657" spans="1:2" ht="15" hidden="1" x14ac:dyDescent="0.25">
      <c r="A3657" s="511" t="s">
        <v>194</v>
      </c>
      <c r="B3657" s="511" t="s">
        <v>365</v>
      </c>
    </row>
    <row r="3658" spans="1:2" ht="15" hidden="1" x14ac:dyDescent="0.25">
      <c r="A3658" s="511" t="s">
        <v>194</v>
      </c>
      <c r="B3658" s="511" t="s">
        <v>365</v>
      </c>
    </row>
    <row r="3659" spans="1:2" ht="15" hidden="1" x14ac:dyDescent="0.25">
      <c r="A3659" s="511" t="s">
        <v>194</v>
      </c>
      <c r="B3659" s="511" t="s">
        <v>365</v>
      </c>
    </row>
    <row r="3660" spans="1:2" ht="15" hidden="1" x14ac:dyDescent="0.25">
      <c r="A3660" s="511" t="s">
        <v>194</v>
      </c>
      <c r="B3660" s="511" t="s">
        <v>365</v>
      </c>
    </row>
    <row r="3661" spans="1:2" ht="15" hidden="1" x14ac:dyDescent="0.25">
      <c r="A3661" s="511" t="s">
        <v>194</v>
      </c>
      <c r="B3661" s="511" t="s">
        <v>365</v>
      </c>
    </row>
    <row r="3662" spans="1:2" ht="15" hidden="1" x14ac:dyDescent="0.25">
      <c r="A3662" s="511" t="s">
        <v>194</v>
      </c>
      <c r="B3662" s="511" t="s">
        <v>365</v>
      </c>
    </row>
    <row r="3663" spans="1:2" ht="15" hidden="1" x14ac:dyDescent="0.25">
      <c r="A3663" s="511" t="s">
        <v>194</v>
      </c>
      <c r="B3663" s="511" t="s">
        <v>365</v>
      </c>
    </row>
    <row r="3664" spans="1:2" ht="15" hidden="1" x14ac:dyDescent="0.25">
      <c r="A3664" s="511" t="s">
        <v>194</v>
      </c>
      <c r="B3664" s="511" t="s">
        <v>365</v>
      </c>
    </row>
    <row r="3665" spans="1:2" ht="15" hidden="1" x14ac:dyDescent="0.25">
      <c r="A3665" s="511" t="s">
        <v>194</v>
      </c>
      <c r="B3665" s="511" t="s">
        <v>365</v>
      </c>
    </row>
    <row r="3666" spans="1:2" ht="15" hidden="1" x14ac:dyDescent="0.25">
      <c r="A3666" s="511" t="s">
        <v>194</v>
      </c>
      <c r="B3666" s="511" t="s">
        <v>365</v>
      </c>
    </row>
    <row r="3667" spans="1:2" ht="15" hidden="1" x14ac:dyDescent="0.25">
      <c r="A3667" s="511" t="s">
        <v>194</v>
      </c>
      <c r="B3667" s="511" t="s">
        <v>365</v>
      </c>
    </row>
    <row r="3668" spans="1:2" ht="15" hidden="1" x14ac:dyDescent="0.25">
      <c r="A3668" s="511" t="s">
        <v>194</v>
      </c>
      <c r="B3668" s="511" t="s">
        <v>365</v>
      </c>
    </row>
    <row r="3669" spans="1:2" ht="15" hidden="1" x14ac:dyDescent="0.25">
      <c r="A3669" s="511" t="s">
        <v>194</v>
      </c>
      <c r="B3669" s="511" t="s">
        <v>365</v>
      </c>
    </row>
    <row r="3670" spans="1:2" ht="15" hidden="1" x14ac:dyDescent="0.25">
      <c r="A3670" s="511" t="s">
        <v>194</v>
      </c>
      <c r="B3670" s="511" t="s">
        <v>365</v>
      </c>
    </row>
    <row r="3671" spans="1:2" ht="15" hidden="1" x14ac:dyDescent="0.25">
      <c r="A3671" s="511" t="s">
        <v>194</v>
      </c>
      <c r="B3671" s="511" t="s">
        <v>365</v>
      </c>
    </row>
    <row r="3672" spans="1:2" ht="15" hidden="1" x14ac:dyDescent="0.25">
      <c r="A3672" s="511" t="s">
        <v>194</v>
      </c>
      <c r="B3672" s="511" t="s">
        <v>365</v>
      </c>
    </row>
    <row r="3673" spans="1:2" ht="15" hidden="1" x14ac:dyDescent="0.25">
      <c r="A3673" s="511" t="s">
        <v>194</v>
      </c>
      <c r="B3673" s="511" t="s">
        <v>365</v>
      </c>
    </row>
    <row r="3674" spans="1:2" ht="15" hidden="1" x14ac:dyDescent="0.25">
      <c r="A3674" s="511" t="s">
        <v>194</v>
      </c>
      <c r="B3674" s="511" t="s">
        <v>365</v>
      </c>
    </row>
    <row r="3675" spans="1:2" ht="15" hidden="1" x14ac:dyDescent="0.25">
      <c r="A3675" s="511" t="s">
        <v>194</v>
      </c>
      <c r="B3675" s="511" t="s">
        <v>365</v>
      </c>
    </row>
    <row r="3676" spans="1:2" ht="15" hidden="1" x14ac:dyDescent="0.25">
      <c r="A3676" s="511" t="s">
        <v>194</v>
      </c>
      <c r="B3676" s="511" t="s">
        <v>365</v>
      </c>
    </row>
    <row r="3677" spans="1:2" ht="15" hidden="1" x14ac:dyDescent="0.25">
      <c r="A3677" s="511" t="s">
        <v>194</v>
      </c>
      <c r="B3677" s="511" t="s">
        <v>365</v>
      </c>
    </row>
    <row r="3678" spans="1:2" ht="15" hidden="1" x14ac:dyDescent="0.25">
      <c r="A3678" s="511" t="s">
        <v>194</v>
      </c>
      <c r="B3678" s="511" t="s">
        <v>365</v>
      </c>
    </row>
    <row r="3679" spans="1:2" ht="15" hidden="1" x14ac:dyDescent="0.25">
      <c r="A3679" s="511" t="s">
        <v>194</v>
      </c>
      <c r="B3679" s="511" t="s">
        <v>365</v>
      </c>
    </row>
    <row r="3680" spans="1:2" ht="15" hidden="1" x14ac:dyDescent="0.25">
      <c r="A3680" s="511" t="s">
        <v>194</v>
      </c>
      <c r="B3680" s="511" t="s">
        <v>365</v>
      </c>
    </row>
    <row r="3681" spans="1:2" ht="15" hidden="1" x14ac:dyDescent="0.25">
      <c r="A3681" s="511" t="s">
        <v>194</v>
      </c>
      <c r="B3681" s="511" t="s">
        <v>365</v>
      </c>
    </row>
    <row r="3682" spans="1:2" ht="15" hidden="1" x14ac:dyDescent="0.25">
      <c r="A3682" s="511" t="s">
        <v>194</v>
      </c>
      <c r="B3682" s="511" t="s">
        <v>365</v>
      </c>
    </row>
    <row r="3683" spans="1:2" ht="15" hidden="1" x14ac:dyDescent="0.25">
      <c r="A3683" s="511" t="s">
        <v>194</v>
      </c>
      <c r="B3683" s="511" t="s">
        <v>365</v>
      </c>
    </row>
    <row r="3684" spans="1:2" ht="15" hidden="1" x14ac:dyDescent="0.25">
      <c r="A3684" s="511" t="s">
        <v>194</v>
      </c>
      <c r="B3684" s="511" t="s">
        <v>365</v>
      </c>
    </row>
    <row r="3685" spans="1:2" ht="15" hidden="1" x14ac:dyDescent="0.25">
      <c r="A3685" s="511" t="s">
        <v>194</v>
      </c>
      <c r="B3685" s="511" t="s">
        <v>365</v>
      </c>
    </row>
    <row r="3686" spans="1:2" ht="15" hidden="1" x14ac:dyDescent="0.25">
      <c r="A3686" s="511" t="s">
        <v>194</v>
      </c>
      <c r="B3686" s="511" t="s">
        <v>365</v>
      </c>
    </row>
    <row r="3687" spans="1:2" ht="15" hidden="1" x14ac:dyDescent="0.25">
      <c r="A3687" s="511" t="s">
        <v>194</v>
      </c>
      <c r="B3687" s="511" t="s">
        <v>365</v>
      </c>
    </row>
    <row r="3688" spans="1:2" ht="15" hidden="1" x14ac:dyDescent="0.25">
      <c r="A3688" s="511" t="s">
        <v>234</v>
      </c>
      <c r="B3688" s="511" t="s">
        <v>366</v>
      </c>
    </row>
    <row r="3689" spans="1:2" ht="15" hidden="1" x14ac:dyDescent="0.25">
      <c r="A3689" s="511" t="s">
        <v>234</v>
      </c>
      <c r="B3689" s="511" t="s">
        <v>366</v>
      </c>
    </row>
    <row r="3690" spans="1:2" ht="15" hidden="1" x14ac:dyDescent="0.25">
      <c r="A3690" s="511" t="s">
        <v>234</v>
      </c>
      <c r="B3690" s="511" t="s">
        <v>366</v>
      </c>
    </row>
    <row r="3691" spans="1:2" ht="15" hidden="1" x14ac:dyDescent="0.25">
      <c r="A3691" s="511" t="s">
        <v>234</v>
      </c>
      <c r="B3691" s="511" t="s">
        <v>366</v>
      </c>
    </row>
    <row r="3692" spans="1:2" ht="15" hidden="1" x14ac:dyDescent="0.25">
      <c r="A3692" s="511" t="s">
        <v>234</v>
      </c>
      <c r="B3692" s="511" t="s">
        <v>366</v>
      </c>
    </row>
    <row r="3693" spans="1:2" ht="15" hidden="1" x14ac:dyDescent="0.25">
      <c r="A3693" s="511" t="s">
        <v>234</v>
      </c>
      <c r="B3693" s="511" t="s">
        <v>366</v>
      </c>
    </row>
    <row r="3694" spans="1:2" ht="15" hidden="1" x14ac:dyDescent="0.25">
      <c r="A3694" s="511" t="s">
        <v>234</v>
      </c>
      <c r="B3694" s="511" t="s">
        <v>366</v>
      </c>
    </row>
    <row r="3695" spans="1:2" ht="15" hidden="1" x14ac:dyDescent="0.25">
      <c r="A3695" s="511" t="s">
        <v>234</v>
      </c>
      <c r="B3695" s="511" t="s">
        <v>366</v>
      </c>
    </row>
    <row r="3696" spans="1:2" ht="15" hidden="1" x14ac:dyDescent="0.25">
      <c r="A3696" s="511" t="s">
        <v>234</v>
      </c>
      <c r="B3696" s="511" t="s">
        <v>366</v>
      </c>
    </row>
    <row r="3697" spans="1:2" ht="15" hidden="1" x14ac:dyDescent="0.25">
      <c r="A3697" s="511" t="s">
        <v>234</v>
      </c>
      <c r="B3697" s="511" t="s">
        <v>366</v>
      </c>
    </row>
    <row r="3698" spans="1:2" ht="15" hidden="1" x14ac:dyDescent="0.25">
      <c r="A3698" s="511" t="s">
        <v>234</v>
      </c>
      <c r="B3698" s="511" t="s">
        <v>366</v>
      </c>
    </row>
    <row r="3699" spans="1:2" ht="15" hidden="1" x14ac:dyDescent="0.25">
      <c r="A3699" s="511" t="s">
        <v>234</v>
      </c>
      <c r="B3699" s="511" t="s">
        <v>366</v>
      </c>
    </row>
    <row r="3700" spans="1:2" ht="15" hidden="1" x14ac:dyDescent="0.25">
      <c r="A3700" s="511" t="s">
        <v>234</v>
      </c>
      <c r="B3700" s="511" t="s">
        <v>366</v>
      </c>
    </row>
    <row r="3701" spans="1:2" ht="15" hidden="1" x14ac:dyDescent="0.25">
      <c r="A3701" s="511" t="s">
        <v>234</v>
      </c>
      <c r="B3701" s="511" t="s">
        <v>366</v>
      </c>
    </row>
    <row r="3702" spans="1:2" ht="15" hidden="1" x14ac:dyDescent="0.25">
      <c r="A3702" s="511" t="s">
        <v>234</v>
      </c>
      <c r="B3702" s="511" t="s">
        <v>366</v>
      </c>
    </row>
    <row r="3703" spans="1:2" ht="15" hidden="1" x14ac:dyDescent="0.25">
      <c r="A3703" s="511" t="s">
        <v>234</v>
      </c>
      <c r="B3703" s="511" t="s">
        <v>366</v>
      </c>
    </row>
    <row r="3704" spans="1:2" ht="15" hidden="1" x14ac:dyDescent="0.25">
      <c r="A3704" s="511" t="s">
        <v>234</v>
      </c>
      <c r="B3704" s="511" t="s">
        <v>366</v>
      </c>
    </row>
    <row r="3705" spans="1:2" ht="15" hidden="1" x14ac:dyDescent="0.25">
      <c r="A3705" s="511" t="s">
        <v>234</v>
      </c>
      <c r="B3705" s="511" t="s">
        <v>366</v>
      </c>
    </row>
    <row r="3706" spans="1:2" ht="15" hidden="1" x14ac:dyDescent="0.25">
      <c r="A3706" s="511" t="s">
        <v>234</v>
      </c>
      <c r="B3706" s="511" t="s">
        <v>366</v>
      </c>
    </row>
    <row r="3707" spans="1:2" ht="15" hidden="1" x14ac:dyDescent="0.25">
      <c r="A3707" s="511" t="s">
        <v>234</v>
      </c>
      <c r="B3707" s="511" t="s">
        <v>366</v>
      </c>
    </row>
    <row r="3708" spans="1:2" ht="15" hidden="1" x14ac:dyDescent="0.25">
      <c r="A3708" s="511" t="s">
        <v>234</v>
      </c>
      <c r="B3708" s="511" t="s">
        <v>366</v>
      </c>
    </row>
    <row r="3709" spans="1:2" ht="15" hidden="1" x14ac:dyDescent="0.25">
      <c r="A3709" s="511" t="s">
        <v>234</v>
      </c>
      <c r="B3709" s="511" t="s">
        <v>366</v>
      </c>
    </row>
    <row r="3710" spans="1:2" ht="15" hidden="1" x14ac:dyDescent="0.25">
      <c r="A3710" s="511" t="s">
        <v>234</v>
      </c>
      <c r="B3710" s="511" t="s">
        <v>366</v>
      </c>
    </row>
    <row r="3711" spans="1:2" ht="15" hidden="1" x14ac:dyDescent="0.25">
      <c r="A3711" s="511" t="s">
        <v>195</v>
      </c>
      <c r="B3711" s="511" t="s">
        <v>367</v>
      </c>
    </row>
    <row r="3712" spans="1:2" ht="15" hidden="1" x14ac:dyDescent="0.25">
      <c r="A3712" s="512" t="s">
        <v>195</v>
      </c>
      <c r="B3712" s="511" t="s">
        <v>367</v>
      </c>
    </row>
    <row r="3713" spans="1:2" ht="15" hidden="1" x14ac:dyDescent="0.25">
      <c r="A3713" s="511" t="s">
        <v>196</v>
      </c>
      <c r="B3713" s="511" t="s">
        <v>368</v>
      </c>
    </row>
    <row r="3714" spans="1:2" ht="15" hidden="1" x14ac:dyDescent="0.25">
      <c r="A3714" s="511" t="s">
        <v>196</v>
      </c>
      <c r="B3714" s="511" t="s">
        <v>368</v>
      </c>
    </row>
    <row r="3715" spans="1:2" ht="15" hidden="1" x14ac:dyDescent="0.25">
      <c r="A3715" s="511" t="s">
        <v>196</v>
      </c>
      <c r="B3715" s="511" t="s">
        <v>368</v>
      </c>
    </row>
    <row r="3716" spans="1:2" ht="15" hidden="1" x14ac:dyDescent="0.25">
      <c r="A3716" s="511" t="s">
        <v>196</v>
      </c>
      <c r="B3716" s="511" t="s">
        <v>368</v>
      </c>
    </row>
    <row r="3717" spans="1:2" ht="15" hidden="1" x14ac:dyDescent="0.25">
      <c r="A3717" s="511" t="s">
        <v>196</v>
      </c>
      <c r="B3717" s="511" t="s">
        <v>368</v>
      </c>
    </row>
    <row r="3718" spans="1:2" ht="15" hidden="1" x14ac:dyDescent="0.25">
      <c r="A3718" s="511" t="s">
        <v>197</v>
      </c>
      <c r="B3718" s="511" t="s">
        <v>369</v>
      </c>
    </row>
    <row r="3719" spans="1:2" ht="15" hidden="1" x14ac:dyDescent="0.25">
      <c r="A3719" s="511" t="s">
        <v>197</v>
      </c>
      <c r="B3719" s="511" t="s">
        <v>369</v>
      </c>
    </row>
    <row r="3720" spans="1:2" ht="15" hidden="1" x14ac:dyDescent="0.25">
      <c r="A3720" s="511" t="s">
        <v>197</v>
      </c>
      <c r="B3720" s="511" t="s">
        <v>369</v>
      </c>
    </row>
    <row r="3721" spans="1:2" ht="15" hidden="1" x14ac:dyDescent="0.25">
      <c r="A3721" s="511" t="s">
        <v>197</v>
      </c>
      <c r="B3721" s="511" t="s">
        <v>369</v>
      </c>
    </row>
    <row r="3722" spans="1:2" ht="15" hidden="1" x14ac:dyDescent="0.25">
      <c r="A3722" s="511" t="s">
        <v>197</v>
      </c>
      <c r="B3722" s="511" t="s">
        <v>369</v>
      </c>
    </row>
    <row r="3723" spans="1:2" ht="15" hidden="1" x14ac:dyDescent="0.25">
      <c r="A3723" s="511" t="s">
        <v>197</v>
      </c>
      <c r="B3723" s="511" t="s">
        <v>369</v>
      </c>
    </row>
    <row r="3724" spans="1:2" ht="15" hidden="1" x14ac:dyDescent="0.25">
      <c r="A3724" s="511" t="s">
        <v>197</v>
      </c>
      <c r="B3724" s="511" t="s">
        <v>369</v>
      </c>
    </row>
    <row r="3725" spans="1:2" ht="15" hidden="1" x14ac:dyDescent="0.25">
      <c r="A3725" s="511" t="s">
        <v>199</v>
      </c>
      <c r="B3725" s="511" t="s">
        <v>372</v>
      </c>
    </row>
    <row r="3726" spans="1:2" ht="15" hidden="1" x14ac:dyDescent="0.25">
      <c r="A3726" s="511" t="s">
        <v>199</v>
      </c>
      <c r="B3726" s="511" t="s">
        <v>372</v>
      </c>
    </row>
    <row r="3727" spans="1:2" ht="15" hidden="1" x14ac:dyDescent="0.25">
      <c r="A3727" s="511" t="s">
        <v>199</v>
      </c>
      <c r="B3727" s="511" t="s">
        <v>372</v>
      </c>
    </row>
    <row r="3728" spans="1:2" ht="15" hidden="1" x14ac:dyDescent="0.25">
      <c r="A3728" s="511" t="s">
        <v>199</v>
      </c>
      <c r="B3728" s="511" t="s">
        <v>372</v>
      </c>
    </row>
    <row r="3729" spans="1:2" ht="15" hidden="1" x14ac:dyDescent="0.25">
      <c r="A3729" s="511" t="s">
        <v>199</v>
      </c>
      <c r="B3729" s="511" t="s">
        <v>372</v>
      </c>
    </row>
    <row r="3730" spans="1:2" ht="15" hidden="1" x14ac:dyDescent="0.25">
      <c r="A3730" s="511" t="s">
        <v>1509</v>
      </c>
      <c r="B3730" s="511" t="s">
        <v>1510</v>
      </c>
    </row>
    <row r="3731" spans="1:2" ht="15" hidden="1" x14ac:dyDescent="0.25">
      <c r="A3731" s="511" t="s">
        <v>200</v>
      </c>
      <c r="B3731" s="511" t="s">
        <v>373</v>
      </c>
    </row>
    <row r="3732" spans="1:2" ht="15" hidden="1" x14ac:dyDescent="0.25">
      <c r="A3732" s="511" t="s">
        <v>1319</v>
      </c>
      <c r="B3732" s="511" t="s">
        <v>1320</v>
      </c>
    </row>
    <row r="3733" spans="1:2" ht="15" hidden="1" x14ac:dyDescent="0.25">
      <c r="A3733" s="511" t="s">
        <v>1319</v>
      </c>
      <c r="B3733" s="511" t="s">
        <v>1320</v>
      </c>
    </row>
    <row r="3734" spans="1:2" ht="15" hidden="1" x14ac:dyDescent="0.25">
      <c r="A3734" s="511" t="s">
        <v>1319</v>
      </c>
      <c r="B3734" s="511" t="s">
        <v>1320</v>
      </c>
    </row>
    <row r="3735" spans="1:2" ht="15" hidden="1" x14ac:dyDescent="0.25">
      <c r="A3735" s="511" t="s">
        <v>1319</v>
      </c>
      <c r="B3735" s="511" t="s">
        <v>1320</v>
      </c>
    </row>
    <row r="3736" spans="1:2" ht="15" hidden="1" x14ac:dyDescent="0.25">
      <c r="A3736" s="511" t="s">
        <v>1319</v>
      </c>
      <c r="B3736" s="511" t="s">
        <v>1320</v>
      </c>
    </row>
    <row r="3737" spans="1:2" ht="15" hidden="1" x14ac:dyDescent="0.25">
      <c r="A3737" s="511" t="s">
        <v>1319</v>
      </c>
      <c r="B3737" s="511" t="s">
        <v>1320</v>
      </c>
    </row>
    <row r="3738" spans="1:2" ht="15" hidden="1" x14ac:dyDescent="0.25">
      <c r="A3738" s="511" t="s">
        <v>1319</v>
      </c>
      <c r="B3738" s="511" t="s">
        <v>1320</v>
      </c>
    </row>
    <row r="3739" spans="1:2" ht="15" hidden="1" x14ac:dyDescent="0.25">
      <c r="A3739" s="511" t="s">
        <v>1319</v>
      </c>
      <c r="B3739" s="511" t="s">
        <v>1320</v>
      </c>
    </row>
    <row r="3740" spans="1:2" ht="15" hidden="1" x14ac:dyDescent="0.25">
      <c r="A3740" s="511" t="s">
        <v>1319</v>
      </c>
      <c r="B3740" s="511" t="s">
        <v>1320</v>
      </c>
    </row>
    <row r="3741" spans="1:2" ht="15" hidden="1" x14ac:dyDescent="0.25">
      <c r="A3741" s="511" t="s">
        <v>3014</v>
      </c>
      <c r="B3741" s="511" t="s">
        <v>3014</v>
      </c>
    </row>
    <row r="3742" spans="1:2" ht="15" hidden="1" x14ac:dyDescent="0.25">
      <c r="A3742" s="511" t="s">
        <v>3015</v>
      </c>
      <c r="B3742" s="511" t="s">
        <v>3015</v>
      </c>
    </row>
    <row r="3743" spans="1:2" ht="15" hidden="1" x14ac:dyDescent="0.25">
      <c r="A3743" s="511" t="s">
        <v>3016</v>
      </c>
      <c r="B3743" s="511" t="s">
        <v>3016</v>
      </c>
    </row>
    <row r="3744" spans="1:2" ht="15" hidden="1" x14ac:dyDescent="0.25">
      <c r="A3744" s="511" t="s">
        <v>3017</v>
      </c>
      <c r="B3744" s="511" t="s">
        <v>3017</v>
      </c>
    </row>
    <row r="3745" spans="1:2" ht="15" hidden="1" x14ac:dyDescent="0.25">
      <c r="A3745" s="511" t="s">
        <v>3018</v>
      </c>
      <c r="B3745" s="511" t="s">
        <v>3018</v>
      </c>
    </row>
    <row r="3746" spans="1:2" ht="15" hidden="1" x14ac:dyDescent="0.25">
      <c r="A3746" s="511" t="s">
        <v>3019</v>
      </c>
      <c r="B3746" s="511" t="s">
        <v>3019</v>
      </c>
    </row>
    <row r="3747" spans="1:2" ht="15" hidden="1" x14ac:dyDescent="0.25">
      <c r="A3747" s="511" t="s">
        <v>3020</v>
      </c>
      <c r="B3747" s="511" t="s">
        <v>3020</v>
      </c>
    </row>
    <row r="3748" spans="1:2" ht="15" hidden="1" x14ac:dyDescent="0.25">
      <c r="A3748" s="511" t="s">
        <v>3021</v>
      </c>
      <c r="B3748" s="511" t="s">
        <v>3021</v>
      </c>
    </row>
    <row r="3749" spans="1:2" ht="15" hidden="1" x14ac:dyDescent="0.25">
      <c r="A3749" s="511" t="s">
        <v>3022</v>
      </c>
      <c r="B3749" s="511" t="s">
        <v>3022</v>
      </c>
    </row>
    <row r="3750" spans="1:2" ht="15" hidden="1" x14ac:dyDescent="0.25">
      <c r="A3750" s="511" t="s">
        <v>3023</v>
      </c>
      <c r="B3750" s="511" t="s">
        <v>3023</v>
      </c>
    </row>
    <row r="3751" spans="1:2" ht="15" hidden="1" x14ac:dyDescent="0.25">
      <c r="A3751" s="511" t="s">
        <v>3024</v>
      </c>
      <c r="B3751" s="511" t="s">
        <v>3024</v>
      </c>
    </row>
    <row r="3752" spans="1:2" ht="15" hidden="1" x14ac:dyDescent="0.25">
      <c r="A3752" s="511" t="s">
        <v>3025</v>
      </c>
      <c r="B3752" s="511" t="s">
        <v>3025</v>
      </c>
    </row>
    <row r="3753" spans="1:2" ht="15" hidden="1" x14ac:dyDescent="0.25">
      <c r="A3753" s="511" t="s">
        <v>3026</v>
      </c>
      <c r="B3753" s="511" t="s">
        <v>3026</v>
      </c>
    </row>
    <row r="3754" spans="1:2" ht="15" hidden="1" x14ac:dyDescent="0.25">
      <c r="A3754" s="511" t="s">
        <v>3027</v>
      </c>
      <c r="B3754" s="511" t="s">
        <v>3027</v>
      </c>
    </row>
    <row r="3755" spans="1:2" ht="15" hidden="1" x14ac:dyDescent="0.25">
      <c r="A3755" s="511" t="s">
        <v>3027</v>
      </c>
      <c r="B3755" s="511" t="s">
        <v>3027</v>
      </c>
    </row>
    <row r="3756" spans="1:2" ht="15" hidden="1" x14ac:dyDescent="0.25">
      <c r="A3756" s="511" t="s">
        <v>3028</v>
      </c>
      <c r="B3756" s="511" t="s">
        <v>3028</v>
      </c>
    </row>
    <row r="3757" spans="1:2" ht="15" hidden="1" x14ac:dyDescent="0.25">
      <c r="A3757" s="511" t="s">
        <v>3029</v>
      </c>
      <c r="B3757" s="511" t="s">
        <v>3029</v>
      </c>
    </row>
    <row r="3758" spans="1:2" ht="15" hidden="1" x14ac:dyDescent="0.25">
      <c r="A3758" s="511" t="s">
        <v>3029</v>
      </c>
      <c r="B3758" s="511" t="s">
        <v>3029</v>
      </c>
    </row>
    <row r="3759" spans="1:2" ht="15" hidden="1" x14ac:dyDescent="0.25">
      <c r="A3759" s="511" t="s">
        <v>3030</v>
      </c>
      <c r="B3759" s="511" t="s">
        <v>3030</v>
      </c>
    </row>
    <row r="3760" spans="1:2" ht="15" hidden="1" x14ac:dyDescent="0.25">
      <c r="A3760" s="511" t="s">
        <v>3031</v>
      </c>
      <c r="B3760" s="511" t="s">
        <v>3031</v>
      </c>
    </row>
    <row r="3761" spans="1:2" ht="15" hidden="1" x14ac:dyDescent="0.25">
      <c r="A3761" s="511" t="s">
        <v>3032</v>
      </c>
      <c r="B3761" s="511" t="s">
        <v>3032</v>
      </c>
    </row>
    <row r="3762" spans="1:2" ht="15" hidden="1" x14ac:dyDescent="0.25">
      <c r="A3762" s="511" t="s">
        <v>3033</v>
      </c>
      <c r="B3762" s="511" t="s">
        <v>3033</v>
      </c>
    </row>
    <row r="3763" spans="1:2" ht="15" hidden="1" x14ac:dyDescent="0.25">
      <c r="A3763" s="511" t="s">
        <v>3034</v>
      </c>
      <c r="B3763" s="511" t="s">
        <v>3034</v>
      </c>
    </row>
    <row r="3764" spans="1:2" ht="15" hidden="1" x14ac:dyDescent="0.25">
      <c r="A3764" s="511" t="s">
        <v>2932</v>
      </c>
      <c r="B3764" s="511" t="s">
        <v>2932</v>
      </c>
    </row>
    <row r="3765" spans="1:2" ht="15" hidden="1" x14ac:dyDescent="0.25">
      <c r="A3765" s="511" t="s">
        <v>3035</v>
      </c>
      <c r="B3765" s="511" t="s">
        <v>3035</v>
      </c>
    </row>
    <row r="3766" spans="1:2" ht="15" hidden="1" x14ac:dyDescent="0.25">
      <c r="A3766" s="511" t="s">
        <v>3036</v>
      </c>
      <c r="B3766" s="511" t="s">
        <v>3036</v>
      </c>
    </row>
    <row r="3767" spans="1:2" ht="15" hidden="1" x14ac:dyDescent="0.25">
      <c r="A3767" s="511" t="s">
        <v>3036</v>
      </c>
      <c r="B3767" s="511" t="s">
        <v>3036</v>
      </c>
    </row>
    <row r="3768" spans="1:2" ht="15" hidden="1" x14ac:dyDescent="0.25">
      <c r="A3768" s="511" t="s">
        <v>3037</v>
      </c>
      <c r="B3768" s="511" t="s">
        <v>3037</v>
      </c>
    </row>
    <row r="3769" spans="1:2" ht="15" hidden="1" x14ac:dyDescent="0.25">
      <c r="A3769" s="511" t="s">
        <v>3038</v>
      </c>
      <c r="B3769" s="511" t="s">
        <v>3038</v>
      </c>
    </row>
    <row r="3770" spans="1:2" ht="15" hidden="1" x14ac:dyDescent="0.25">
      <c r="A3770" s="511" t="s">
        <v>3038</v>
      </c>
      <c r="B3770" s="511" t="s">
        <v>3038</v>
      </c>
    </row>
    <row r="3771" spans="1:2" ht="15" hidden="1" x14ac:dyDescent="0.25">
      <c r="A3771" s="511" t="s">
        <v>3039</v>
      </c>
      <c r="B3771" s="511" t="s">
        <v>3039</v>
      </c>
    </row>
    <row r="3772" spans="1:2" ht="15" hidden="1" x14ac:dyDescent="0.25">
      <c r="A3772" s="511" t="s">
        <v>3039</v>
      </c>
      <c r="B3772" s="511" t="s">
        <v>3039</v>
      </c>
    </row>
    <row r="3773" spans="1:2" ht="15" hidden="1" x14ac:dyDescent="0.25">
      <c r="A3773" s="511" t="s">
        <v>3040</v>
      </c>
      <c r="B3773" s="511" t="s">
        <v>3040</v>
      </c>
    </row>
    <row r="3774" spans="1:2" ht="15" hidden="1" x14ac:dyDescent="0.25">
      <c r="A3774" s="511" t="s">
        <v>3041</v>
      </c>
      <c r="B3774" s="511" t="s">
        <v>3041</v>
      </c>
    </row>
    <row r="3775" spans="1:2" ht="15" hidden="1" x14ac:dyDescent="0.25">
      <c r="A3775" s="511" t="s">
        <v>3042</v>
      </c>
      <c r="B3775" s="511" t="s">
        <v>3042</v>
      </c>
    </row>
    <row r="3776" spans="1:2" ht="15" hidden="1" x14ac:dyDescent="0.25">
      <c r="A3776" s="511" t="s">
        <v>3043</v>
      </c>
      <c r="B3776" s="511" t="s">
        <v>3043</v>
      </c>
    </row>
    <row r="3777" spans="1:2" ht="15" hidden="1" x14ac:dyDescent="0.25">
      <c r="A3777" s="511" t="s">
        <v>3044</v>
      </c>
      <c r="B3777" s="511" t="s">
        <v>3044</v>
      </c>
    </row>
    <row r="3778" spans="1:2" ht="15" hidden="1" x14ac:dyDescent="0.25">
      <c r="A3778" s="511" t="s">
        <v>3044</v>
      </c>
      <c r="B3778" s="511" t="s">
        <v>3044</v>
      </c>
    </row>
    <row r="3779" spans="1:2" ht="15" hidden="1" x14ac:dyDescent="0.25">
      <c r="A3779" s="511" t="s">
        <v>3045</v>
      </c>
      <c r="B3779" s="511" t="s">
        <v>3045</v>
      </c>
    </row>
    <row r="3780" spans="1:2" ht="15" hidden="1" x14ac:dyDescent="0.25">
      <c r="A3780" s="511" t="s">
        <v>3046</v>
      </c>
      <c r="B3780" s="511" t="s">
        <v>3046</v>
      </c>
    </row>
    <row r="3781" spans="1:2" ht="15" hidden="1" x14ac:dyDescent="0.25">
      <c r="A3781" s="511" t="s">
        <v>3047</v>
      </c>
      <c r="B3781" s="511" t="s">
        <v>3047</v>
      </c>
    </row>
    <row r="3782" spans="1:2" ht="15" hidden="1" x14ac:dyDescent="0.25">
      <c r="A3782" s="511" t="s">
        <v>3048</v>
      </c>
      <c r="B3782" s="511" t="s">
        <v>3048</v>
      </c>
    </row>
    <row r="3783" spans="1:2" ht="15" hidden="1" x14ac:dyDescent="0.25">
      <c r="A3783" s="511" t="s">
        <v>3049</v>
      </c>
      <c r="B3783" s="511" t="s">
        <v>3049</v>
      </c>
    </row>
    <row r="3784" spans="1:2" ht="15" hidden="1" x14ac:dyDescent="0.25">
      <c r="A3784" s="511" t="s">
        <v>3050</v>
      </c>
      <c r="B3784" s="511" t="s">
        <v>3050</v>
      </c>
    </row>
    <row r="3785" spans="1:2" ht="15" hidden="1" x14ac:dyDescent="0.25">
      <c r="A3785" s="511" t="s">
        <v>3051</v>
      </c>
      <c r="B3785" s="511" t="s">
        <v>3051</v>
      </c>
    </row>
    <row r="3786" spans="1:2" ht="15" hidden="1" x14ac:dyDescent="0.25">
      <c r="A3786" s="511" t="s">
        <v>3052</v>
      </c>
      <c r="B3786" s="511" t="s">
        <v>3052</v>
      </c>
    </row>
    <row r="3787" spans="1:2" ht="15" hidden="1" x14ac:dyDescent="0.25">
      <c r="A3787" s="511" t="s">
        <v>3053</v>
      </c>
      <c r="B3787" s="511" t="s">
        <v>3053</v>
      </c>
    </row>
    <row r="3788" spans="1:2" ht="15" hidden="1" x14ac:dyDescent="0.25">
      <c r="A3788" s="511" t="s">
        <v>3054</v>
      </c>
      <c r="B3788" s="511" t="s">
        <v>3054</v>
      </c>
    </row>
    <row r="3789" spans="1:2" ht="15" hidden="1" x14ac:dyDescent="0.25">
      <c r="A3789" s="511" t="s">
        <v>3055</v>
      </c>
      <c r="B3789" s="511" t="s">
        <v>3055</v>
      </c>
    </row>
    <row r="3790" spans="1:2" ht="15" hidden="1" x14ac:dyDescent="0.25">
      <c r="A3790" s="511" t="s">
        <v>3056</v>
      </c>
      <c r="B3790" s="511" t="s">
        <v>3056</v>
      </c>
    </row>
    <row r="3791" spans="1:2" ht="15" hidden="1" x14ac:dyDescent="0.25">
      <c r="A3791" s="511" t="s">
        <v>3057</v>
      </c>
      <c r="B3791" s="511" t="s">
        <v>3057</v>
      </c>
    </row>
    <row r="3792" spans="1:2" ht="15" hidden="1" x14ac:dyDescent="0.25">
      <c r="A3792" s="511" t="s">
        <v>3057</v>
      </c>
      <c r="B3792" s="511" t="s">
        <v>3057</v>
      </c>
    </row>
    <row r="3793" spans="1:2" ht="15" hidden="1" x14ac:dyDescent="0.25">
      <c r="A3793" s="511" t="s">
        <v>3058</v>
      </c>
      <c r="B3793" s="511" t="s">
        <v>3058</v>
      </c>
    </row>
    <row r="3794" spans="1:2" ht="15" hidden="1" x14ac:dyDescent="0.25">
      <c r="A3794" s="511" t="s">
        <v>3059</v>
      </c>
      <c r="B3794" s="511" t="s">
        <v>3059</v>
      </c>
    </row>
    <row r="3795" spans="1:2" ht="15" hidden="1" x14ac:dyDescent="0.25">
      <c r="A3795" s="511" t="s">
        <v>3060</v>
      </c>
      <c r="B3795" s="511" t="s">
        <v>3060</v>
      </c>
    </row>
    <row r="3796" spans="1:2" ht="15" hidden="1" x14ac:dyDescent="0.25">
      <c r="A3796" s="511" t="s">
        <v>3061</v>
      </c>
      <c r="B3796" s="511" t="s">
        <v>3061</v>
      </c>
    </row>
    <row r="3797" spans="1:2" ht="15" hidden="1" x14ac:dyDescent="0.25">
      <c r="A3797" s="511" t="s">
        <v>3062</v>
      </c>
      <c r="B3797" s="511" t="s">
        <v>3062</v>
      </c>
    </row>
    <row r="3798" spans="1:2" ht="15" hidden="1" x14ac:dyDescent="0.25">
      <c r="A3798" s="511" t="s">
        <v>3063</v>
      </c>
      <c r="B3798" s="511" t="s">
        <v>3063</v>
      </c>
    </row>
    <row r="3799" spans="1:2" ht="15" hidden="1" x14ac:dyDescent="0.25">
      <c r="A3799" s="511" t="s">
        <v>3064</v>
      </c>
      <c r="B3799" s="511" t="s">
        <v>3064</v>
      </c>
    </row>
    <row r="3800" spans="1:2" ht="15" hidden="1" x14ac:dyDescent="0.25">
      <c r="A3800" s="511" t="s">
        <v>3064</v>
      </c>
      <c r="B3800" s="511" t="s">
        <v>3064</v>
      </c>
    </row>
    <row r="3801" spans="1:2" ht="15" hidden="1" x14ac:dyDescent="0.25">
      <c r="A3801" s="511" t="s">
        <v>3065</v>
      </c>
      <c r="B3801" s="511" t="s">
        <v>3065</v>
      </c>
    </row>
    <row r="3802" spans="1:2" ht="15" hidden="1" x14ac:dyDescent="0.25">
      <c r="A3802" s="511" t="s">
        <v>3066</v>
      </c>
      <c r="B3802" s="511" t="s">
        <v>3066</v>
      </c>
    </row>
    <row r="3803" spans="1:2" ht="15" hidden="1" x14ac:dyDescent="0.25">
      <c r="A3803" s="511" t="s">
        <v>3067</v>
      </c>
      <c r="B3803" s="511" t="s">
        <v>3067</v>
      </c>
    </row>
    <row r="3804" spans="1:2" ht="15" hidden="1" x14ac:dyDescent="0.25">
      <c r="A3804" s="511" t="s">
        <v>3067</v>
      </c>
      <c r="B3804" s="511" t="s">
        <v>3067</v>
      </c>
    </row>
    <row r="3805" spans="1:2" ht="15" hidden="1" x14ac:dyDescent="0.25">
      <c r="A3805" s="511" t="s">
        <v>3068</v>
      </c>
      <c r="B3805" s="511" t="s">
        <v>3068</v>
      </c>
    </row>
    <row r="3806" spans="1:2" ht="15" hidden="1" x14ac:dyDescent="0.25">
      <c r="A3806" s="511" t="s">
        <v>3069</v>
      </c>
      <c r="B3806" s="511" t="s">
        <v>3069</v>
      </c>
    </row>
    <row r="3807" spans="1:2" ht="15" hidden="1" x14ac:dyDescent="0.25">
      <c r="A3807" s="511" t="s">
        <v>3069</v>
      </c>
      <c r="B3807" s="511" t="s">
        <v>3069</v>
      </c>
    </row>
    <row r="3808" spans="1:2" ht="15" hidden="1" x14ac:dyDescent="0.25">
      <c r="A3808" s="511" t="s">
        <v>3070</v>
      </c>
      <c r="B3808" s="511" t="s">
        <v>3070</v>
      </c>
    </row>
    <row r="3809" spans="1:2" ht="15" hidden="1" x14ac:dyDescent="0.25">
      <c r="A3809" s="511" t="s">
        <v>3071</v>
      </c>
      <c r="B3809" s="511" t="s">
        <v>3071</v>
      </c>
    </row>
    <row r="3810" spans="1:2" ht="15" hidden="1" x14ac:dyDescent="0.25">
      <c r="A3810" s="511" t="s">
        <v>3072</v>
      </c>
      <c r="B3810" s="511" t="s">
        <v>3072</v>
      </c>
    </row>
    <row r="3811" spans="1:2" ht="15" hidden="1" x14ac:dyDescent="0.25">
      <c r="A3811" s="511" t="s">
        <v>3073</v>
      </c>
      <c r="B3811" s="511" t="s">
        <v>3073</v>
      </c>
    </row>
    <row r="3812" spans="1:2" ht="15" hidden="1" x14ac:dyDescent="0.25">
      <c r="A3812" s="511" t="s">
        <v>3074</v>
      </c>
      <c r="B3812" s="511" t="s">
        <v>3074</v>
      </c>
    </row>
    <row r="3813" spans="1:2" ht="15" hidden="1" x14ac:dyDescent="0.25">
      <c r="A3813" s="511" t="s">
        <v>3075</v>
      </c>
      <c r="B3813" s="511" t="s">
        <v>3075</v>
      </c>
    </row>
    <row r="3814" spans="1:2" ht="15" hidden="1" x14ac:dyDescent="0.25">
      <c r="A3814" s="511" t="s">
        <v>3076</v>
      </c>
      <c r="B3814" s="511" t="s">
        <v>3077</v>
      </c>
    </row>
    <row r="3815" spans="1:2" ht="15" hidden="1" x14ac:dyDescent="0.25">
      <c r="A3815" s="511" t="s">
        <v>3078</v>
      </c>
      <c r="B3815" s="511" t="s">
        <v>3079</v>
      </c>
    </row>
    <row r="3816" spans="1:2" ht="15" hidden="1" x14ac:dyDescent="0.25">
      <c r="A3816" s="511" t="s">
        <v>3080</v>
      </c>
      <c r="B3816" s="511" t="s">
        <v>3081</v>
      </c>
    </row>
    <row r="3817" spans="1:2" ht="15" hidden="1" x14ac:dyDescent="0.25">
      <c r="A3817" s="511" t="s">
        <v>3082</v>
      </c>
      <c r="B3817" s="511" t="s">
        <v>3083</v>
      </c>
    </row>
    <row r="3818" spans="1:2" ht="15" hidden="1" x14ac:dyDescent="0.25">
      <c r="A3818" s="511" t="s">
        <v>3082</v>
      </c>
      <c r="B3818" s="511" t="s">
        <v>3083</v>
      </c>
    </row>
    <row r="3819" spans="1:2" ht="15" hidden="1" x14ac:dyDescent="0.25">
      <c r="A3819" s="511" t="s">
        <v>1818</v>
      </c>
      <c r="B3819" s="511" t="s">
        <v>3084</v>
      </c>
    </row>
    <row r="3820" spans="1:2" ht="15" hidden="1" x14ac:dyDescent="0.25">
      <c r="A3820" s="511" t="s">
        <v>1818</v>
      </c>
      <c r="B3820" s="511" t="s">
        <v>1819</v>
      </c>
    </row>
    <row r="3821" spans="1:2" ht="15" hidden="1" x14ac:dyDescent="0.25">
      <c r="A3821" s="511" t="s">
        <v>1818</v>
      </c>
      <c r="B3821" s="511" t="s">
        <v>1819</v>
      </c>
    </row>
    <row r="3822" spans="1:2" ht="15" hidden="1" x14ac:dyDescent="0.25">
      <c r="A3822" s="511" t="s">
        <v>3085</v>
      </c>
      <c r="B3822" s="511" t="s">
        <v>3086</v>
      </c>
    </row>
    <row r="3823" spans="1:2" ht="15" hidden="1" x14ac:dyDescent="0.25">
      <c r="A3823" s="511" t="s">
        <v>3087</v>
      </c>
      <c r="B3823" s="511" t="s">
        <v>3088</v>
      </c>
    </row>
    <row r="3824" spans="1:2" ht="15" hidden="1" x14ac:dyDescent="0.25">
      <c r="A3824" s="511" t="s">
        <v>3089</v>
      </c>
      <c r="B3824" s="511" t="s">
        <v>3090</v>
      </c>
    </row>
    <row r="3825" spans="1:2" ht="15" hidden="1" x14ac:dyDescent="0.25">
      <c r="A3825" s="511" t="s">
        <v>3089</v>
      </c>
      <c r="B3825" s="511" t="s">
        <v>3090</v>
      </c>
    </row>
    <row r="3826" spans="1:2" ht="15" hidden="1" x14ac:dyDescent="0.25">
      <c r="A3826" s="511" t="s">
        <v>3089</v>
      </c>
      <c r="B3826" s="511" t="s">
        <v>3090</v>
      </c>
    </row>
    <row r="3827" spans="1:2" ht="15" hidden="1" x14ac:dyDescent="0.25">
      <c r="A3827" s="511" t="s">
        <v>3091</v>
      </c>
      <c r="B3827" s="511" t="s">
        <v>3092</v>
      </c>
    </row>
    <row r="3828" spans="1:2" ht="15" hidden="1" x14ac:dyDescent="0.25">
      <c r="A3828" s="511" t="s">
        <v>2329</v>
      </c>
      <c r="B3828" s="511" t="s">
        <v>3093</v>
      </c>
    </row>
    <row r="3829" spans="1:2" ht="15" hidden="1" x14ac:dyDescent="0.25">
      <c r="A3829" s="511" t="s">
        <v>2329</v>
      </c>
      <c r="B3829" s="511" t="s">
        <v>3093</v>
      </c>
    </row>
    <row r="3830" spans="1:2" ht="15" hidden="1" x14ac:dyDescent="0.25">
      <c r="A3830" s="511" t="s">
        <v>3094</v>
      </c>
      <c r="B3830" s="511" t="s">
        <v>3095</v>
      </c>
    </row>
    <row r="3831" spans="1:2" ht="15" hidden="1" x14ac:dyDescent="0.25">
      <c r="A3831" s="511" t="s">
        <v>1587</v>
      </c>
      <c r="B3831" s="511" t="s">
        <v>1588</v>
      </c>
    </row>
    <row r="3832" spans="1:2" ht="15" hidden="1" x14ac:dyDescent="0.25">
      <c r="A3832" s="511" t="s">
        <v>1587</v>
      </c>
      <c r="B3832" s="511" t="s">
        <v>1588</v>
      </c>
    </row>
    <row r="3833" spans="1:2" ht="15" hidden="1" x14ac:dyDescent="0.25">
      <c r="A3833" s="511" t="s">
        <v>3096</v>
      </c>
      <c r="B3833" s="511" t="s">
        <v>3097</v>
      </c>
    </row>
    <row r="3834" spans="1:2" ht="15" hidden="1" x14ac:dyDescent="0.25">
      <c r="A3834" s="511" t="s">
        <v>3096</v>
      </c>
      <c r="B3834" s="511" t="s">
        <v>3097</v>
      </c>
    </row>
    <row r="3835" spans="1:2" ht="15" hidden="1" x14ac:dyDescent="0.25">
      <c r="A3835" s="511" t="s">
        <v>3098</v>
      </c>
      <c r="B3835" s="511" t="s">
        <v>3099</v>
      </c>
    </row>
    <row r="3836" spans="1:2" ht="15" hidden="1" x14ac:dyDescent="0.25">
      <c r="A3836" s="511" t="s">
        <v>1717</v>
      </c>
      <c r="B3836" s="511" t="s">
        <v>1718</v>
      </c>
    </row>
    <row r="3837" spans="1:2" ht="15" hidden="1" x14ac:dyDescent="0.25">
      <c r="A3837" s="511" t="s">
        <v>1717</v>
      </c>
      <c r="B3837" s="511" t="s">
        <v>1718</v>
      </c>
    </row>
    <row r="3838" spans="1:2" ht="15" hidden="1" x14ac:dyDescent="0.25">
      <c r="A3838" s="511" t="s">
        <v>3100</v>
      </c>
      <c r="B3838" s="511" t="s">
        <v>3101</v>
      </c>
    </row>
    <row r="3839" spans="1:2" ht="15" hidden="1" x14ac:dyDescent="0.25">
      <c r="A3839" s="511" t="s">
        <v>3100</v>
      </c>
      <c r="B3839" s="511" t="s">
        <v>3101</v>
      </c>
    </row>
    <row r="3840" spans="1:2" ht="15" hidden="1" x14ac:dyDescent="0.25">
      <c r="A3840" s="511" t="s">
        <v>3102</v>
      </c>
      <c r="B3840" s="511" t="s">
        <v>3103</v>
      </c>
    </row>
    <row r="3841" spans="1:2" ht="15" hidden="1" x14ac:dyDescent="0.25">
      <c r="A3841" s="511" t="s">
        <v>3104</v>
      </c>
      <c r="B3841" s="511" t="s">
        <v>3105</v>
      </c>
    </row>
    <row r="3842" spans="1:2" ht="15" hidden="1" x14ac:dyDescent="0.25">
      <c r="A3842" s="511" t="s">
        <v>3106</v>
      </c>
      <c r="B3842" s="511" t="s">
        <v>3107</v>
      </c>
    </row>
    <row r="3843" spans="1:2" ht="15" hidden="1" x14ac:dyDescent="0.25">
      <c r="A3843" s="511" t="s">
        <v>2360</v>
      </c>
      <c r="B3843" s="511" t="s">
        <v>2361</v>
      </c>
    </row>
    <row r="3844" spans="1:2" ht="15" hidden="1" x14ac:dyDescent="0.25">
      <c r="A3844" s="511" t="s">
        <v>2360</v>
      </c>
      <c r="B3844" s="511" t="s">
        <v>2361</v>
      </c>
    </row>
    <row r="3845" spans="1:2" ht="15" hidden="1" x14ac:dyDescent="0.25">
      <c r="A3845" s="511" t="s">
        <v>3108</v>
      </c>
      <c r="B3845" s="511" t="s">
        <v>3109</v>
      </c>
    </row>
    <row r="3846" spans="1:2" ht="15" hidden="1" x14ac:dyDescent="0.25">
      <c r="A3846" s="511" t="s">
        <v>3110</v>
      </c>
      <c r="B3846" s="511" t="s">
        <v>3111</v>
      </c>
    </row>
    <row r="3847" spans="1:2" ht="15" hidden="1" x14ac:dyDescent="0.25">
      <c r="A3847" s="511" t="s">
        <v>1840</v>
      </c>
      <c r="B3847" s="511" t="s">
        <v>1841</v>
      </c>
    </row>
    <row r="3848" spans="1:2" ht="15" hidden="1" x14ac:dyDescent="0.25">
      <c r="A3848" s="511" t="s">
        <v>1840</v>
      </c>
      <c r="B3848" s="511" t="s">
        <v>1841</v>
      </c>
    </row>
    <row r="3849" spans="1:2" ht="15" hidden="1" x14ac:dyDescent="0.25">
      <c r="A3849" s="511" t="s">
        <v>1842</v>
      </c>
      <c r="B3849" s="511" t="s">
        <v>1843</v>
      </c>
    </row>
    <row r="3850" spans="1:2" ht="15" hidden="1" x14ac:dyDescent="0.25">
      <c r="A3850" s="511" t="s">
        <v>1844</v>
      </c>
      <c r="B3850" s="511" t="s">
        <v>1845</v>
      </c>
    </row>
    <row r="3851" spans="1:2" ht="15" hidden="1" x14ac:dyDescent="0.25">
      <c r="A3851" s="511" t="s">
        <v>3112</v>
      </c>
      <c r="B3851" s="511" t="s">
        <v>3113</v>
      </c>
    </row>
    <row r="3852" spans="1:2" ht="15" hidden="1" x14ac:dyDescent="0.25">
      <c r="A3852" s="511" t="s">
        <v>1846</v>
      </c>
      <c r="B3852" s="511" t="s">
        <v>1847</v>
      </c>
    </row>
    <row r="3853" spans="1:2" ht="15" hidden="1" x14ac:dyDescent="0.25">
      <c r="A3853" s="511" t="s">
        <v>3114</v>
      </c>
      <c r="B3853" s="511" t="s">
        <v>3115</v>
      </c>
    </row>
    <row r="3854" spans="1:2" ht="15" hidden="1" x14ac:dyDescent="0.25">
      <c r="A3854" s="511" t="s">
        <v>3116</v>
      </c>
      <c r="B3854" s="511" t="s">
        <v>3117</v>
      </c>
    </row>
    <row r="3855" spans="1:2" ht="15" hidden="1" x14ac:dyDescent="0.25">
      <c r="A3855" s="511" t="s">
        <v>3118</v>
      </c>
      <c r="B3855" s="511" t="s">
        <v>3119</v>
      </c>
    </row>
    <row r="3856" spans="1:2" ht="15" hidden="1" x14ac:dyDescent="0.25">
      <c r="A3856" s="511" t="s">
        <v>1861</v>
      </c>
      <c r="B3856" s="511" t="s">
        <v>1862</v>
      </c>
    </row>
    <row r="3857" spans="1:2" ht="15" hidden="1" x14ac:dyDescent="0.25">
      <c r="A3857" s="511" t="s">
        <v>3120</v>
      </c>
      <c r="B3857" s="511" t="s">
        <v>3121</v>
      </c>
    </row>
    <row r="3858" spans="1:2" ht="15" hidden="1" x14ac:dyDescent="0.25">
      <c r="A3858" s="511" t="s">
        <v>2394</v>
      </c>
      <c r="B3858" s="511" t="s">
        <v>2395</v>
      </c>
    </row>
    <row r="3859" spans="1:2" ht="15" hidden="1" x14ac:dyDescent="0.25">
      <c r="A3859" s="511" t="s">
        <v>1863</v>
      </c>
      <c r="B3859" s="511" t="s">
        <v>1864</v>
      </c>
    </row>
    <row r="3860" spans="1:2" ht="15" hidden="1" x14ac:dyDescent="0.25">
      <c r="A3860" s="511" t="s">
        <v>3122</v>
      </c>
      <c r="B3860" s="511" t="s">
        <v>3123</v>
      </c>
    </row>
    <row r="3861" spans="1:2" ht="15" hidden="1" x14ac:dyDescent="0.25">
      <c r="A3861" s="511" t="s">
        <v>3122</v>
      </c>
      <c r="B3861" s="511" t="s">
        <v>3123</v>
      </c>
    </row>
    <row r="3862" spans="1:2" ht="15" hidden="1" x14ac:dyDescent="0.25">
      <c r="A3862" s="511" t="s">
        <v>2401</v>
      </c>
      <c r="B3862" s="511" t="s">
        <v>2402</v>
      </c>
    </row>
    <row r="3863" spans="1:2" ht="15" hidden="1" x14ac:dyDescent="0.25">
      <c r="A3863" s="511" t="s">
        <v>2401</v>
      </c>
      <c r="B3863" s="511" t="s">
        <v>2402</v>
      </c>
    </row>
    <row r="3864" spans="1:2" ht="15" hidden="1" x14ac:dyDescent="0.25">
      <c r="A3864" s="511" t="s">
        <v>3124</v>
      </c>
      <c r="B3864" s="511" t="s">
        <v>3125</v>
      </c>
    </row>
    <row r="3865" spans="1:2" ht="15" hidden="1" x14ac:dyDescent="0.25">
      <c r="A3865" s="511" t="s">
        <v>3124</v>
      </c>
      <c r="B3865" s="511" t="s">
        <v>3125</v>
      </c>
    </row>
    <row r="3866" spans="1:2" ht="15" hidden="1" x14ac:dyDescent="0.25">
      <c r="A3866" s="511" t="s">
        <v>3124</v>
      </c>
      <c r="B3866" s="511" t="s">
        <v>3125</v>
      </c>
    </row>
    <row r="3867" spans="1:2" ht="15" hidden="1" x14ac:dyDescent="0.25">
      <c r="A3867" s="511" t="s">
        <v>3126</v>
      </c>
      <c r="B3867" s="511" t="s">
        <v>3127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topLeftCell="A34" workbookViewId="0">
      <selection activeCell="B6" sqref="B6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28">
        <v>2428.8000000000002</v>
      </c>
      <c r="K1" s="527">
        <v>0</v>
      </c>
      <c r="L1"/>
      <c r="M1" s="527" t="s">
        <v>3140</v>
      </c>
    </row>
    <row r="2" spans="1:13" x14ac:dyDescent="0.2">
      <c r="A2" s="358" t="s">
        <v>163</v>
      </c>
      <c r="B2" s="321">
        <v>385.23</v>
      </c>
      <c r="D2" s="270">
        <v>350.21</v>
      </c>
      <c r="E2" s="269"/>
      <c r="F2" s="269">
        <v>333.82</v>
      </c>
      <c r="J2" s="528">
        <v>2826.65</v>
      </c>
      <c r="K2" s="527">
        <v>7.4999999999999997E-2</v>
      </c>
      <c r="L2" s="527">
        <v>182.16</v>
      </c>
      <c r="M2" s="527" t="s">
        <v>3141</v>
      </c>
    </row>
    <row r="3" spans="1:13" x14ac:dyDescent="0.2">
      <c r="A3" s="358" t="s">
        <v>19</v>
      </c>
      <c r="B3" s="321">
        <v>7492.52</v>
      </c>
      <c r="D3" s="269">
        <v>6811.38</v>
      </c>
      <c r="E3" s="269"/>
      <c r="F3" s="269">
        <v>6492.53</v>
      </c>
      <c r="J3" s="528">
        <v>3751.05</v>
      </c>
      <c r="K3" s="527">
        <v>0.15</v>
      </c>
      <c r="L3" s="527">
        <v>394.16</v>
      </c>
      <c r="M3" s="527" t="s">
        <v>3142</v>
      </c>
    </row>
    <row r="4" spans="1:13" x14ac:dyDescent="0.2">
      <c r="A4" s="358" t="s">
        <v>150</v>
      </c>
      <c r="B4" s="321">
        <v>2043.65</v>
      </c>
      <c r="D4" s="269">
        <v>2043.65</v>
      </c>
      <c r="E4" s="269"/>
      <c r="F4" s="269">
        <v>1947.98</v>
      </c>
      <c r="J4" s="528">
        <v>4664.68</v>
      </c>
      <c r="K4" s="527">
        <v>0.22500000000000001</v>
      </c>
      <c r="L4" s="527">
        <v>675.49</v>
      </c>
      <c r="M4" s="527" t="s">
        <v>3143</v>
      </c>
    </row>
    <row r="5" spans="1:13" x14ac:dyDescent="0.2">
      <c r="A5" s="358" t="s">
        <v>164</v>
      </c>
      <c r="B5" s="321">
        <v>621.14</v>
      </c>
      <c r="D5" s="269">
        <v>564.66999999999996</v>
      </c>
      <c r="E5" s="269"/>
      <c r="F5" s="269">
        <v>538.24</v>
      </c>
      <c r="J5" s="528">
        <v>999999999</v>
      </c>
      <c r="K5" s="527">
        <v>0.27500000000000002</v>
      </c>
      <c r="L5" s="527">
        <v>908.73</v>
      </c>
      <c r="M5" s="527" t="s">
        <v>3144</v>
      </c>
    </row>
    <row r="6" spans="1:13" x14ac:dyDescent="0.2">
      <c r="A6" s="358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27">
        <v>5000</v>
      </c>
      <c r="K6" s="56">
        <v>7350</v>
      </c>
      <c r="L6" s="56">
        <v>978.62</v>
      </c>
      <c r="M6" s="527">
        <v>0.13314500000000001</v>
      </c>
    </row>
    <row r="7" spans="1:13" x14ac:dyDescent="0.2">
      <c r="A7" s="358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58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789" t="s">
        <v>3145</v>
      </c>
      <c r="K8" s="789"/>
      <c r="L8" s="789"/>
      <c r="M8" s="789"/>
    </row>
    <row r="9" spans="1:13" x14ac:dyDescent="0.2">
      <c r="A9" s="358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3" t="s">
        <v>213</v>
      </c>
      <c r="B11" s="356">
        <v>46113</v>
      </c>
      <c r="C11" s="357">
        <v>46142</v>
      </c>
    </row>
    <row r="13" spans="1:13" x14ac:dyDescent="0.2">
      <c r="A13" s="353" t="s">
        <v>40</v>
      </c>
      <c r="B13" s="353">
        <f>VLOOKUP(B11,A24:B34,2)</f>
        <v>19</v>
      </c>
    </row>
    <row r="16" spans="1:13" x14ac:dyDescent="0.2">
      <c r="A16" s="353" t="s">
        <v>170</v>
      </c>
      <c r="B16" s="353"/>
    </row>
    <row r="17" spans="1:5" x14ac:dyDescent="0.2">
      <c r="A17" s="358" t="s">
        <v>171</v>
      </c>
      <c r="B17" s="325">
        <v>1.4999999999999999E-2</v>
      </c>
      <c r="D17" s="355"/>
      <c r="E17" s="95" t="s">
        <v>214</v>
      </c>
    </row>
    <row r="18" spans="1:5" x14ac:dyDescent="0.2">
      <c r="A18" s="358" t="s">
        <v>172</v>
      </c>
      <c r="B18" s="325">
        <v>2.4E-2</v>
      </c>
    </row>
    <row r="22" spans="1:5" x14ac:dyDescent="0.2">
      <c r="A22" s="353" t="s">
        <v>212</v>
      </c>
      <c r="B22" s="353"/>
    </row>
    <row r="23" spans="1:5" x14ac:dyDescent="0.2">
      <c r="A23" s="354">
        <v>46023</v>
      </c>
      <c r="B23" s="355">
        <v>0</v>
      </c>
    </row>
    <row r="24" spans="1:5" x14ac:dyDescent="0.2">
      <c r="A24" s="354">
        <v>46054</v>
      </c>
      <c r="B24" s="355">
        <v>16</v>
      </c>
    </row>
    <row r="25" spans="1:5" x14ac:dyDescent="0.2">
      <c r="A25" s="354">
        <v>46082</v>
      </c>
      <c r="B25" s="355">
        <v>22</v>
      </c>
    </row>
    <row r="26" spans="1:5" x14ac:dyDescent="0.2">
      <c r="A26" s="354">
        <v>46113</v>
      </c>
      <c r="B26" s="355">
        <v>19</v>
      </c>
    </row>
    <row r="27" spans="1:5" x14ac:dyDescent="0.2">
      <c r="A27" s="354">
        <v>46143</v>
      </c>
      <c r="B27" s="355">
        <v>20</v>
      </c>
    </row>
    <row r="28" spans="1:5" x14ac:dyDescent="0.2">
      <c r="A28" s="354">
        <v>46174</v>
      </c>
      <c r="B28" s="355">
        <v>20</v>
      </c>
    </row>
    <row r="29" spans="1:5" x14ac:dyDescent="0.2">
      <c r="A29" s="354">
        <v>46204</v>
      </c>
      <c r="B29" s="355"/>
    </row>
    <row r="30" spans="1:5" x14ac:dyDescent="0.2">
      <c r="A30" s="354">
        <v>46235</v>
      </c>
      <c r="B30" s="355"/>
    </row>
    <row r="31" spans="1:5" x14ac:dyDescent="0.2">
      <c r="A31" s="354">
        <v>46266</v>
      </c>
      <c r="B31" s="355"/>
    </row>
    <row r="32" spans="1:5" x14ac:dyDescent="0.2">
      <c r="A32" s="354">
        <v>46296</v>
      </c>
      <c r="B32" s="355"/>
    </row>
    <row r="33" spans="1:2" x14ac:dyDescent="0.2">
      <c r="A33" s="354">
        <v>46327</v>
      </c>
      <c r="B33" s="355"/>
    </row>
    <row r="34" spans="1:2" x14ac:dyDescent="0.2">
      <c r="A34" s="354">
        <v>46357</v>
      </c>
      <c r="B34" s="355"/>
    </row>
    <row r="37" spans="1:2" x14ac:dyDescent="0.2">
      <c r="A37" s="392" t="s">
        <v>294</v>
      </c>
      <c r="B37" s="356">
        <v>46171</v>
      </c>
    </row>
    <row r="40" spans="1:2" x14ac:dyDescent="0.2">
      <c r="A40" s="56" t="s">
        <v>331</v>
      </c>
    </row>
    <row r="41" spans="1:2" x14ac:dyDescent="0.2">
      <c r="A41" s="56" t="s">
        <v>332</v>
      </c>
      <c r="B41" s="515">
        <v>0.2</v>
      </c>
    </row>
    <row r="42" spans="1:2" x14ac:dyDescent="0.2">
      <c r="A42" s="56" t="s">
        <v>333</v>
      </c>
      <c r="B42" s="515">
        <v>0.11</v>
      </c>
    </row>
    <row r="44" spans="1:2" x14ac:dyDescent="0.2">
      <c r="A44" s="56" t="s">
        <v>334</v>
      </c>
    </row>
    <row r="45" spans="1:2" x14ac:dyDescent="0.2">
      <c r="A45" s="56" t="s">
        <v>332</v>
      </c>
      <c r="B45" s="515">
        <v>0.2</v>
      </c>
    </row>
    <row r="46" spans="1:2" x14ac:dyDescent="0.2">
      <c r="A46" s="56" t="s">
        <v>333</v>
      </c>
      <c r="B46" s="515">
        <v>2.5000000000000001E-2</v>
      </c>
    </row>
    <row r="50" spans="1:6" x14ac:dyDescent="0.2">
      <c r="A50" s="56" t="s">
        <v>335</v>
      </c>
      <c r="B50" s="515">
        <v>0.6</v>
      </c>
    </row>
    <row r="54" spans="1:6" x14ac:dyDescent="0.2">
      <c r="A54" s="793" t="s">
        <v>310</v>
      </c>
      <c r="B54" s="794"/>
      <c r="C54" s="795"/>
      <c r="D54" s="796" t="s">
        <v>85</v>
      </c>
      <c r="E54" s="797"/>
      <c r="F54" s="798"/>
    </row>
    <row r="55" spans="1:6" x14ac:dyDescent="0.2">
      <c r="A55" s="402" t="s">
        <v>309</v>
      </c>
      <c r="B55" s="402" t="s">
        <v>308</v>
      </c>
      <c r="C55" s="402" t="s">
        <v>307</v>
      </c>
      <c r="D55" s="799"/>
      <c r="E55" s="800"/>
      <c r="F55" s="801"/>
    </row>
    <row r="56" spans="1:6" x14ac:dyDescent="0.2">
      <c r="A56" s="401">
        <v>2428.8000000000002</v>
      </c>
      <c r="B56" s="399">
        <v>0</v>
      </c>
      <c r="C56" s="398">
        <v>0</v>
      </c>
      <c r="D56" s="802" t="s">
        <v>306</v>
      </c>
      <c r="E56" s="803"/>
      <c r="F56" s="804"/>
    </row>
    <row r="57" spans="1:6" x14ac:dyDescent="0.2">
      <c r="A57" s="400">
        <v>2826.65</v>
      </c>
      <c r="B57" s="399">
        <v>7.4999999999999997E-2</v>
      </c>
      <c r="C57" s="398">
        <v>182.16</v>
      </c>
      <c r="D57" s="790" t="s">
        <v>305</v>
      </c>
      <c r="E57" s="791"/>
      <c r="F57" s="792"/>
    </row>
    <row r="58" spans="1:6" x14ac:dyDescent="0.2">
      <c r="A58" s="400">
        <v>3751.05</v>
      </c>
      <c r="B58" s="399">
        <v>0.15</v>
      </c>
      <c r="C58" s="398">
        <v>394.16</v>
      </c>
      <c r="D58" s="790" t="s">
        <v>304</v>
      </c>
      <c r="E58" s="791"/>
      <c r="F58" s="792"/>
    </row>
    <row r="59" spans="1:6" x14ac:dyDescent="0.2">
      <c r="A59" s="400">
        <v>4664.68</v>
      </c>
      <c r="B59" s="399">
        <v>0.22500000000000001</v>
      </c>
      <c r="C59" s="398">
        <v>675.49</v>
      </c>
      <c r="D59" s="790" t="s">
        <v>303</v>
      </c>
      <c r="E59" s="791"/>
      <c r="F59" s="792"/>
    </row>
    <row r="60" spans="1:6" x14ac:dyDescent="0.2">
      <c r="A60" s="400">
        <v>4664.6899999999996</v>
      </c>
      <c r="B60" s="399">
        <v>0.27500000000000002</v>
      </c>
      <c r="C60" s="398">
        <v>908.73</v>
      </c>
      <c r="D60" s="790" t="s">
        <v>302</v>
      </c>
      <c r="E60" s="791"/>
      <c r="F60" s="792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0"/>
  <sheetViews>
    <sheetView showGridLines="0" topLeftCell="D1" zoomScale="80" zoomScaleNormal="80" workbookViewId="0">
      <selection activeCell="M13" sqref="M13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784" t="str">
        <f>'APONTAMENTO CREDENCIAMENTO'!A1</f>
        <v>Freguesia / Brasilândia</v>
      </c>
      <c r="B1" s="784"/>
      <c r="C1" s="784"/>
      <c r="D1" s="784"/>
      <c r="E1" s="784"/>
      <c r="F1" s="784"/>
      <c r="G1" s="805" t="str">
        <f>'BASE C'!E4</f>
        <v>ABRIL</v>
      </c>
      <c r="H1" s="805"/>
      <c r="I1" s="780" t="s">
        <v>37</v>
      </c>
      <c r="J1" s="780"/>
      <c r="K1" s="8"/>
    </row>
    <row r="2" spans="1:75" s="78" customFormat="1" ht="21.95" customHeight="1" thickBot="1" x14ac:dyDescent="0.25">
      <c r="A2" s="784"/>
      <c r="B2" s="784"/>
      <c r="C2" s="784"/>
      <c r="D2" s="784"/>
      <c r="E2" s="784"/>
      <c r="F2" s="784"/>
      <c r="G2" s="806" t="s">
        <v>167</v>
      </c>
      <c r="H2" s="807"/>
      <c r="I2" s="780"/>
      <c r="J2" s="780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>H3+1</f>
        <v>7</v>
      </c>
      <c r="J3" s="9">
        <f>I3+1</f>
        <v>8</v>
      </c>
      <c r="K3" s="9">
        <f>J3+1</f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808" t="s">
        <v>16</v>
      </c>
      <c r="G4" s="808"/>
      <c r="H4" s="245" t="s">
        <v>12</v>
      </c>
      <c r="I4" s="246" t="s">
        <v>42</v>
      </c>
      <c r="J4" s="247" t="s">
        <v>43</v>
      </c>
      <c r="K4" s="147" t="s">
        <v>44</v>
      </c>
      <c r="L4" s="811">
        <f>F5</f>
        <v>46113</v>
      </c>
      <c r="M4" s="812"/>
      <c r="N4" s="809">
        <f>L4+1</f>
        <v>46114</v>
      </c>
      <c r="O4" s="809"/>
      <c r="P4" s="809">
        <f>N4+1</f>
        <v>46115</v>
      </c>
      <c r="Q4" s="809"/>
      <c r="R4" s="809">
        <f>P4+1</f>
        <v>46116</v>
      </c>
      <c r="S4" s="809"/>
      <c r="T4" s="809">
        <f>R4+1</f>
        <v>46117</v>
      </c>
      <c r="U4" s="809"/>
      <c r="V4" s="809">
        <f>T4+1</f>
        <v>46118</v>
      </c>
      <c r="W4" s="809"/>
      <c r="X4" s="810">
        <f>V4+1</f>
        <v>46119</v>
      </c>
      <c r="Y4" s="810"/>
      <c r="Z4" s="810">
        <f>X4+1</f>
        <v>46120</v>
      </c>
      <c r="AA4" s="810"/>
      <c r="AB4" s="809">
        <f>Z4+1</f>
        <v>46121</v>
      </c>
      <c r="AC4" s="809"/>
      <c r="AD4" s="809">
        <f>AB4+1</f>
        <v>46122</v>
      </c>
      <c r="AE4" s="809"/>
      <c r="AF4" s="809">
        <f>AD4+1</f>
        <v>46123</v>
      </c>
      <c r="AG4" s="809"/>
      <c r="AH4" s="809">
        <f>AF4+1</f>
        <v>46124</v>
      </c>
      <c r="AI4" s="809"/>
      <c r="AJ4" s="809">
        <f>AH4+1</f>
        <v>46125</v>
      </c>
      <c r="AK4" s="809"/>
      <c r="AL4" s="810">
        <f>AJ4+1</f>
        <v>46126</v>
      </c>
      <c r="AM4" s="810"/>
      <c r="AN4" s="810">
        <f>AL4+1</f>
        <v>46127</v>
      </c>
      <c r="AO4" s="810"/>
      <c r="AP4" s="809">
        <f>AN4+1</f>
        <v>46128</v>
      </c>
      <c r="AQ4" s="809"/>
      <c r="AR4" s="809">
        <f>AP4+1</f>
        <v>46129</v>
      </c>
      <c r="AS4" s="809"/>
      <c r="AT4" s="809">
        <f>AR4+1</f>
        <v>46130</v>
      </c>
      <c r="AU4" s="809"/>
      <c r="AV4" s="809">
        <f>AT4+1</f>
        <v>46131</v>
      </c>
      <c r="AW4" s="809"/>
      <c r="AX4" s="809">
        <f>AV4+1</f>
        <v>46132</v>
      </c>
      <c r="AY4" s="809"/>
      <c r="AZ4" s="810">
        <f>AX4+1</f>
        <v>46133</v>
      </c>
      <c r="BA4" s="810"/>
      <c r="BB4" s="810">
        <f>AZ4+1</f>
        <v>46134</v>
      </c>
      <c r="BC4" s="810"/>
      <c r="BD4" s="809">
        <f>BB4+1</f>
        <v>46135</v>
      </c>
      <c r="BE4" s="809"/>
      <c r="BF4" s="809">
        <f>BD4+1</f>
        <v>46136</v>
      </c>
      <c r="BG4" s="809"/>
      <c r="BH4" s="809">
        <f>BF4+1</f>
        <v>46137</v>
      </c>
      <c r="BI4" s="809"/>
      <c r="BJ4" s="809">
        <f>BH4+1</f>
        <v>46138</v>
      </c>
      <c r="BK4" s="809"/>
      <c r="BL4" s="809">
        <f>BJ4+1</f>
        <v>46139</v>
      </c>
      <c r="BM4" s="809"/>
      <c r="BN4" s="810">
        <f>BL4+1</f>
        <v>46140</v>
      </c>
      <c r="BO4" s="810"/>
      <c r="BP4" s="810">
        <f>BN4+1</f>
        <v>46141</v>
      </c>
      <c r="BQ4" s="810"/>
      <c r="BR4" s="809">
        <f>BP4+1</f>
        <v>46142</v>
      </c>
      <c r="BS4" s="809"/>
      <c r="BT4" s="809"/>
      <c r="BU4" s="809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59">
        <f>'VALORES TABELA'!$B$11</f>
        <v>46113</v>
      </c>
      <c r="G5" s="360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19" t="s">
        <v>3236</v>
      </c>
      <c r="B6" s="520" t="s">
        <v>3237</v>
      </c>
      <c r="C6" s="521">
        <v>1</v>
      </c>
      <c r="D6" s="522" t="s">
        <v>3238</v>
      </c>
      <c r="E6" s="420" t="s">
        <v>3239</v>
      </c>
      <c r="F6" s="523" t="s">
        <v>3227</v>
      </c>
      <c r="G6" s="523" t="s">
        <v>3228</v>
      </c>
      <c r="H6" s="524" t="s">
        <v>1402</v>
      </c>
      <c r="I6" s="378" t="s">
        <v>1333</v>
      </c>
      <c r="J6" s="347" t="s">
        <v>3229</v>
      </c>
      <c r="K6" s="348" t="s">
        <v>3230</v>
      </c>
      <c r="L6" s="396"/>
      <c r="M6" s="397"/>
      <c r="N6" s="396"/>
      <c r="O6" s="397"/>
      <c r="P6" s="396"/>
      <c r="Q6" s="397"/>
      <c r="R6" s="396"/>
      <c r="S6" s="397"/>
      <c r="T6" s="396"/>
      <c r="U6" s="397"/>
      <c r="V6" s="396"/>
      <c r="W6" s="397"/>
      <c r="X6" s="396"/>
      <c r="Y6" s="397"/>
      <c r="Z6" s="396"/>
      <c r="AA6" s="397"/>
      <c r="AB6" s="396"/>
      <c r="AC6" s="397"/>
      <c r="AD6" s="396"/>
      <c r="AE6" s="397"/>
      <c r="AF6" s="396"/>
      <c r="AG6" s="397"/>
      <c r="AH6" s="396"/>
      <c r="AI6" s="397"/>
      <c r="AJ6" s="396"/>
      <c r="AK6" s="397"/>
      <c r="AL6" s="396"/>
      <c r="AM6" s="397"/>
      <c r="AN6" s="396"/>
      <c r="AO6" s="397"/>
      <c r="AP6" s="396"/>
      <c r="AQ6" s="397"/>
      <c r="AR6" s="396"/>
      <c r="AS6" s="397"/>
      <c r="AT6" s="396"/>
      <c r="AU6" s="397"/>
      <c r="AV6" s="396"/>
      <c r="AW6" s="397"/>
      <c r="AX6" s="396"/>
      <c r="AY6" s="397"/>
      <c r="AZ6" s="396"/>
      <c r="BA6" s="397"/>
      <c r="BB6" s="396"/>
      <c r="BC6" s="397"/>
      <c r="BD6" s="396"/>
      <c r="BE6" s="397"/>
      <c r="BF6" s="396"/>
      <c r="BG6" s="397"/>
      <c r="BH6" s="396"/>
      <c r="BI6" s="397"/>
      <c r="BJ6" s="396"/>
      <c r="BK6" s="397"/>
      <c r="BL6" s="396"/>
      <c r="BM6" s="397"/>
      <c r="BN6" s="396"/>
      <c r="BO6" s="397"/>
      <c r="BP6" s="396"/>
      <c r="BQ6" s="397"/>
      <c r="BR6" s="396"/>
      <c r="BS6" s="397"/>
      <c r="BT6" s="396"/>
      <c r="BU6" s="397"/>
      <c r="BV6" s="331">
        <f t="shared" ref="BV6:BW10" si="0">L6+N6+P6+R6+T6+V6+X6+Z6+AB6+AD6+AF6+AH6+AJ6+AL6+AN6+AP6+AR6+AT6+AV6+AX6+AZ6+BB6+BD6+BF6+BH6+BJ6+BL6+BN6+BP6+BR6+BT6</f>
        <v>0</v>
      </c>
      <c r="BW6" s="331">
        <f t="shared" si="0"/>
        <v>0</v>
      </c>
    </row>
    <row r="7" spans="1:75" s="64" customFormat="1" ht="21.95" customHeight="1" x14ac:dyDescent="0.2">
      <c r="A7" s="379" t="s">
        <v>3236</v>
      </c>
      <c r="B7" s="380" t="s">
        <v>3237</v>
      </c>
      <c r="C7" s="346" t="s">
        <v>3240</v>
      </c>
      <c r="D7" s="381" t="s">
        <v>3238</v>
      </c>
      <c r="E7" s="382" t="s">
        <v>3239</v>
      </c>
      <c r="F7" s="383" t="s">
        <v>3227</v>
      </c>
      <c r="G7" s="383" t="s">
        <v>3228</v>
      </c>
      <c r="H7" s="384" t="s">
        <v>1402</v>
      </c>
      <c r="I7" s="385" t="s">
        <v>1333</v>
      </c>
      <c r="J7" s="347" t="s">
        <v>3229</v>
      </c>
      <c r="K7" s="347" t="s">
        <v>3231</v>
      </c>
      <c r="L7" s="394">
        <v>1</v>
      </c>
      <c r="M7" s="395">
        <v>1</v>
      </c>
      <c r="N7" s="394"/>
      <c r="O7" s="395"/>
      <c r="P7" s="394"/>
      <c r="Q7" s="395"/>
      <c r="R7" s="394"/>
      <c r="S7" s="395"/>
      <c r="T7" s="394"/>
      <c r="U7" s="395"/>
      <c r="V7" s="394"/>
      <c r="W7" s="395"/>
      <c r="X7" s="394"/>
      <c r="Y7" s="395"/>
      <c r="Z7" s="394">
        <v>1</v>
      </c>
      <c r="AA7" s="395"/>
      <c r="AB7" s="394">
        <v>1</v>
      </c>
      <c r="AC7" s="395"/>
      <c r="AD7" s="394">
        <v>3</v>
      </c>
      <c r="AE7" s="395"/>
      <c r="AF7" s="394"/>
      <c r="AG7" s="395"/>
      <c r="AH7" s="394"/>
      <c r="AI7" s="395"/>
      <c r="AJ7" s="394"/>
      <c r="AK7" s="395"/>
      <c r="AL7" s="394"/>
      <c r="AM7" s="395"/>
      <c r="AN7" s="394">
        <v>4</v>
      </c>
      <c r="AO7" s="395"/>
      <c r="AP7" s="394">
        <v>4</v>
      </c>
      <c r="AQ7" s="395"/>
      <c r="AR7" s="394">
        <v>4</v>
      </c>
      <c r="AS7" s="395"/>
      <c r="AT7" s="394"/>
      <c r="AU7" s="395"/>
      <c r="AV7" s="394"/>
      <c r="AW7" s="395"/>
      <c r="AX7" s="394"/>
      <c r="AY7" s="395"/>
      <c r="AZ7" s="394"/>
      <c r="BA7" s="395"/>
      <c r="BB7" s="394">
        <v>4</v>
      </c>
      <c r="BC7" s="395"/>
      <c r="BD7" s="394">
        <v>4</v>
      </c>
      <c r="BE7" s="395"/>
      <c r="BF7" s="394">
        <v>4</v>
      </c>
      <c r="BG7" s="395"/>
      <c r="BH7" s="394"/>
      <c r="BI7" s="395"/>
      <c r="BJ7" s="394"/>
      <c r="BK7" s="395"/>
      <c r="BL7" s="394">
        <v>4</v>
      </c>
      <c r="BM7" s="395"/>
      <c r="BN7" s="394">
        <v>1</v>
      </c>
      <c r="BO7" s="395"/>
      <c r="BP7" s="394">
        <v>4</v>
      </c>
      <c r="BQ7" s="395"/>
      <c r="BR7" s="394">
        <v>4</v>
      </c>
      <c r="BS7" s="395"/>
      <c r="BT7" s="394"/>
      <c r="BU7" s="395"/>
      <c r="BV7" s="331">
        <f t="shared" si="0"/>
        <v>43</v>
      </c>
      <c r="BW7" s="331">
        <f t="shared" si="0"/>
        <v>1</v>
      </c>
    </row>
    <row r="8" spans="1:75" s="64" customFormat="1" ht="21.95" customHeight="1" x14ac:dyDescent="0.2">
      <c r="A8" s="379" t="s">
        <v>3236</v>
      </c>
      <c r="B8" s="380" t="s">
        <v>3237</v>
      </c>
      <c r="C8" s="386" t="s">
        <v>3240</v>
      </c>
      <c r="D8" s="381" t="s">
        <v>3238</v>
      </c>
      <c r="E8" s="382" t="s">
        <v>3239</v>
      </c>
      <c r="F8" s="383" t="s">
        <v>3227</v>
      </c>
      <c r="G8" s="383" t="s">
        <v>3228</v>
      </c>
      <c r="H8" s="384" t="s">
        <v>1402</v>
      </c>
      <c r="I8" s="385" t="s">
        <v>1333</v>
      </c>
      <c r="J8" s="347" t="s">
        <v>3229</v>
      </c>
      <c r="K8" s="349" t="s">
        <v>3232</v>
      </c>
      <c r="L8" s="394"/>
      <c r="M8" s="395"/>
      <c r="N8" s="394"/>
      <c r="O8" s="395"/>
      <c r="P8" s="394"/>
      <c r="Q8" s="395"/>
      <c r="R8" s="394"/>
      <c r="S8" s="395"/>
      <c r="T8" s="394"/>
      <c r="U8" s="395"/>
      <c r="V8" s="394"/>
      <c r="W8" s="395"/>
      <c r="X8" s="394"/>
      <c r="Y8" s="395"/>
      <c r="Z8" s="394"/>
      <c r="AA8" s="395"/>
      <c r="AB8" s="394"/>
      <c r="AC8" s="395"/>
      <c r="AD8" s="394"/>
      <c r="AE8" s="395"/>
      <c r="AF8" s="394"/>
      <c r="AG8" s="395"/>
      <c r="AH8" s="394"/>
      <c r="AI8" s="395"/>
      <c r="AJ8" s="394"/>
      <c r="AK8" s="395"/>
      <c r="AL8" s="394"/>
      <c r="AM8" s="395"/>
      <c r="AN8" s="394"/>
      <c r="AO8" s="395"/>
      <c r="AP8" s="394"/>
      <c r="AQ8" s="395"/>
      <c r="AR8" s="394"/>
      <c r="AS8" s="395"/>
      <c r="AT8" s="394"/>
      <c r="AU8" s="395"/>
      <c r="AV8" s="394"/>
      <c r="AW8" s="395"/>
      <c r="AX8" s="394"/>
      <c r="AY8" s="395"/>
      <c r="AZ8" s="394"/>
      <c r="BA8" s="395"/>
      <c r="BB8" s="394"/>
      <c r="BC8" s="395"/>
      <c r="BD8" s="394"/>
      <c r="BE8" s="395"/>
      <c r="BF8" s="394"/>
      <c r="BG8" s="395"/>
      <c r="BH8" s="394"/>
      <c r="BI8" s="395"/>
      <c r="BJ8" s="394"/>
      <c r="BK8" s="395"/>
      <c r="BL8" s="394"/>
      <c r="BM8" s="395"/>
      <c r="BN8" s="394"/>
      <c r="BO8" s="395"/>
      <c r="BP8" s="394"/>
      <c r="BQ8" s="395"/>
      <c r="BR8" s="394"/>
      <c r="BS8" s="395"/>
      <c r="BT8" s="394"/>
      <c r="BU8" s="395"/>
      <c r="BV8" s="331">
        <f t="shared" si="0"/>
        <v>0</v>
      </c>
      <c r="BW8" s="331">
        <f t="shared" si="0"/>
        <v>0</v>
      </c>
    </row>
    <row r="9" spans="1:75" s="64" customFormat="1" ht="21.95" customHeight="1" x14ac:dyDescent="0.2">
      <c r="A9" s="379" t="s">
        <v>3236</v>
      </c>
      <c r="B9" s="380" t="s">
        <v>3237</v>
      </c>
      <c r="C9" s="386" t="s">
        <v>3240</v>
      </c>
      <c r="D9" s="381" t="s">
        <v>3238</v>
      </c>
      <c r="E9" s="382" t="s">
        <v>3239</v>
      </c>
      <c r="F9" s="383" t="s">
        <v>3227</v>
      </c>
      <c r="G9" s="383" t="s">
        <v>3228</v>
      </c>
      <c r="H9" s="384" t="s">
        <v>1402</v>
      </c>
      <c r="I9" s="385" t="s">
        <v>1333</v>
      </c>
      <c r="J9" s="347" t="s">
        <v>3229</v>
      </c>
      <c r="K9" s="350" t="s">
        <v>3233</v>
      </c>
      <c r="L9" s="394"/>
      <c r="M9" s="395"/>
      <c r="N9" s="394"/>
      <c r="O9" s="395"/>
      <c r="P9" s="394"/>
      <c r="Q9" s="395"/>
      <c r="R9" s="394"/>
      <c r="S9" s="395"/>
      <c r="T9" s="394"/>
      <c r="U9" s="395"/>
      <c r="V9" s="394"/>
      <c r="W9" s="395"/>
      <c r="X9" s="394"/>
      <c r="Y9" s="395"/>
      <c r="Z9" s="394"/>
      <c r="AA9" s="395"/>
      <c r="AB9" s="394"/>
      <c r="AC9" s="395"/>
      <c r="AD9" s="394"/>
      <c r="AE9" s="395"/>
      <c r="AF9" s="394"/>
      <c r="AG9" s="395"/>
      <c r="AH9" s="394"/>
      <c r="AI9" s="395"/>
      <c r="AJ9" s="394"/>
      <c r="AK9" s="395"/>
      <c r="AL9" s="394"/>
      <c r="AM9" s="395"/>
      <c r="AN9" s="394"/>
      <c r="AO9" s="395"/>
      <c r="AP9" s="394"/>
      <c r="AQ9" s="395"/>
      <c r="AR9" s="394"/>
      <c r="AS9" s="395"/>
      <c r="AT9" s="394"/>
      <c r="AU9" s="395"/>
      <c r="AV9" s="394"/>
      <c r="AW9" s="395"/>
      <c r="AX9" s="394"/>
      <c r="AY9" s="395"/>
      <c r="AZ9" s="394"/>
      <c r="BA9" s="395"/>
      <c r="BB9" s="394"/>
      <c r="BC9" s="395"/>
      <c r="BD9" s="394"/>
      <c r="BE9" s="395"/>
      <c r="BF9" s="394"/>
      <c r="BG9" s="395"/>
      <c r="BH9" s="394"/>
      <c r="BI9" s="395"/>
      <c r="BJ9" s="394"/>
      <c r="BK9" s="395"/>
      <c r="BL9" s="394"/>
      <c r="BM9" s="395"/>
      <c r="BN9" s="394"/>
      <c r="BO9" s="395"/>
      <c r="BP9" s="394"/>
      <c r="BQ9" s="395"/>
      <c r="BR9" s="394"/>
      <c r="BS9" s="395"/>
      <c r="BT9" s="394"/>
      <c r="BU9" s="395"/>
      <c r="BV9" s="331">
        <f t="shared" si="0"/>
        <v>0</v>
      </c>
      <c r="BW9" s="331">
        <f t="shared" si="0"/>
        <v>0</v>
      </c>
    </row>
    <row r="10" spans="1:75" s="64" customFormat="1" ht="21.95" customHeight="1" x14ac:dyDescent="0.2">
      <c r="A10" s="651" t="s">
        <v>3236</v>
      </c>
      <c r="B10" s="387" t="s">
        <v>3237</v>
      </c>
      <c r="C10" s="388" t="s">
        <v>3240</v>
      </c>
      <c r="D10" s="389" t="s">
        <v>3238</v>
      </c>
      <c r="E10" s="405" t="s">
        <v>3239</v>
      </c>
      <c r="F10" s="390" t="s">
        <v>3227</v>
      </c>
      <c r="G10" s="390" t="s">
        <v>3228</v>
      </c>
      <c r="H10" s="391" t="s">
        <v>1402</v>
      </c>
      <c r="I10" s="652" t="s">
        <v>1333</v>
      </c>
      <c r="J10" s="347" t="s">
        <v>3229</v>
      </c>
      <c r="K10" s="351" t="s">
        <v>60</v>
      </c>
      <c r="L10" s="396"/>
      <c r="M10" s="397"/>
      <c r="N10" s="396"/>
      <c r="O10" s="397"/>
      <c r="P10" s="396"/>
      <c r="Q10" s="397"/>
      <c r="R10" s="396"/>
      <c r="S10" s="397"/>
      <c r="T10" s="396"/>
      <c r="U10" s="397"/>
      <c r="V10" s="396"/>
      <c r="W10" s="397"/>
      <c r="X10" s="396"/>
      <c r="Y10" s="397"/>
      <c r="Z10" s="396"/>
      <c r="AA10" s="397"/>
      <c r="AB10" s="396"/>
      <c r="AC10" s="397"/>
      <c r="AD10" s="396"/>
      <c r="AE10" s="397"/>
      <c r="AF10" s="396"/>
      <c r="AG10" s="397"/>
      <c r="AH10" s="396"/>
      <c r="AI10" s="397"/>
      <c r="AJ10" s="396"/>
      <c r="AK10" s="397"/>
      <c r="AL10" s="396"/>
      <c r="AM10" s="397"/>
      <c r="AN10" s="396"/>
      <c r="AO10" s="397"/>
      <c r="AP10" s="396"/>
      <c r="AQ10" s="397"/>
      <c r="AR10" s="396"/>
      <c r="AS10" s="397"/>
      <c r="AT10" s="396"/>
      <c r="AU10" s="397"/>
      <c r="AV10" s="396"/>
      <c r="AW10" s="397"/>
      <c r="AX10" s="396"/>
      <c r="AY10" s="397"/>
      <c r="AZ10" s="396"/>
      <c r="BA10" s="397"/>
      <c r="BB10" s="396"/>
      <c r="BC10" s="397"/>
      <c r="BD10" s="396"/>
      <c r="BE10" s="397"/>
      <c r="BF10" s="396"/>
      <c r="BG10" s="397"/>
      <c r="BH10" s="396"/>
      <c r="BI10" s="397"/>
      <c r="BJ10" s="396"/>
      <c r="BK10" s="397"/>
      <c r="BL10" s="396"/>
      <c r="BM10" s="397"/>
      <c r="BN10" s="396"/>
      <c r="BO10" s="397"/>
      <c r="BP10" s="396"/>
      <c r="BQ10" s="397"/>
      <c r="BR10" s="396"/>
      <c r="BS10" s="397"/>
      <c r="BT10" s="396"/>
      <c r="BU10" s="397"/>
      <c r="BV10" s="331">
        <f t="shared" si="0"/>
        <v>0</v>
      </c>
      <c r="BW10" s="331">
        <f t="shared" si="0"/>
        <v>0</v>
      </c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6:I10">
    <cfRule type="expression" dxfId="43" priority="1491">
      <formula>C7="CSE"</formula>
    </cfRule>
    <cfRule type="expression" dxfId="42" priority="1492">
      <formula>C7="CSC"</formula>
    </cfRule>
    <cfRule type="expression" dxfId="41" priority="1493">
      <formula>C7="CSE"</formula>
    </cfRule>
    <cfRule type="expression" dxfId="40" priority="1494">
      <formula>C7="CSC"</formula>
    </cfRule>
  </conditionalFormatting>
  <conditionalFormatting sqref="I10">
    <cfRule type="expression" dxfId="39" priority="1483">
      <formula>C10="CSE"</formula>
    </cfRule>
    <cfRule type="expression" dxfId="38" priority="1484">
      <formula>C10="CSC"</formula>
    </cfRule>
    <cfRule type="expression" dxfId="37" priority="1485">
      <formula>C10="CSE"</formula>
    </cfRule>
    <cfRule type="expression" dxfId="36" priority="1486">
      <formula>C10="CSC"</formula>
    </cfRule>
    <cfRule type="expression" dxfId="35" priority="1487">
      <formula>C10="CSE"</formula>
    </cfRule>
    <cfRule type="expression" dxfId="34" priority="1488">
      <formula>C10="CSC"</formula>
    </cfRule>
    <cfRule type="expression" dxfId="33" priority="1489">
      <formula>C10="CSE"</formula>
    </cfRule>
    <cfRule type="expression" dxfId="32" priority="1490">
      <formula>C10="CSC"</formula>
    </cfRule>
  </conditionalFormatting>
  <conditionalFormatting sqref="J6:J10">
    <cfRule type="cellIs" dxfId="31" priority="301" operator="equal">
      <formula>"CRECHE"</formula>
    </cfRule>
    <cfRule type="cellIs" dxfId="30" priority="302" operator="equal">
      <formula>"ADAPTADO"</formula>
    </cfRule>
  </conditionalFormatting>
  <conditionalFormatting sqref="J6:K10">
    <cfRule type="expression" dxfId="29" priority="295">
      <formula>NOT(ISERROR(SEARCH("NORMAL",J6)))</formula>
    </cfRule>
    <cfRule type="expression" dxfId="28" priority="298">
      <formula>NOT(ISERROR(SEARCH("ADAPTADO",J6)))</formula>
    </cfRule>
    <cfRule type="expression" dxfId="27" priority="299">
      <formula>NOT(ISERROR(SEARCH("NORMAL",J6)))</formula>
    </cfRule>
    <cfRule type="expression" dxfId="26" priority="300">
      <formula>NOT(ISERROR(SEARCH("ADAPTADO",J6)))</formula>
    </cfRule>
  </conditionalFormatting>
  <conditionalFormatting sqref="L6:BU6 L10:BU10">
    <cfRule type="cellIs" dxfId="25" priority="58495" operator="lessThan">
      <formula>0</formula>
    </cfRule>
    <cfRule type="cellIs" dxfId="24" priority="58496" operator="greaterThan">
      <formula>0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344</v>
      </c>
      <c r="F1" s="429" t="e">
        <f>IFERROR(VLOOKUP(D4,APELIDOS!A:B,2,FALSE),D4)</f>
        <v>#N/A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823" t="s">
        <v>0</v>
      </c>
      <c r="B2" s="824"/>
      <c r="C2" s="307" t="str">
        <f>UPPER(MID('APONTAMENTO CREDENCIAMENTO'!C7,1,2))</f>
        <v>FB</v>
      </c>
      <c r="D2" s="823" t="str">
        <f>UPPER('APONTAMENTO CREDENCIAMENTO'!A1)</f>
        <v>FREGUESIA / BRASILÂNDIA</v>
      </c>
      <c r="E2" s="825"/>
      <c r="F2" s="825"/>
      <c r="G2" s="826"/>
      <c r="H2" s="316"/>
      <c r="I2" s="308" t="s">
        <v>173</v>
      </c>
      <c r="J2" s="309" t="s">
        <v>174</v>
      </c>
      <c r="K2" s="314"/>
      <c r="L2" s="315"/>
      <c r="N2" s="822" t="s">
        <v>1</v>
      </c>
      <c r="O2" s="822"/>
      <c r="P2" s="303" t="s">
        <v>2</v>
      </c>
      <c r="Q2" s="813" t="s">
        <v>3</v>
      </c>
      <c r="R2" s="813"/>
      <c r="S2" s="813"/>
      <c r="T2" s="813"/>
      <c r="U2" s="813"/>
    </row>
    <row r="3" spans="1:21" ht="20.25" customHeight="1" thickBot="1" x14ac:dyDescent="0.3">
      <c r="A3" s="295" t="s">
        <v>4</v>
      </c>
      <c r="B3" s="414" t="s">
        <v>3415</v>
      </c>
      <c r="C3" s="413"/>
      <c r="D3" s="296" t="s">
        <v>5</v>
      </c>
      <c r="E3" s="814" t="s">
        <v>175</v>
      </c>
      <c r="F3" s="815"/>
      <c r="G3" s="816"/>
      <c r="H3" s="819" t="s">
        <v>181</v>
      </c>
      <c r="I3" s="831" t="str">
        <f>N3</f>
        <v>01/04/2026</v>
      </c>
      <c r="J3" s="833" t="str">
        <f>O3</f>
        <v>30/04/2026</v>
      </c>
      <c r="K3" s="840" t="s">
        <v>180</v>
      </c>
      <c r="L3" s="841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837" t="e">
        <f>D10</f>
        <v>#N/A</v>
      </c>
      <c r="E4" s="819" t="str">
        <f>UPPER(TEXT(B4,"MMMM"))</f>
        <v>ABRIL</v>
      </c>
      <c r="F4" s="827"/>
      <c r="G4" s="828"/>
      <c r="H4" s="820"/>
      <c r="I4" s="832"/>
      <c r="J4" s="834"/>
      <c r="K4" s="840"/>
      <c r="L4" s="841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817">
        <v>45868</v>
      </c>
      <c r="C5" s="817"/>
      <c r="D5" s="838"/>
      <c r="E5" s="820"/>
      <c r="F5" s="829"/>
      <c r="G5" s="830"/>
      <c r="H5" s="820"/>
      <c r="I5" s="832"/>
      <c r="J5" s="834"/>
      <c r="K5" s="840"/>
      <c r="L5" s="841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818" t="s">
        <v>179</v>
      </c>
      <c r="C6" s="818"/>
      <c r="D6" s="838"/>
      <c r="E6" s="820"/>
      <c r="F6" s="829"/>
      <c r="G6" s="830"/>
      <c r="H6" s="820"/>
      <c r="I6" s="832"/>
      <c r="J6" s="834"/>
      <c r="K6" s="840"/>
      <c r="L6" s="841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821" t="e">
        <f>IF(N10="C",'VALORES TABELA'!B17,IF(N10="N",'VALORES TABELA'!B18,0))</f>
        <v>#N/A</v>
      </c>
      <c r="C7" s="821"/>
      <c r="D7" s="838"/>
      <c r="E7" s="820"/>
      <c r="F7" s="829"/>
      <c r="G7" s="830"/>
      <c r="H7" s="820"/>
      <c r="I7" s="832"/>
      <c r="J7" s="834"/>
      <c r="K7" s="840"/>
      <c r="L7" s="841"/>
      <c r="R7" s="305"/>
    </row>
    <row r="8" spans="1:21" ht="18" customHeight="1" x14ac:dyDescent="0.2">
      <c r="A8" s="835" t="s">
        <v>10</v>
      </c>
      <c r="B8" s="836"/>
      <c r="C8" s="836"/>
      <c r="D8" s="839"/>
      <c r="E8" s="820"/>
      <c r="F8" s="829"/>
      <c r="G8" s="830"/>
      <c r="H8" s="820"/>
      <c r="I8" s="832"/>
      <c r="J8" s="834"/>
      <c r="K8" s="840"/>
      <c r="L8" s="841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3" t="s">
        <v>3414</v>
      </c>
      <c r="D10" s="299" t="e">
        <f>VLOOKUP($C10,'APONTAMENTO CREDENCIAMENTO'!$A:$J,8,0)</f>
        <v>#N/A</v>
      </c>
      <c r="E10" s="299" t="e">
        <f>VLOOKUP($C10,'APONTAMENTO CREDENCIAMENTO'!$A:$J,9,0)</f>
        <v>#N/A</v>
      </c>
      <c r="F10" s="300" t="e">
        <f>VLOOKUP($C10,'APONTAMENTO CREDENCIAMENTO'!$A:$P,15,0)</f>
        <v>#N/A</v>
      </c>
      <c r="G10" s="301" t="e">
        <f>VLOOKUP($C10,'APONTAMENTO CREDENCIAMENTO'!$A:$P,4,0)</f>
        <v>#N/A</v>
      </c>
      <c r="H10" s="301" t="e">
        <f>VLOOKUP($C10,'APONTAMENTO CREDENCIAMENTO'!$A:$P,5,0)</f>
        <v>#N/A</v>
      </c>
      <c r="I10" s="301" t="e">
        <f>IF(VLOOKUP($C10,'APONTAMENTO CREDENCIAMENTO'!$A:$J,10,0)="NORMAL","NORMAL","ADAPTADO")</f>
        <v>#N/A</v>
      </c>
      <c r="J10" s="302" t="e">
        <f>VLOOKUP($C10,'APONTAMENTO CREDENCIAMENTO'!$A:$EL,142,0)</f>
        <v>#N/A</v>
      </c>
      <c r="K10" s="313" t="e">
        <f>VLOOKUP($C10,'APONTAMENTO CREDENCIAMENTO'!$A:$J,6,0)</f>
        <v>#N/A</v>
      </c>
      <c r="L10" s="313" t="e">
        <f>VLOOKUP($C10,'APONTAMENTO CREDENCIAMENTO'!$A:$J,7,0)</f>
        <v>#N/A</v>
      </c>
      <c r="M10" s="292" t="e">
        <f>MID(D10,1,3)</f>
        <v>#N/A</v>
      </c>
      <c r="N10" t="e">
        <f>VLOOKUP($C10,'APONTAMENTO CREDENCIAMENTO'!$A:$P,16,0)</f>
        <v>#N/A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881"/>
      <c r="F2" s="881"/>
      <c r="G2" s="881"/>
      <c r="H2" s="881"/>
      <c r="I2" s="881"/>
      <c r="J2" s="35"/>
      <c r="K2" s="35"/>
      <c r="L2" s="35"/>
      <c r="M2" s="35"/>
      <c r="N2" s="882"/>
      <c r="O2" s="882"/>
      <c r="P2" s="882"/>
      <c r="Q2" s="882"/>
      <c r="R2" s="882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883"/>
      <c r="F3" s="883"/>
      <c r="G3" s="883"/>
      <c r="H3" s="883"/>
      <c r="I3" s="883"/>
      <c r="J3" s="35"/>
      <c r="K3" s="35"/>
      <c r="L3" s="35"/>
      <c r="M3" s="35"/>
      <c r="N3" s="882"/>
      <c r="O3" s="882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884"/>
      <c r="F4" s="884"/>
      <c r="G4" s="884"/>
      <c r="H4" s="884"/>
      <c r="I4" s="884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880" t="s">
        <v>73</v>
      </c>
      <c r="C9" s="880"/>
      <c r="D9" s="880"/>
      <c r="E9" s="880"/>
      <c r="F9" s="880"/>
      <c r="G9" s="880"/>
      <c r="H9" s="880"/>
      <c r="I9" s="880"/>
    </row>
    <row r="10" spans="1:46" s="12" customFormat="1" ht="12.75" customHeight="1" x14ac:dyDescent="0.2">
      <c r="A10" s="885" t="s">
        <v>74</v>
      </c>
      <c r="B10" s="885"/>
      <c r="C10" s="440"/>
      <c r="D10" s="885" t="s">
        <v>75</v>
      </c>
      <c r="E10" s="885"/>
      <c r="F10" s="439" t="s">
        <v>76</v>
      </c>
      <c r="G10" s="480" t="s">
        <v>77</v>
      </c>
      <c r="H10" s="439" t="s">
        <v>78</v>
      </c>
      <c r="I10" s="439" t="s">
        <v>79</v>
      </c>
    </row>
    <row r="11" spans="1:46" s="12" customFormat="1" ht="12.75" customHeight="1" x14ac:dyDescent="0.2">
      <c r="A11" s="482" t="str">
        <f>'BASE C'!B3</f>
        <v>2026/0016071</v>
      </c>
      <c r="B11" s="481"/>
      <c r="C11" s="183"/>
      <c r="D11" s="886"/>
      <c r="E11" s="886"/>
      <c r="F11" s="184">
        <f>'EMPRESA C'!G16</f>
        <v>0</v>
      </c>
      <c r="G11" s="184">
        <f>'EMPRESA C'!H16+'EMPRESA C'!I16+'EMPRESA C'!J16+'EMPRESA C'!K16+'EMPRESA C'!L16+'EMPRESA C'!M16</f>
        <v>0</v>
      </c>
      <c r="H11" s="185" t="str">
        <f>'BASE C'!E4</f>
        <v>ABRIL</v>
      </c>
      <c r="I11" s="186" t="str">
        <f>'BASE C'!D2</f>
        <v>FREGUESIA / BRASILÂNDIA</v>
      </c>
    </row>
    <row r="12" spans="1:46" s="12" customFormat="1" ht="12.75" customHeight="1" x14ac:dyDescent="0.2">
      <c r="A12" s="887" t="s">
        <v>80</v>
      </c>
      <c r="B12" s="887"/>
      <c r="C12" s="887"/>
      <c r="D12" s="887"/>
      <c r="E12" s="887"/>
      <c r="F12" s="876" t="s">
        <v>81</v>
      </c>
      <c r="G12" s="876"/>
      <c r="H12" s="876" t="s">
        <v>6</v>
      </c>
      <c r="I12" s="876"/>
    </row>
    <row r="13" spans="1:46" s="12" customFormat="1" ht="12.75" customHeight="1" x14ac:dyDescent="0.2">
      <c r="A13" s="888" t="e">
        <f>'BASE C'!D4</f>
        <v>#N/A</v>
      </c>
      <c r="B13" s="889"/>
      <c r="C13" s="889"/>
      <c r="D13" s="889"/>
      <c r="E13" s="890"/>
      <c r="F13" s="897" t="str">
        <f>VLOOKUP(A11,ProcRel1!E2:G5000,3,FALSE)</f>
        <v>65.425.834/0001-94</v>
      </c>
      <c r="G13" s="897"/>
      <c r="H13" s="393" t="str">
        <f>'BASE C'!B4</f>
        <v>01/04/2026</v>
      </c>
      <c r="I13" s="393" t="str">
        <f>'BASE C'!C4</f>
        <v>30/04/2026</v>
      </c>
    </row>
    <row r="14" spans="1:46" s="12" customFormat="1" ht="12.75" customHeight="1" x14ac:dyDescent="0.2">
      <c r="A14" s="891"/>
      <c r="B14" s="892"/>
      <c r="C14" s="892"/>
      <c r="D14" s="892"/>
      <c r="E14" s="893"/>
      <c r="F14" s="876" t="s">
        <v>82</v>
      </c>
      <c r="G14" s="876"/>
      <c r="H14" s="876" t="s">
        <v>83</v>
      </c>
      <c r="I14" s="876"/>
    </row>
    <row r="15" spans="1:46" s="12" customFormat="1" ht="12.75" customHeight="1" x14ac:dyDescent="0.2">
      <c r="A15" s="894"/>
      <c r="B15" s="895"/>
      <c r="C15" s="895"/>
      <c r="D15" s="895"/>
      <c r="E15" s="896"/>
      <c r="F15" s="874" t="e">
        <f>VLOOKUP(A11,'APONTAMENTO CREDENCIAMENTO'!D1:EL3845,12,FALSE)</f>
        <v>#N/A</v>
      </c>
      <c r="G15" s="874"/>
      <c r="H15" s="875">
        <f>'VALORES TABELA'!B37</f>
        <v>46171</v>
      </c>
      <c r="I15" s="875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876" t="s">
        <v>85</v>
      </c>
      <c r="B19" s="876"/>
      <c r="C19" s="876"/>
      <c r="D19" s="876"/>
      <c r="E19" s="876"/>
      <c r="F19" s="876"/>
      <c r="G19" s="876"/>
      <c r="H19" s="876" t="s">
        <v>86</v>
      </c>
      <c r="I19" s="876"/>
    </row>
    <row r="20" spans="1:13" s="12" customFormat="1" ht="15" customHeight="1" x14ac:dyDescent="0.2">
      <c r="A20" s="483" t="s">
        <v>87</v>
      </c>
      <c r="B20" s="873" t="str">
        <f>'EMPRESA C'!N13</f>
        <v>Contratos Especiais (Valor fixo)</v>
      </c>
      <c r="C20" s="867"/>
      <c r="D20" s="867"/>
      <c r="E20" s="867"/>
      <c r="F20" s="867"/>
      <c r="G20" s="867"/>
      <c r="H20" s="868">
        <f>'EMPRESA C'!N16</f>
        <v>0</v>
      </c>
      <c r="I20" s="868"/>
    </row>
    <row r="21" spans="1:13" s="12" customFormat="1" ht="15" customHeight="1" x14ac:dyDescent="0.2">
      <c r="A21" s="483" t="s">
        <v>88</v>
      </c>
      <c r="B21" s="873" t="str">
        <f>'EMPRESA C'!O13</f>
        <v>Valor total alunos presenciais (30 dias)</v>
      </c>
      <c r="C21" s="867"/>
      <c r="D21" s="867"/>
      <c r="E21" s="867"/>
      <c r="F21" s="867"/>
      <c r="G21" s="867"/>
      <c r="H21" s="868">
        <f>'EMPRESA C'!O16</f>
        <v>0</v>
      </c>
      <c r="I21" s="868"/>
    </row>
    <row r="22" spans="1:13" s="12" customFormat="1" ht="15" customHeight="1" x14ac:dyDescent="0.2">
      <c r="A22" s="483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855">
        <f>'EMPRESA C'!P16</f>
        <v>0</v>
      </c>
      <c r="I22" s="856"/>
      <c r="K22" s="55"/>
    </row>
    <row r="23" spans="1:13" s="12" customFormat="1" ht="15" customHeight="1" x14ac:dyDescent="0.2">
      <c r="A23" s="484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855">
        <f>'EMPRESA C'!Q16</f>
        <v>0</v>
      </c>
      <c r="I23" s="856"/>
      <c r="K23" s="55"/>
    </row>
    <row r="24" spans="1:13" s="12" customFormat="1" ht="15" customHeight="1" x14ac:dyDescent="0.2">
      <c r="A24" s="483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855">
        <f>'EMPRESA C'!R16</f>
        <v>0</v>
      </c>
      <c r="I24" s="856"/>
      <c r="K24" s="55"/>
    </row>
    <row r="25" spans="1:13" s="12" customFormat="1" ht="15" customHeight="1" x14ac:dyDescent="0.2">
      <c r="A25" s="483" t="s">
        <v>92</v>
      </c>
      <c r="B25" s="192" t="s">
        <v>60</v>
      </c>
      <c r="C25" s="189"/>
      <c r="D25" s="189"/>
      <c r="E25" s="189"/>
      <c r="F25" s="190"/>
      <c r="G25" s="191"/>
      <c r="H25" s="855">
        <f>'EMPRESA C'!S16</f>
        <v>0</v>
      </c>
      <c r="I25" s="856"/>
      <c r="K25" s="55"/>
    </row>
    <row r="26" spans="1:13" s="12" customFormat="1" ht="15" customHeight="1" x14ac:dyDescent="0.2">
      <c r="A26" s="483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868">
        <f>'EMPRESA C'!T16</f>
        <v>0</v>
      </c>
      <c r="I26" s="868"/>
      <c r="K26" s="55"/>
    </row>
    <row r="27" spans="1:13" s="12" customFormat="1" ht="15" customHeight="1" x14ac:dyDescent="0.2">
      <c r="A27" s="484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868">
        <f>'EMPRESA C'!U16</f>
        <v>0</v>
      </c>
      <c r="I27" s="868"/>
      <c r="K27" s="55"/>
    </row>
    <row r="28" spans="1:13" s="12" customFormat="1" ht="15" customHeight="1" x14ac:dyDescent="0.2">
      <c r="A28" s="483" t="s">
        <v>95</v>
      </c>
      <c r="B28" s="873" t="str">
        <f>'EMPRESA C'!V13</f>
        <v>Ajuste negativo</v>
      </c>
      <c r="C28" s="867"/>
      <c r="D28" s="867"/>
      <c r="E28" s="867"/>
      <c r="F28" s="867"/>
      <c r="G28" s="867"/>
      <c r="H28" s="868">
        <f>'EMPRESA C'!V16</f>
        <v>0</v>
      </c>
      <c r="I28" s="868"/>
    </row>
    <row r="29" spans="1:13" s="12" customFormat="1" ht="15" customHeight="1" x14ac:dyDescent="0.2">
      <c r="A29" s="483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855">
        <f>'EMPRESA C'!W16</f>
        <v>0</v>
      </c>
      <c r="I29" s="856"/>
      <c r="K29" s="55"/>
    </row>
    <row r="30" spans="1:13" s="12" customFormat="1" ht="15" customHeight="1" x14ac:dyDescent="0.2">
      <c r="A30" s="483" t="s">
        <v>97</v>
      </c>
      <c r="B30" s="873" t="str">
        <f>'APONTAMENTO CREDENCIAMENTO'!FD4</f>
        <v>Outros apontamentos</v>
      </c>
      <c r="C30" s="867"/>
      <c r="D30" s="867"/>
      <c r="E30" s="867"/>
      <c r="F30" s="867"/>
      <c r="G30" s="867"/>
      <c r="H30" s="868">
        <f>'EMPRESA C'!X16</f>
        <v>0</v>
      </c>
      <c r="I30" s="868"/>
      <c r="M30" s="55"/>
    </row>
    <row r="31" spans="1:13" s="12" customFormat="1" ht="15" customHeight="1" x14ac:dyDescent="0.2">
      <c r="A31" s="483" t="s">
        <v>98</v>
      </c>
      <c r="B31" s="867" t="s">
        <v>99</v>
      </c>
      <c r="C31" s="867"/>
      <c r="D31" s="867"/>
      <c r="E31" s="867"/>
      <c r="F31" s="867"/>
      <c r="G31" s="867"/>
      <c r="H31" s="868">
        <f>'EMPRESA C'!Y16</f>
        <v>0</v>
      </c>
      <c r="I31" s="868"/>
      <c r="M31" s="55"/>
    </row>
    <row r="32" spans="1:13" s="12" customFormat="1" ht="15" customHeight="1" x14ac:dyDescent="0.2">
      <c r="A32" s="483" t="s">
        <v>100</v>
      </c>
      <c r="B32" s="871" t="s">
        <v>101</v>
      </c>
      <c r="C32" s="871"/>
      <c r="D32" s="871"/>
      <c r="E32" s="871"/>
      <c r="F32" s="871"/>
      <c r="G32" s="871"/>
      <c r="H32" s="872">
        <f>'EMPRESA C'!Z16</f>
        <v>0</v>
      </c>
      <c r="I32" s="872"/>
      <c r="L32" s="55"/>
    </row>
    <row r="33" spans="1:12" s="12" customFormat="1" ht="15" customHeight="1" x14ac:dyDescent="0.2">
      <c r="A33" s="483" t="s">
        <v>102</v>
      </c>
      <c r="B33" s="867" t="s">
        <v>103</v>
      </c>
      <c r="C33" s="867"/>
      <c r="D33" s="867"/>
      <c r="E33" s="867"/>
      <c r="F33" s="867"/>
      <c r="G33" s="867"/>
      <c r="H33" s="868" t="e">
        <f>'EMPRESA C'!AB16</f>
        <v>#N/A</v>
      </c>
      <c r="I33" s="868"/>
    </row>
    <row r="34" spans="1:12" s="12" customFormat="1" x14ac:dyDescent="0.2">
      <c r="A34" s="483" t="s">
        <v>104</v>
      </c>
      <c r="B34" s="869" t="s">
        <v>105</v>
      </c>
      <c r="C34" s="869"/>
      <c r="D34" s="869"/>
      <c r="E34" s="869"/>
      <c r="F34" s="869"/>
      <c r="G34" s="869"/>
      <c r="H34" s="870" t="e">
        <f>H32-H33</f>
        <v>#N/A</v>
      </c>
      <c r="I34" s="870"/>
    </row>
    <row r="35" spans="1:12" s="12" customFormat="1" x14ac:dyDescent="0.2">
      <c r="A35" s="857" t="s">
        <v>106</v>
      </c>
      <c r="B35" s="858" t="e">
        <f>VLOOKUP(A11,'APONTAMENTO CREDENCIAMENTO'!D1:EL3845,138,FALSE)</f>
        <v>#N/A</v>
      </c>
      <c r="C35" s="858"/>
      <c r="D35" s="858"/>
      <c r="E35" s="858"/>
      <c r="F35" s="858"/>
      <c r="G35" s="858"/>
      <c r="H35" s="858"/>
      <c r="I35" s="858"/>
    </row>
    <row r="36" spans="1:12" s="12" customFormat="1" x14ac:dyDescent="0.2">
      <c r="A36" s="857"/>
      <c r="B36" s="858"/>
      <c r="C36" s="858"/>
      <c r="D36" s="858"/>
      <c r="E36" s="858"/>
      <c r="F36" s="858"/>
      <c r="G36" s="858"/>
      <c r="H36" s="858"/>
      <c r="I36" s="858"/>
    </row>
    <row r="37" spans="1:12" s="12" customFormat="1" ht="20.100000000000001" customHeight="1" x14ac:dyDescent="0.2">
      <c r="A37" s="857" t="s">
        <v>107</v>
      </c>
      <c r="B37" s="859" t="e">
        <f>VLOOKUP(A11,'APONTAMENTO CREDENCIAMENTO'!D1:EL3845,139,FALSE)</f>
        <v>#N/A</v>
      </c>
      <c r="C37" s="860"/>
      <c r="D37" s="860"/>
      <c r="E37" s="860"/>
      <c r="F37" s="860"/>
      <c r="G37" s="860"/>
      <c r="H37" s="860"/>
      <c r="I37" s="861"/>
    </row>
    <row r="38" spans="1:12" s="12" customFormat="1" ht="20.100000000000001" customHeight="1" x14ac:dyDescent="0.2">
      <c r="A38" s="857"/>
      <c r="B38" s="862"/>
      <c r="C38" s="863"/>
      <c r="D38" s="863"/>
      <c r="E38" s="863"/>
      <c r="F38" s="863"/>
      <c r="G38" s="863"/>
      <c r="H38" s="863"/>
      <c r="I38" s="864"/>
    </row>
    <row r="39" spans="1:12" s="12" customFormat="1" ht="20.100000000000001" customHeight="1" x14ac:dyDescent="0.2">
      <c r="A39" s="35"/>
      <c r="B39" s="865" t="s">
        <v>108</v>
      </c>
      <c r="C39" s="865"/>
      <c r="D39" s="865"/>
      <c r="E39" s="865"/>
      <c r="F39" s="865"/>
      <c r="G39" s="865"/>
      <c r="H39" s="865"/>
      <c r="I39" s="865"/>
    </row>
    <row r="40" spans="1:12" s="12" customFormat="1" x14ac:dyDescent="0.2">
      <c r="A40" s="35"/>
      <c r="B40" s="865"/>
      <c r="C40" s="865"/>
      <c r="D40" s="865"/>
      <c r="E40" s="865"/>
      <c r="F40" s="865"/>
      <c r="G40" s="865"/>
      <c r="H40" s="865"/>
      <c r="I40" s="865"/>
    </row>
    <row r="41" spans="1:12" s="12" customFormat="1" ht="12.75" customHeight="1" x14ac:dyDescent="0.2">
      <c r="A41" s="35"/>
      <c r="B41" s="865"/>
      <c r="C41" s="865"/>
      <c r="D41" s="865"/>
      <c r="E41" s="865"/>
      <c r="F41" s="865"/>
      <c r="G41" s="865"/>
      <c r="H41" s="865"/>
      <c r="I41" s="865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866" t="s">
        <v>109</v>
      </c>
      <c r="C43" s="866"/>
      <c r="D43" s="866"/>
      <c r="E43" s="866"/>
      <c r="F43" s="866"/>
      <c r="G43" s="866"/>
      <c r="H43" s="866"/>
      <c r="I43" s="866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842" t="s">
        <v>110</v>
      </c>
      <c r="B45" s="843"/>
      <c r="C45" s="843"/>
      <c r="D45" s="843"/>
      <c r="E45" s="844"/>
      <c r="F45" s="844"/>
      <c r="G45" s="844"/>
      <c r="H45" s="844"/>
      <c r="I45" s="845"/>
    </row>
    <row r="46" spans="1:12" ht="12.75" customHeight="1" x14ac:dyDescent="0.2">
      <c r="A46" s="877" t="s">
        <v>154</v>
      </c>
      <c r="B46" s="878"/>
      <c r="C46" s="878"/>
      <c r="D46" s="878"/>
      <c r="E46" s="878"/>
      <c r="F46" s="878"/>
      <c r="G46" s="878"/>
      <c r="H46" s="878"/>
      <c r="I46" s="879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38" t="s">
        <v>351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85" t="s">
        <v>352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38" t="s">
        <v>353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38" t="s">
        <v>345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846" t="s">
        <v>111</v>
      </c>
      <c r="B53" s="847"/>
      <c r="C53" s="847"/>
      <c r="D53" s="847"/>
      <c r="E53" s="847"/>
      <c r="F53" s="847"/>
      <c r="G53" s="847"/>
      <c r="H53" s="847"/>
      <c r="I53" s="848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849" t="s">
        <v>116</v>
      </c>
      <c r="B56" s="850"/>
      <c r="C56" s="850"/>
      <c r="D56" s="850"/>
      <c r="E56" s="850"/>
      <c r="F56" s="850"/>
      <c r="G56" s="850"/>
      <c r="H56" s="850"/>
      <c r="I56" s="851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852" t="s">
        <v>119</v>
      </c>
      <c r="B58" s="853"/>
      <c r="C58" s="853"/>
      <c r="D58" s="853"/>
      <c r="E58" s="853"/>
      <c r="F58" s="853"/>
      <c r="G58" s="853"/>
      <c r="H58" s="853"/>
      <c r="I58" s="854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07" customWidth="1" outlineLevel="1"/>
    <col min="2" max="2" width="23.42578125" style="407" customWidth="1" outlineLevel="1"/>
    <col min="3" max="3" width="40" style="407" customWidth="1" outlineLevel="1"/>
    <col min="4" max="4" width="15.28515625" style="424" bestFit="1" customWidth="1" outlineLevel="1"/>
    <col min="5" max="5" width="16.5703125" style="425" customWidth="1" outlineLevel="1"/>
    <col min="6" max="6" width="18.140625" style="425" customWidth="1" outlineLevel="1"/>
    <col min="7" max="7" width="15.42578125" style="425" customWidth="1" outlineLevel="1"/>
    <col min="8" max="8" width="14.28515625" style="425" bestFit="1" customWidth="1" outlineLevel="1"/>
    <col min="9" max="9" width="15.28515625" style="425" bestFit="1" customWidth="1"/>
    <col min="10" max="10" width="21.28515625" style="425" customWidth="1"/>
    <col min="11" max="11" width="14.28515625" style="425" bestFit="1" customWidth="1"/>
    <col min="12" max="12" width="2.28515625" style="407" customWidth="1"/>
    <col min="13" max="16384" width="9.140625" style="407"/>
  </cols>
  <sheetData>
    <row r="1" spans="1:16" ht="20.25" customHeight="1" x14ac:dyDescent="0.2">
      <c r="A1" s="898" t="s">
        <v>4</v>
      </c>
      <c r="B1" s="406"/>
      <c r="C1" s="898" t="s">
        <v>301</v>
      </c>
      <c r="D1" s="900" t="s">
        <v>129</v>
      </c>
      <c r="E1" s="900" t="s">
        <v>300</v>
      </c>
      <c r="F1" s="900" t="s">
        <v>299</v>
      </c>
      <c r="G1" s="900" t="s">
        <v>3139</v>
      </c>
      <c r="H1" s="904" t="s">
        <v>298</v>
      </c>
      <c r="I1" s="902" t="s">
        <v>297</v>
      </c>
      <c r="J1" s="902" t="s">
        <v>296</v>
      </c>
      <c r="K1" s="902" t="s">
        <v>295</v>
      </c>
    </row>
    <row r="2" spans="1:16" ht="29.25" customHeight="1" x14ac:dyDescent="0.2">
      <c r="A2" s="899"/>
      <c r="B2" s="408" t="s">
        <v>168</v>
      </c>
      <c r="C2" s="899"/>
      <c r="D2" s="901"/>
      <c r="E2" s="901"/>
      <c r="F2" s="901"/>
      <c r="G2" s="901"/>
      <c r="H2" s="905"/>
      <c r="I2" s="903"/>
      <c r="J2" s="903"/>
      <c r="K2" s="903"/>
    </row>
    <row r="3" spans="1:16" s="411" customFormat="1" ht="15.75" customHeight="1" x14ac:dyDescent="0.2">
      <c r="A3" s="409"/>
      <c r="B3" s="409"/>
      <c r="C3" s="410"/>
      <c r="D3" s="421"/>
      <c r="E3" s="421"/>
      <c r="F3" s="421"/>
      <c r="G3" s="421"/>
      <c r="H3" s="421"/>
      <c r="I3" s="422">
        <f>IF(C3=C2,(D3+D2)*'VALORES TABELA'!$B$50-E2,D3*'VALORES TABELA'!$B$50)</f>
        <v>0</v>
      </c>
      <c r="J3" s="423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3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07"/>
      <c r="P3" s="407"/>
    </row>
    <row r="4" spans="1:16" ht="20.25" customHeight="1" x14ac:dyDescent="0.2">
      <c r="A4" s="412" t="s">
        <v>215</v>
      </c>
      <c r="B4" s="407" t="s">
        <v>266</v>
      </c>
      <c r="C4" s="426" t="s">
        <v>279</v>
      </c>
      <c r="D4" s="424">
        <f>SUMIF('APONTAMENTO CREDENCIAMENTO'!$D$5:$D$3847,$A4,'APONTAMENTO CREDENCIAMENTO'!$FF$5:$FF$3847)</f>
        <v>0</v>
      </c>
      <c r="E4" s="425">
        <f>IF(D4=0,0,IF(D4*0.2*0.11&gt;607.2,607.2,IF(D4&lt;42377.92,D4*0.2*0.11,IF(D4*0.2*0.11&gt;932.31,932.31))))</f>
        <v>0</v>
      </c>
      <c r="F4" s="425">
        <f>$D4*'VALORES TABELA'!$B$45*'VALORES TABELA'!$B$46</f>
        <v>0</v>
      </c>
      <c r="G4" s="425">
        <f t="shared" ref="G4:G14" si="0">D4*60%</f>
        <v>0</v>
      </c>
      <c r="H4" s="425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25">
        <f>IF($C4=$C3,($D4+$D3)*'VALORES TABELA'!$B$50-$E3,$D4*'VALORES TABELA'!$B$50)</f>
        <v>0</v>
      </c>
      <c r="J4" s="425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25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24">
        <f>SUMIF('APONTAMENTO CREDENCIAMENTO'!$D$5:$D$3847,$A5,'APONTAMENTO CREDENCIAMENTO'!$FF$5:$FF$3847)</f>
        <v>0</v>
      </c>
      <c r="E5" s="425">
        <f t="shared" ref="E5:E14" si="1">IF(D5=0,0,IF(D5*0.2*0.11&gt;607.2,607.2,IF(D5&lt;42377.92,D5*0.2*0.11,IF(D5*0.2*0.11&gt;932.31,932.31))))</f>
        <v>0</v>
      </c>
      <c r="F5" s="425">
        <f>$D5*'VALORES TABELA'!$B$45*'VALORES TABELA'!$B$46</f>
        <v>0</v>
      </c>
      <c r="G5" s="425">
        <f t="shared" si="0"/>
        <v>0</v>
      </c>
      <c r="H5" s="425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25">
        <f>IF($C5=$C4,($D5+$D4)*'VALORES TABELA'!$B$50-$E4,$D5*'VALORES TABELA'!$B$50)</f>
        <v>0</v>
      </c>
      <c r="J5" s="425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25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24">
        <f>SUMIF('APONTAMENTO CREDENCIAMENTO'!$D$5:$D$3847,$A6,'APONTAMENTO CREDENCIAMENTO'!$FF$5:$FF$3847)</f>
        <v>0</v>
      </c>
      <c r="E6" s="425">
        <f t="shared" si="1"/>
        <v>0</v>
      </c>
      <c r="F6" s="425">
        <f>$D6*'VALORES TABELA'!$B$45*'VALORES TABELA'!$B$46</f>
        <v>0</v>
      </c>
      <c r="G6" s="425">
        <f t="shared" si="0"/>
        <v>0</v>
      </c>
      <c r="H6" s="425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25">
        <f>IF($C6=$C5,($D6+$D5)*'VALORES TABELA'!$B$50-$E5,$D6*'VALORES TABELA'!$B$50)</f>
        <v>0</v>
      </c>
      <c r="J6" s="425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25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24">
        <f>SUMIF('APONTAMENTO CREDENCIAMENTO'!$D$5:$D$3847,$A7,'APONTAMENTO CREDENCIAMENTO'!$FF$5:$FF$3847)</f>
        <v>0</v>
      </c>
      <c r="E7" s="425">
        <f t="shared" si="1"/>
        <v>0</v>
      </c>
      <c r="F7" s="425">
        <f>$D7*'VALORES TABELA'!$B$45*'VALORES TABELA'!$B$46</f>
        <v>0</v>
      </c>
      <c r="G7" s="425">
        <f t="shared" si="0"/>
        <v>0</v>
      </c>
      <c r="H7" s="425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25">
        <f>IF($C7=$C6,($D7+$D6)*'VALORES TABELA'!$B$50-$E6,$D7*'VALORES TABELA'!$B$50)</f>
        <v>0</v>
      </c>
      <c r="J7" s="425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25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24">
        <f>SUMIF('APONTAMENTO CREDENCIAMENTO'!$D$5:$D$3847,$A8,'APONTAMENTO CREDENCIAMENTO'!$FF$5:$FF$3847)</f>
        <v>0</v>
      </c>
      <c r="E8" s="425">
        <f t="shared" si="1"/>
        <v>0</v>
      </c>
      <c r="F8" s="425">
        <f>$D8*'VALORES TABELA'!$B$45*'VALORES TABELA'!$B$46</f>
        <v>0</v>
      </c>
      <c r="G8" s="425">
        <f t="shared" si="0"/>
        <v>0</v>
      </c>
      <c r="H8" s="425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25">
        <f>IF($C8=$C7,($D8+$D7)*'VALORES TABELA'!$B$50-$E7,$D8*'VALORES TABELA'!$B$50)</f>
        <v>0</v>
      </c>
      <c r="J8" s="425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25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24">
        <f>SUMIF('APONTAMENTO CREDENCIAMENTO'!$D$5:$D$3847,$A9,'APONTAMENTO CREDENCIAMENTO'!$FF$5:$FF$3847)</f>
        <v>0</v>
      </c>
      <c r="E9" s="425">
        <f t="shared" si="1"/>
        <v>0</v>
      </c>
      <c r="F9" s="425">
        <f>$D9*'VALORES TABELA'!$B$45*'VALORES TABELA'!$B$46</f>
        <v>0</v>
      </c>
      <c r="G9" s="425">
        <f t="shared" si="0"/>
        <v>0</v>
      </c>
      <c r="H9" s="425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25">
        <f>IF($C9=$C8,($D9+$D8)*'VALORES TABELA'!$B$50-$E8,$D9*'VALORES TABELA'!$B$50)</f>
        <v>0</v>
      </c>
      <c r="J9" s="425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25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24">
        <f>SUMIF('APONTAMENTO CREDENCIAMENTO'!$D$5:$D$3847,$A10,'APONTAMENTO CREDENCIAMENTO'!$FF$5:$FF$3847)</f>
        <v>0</v>
      </c>
      <c r="E10" s="425">
        <f t="shared" si="1"/>
        <v>0</v>
      </c>
      <c r="F10" s="425">
        <f>$D10*'VALORES TABELA'!$B$45*'VALORES TABELA'!$B$46</f>
        <v>0</v>
      </c>
      <c r="G10" s="425">
        <f t="shared" si="0"/>
        <v>0</v>
      </c>
      <c r="H10" s="425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25">
        <f>IF($C10=$C9,($D10+$D9)*'VALORES TABELA'!$B$50-$E9,$D10*'VALORES TABELA'!$B$50)</f>
        <v>0</v>
      </c>
      <c r="J10" s="425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25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24">
        <f>SUMIF('APONTAMENTO CREDENCIAMENTO'!$D$5:$D$3847,$A11,'APONTAMENTO CREDENCIAMENTO'!$FF$5:$FF$3847)</f>
        <v>0</v>
      </c>
      <c r="E11" s="425">
        <f t="shared" si="1"/>
        <v>0</v>
      </c>
      <c r="F11" s="425">
        <f>$D11*'VALORES TABELA'!$B$45*'VALORES TABELA'!$B$46</f>
        <v>0</v>
      </c>
      <c r="G11" s="425">
        <f t="shared" si="0"/>
        <v>0</v>
      </c>
      <c r="H11" s="425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25">
        <f>IF($C11=$C10,($D11+$D10)*'VALORES TABELA'!$B$50-$E10,$D11*'VALORES TABELA'!$B$50)</f>
        <v>0</v>
      </c>
      <c r="J11" s="425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25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24">
        <f>SUMIF('APONTAMENTO CREDENCIAMENTO'!$D$5:$D$3847,$A12,'APONTAMENTO CREDENCIAMENTO'!$FF$5:$FF$3847)</f>
        <v>0</v>
      </c>
      <c r="E12" s="425">
        <f t="shared" si="1"/>
        <v>0</v>
      </c>
      <c r="F12" s="425">
        <f>$D12*'VALORES TABELA'!$B$45*'VALORES TABELA'!$B$46</f>
        <v>0</v>
      </c>
      <c r="G12" s="425">
        <f t="shared" si="0"/>
        <v>0</v>
      </c>
      <c r="H12" s="425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25">
        <f>IF($C12=$C11,($D12+$D11)*'VALORES TABELA'!$B$50-$E11,$D12*'VALORES TABELA'!$B$50)</f>
        <v>0</v>
      </c>
      <c r="J12" s="425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25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24">
        <f>SUMIF('APONTAMENTO CREDENCIAMENTO'!$D$5:$D$3847,$A13,'APONTAMENTO CREDENCIAMENTO'!$FF$5:$FF$3847)</f>
        <v>0</v>
      </c>
      <c r="E13" s="425">
        <f t="shared" si="1"/>
        <v>0</v>
      </c>
      <c r="F13" s="425">
        <f>$D13*'VALORES TABELA'!$B$45*'VALORES TABELA'!$B$46</f>
        <v>0</v>
      </c>
      <c r="G13" s="425">
        <f t="shared" si="0"/>
        <v>0</v>
      </c>
      <c r="H13" s="425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25">
        <f>IF($C13=$C12,($D13+$D12)*'VALORES TABELA'!$B$50-$E12,$D13*'VALORES TABELA'!$B$50)</f>
        <v>0</v>
      </c>
      <c r="J13" s="425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25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24">
        <f>SUMIF('APONTAMENTO CREDENCIAMENTO'!$D$5:$D$3847,$A14,'APONTAMENTO CREDENCIAMENTO'!$FF$5:$FF$3847)</f>
        <v>0</v>
      </c>
      <c r="E14" s="425">
        <f t="shared" si="1"/>
        <v>0</v>
      </c>
      <c r="F14" s="425">
        <f>$D14*'VALORES TABELA'!$B$45*'VALORES TABELA'!$B$46</f>
        <v>0</v>
      </c>
      <c r="G14" s="425">
        <f t="shared" si="0"/>
        <v>0</v>
      </c>
      <c r="H14" s="425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25">
        <f>IF($C14=$C13,($D14+$D13)*'VALORES TABELA'!$B$50-$E13,$D14*'VALORES TABELA'!$B$50)</f>
        <v>0</v>
      </c>
      <c r="J14" s="425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25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881"/>
      <c r="F2" s="881"/>
      <c r="G2" s="881"/>
      <c r="H2" s="881"/>
      <c r="I2" s="881"/>
      <c r="J2" s="35"/>
      <c r="K2" s="35"/>
      <c r="L2" s="35"/>
      <c r="M2" s="35"/>
      <c r="N2" s="882"/>
      <c r="O2" s="882"/>
      <c r="P2" s="882"/>
      <c r="Q2" s="882"/>
      <c r="R2" s="882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883"/>
      <c r="F3" s="883"/>
      <c r="G3" s="883"/>
      <c r="H3" s="883"/>
      <c r="I3" s="883"/>
      <c r="J3" s="35"/>
      <c r="K3" s="35"/>
      <c r="L3" s="35"/>
      <c r="M3" s="35"/>
      <c r="N3" s="882"/>
      <c r="O3" s="882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884"/>
      <c r="F4" s="884"/>
      <c r="G4" s="884"/>
      <c r="H4" s="884"/>
      <c r="I4" s="884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906" t="s">
        <v>73</v>
      </c>
      <c r="C9" s="906"/>
      <c r="D9" s="906"/>
      <c r="E9" s="906"/>
      <c r="F9" s="906"/>
      <c r="G9" s="906"/>
      <c r="H9" s="906"/>
      <c r="I9" s="906"/>
    </row>
    <row r="10" spans="1:46" s="12" customFormat="1" ht="12.75" customHeight="1" thickBot="1" x14ac:dyDescent="0.25">
      <c r="A10" s="907" t="s">
        <v>74</v>
      </c>
      <c r="B10" s="908"/>
      <c r="C10" s="460" t="s">
        <v>11</v>
      </c>
      <c r="D10" s="908" t="s">
        <v>329</v>
      </c>
      <c r="E10" s="908"/>
      <c r="F10" s="459" t="s">
        <v>330</v>
      </c>
      <c r="G10" s="461" t="s">
        <v>328</v>
      </c>
      <c r="H10" s="459" t="s">
        <v>78</v>
      </c>
      <c r="I10" s="462" t="s">
        <v>79</v>
      </c>
    </row>
    <row r="11" spans="1:46" s="12" customFormat="1" ht="12.75" customHeight="1" x14ac:dyDescent="0.2">
      <c r="A11" s="452" t="str">
        <f>'BASE C'!B3</f>
        <v>2026/0016071</v>
      </c>
      <c r="B11" s="453"/>
      <c r="C11" s="454" t="str">
        <f>VLOOKUP(A11,ProcRel!A1:C5000,3,0)</f>
        <v>006.336-00</v>
      </c>
      <c r="D11" s="909" t="e">
        <f>VLOOKUP(A11,'APONTAMENTO CREDENCIAMENTO'!$D$6:$D$3847,1,FALSE)</f>
        <v>#N/A</v>
      </c>
      <c r="E11" s="909"/>
      <c r="F11" s="455">
        <f>SUMIF('APONTAMENTO CREDENCIAMENTO'!D$5:D$4950,A11,'APONTAMENTO CREDENCIAMENTO'!N$5:N$4950)</f>
        <v>0</v>
      </c>
      <c r="G11" s="456">
        <f>'EMPRESA C'!H16+'EMPRESA C'!I16+'EMPRESA C'!J16+'EMPRESA C'!K16+'EMPRESA C'!L16+'EMPRESA C'!M16</f>
        <v>0</v>
      </c>
      <c r="H11" s="457" t="str">
        <f>'BASE C'!E4</f>
        <v>ABRIL</v>
      </c>
      <c r="I11" s="458" t="str">
        <f>'BASE C'!D2</f>
        <v>FREGUESIA / BRASILÂNDIA</v>
      </c>
    </row>
    <row r="12" spans="1:46" s="12" customFormat="1" ht="12.75" customHeight="1" x14ac:dyDescent="0.2">
      <c r="A12" s="910" t="s">
        <v>80</v>
      </c>
      <c r="B12" s="911"/>
      <c r="C12" s="911"/>
      <c r="D12" s="911"/>
      <c r="E12" s="911"/>
      <c r="F12" s="912" t="s">
        <v>301</v>
      </c>
      <c r="G12" s="912"/>
      <c r="H12" s="912" t="s">
        <v>6</v>
      </c>
      <c r="I12" s="913"/>
    </row>
    <row r="13" spans="1:46" s="12" customFormat="1" ht="12.75" customHeight="1" thickBot="1" x14ac:dyDescent="0.25">
      <c r="A13" s="914" t="e">
        <f>VLOOKUP(A11,'APONTAMENTO CREDENCIAMENTO'!D1:J4950,6,FALSE)</f>
        <v>#N/A</v>
      </c>
      <c r="B13" s="915"/>
      <c r="C13" s="915"/>
      <c r="D13" s="915"/>
      <c r="E13" s="916"/>
      <c r="F13" s="922" t="str">
        <f>VLOOKUP(A11,ProcRel1!E2:G5000,3,FALSE)</f>
        <v>65.425.834/0001-94</v>
      </c>
      <c r="G13" s="922"/>
      <c r="H13" s="450" t="str">
        <f>'BASE C'!B4</f>
        <v>01/04/2026</v>
      </c>
      <c r="I13" s="451" t="str">
        <f>'BASE C'!C4</f>
        <v>30/04/2026</v>
      </c>
    </row>
    <row r="14" spans="1:46" s="12" customFormat="1" ht="12.75" customHeight="1" thickBot="1" x14ac:dyDescent="0.25">
      <c r="A14" s="917"/>
      <c r="B14" s="918"/>
      <c r="C14" s="918"/>
      <c r="D14" s="918"/>
      <c r="E14" s="918"/>
      <c r="F14" s="923" t="s">
        <v>82</v>
      </c>
      <c r="G14" s="924"/>
      <c r="H14" s="924" t="s">
        <v>83</v>
      </c>
      <c r="I14" s="925"/>
    </row>
    <row r="15" spans="1:46" s="12" customFormat="1" ht="12.75" customHeight="1" thickBot="1" x14ac:dyDescent="0.25">
      <c r="A15" s="919"/>
      <c r="B15" s="920"/>
      <c r="C15" s="920"/>
      <c r="D15" s="920"/>
      <c r="E15" s="921"/>
      <c r="F15" s="926" t="e">
        <f>VLOOKUP(A11,'APONTAMENTO CREDENCIAMENTO'!D1:O3845,12,FALSE)</f>
        <v>#N/A</v>
      </c>
      <c r="G15" s="926"/>
      <c r="H15" s="927">
        <f>'VALORES TABELA'!B37</f>
        <v>46171</v>
      </c>
      <c r="I15" s="928"/>
    </row>
    <row r="16" spans="1:46" s="12" customFormat="1" ht="9.9499999999999993" customHeight="1" x14ac:dyDescent="0.2">
      <c r="A16" s="449"/>
      <c r="B16" s="449"/>
      <c r="C16" s="449"/>
      <c r="D16" s="449"/>
      <c r="E16" s="449"/>
      <c r="F16" s="449"/>
      <c r="G16" s="449"/>
      <c r="H16" s="449"/>
      <c r="I16" s="449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929" t="s">
        <v>85</v>
      </c>
      <c r="B19" s="930"/>
      <c r="C19" s="930"/>
      <c r="D19" s="930"/>
      <c r="E19" s="930"/>
      <c r="F19" s="930"/>
      <c r="G19" s="931"/>
      <c r="H19" s="932" t="s">
        <v>86</v>
      </c>
      <c r="I19" s="933"/>
    </row>
    <row r="20" spans="1:13" s="12" customFormat="1" ht="15" customHeight="1" x14ac:dyDescent="0.2">
      <c r="A20" s="463" t="s">
        <v>87</v>
      </c>
      <c r="B20" s="464" t="s">
        <v>327</v>
      </c>
      <c r="C20" s="465"/>
      <c r="D20" s="466"/>
      <c r="E20" s="465"/>
      <c r="F20" s="466"/>
      <c r="G20" s="465"/>
      <c r="H20" s="465"/>
      <c r="I20" s="488" t="e">
        <f>VLOOKUP(A11,'APONTAMENTO CREDENCIAMENTO'!$D$6:$EW$3847,150,FALSE)</f>
        <v>#N/A</v>
      </c>
    </row>
    <row r="21" spans="1:13" s="12" customFormat="1" ht="15" customHeight="1" x14ac:dyDescent="0.2">
      <c r="A21" s="463" t="s">
        <v>88</v>
      </c>
      <c r="B21" s="464" t="s">
        <v>326</v>
      </c>
      <c r="C21" s="466"/>
      <c r="D21" s="466"/>
      <c r="E21" s="466"/>
      <c r="F21" s="491" t="s">
        <v>355</v>
      </c>
      <c r="G21" s="466"/>
      <c r="H21" s="466"/>
      <c r="I21" s="489">
        <f>SUMIF('APONTAMENTO CREDENCIAMENTO'!D$5:D$4950,A11,'APONTAMENTO CREDENCIAMENTO'!EX$5:EX$4950)</f>
        <v>0</v>
      </c>
    </row>
    <row r="22" spans="1:13" s="12" customFormat="1" ht="15" customHeight="1" x14ac:dyDescent="0.2">
      <c r="A22" s="463" t="s">
        <v>89</v>
      </c>
      <c r="B22" s="467" t="s">
        <v>325</v>
      </c>
      <c r="C22" s="466"/>
      <c r="D22" s="468"/>
      <c r="E22" s="466"/>
      <c r="F22" s="468"/>
      <c r="G22" s="466"/>
      <c r="H22" s="466"/>
      <c r="I22" s="489">
        <f>SUMIF('APONTAMENTO CREDENCIAMENTO'!D5:D4950,A11,'APONTAMENTO CREDENCIAMENTO'!FB5:FB4950)</f>
        <v>0</v>
      </c>
      <c r="K22" s="55"/>
    </row>
    <row r="23" spans="1:13" s="12" customFormat="1" ht="15" customHeight="1" x14ac:dyDescent="0.2">
      <c r="A23" s="463" t="s">
        <v>90</v>
      </c>
      <c r="B23" s="464" t="s">
        <v>324</v>
      </c>
      <c r="C23" s="466"/>
      <c r="D23" s="466"/>
      <c r="E23" s="466"/>
      <c r="F23" s="466"/>
      <c r="G23" s="466"/>
      <c r="H23" s="466"/>
      <c r="I23" s="489">
        <f>SUMIF('APONTAMENTO CREDENCIAMENTO'!D5:D4950,A11,'APONTAMENTO CREDENCIAMENTO'!EZ5:EZ4950)</f>
        <v>0</v>
      </c>
      <c r="K23" s="55"/>
    </row>
    <row r="24" spans="1:13" s="12" customFormat="1" ht="15" customHeight="1" x14ac:dyDescent="0.2">
      <c r="A24" s="463" t="s">
        <v>91</v>
      </c>
      <c r="B24" s="464" t="s">
        <v>323</v>
      </c>
      <c r="C24" s="466"/>
      <c r="D24" s="466"/>
      <c r="E24" s="466"/>
      <c r="F24" s="466"/>
      <c r="G24" s="466"/>
      <c r="H24" s="466"/>
      <c r="I24" s="489">
        <f>SUMIF('APONTAMENTO CREDENCIAMENTO'!D5:D4950,A11,'APONTAMENTO CREDENCIAMENTO'!FA5:FA4950)</f>
        <v>0</v>
      </c>
      <c r="K24" s="55"/>
    </row>
    <row r="25" spans="1:13" s="12" customFormat="1" ht="15" customHeight="1" x14ac:dyDescent="0.2">
      <c r="A25" s="463" t="s">
        <v>92</v>
      </c>
      <c r="B25" s="464" t="s">
        <v>322</v>
      </c>
      <c r="C25" s="466"/>
      <c r="D25" s="466"/>
      <c r="E25" s="466"/>
      <c r="F25" s="466"/>
      <c r="G25" s="466"/>
      <c r="H25" s="466"/>
      <c r="I25" s="489">
        <f>SUMIF('APONTAMENTO CREDENCIAMENTO'!D5:D4950,A11,'APONTAMENTO CREDENCIAMENTO'!FC5:FC4950)</f>
        <v>0</v>
      </c>
      <c r="K25" s="55"/>
    </row>
    <row r="26" spans="1:13" s="12" customFormat="1" ht="15" customHeight="1" x14ac:dyDescent="0.2">
      <c r="A26" s="463" t="s">
        <v>93</v>
      </c>
      <c r="B26" s="469" t="s">
        <v>62</v>
      </c>
      <c r="C26" s="466"/>
      <c r="D26" s="470"/>
      <c r="E26" s="466"/>
      <c r="F26" s="470"/>
      <c r="G26" s="466"/>
      <c r="H26" s="466"/>
      <c r="I26" s="489" t="e">
        <f>VLOOKUP(A11,'APONTAMENTO CREDENCIAMENTO'!D5:ID4950,230,0)</f>
        <v>#N/A</v>
      </c>
      <c r="K26" s="55"/>
      <c r="L26" s="42"/>
    </row>
    <row r="27" spans="1:13" s="12" customFormat="1" ht="15" customHeight="1" x14ac:dyDescent="0.2">
      <c r="A27" s="463" t="s">
        <v>94</v>
      </c>
      <c r="B27" s="469" t="s">
        <v>321</v>
      </c>
      <c r="C27" s="466"/>
      <c r="D27" s="470"/>
      <c r="E27" s="466"/>
      <c r="F27" s="470"/>
      <c r="G27" s="466"/>
      <c r="H27" s="466"/>
      <c r="I27" s="489" t="e">
        <f>VLOOKUP(A11,'APONTAMENTO CREDENCIAMENTO'!D5:ID4950,231,0)*-1</f>
        <v>#N/A</v>
      </c>
      <c r="K27" s="55"/>
      <c r="M27" s="42"/>
    </row>
    <row r="28" spans="1:13" s="12" customFormat="1" ht="15" customHeight="1" x14ac:dyDescent="0.2">
      <c r="A28" s="463" t="s">
        <v>95</v>
      </c>
      <c r="B28" s="471" t="s">
        <v>320</v>
      </c>
      <c r="C28" s="466"/>
      <c r="D28" s="472"/>
      <c r="E28" s="466"/>
      <c r="F28" s="472"/>
      <c r="G28" s="466"/>
      <c r="H28" s="466"/>
      <c r="I28" s="489" t="e">
        <f>VLOOKUP(A11,'APONTAMENTO CREDENCIAMENTO'!D5:ID4950,232,0)*-1</f>
        <v>#N/A</v>
      </c>
    </row>
    <row r="29" spans="1:13" s="12" customFormat="1" ht="15" customHeight="1" x14ac:dyDescent="0.2">
      <c r="A29" s="463" t="s">
        <v>96</v>
      </c>
      <c r="B29" s="496" t="s">
        <v>319</v>
      </c>
      <c r="C29" s="497"/>
      <c r="D29" s="492"/>
      <c r="E29" s="499">
        <f>SUMIF('APONTAMENTO CREDENCIAMENTO'!D5:D4950,A11,'APONTAMENTO CREDENCIAMENTO'!L5:L4950)</f>
        <v>0</v>
      </c>
      <c r="F29" s="500" t="s">
        <v>356</v>
      </c>
      <c r="G29" s="501">
        <f>SUMIF('APONTAMENTO CREDENCIAMENTO'!D5:D4950,A11,'APONTAMENTO CREDENCIAMENTO'!M5:M4950)</f>
        <v>0</v>
      </c>
      <c r="H29" s="498" t="s">
        <v>150</v>
      </c>
      <c r="I29" s="489">
        <f>SUMIF('APONTAMENTO CREDENCIAMENTO'!D5:D4950,A11,'APONTAMENTO CREDENCIAMENTO'!EY5:EY4950)</f>
        <v>0</v>
      </c>
      <c r="K29" s="55"/>
    </row>
    <row r="30" spans="1:13" s="12" customFormat="1" ht="15" customHeight="1" x14ac:dyDescent="0.2">
      <c r="A30" s="463" t="s">
        <v>318</v>
      </c>
      <c r="B30" s="493" t="s">
        <v>317</v>
      </c>
      <c r="C30" s="494"/>
      <c r="D30" s="495"/>
      <c r="E30" s="494"/>
      <c r="F30" s="495"/>
      <c r="G30" s="494"/>
      <c r="H30" s="494"/>
      <c r="I30" s="489">
        <f>SUMIF('APONTAMENTO CREDENCIAMENTO'!D5:D4950,A11,'APONTAMENTO CREDENCIAMENTO'!FD5:FD4950)</f>
        <v>0</v>
      </c>
      <c r="M30" s="55"/>
    </row>
    <row r="31" spans="1:13" s="12" customFormat="1" ht="15" customHeight="1" x14ac:dyDescent="0.2">
      <c r="A31" s="463" t="s">
        <v>97</v>
      </c>
      <c r="B31" s="474" t="s">
        <v>316</v>
      </c>
      <c r="C31" s="473"/>
      <c r="D31" s="473"/>
      <c r="E31" s="473"/>
      <c r="F31" s="473"/>
      <c r="G31" s="473"/>
      <c r="H31" s="473"/>
      <c r="I31" s="490" t="e">
        <f>(I20+I21+I22+I23+I24+I25+I26+I27+I28+I29+I30)</f>
        <v>#N/A</v>
      </c>
      <c r="L31" s="55"/>
    </row>
    <row r="32" spans="1:13" s="12" customFormat="1" ht="15" customHeight="1" x14ac:dyDescent="0.2">
      <c r="A32" s="463" t="s">
        <v>98</v>
      </c>
      <c r="B32" s="469" t="s">
        <v>315</v>
      </c>
      <c r="C32" s="475"/>
      <c r="D32" s="470"/>
      <c r="E32" s="475"/>
      <c r="F32" s="470"/>
      <c r="G32" s="475"/>
      <c r="H32" s="475"/>
      <c r="I32" s="489" t="e">
        <f>VLOOKUP(A11,'ATESTE-LIQ-FIS'!A4:K3908,5,0)*-1</f>
        <v>#N/A</v>
      </c>
    </row>
    <row r="33" spans="1:12" s="12" customFormat="1" x14ac:dyDescent="0.2">
      <c r="A33" s="463" t="s">
        <v>100</v>
      </c>
      <c r="B33" s="469" t="s">
        <v>314</v>
      </c>
      <c r="C33" s="470"/>
      <c r="D33" s="470"/>
      <c r="E33" s="470"/>
      <c r="F33" s="470"/>
      <c r="G33" s="470"/>
      <c r="H33" s="470"/>
      <c r="I33" s="489" t="e">
        <f>VLOOKUP(A11,'ATESTE-LIQ-FIS'!A4:K3908,6,0)*-1</f>
        <v>#N/A</v>
      </c>
    </row>
    <row r="34" spans="1:12" s="12" customFormat="1" x14ac:dyDescent="0.2">
      <c r="A34" s="463" t="s">
        <v>102</v>
      </c>
      <c r="B34" s="469" t="s">
        <v>103</v>
      </c>
      <c r="C34" s="470"/>
      <c r="D34" s="469"/>
      <c r="E34" s="470"/>
      <c r="F34" s="470"/>
      <c r="G34" s="470"/>
      <c r="H34" s="470"/>
      <c r="I34" s="486" t="e">
        <f>-MIN('Cálculo IRRF -Jan.2026'!D33:F33)</f>
        <v>#N/A</v>
      </c>
    </row>
    <row r="35" spans="1:12" s="12" customFormat="1" x14ac:dyDescent="0.2">
      <c r="A35" s="463" t="s">
        <v>104</v>
      </c>
      <c r="B35" s="469" t="s">
        <v>312</v>
      </c>
      <c r="C35" s="470"/>
      <c r="D35" s="469"/>
      <c r="E35" s="470"/>
      <c r="F35" s="470"/>
      <c r="G35" s="470"/>
      <c r="H35" s="470"/>
      <c r="I35" s="486">
        <v>0</v>
      </c>
    </row>
    <row r="36" spans="1:12" s="12" customFormat="1" x14ac:dyDescent="0.2">
      <c r="A36" s="463" t="s">
        <v>313</v>
      </c>
      <c r="B36" s="474" t="s">
        <v>311</v>
      </c>
      <c r="C36" s="473"/>
      <c r="D36" s="474"/>
      <c r="E36" s="476"/>
      <c r="F36" s="473"/>
      <c r="G36" s="473"/>
      <c r="H36" s="473"/>
      <c r="I36" s="487" t="e">
        <f>SUM(H31:I35)</f>
        <v>#N/A</v>
      </c>
    </row>
    <row r="37" spans="1:12" s="12" customFormat="1" x14ac:dyDescent="0.2">
      <c r="A37" s="934" t="s">
        <v>106</v>
      </c>
      <c r="B37" s="935" t="e">
        <f>VLOOKUP(A11,'APONTAMENTO CREDENCIAMENTO'!D1:EL3845,138,FALSE)</f>
        <v>#N/A</v>
      </c>
      <c r="C37" s="935"/>
      <c r="D37" s="935"/>
      <c r="E37" s="935"/>
      <c r="F37" s="935"/>
      <c r="G37" s="935"/>
      <c r="H37" s="935"/>
      <c r="I37" s="936"/>
    </row>
    <row r="38" spans="1:12" s="12" customFormat="1" ht="30.75" customHeight="1" x14ac:dyDescent="0.2">
      <c r="A38" s="934"/>
      <c r="B38" s="935"/>
      <c r="C38" s="935"/>
      <c r="D38" s="935"/>
      <c r="E38" s="935"/>
      <c r="F38" s="935"/>
      <c r="G38" s="935"/>
      <c r="H38" s="935"/>
      <c r="I38" s="936"/>
    </row>
    <row r="39" spans="1:12" s="12" customFormat="1" ht="20.100000000000001" customHeight="1" x14ac:dyDescent="0.2">
      <c r="A39" s="934" t="s">
        <v>107</v>
      </c>
      <c r="B39" s="938" t="e">
        <f>VLOOKUP(A11,'APONTAMENTO CREDENCIAMENTO'!D1:EL3845,139,FALSE)</f>
        <v>#N/A</v>
      </c>
      <c r="C39" s="939"/>
      <c r="D39" s="939"/>
      <c r="E39" s="939"/>
      <c r="F39" s="939"/>
      <c r="G39" s="939"/>
      <c r="H39" s="939"/>
      <c r="I39" s="940"/>
    </row>
    <row r="40" spans="1:12" s="12" customFormat="1" ht="20.100000000000001" customHeight="1" thickBot="1" x14ac:dyDescent="0.25">
      <c r="A40" s="937"/>
      <c r="B40" s="941"/>
      <c r="C40" s="942"/>
      <c r="D40" s="942"/>
      <c r="E40" s="942"/>
      <c r="F40" s="942"/>
      <c r="G40" s="942"/>
      <c r="H40" s="942"/>
      <c r="I40" s="943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866" t="s">
        <v>109</v>
      </c>
      <c r="C42" s="866"/>
      <c r="D42" s="866"/>
      <c r="E42" s="866"/>
      <c r="F42" s="866"/>
      <c r="G42" s="866"/>
      <c r="H42" s="866"/>
      <c r="I42" s="866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46" t="s">
        <v>346</v>
      </c>
      <c r="B44" s="650"/>
      <c r="C44" s="447" t="s">
        <v>347</v>
      </c>
      <c r="D44" s="447"/>
      <c r="E44" s="447" t="s">
        <v>348</v>
      </c>
      <c r="F44" s="447"/>
      <c r="G44" s="447" t="s">
        <v>349</v>
      </c>
      <c r="H44" s="447"/>
      <c r="I44" s="448" t="s">
        <v>31</v>
      </c>
    </row>
    <row r="45" spans="1:12" s="12" customFormat="1" ht="20.100000000000001" customHeight="1" thickBot="1" x14ac:dyDescent="0.25">
      <c r="A45" s="477">
        <f>SUMIF('APONTAMENTO CREDENCIAMENTO'!D5:D4950,A11,'APONTAMENTO CREDENCIAMENTO'!EP5:EP4950)</f>
        <v>0</v>
      </c>
      <c r="B45" s="477"/>
      <c r="C45" s="478">
        <f>SUMIF('APONTAMENTO CREDENCIAMENTO'!D5:D4950,A11,'APONTAMENTO CREDENCIAMENTO'!ER5:ER4950)</f>
        <v>0</v>
      </c>
      <c r="D45" s="478"/>
      <c r="E45" s="478">
        <f>SUMIF('APONTAMENTO CREDENCIAMENTO'!D5:D4950,A11,'APONTAMENTO CREDENCIAMENTO'!ES5:ES4950)</f>
        <v>0</v>
      </c>
      <c r="F45" s="478"/>
      <c r="G45" s="478">
        <f>SUMIF('APONTAMENTO CREDENCIAMENTO'!D5:D4950,A11,'APONTAMENTO CREDENCIAMENTO'!EU5:EU4950)</f>
        <v>0</v>
      </c>
      <c r="H45" s="478"/>
      <c r="I45" s="479">
        <f>SUM(A45:H45)</f>
        <v>0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866" t="s">
        <v>350</v>
      </c>
      <c r="C47" s="866"/>
      <c r="D47" s="866"/>
      <c r="E47" s="866"/>
      <c r="F47" s="866"/>
      <c r="G47" s="866"/>
      <c r="H47" s="866"/>
      <c r="I47" s="866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944" t="s">
        <v>110</v>
      </c>
      <c r="B49" s="945"/>
      <c r="C49" s="945"/>
      <c r="D49" s="945"/>
      <c r="E49" s="946"/>
      <c r="F49" s="946"/>
      <c r="G49" s="946"/>
      <c r="H49" s="946"/>
      <c r="I49" s="947"/>
    </row>
    <row r="50" spans="1:9" ht="12.75" customHeight="1" x14ac:dyDescent="0.2">
      <c r="A50" s="877" t="s">
        <v>154</v>
      </c>
      <c r="B50" s="878"/>
      <c r="C50" s="878"/>
      <c r="D50" s="878"/>
      <c r="E50" s="878"/>
      <c r="F50" s="878"/>
      <c r="G50" s="878"/>
      <c r="H50" s="878"/>
      <c r="I50" s="879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38" t="s">
        <v>351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38" t="s">
        <v>354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38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846" t="s">
        <v>111</v>
      </c>
      <c r="B56" s="847"/>
      <c r="C56" s="847"/>
      <c r="D56" s="847"/>
      <c r="E56" s="847"/>
      <c r="F56" s="847"/>
      <c r="G56" s="847"/>
      <c r="H56" s="847"/>
      <c r="I56" s="848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849" t="s">
        <v>116</v>
      </c>
      <c r="B59" s="850"/>
      <c r="C59" s="850"/>
      <c r="D59" s="850"/>
      <c r="E59" s="850"/>
      <c r="F59" s="850"/>
      <c r="G59" s="850"/>
      <c r="H59" s="850"/>
      <c r="I59" s="851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852" t="s">
        <v>119</v>
      </c>
      <c r="B61" s="853"/>
      <c r="C61" s="853"/>
      <c r="D61" s="853"/>
      <c r="E61" s="853"/>
      <c r="F61" s="853"/>
      <c r="G61" s="853"/>
      <c r="H61" s="853"/>
      <c r="I61" s="854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27" t="s">
        <v>183</v>
      </c>
      <c r="G7" s="428" t="e">
        <f>'BASE C'!D10</f>
        <v>#N/A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2026/0016071</v>
      </c>
      <c r="G9" s="30" t="s">
        <v>122</v>
      </c>
      <c r="H9" s="30" t="str">
        <f>'APONTAMENTO CREDENCIAMENTO'!A1</f>
        <v>Freguesia / Brasilândia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955" t="s">
        <v>42</v>
      </c>
      <c r="B12" s="957" t="s">
        <v>125</v>
      </c>
      <c r="C12" s="958"/>
      <c r="D12" s="955" t="s">
        <v>11</v>
      </c>
      <c r="E12" s="961" t="s">
        <v>126</v>
      </c>
      <c r="F12" s="962"/>
      <c r="G12" s="965" t="s">
        <v>127</v>
      </c>
      <c r="H12" s="966"/>
      <c r="I12" s="966"/>
      <c r="J12" s="966"/>
      <c r="K12" s="966"/>
      <c r="L12" s="966"/>
      <c r="M12" s="967"/>
      <c r="N12" s="952" t="s">
        <v>128</v>
      </c>
      <c r="O12" s="953"/>
      <c r="P12" s="953"/>
      <c r="Q12" s="953"/>
      <c r="R12" s="953"/>
      <c r="S12" s="953"/>
      <c r="T12" s="953"/>
      <c r="U12" s="953"/>
      <c r="V12" s="953"/>
      <c r="W12" s="953"/>
      <c r="X12" s="954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956"/>
      <c r="B13" s="959"/>
      <c r="C13" s="960"/>
      <c r="D13" s="956"/>
      <c r="E13" s="963"/>
      <c r="F13" s="964"/>
      <c r="G13" s="200" t="s">
        <v>47</v>
      </c>
      <c r="H13" s="502" t="s">
        <v>50</v>
      </c>
      <c r="I13" s="502" t="s">
        <v>132</v>
      </c>
      <c r="J13" s="502" t="s">
        <v>51</v>
      </c>
      <c r="K13" s="503" t="s">
        <v>52</v>
      </c>
      <c r="L13" s="503" t="s">
        <v>133</v>
      </c>
      <c r="M13" s="503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e">
        <f>VLOOKUP(D14,'BASE C'!$C$10:$E$5000,3,0)</f>
        <v>#N/A</v>
      </c>
      <c r="B14" s="207" t="e">
        <f>VLOOKUP(D14,'APONTAMENTO CREDENCIAMENTO'!$A$6:$F$3848,6,0)</f>
        <v>#N/A</v>
      </c>
      <c r="C14" s="207" t="e">
        <f>VLOOKUP(D14,'APONTAMENTO CREDENCIAMENTO'!$A$6:$G$3848,7,0)</f>
        <v>#N/A</v>
      </c>
      <c r="D14" s="208" t="str">
        <f>'BASE C'!C10</f>
        <v>006.336-00</v>
      </c>
      <c r="E14" s="950" t="e">
        <f>'BASE C'!H10</f>
        <v>#N/A</v>
      </c>
      <c r="F14" s="951"/>
      <c r="G14" s="208">
        <f>SUMIF('APONTAMENTO CREDENCIAMENTO'!$A$6:$A$3848,'EMPRESA C'!D14,'APONTAMENTO CREDENCIAMENTO'!$N$6:$N$3848)</f>
        <v>0</v>
      </c>
      <c r="H14" s="208">
        <f>SUMIF('APONTAMENTO CREDENCIAMENTO'!$A$6:$A$3848,'EMPRESA C'!D14,'APONTAMENTO CREDENCIAMENTO'!$EP$6:$EP$3848)</f>
        <v>0</v>
      </c>
      <c r="I14" s="208">
        <f>SUMIF('APONTAMENTO CREDENCIAMENTO'!$A$6:$A$3848,'EMPRESA C'!D14,'APONTAMENTO CREDENCIAMENTO'!$EQ$6:$EQ$3848)</f>
        <v>0</v>
      </c>
      <c r="J14" s="208">
        <f>SUMIF('APONTAMENTO CREDENCIAMENTO'!$A$6:$A$3848,'EMPRESA C'!D14,'APONTAMENTO CREDENCIAMENTO'!$ER$6:$ER$3848)</f>
        <v>0</v>
      </c>
      <c r="K14" s="208">
        <f>SUMIF('APONTAMENTO CREDENCIAMENTO'!$A$6:$A$3848,'EMPRESA C'!D14,'APONTAMENTO CREDENCIAMENTO'!$ES$6:$ES$3848)</f>
        <v>0</v>
      </c>
      <c r="L14" s="208">
        <f>SUMIF('APONTAMENTO CREDENCIAMENTO'!$A$6:$A$3848,'EMPRESA C'!D14,'APONTAMENTO CREDENCIAMENTO'!$ET$6:$ET$3848)</f>
        <v>0</v>
      </c>
      <c r="M14" s="208">
        <f>SUMIF('APONTAMENTO CREDENCIAMENTO'!$A$6:$A$3848,'EMPRESA C'!D14,'APONTAMENTO CREDENCIAMENTO'!$EU$6:$EU$3848)</f>
        <v>0</v>
      </c>
      <c r="N14" s="209">
        <f>SUMIF('APONTAMENTO CREDENCIAMENTO'!$A$6:$A$3848,'EMPRESA C'!D14,'APONTAMENTO CREDENCIAMENTO'!$EW$6:$EW$3848)</f>
        <v>0</v>
      </c>
      <c r="O14" s="209">
        <f>SUMIF('APONTAMENTO CREDENCIAMENTO'!$A$6:$A$3848,'EMPRESA C'!D14,'APONTAMENTO CREDENCIAMENTO'!$EX$6:$EX$3848)</f>
        <v>0</v>
      </c>
      <c r="P14" s="209">
        <f>SUMIF('APONTAMENTO CREDENCIAMENTO'!$A$5:$A$3848,'EMPRESA C'!D14,'APONTAMENTO CREDENCIAMENTO'!$EY$5:$EY$3848)</f>
        <v>0</v>
      </c>
      <c r="Q14" s="209">
        <f>SUMIF('APONTAMENTO CREDENCIAMENTO'!$A$5:$A$3848,'EMPRESA C'!D14,'APONTAMENTO CREDENCIAMENTO'!$EZ$5:$EZ$3848)</f>
        <v>0</v>
      </c>
      <c r="R14" s="209">
        <f>SUMIF('APONTAMENTO CREDENCIAMENTO'!$A$5:$A$3848,'EMPRESA C'!D14,'APONTAMENTO CREDENCIAMENTO'!$FA$5:$FA$3848)</f>
        <v>0</v>
      </c>
      <c r="S14" s="209">
        <f>SUMIF('APONTAMENTO CREDENCIAMENTO'!$A$5:$A$3848,'EMPRESA C'!D14,'APONTAMENTO CREDENCIAMENTO'!$FB$5:$FB$3848)</f>
        <v>0</v>
      </c>
      <c r="T14" s="209">
        <f>SUMIF('APONTAMENTO CREDENCIAMENTO'!$A$5:$A$3848,'EMPRESA C'!D14,'APONTAMENTO CREDENCIAMENTO'!$FC$5:$FC$3848)</f>
        <v>0</v>
      </c>
      <c r="U14" s="209">
        <f>SUMIF('APONTAMENTO CREDENCIAMENTO'!$A$5:$A$3848,'EMPRESA C'!D14,'APONTAMENTO CREDENCIAMENTO'!$IB$5:$IB$3848)</f>
        <v>0</v>
      </c>
      <c r="V14" s="209">
        <f>SUMIF('APONTAMENTO CREDENCIAMENTO'!$A$5:$A$3848,'EMPRESA C'!D14,'APONTAMENTO CREDENCIAMENTO'!$IC$5:$IC$3848)*-1</f>
        <v>0</v>
      </c>
      <c r="W14" s="209">
        <f>SUMIF('APONTAMENTO CREDENCIAMENTO'!$A$5:$A$3848,'EMPRESA C'!D14,'APONTAMENTO CREDENCIAMENTO'!$ID$5:$ID$3848)*-1</f>
        <v>0</v>
      </c>
      <c r="X14" s="209">
        <f>SUMIF('APONTAMENTO CREDENCIAMENTO'!$A$5:$A$3848,'EMPRESA C'!D14,'APONTAMENTO CREDENCIAMENTO'!$FD$5:$FD$3848)</f>
        <v>0</v>
      </c>
      <c r="Y14" s="209">
        <f>SUMIF('APONTAMENTO CREDENCIAMENTO'!$A$5:$A$3848,'EMPRESA C'!D14,'APONTAMENTO CREDENCIAMENTO'!$GN$5:$GN$3848)*-1</f>
        <v>0</v>
      </c>
      <c r="Z14" s="209">
        <f>(N14+O14+P14+Q14+R14+S14+T14+U14+V14+W14+X14+Y14)</f>
        <v>0</v>
      </c>
      <c r="AA14" s="209">
        <f>Z14</f>
        <v>0</v>
      </c>
      <c r="AB14" s="209" t="e">
        <f>AA14*'BASE C'!B$7</f>
        <v>#N/A</v>
      </c>
      <c r="AC14" s="209" t="e">
        <f>AA14-AB14</f>
        <v>#N/A</v>
      </c>
    </row>
    <row r="15" spans="1:29" s="82" customFormat="1" ht="30" customHeight="1" thickBot="1" x14ac:dyDescent="0.25">
      <c r="A15" s="433"/>
      <c r="B15" s="434"/>
      <c r="C15" s="434"/>
      <c r="D15" s="435"/>
      <c r="E15" s="435"/>
      <c r="F15" s="437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0"/>
      <c r="B16" s="430"/>
      <c r="C16" s="430"/>
      <c r="D16" s="431"/>
      <c r="E16" s="432"/>
      <c r="F16" s="436"/>
      <c r="G16" s="100">
        <f t="shared" ref="G16:AC16" si="0">SUM(G14:G15)</f>
        <v>0</v>
      </c>
      <c r="H16" s="100">
        <f t="shared" si="0"/>
        <v>0</v>
      </c>
      <c r="I16" s="100">
        <f t="shared" si="0"/>
        <v>0</v>
      </c>
      <c r="J16" s="100">
        <f t="shared" si="0"/>
        <v>0</v>
      </c>
      <c r="K16" s="100">
        <f t="shared" si="0"/>
        <v>0</v>
      </c>
      <c r="L16" s="100">
        <f t="shared" si="0"/>
        <v>0</v>
      </c>
      <c r="M16" s="100">
        <f t="shared" si="0"/>
        <v>0</v>
      </c>
      <c r="N16" s="326">
        <f t="shared" si="0"/>
        <v>0</v>
      </c>
      <c r="O16" s="326">
        <f t="shared" si="0"/>
        <v>0</v>
      </c>
      <c r="P16" s="326">
        <f t="shared" si="0"/>
        <v>0</v>
      </c>
      <c r="Q16" s="326">
        <f t="shared" si="0"/>
        <v>0</v>
      </c>
      <c r="R16" s="326">
        <f t="shared" si="0"/>
        <v>0</v>
      </c>
      <c r="S16" s="326">
        <f t="shared" si="0"/>
        <v>0</v>
      </c>
      <c r="T16" s="326">
        <f t="shared" si="0"/>
        <v>0</v>
      </c>
      <c r="U16" s="326">
        <f t="shared" si="0"/>
        <v>0</v>
      </c>
      <c r="V16" s="326">
        <f t="shared" si="0"/>
        <v>0</v>
      </c>
      <c r="W16" s="326">
        <f t="shared" si="0"/>
        <v>0</v>
      </c>
      <c r="X16" s="326">
        <f t="shared" si="0"/>
        <v>0</v>
      </c>
      <c r="Y16" s="326">
        <f t="shared" si="0"/>
        <v>0</v>
      </c>
      <c r="Z16" s="326">
        <f t="shared" si="0"/>
        <v>0</v>
      </c>
      <c r="AA16" s="326">
        <f t="shared" si="0"/>
        <v>0</v>
      </c>
      <c r="AB16" s="326" t="e">
        <f t="shared" si="0"/>
        <v>#N/A</v>
      </c>
      <c r="AC16" s="326" t="e">
        <f t="shared" si="0"/>
        <v>#N/A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948"/>
      <c r="Z34" s="948"/>
      <c r="AA34" s="949"/>
      <c r="AB34" s="44"/>
      <c r="AC34" s="948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948"/>
      <c r="Z35" s="948"/>
      <c r="AA35" s="949"/>
      <c r="AB35" s="44"/>
      <c r="AC35" s="948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948"/>
      <c r="Z36" s="948"/>
      <c r="AA36" s="949"/>
      <c r="AB36" s="44"/>
      <c r="AC36" s="948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948"/>
      <c r="Z37" s="948"/>
      <c r="AA37" s="949"/>
      <c r="AB37" s="44"/>
      <c r="AC37" s="948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971"/>
      <c r="C5" s="971"/>
      <c r="D5" s="971"/>
      <c r="E5" s="971"/>
      <c r="F5" s="971"/>
      <c r="G5" s="971"/>
      <c r="H5" s="971"/>
      <c r="I5" s="971"/>
      <c r="J5" s="971"/>
      <c r="K5" s="971"/>
      <c r="L5" s="971"/>
      <c r="Q5" s="14"/>
    </row>
    <row r="6" spans="1:26" ht="26.25" customHeight="1" x14ac:dyDescent="0.25">
      <c r="B6" s="971"/>
      <c r="C6" s="971"/>
      <c r="D6" s="971"/>
      <c r="E6" s="971"/>
      <c r="F6" s="971"/>
      <c r="G6" s="971"/>
      <c r="H6" s="971"/>
      <c r="I6" s="971"/>
      <c r="J6" s="971"/>
      <c r="K6" s="971"/>
      <c r="L6" s="971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971" t="s">
        <v>135</v>
      </c>
      <c r="C10" s="971"/>
      <c r="D10" s="971"/>
      <c r="E10" s="971"/>
      <c r="F10" s="971"/>
      <c r="G10" s="971"/>
      <c r="H10" s="971"/>
      <c r="I10" s="971"/>
      <c r="J10" s="971"/>
      <c r="K10" s="971"/>
      <c r="L10" s="971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972" t="s">
        <v>78</v>
      </c>
      <c r="F13" s="972"/>
      <c r="G13" s="972" t="s">
        <v>6</v>
      </c>
      <c r="H13" s="972"/>
      <c r="I13" s="972"/>
      <c r="J13" s="972"/>
      <c r="K13" s="972"/>
      <c r="L13" s="972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2026/0016071</v>
      </c>
      <c r="B14" s="217" t="e">
        <f>'BASE C'!D4</f>
        <v>#N/A</v>
      </c>
      <c r="C14" s="218"/>
      <c r="D14" s="218"/>
      <c r="E14" s="973" t="str">
        <f>'BASE C'!E4</f>
        <v>ABRIL</v>
      </c>
      <c r="F14" s="973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FB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970" t="s">
        <v>138</v>
      </c>
      <c r="F16" s="970"/>
      <c r="G16" s="970"/>
      <c r="H16" s="970"/>
      <c r="I16" s="970"/>
      <c r="J16" s="970"/>
      <c r="K16" s="970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e">
        <f>VLOOKUP(B18,'BASE C'!$C$10:$E$5000,3,0)</f>
        <v>#N/A</v>
      </c>
      <c r="B18" s="231" t="str">
        <f>'BASE C'!C10</f>
        <v>006.336-00</v>
      </c>
      <c r="C18" s="231" t="e">
        <f>'BASE C'!H10</f>
        <v>#N/A</v>
      </c>
      <c r="D18" s="208">
        <f>SUMIF('APONTAMENTO CREDENCIAMENTO'!$A$6:$A$3848,'ATESTADO C'!B18,'APONTAMENTO CREDENCIAMENTO'!$N$6:$N$3848)</f>
        <v>0</v>
      </c>
      <c r="E18" s="208">
        <f>SUMIF('APONTAMENTO CREDENCIAMENTO'!$A$6:$A$3848,'ATESTADO C'!B18,'APONTAMENTO CREDENCIAMENTO'!$EP$6:$EP$3848)</f>
        <v>0</v>
      </c>
      <c r="F18" s="208">
        <f>SUMIF('APONTAMENTO CREDENCIAMENTO'!$A$6:$A$3848,'ATESTADO C'!B18,'APONTAMENTO CREDENCIAMENTO'!$EQ$6:$EQ$3848)</f>
        <v>0</v>
      </c>
      <c r="G18" s="208">
        <f>SUMIF('APONTAMENTO CREDENCIAMENTO'!$A$6:$A$3848,'ATESTADO C'!B18,'APONTAMENTO CREDENCIAMENTO'!$ER$6:$ER$3848)</f>
        <v>0</v>
      </c>
      <c r="H18" s="208">
        <f>SUMIF('APONTAMENTO CREDENCIAMENTO'!$A$6:$A$3848,'ATESTADO C'!B18,'APONTAMENTO CREDENCIAMENTO'!$ES$6:$ES$3848)</f>
        <v>0</v>
      </c>
      <c r="I18" s="208">
        <f>SUMIF('APONTAMENTO CREDENCIAMENTO'!$A$6:$A$3848,'ATESTADO C'!B18,'APONTAMENTO CREDENCIAMENTO'!$ET$6:$ET$3848)</f>
        <v>0</v>
      </c>
      <c r="J18" s="208">
        <f>SUMIF('APONTAMENTO CREDENCIAMENTO'!$A$6:$A$3848,'ATESTADO C'!B18,'APONTAMENTO CREDENCIAMENTO'!$EU$6:$EU$3848)</f>
        <v>0</v>
      </c>
      <c r="K18" s="232">
        <f>E18+F18+H18+I18+G18+J18</f>
        <v>0</v>
      </c>
      <c r="L18" s="968" t="e">
        <f>CONCATENATE(VLOOKUP(B18,'APONTAMENTO CREDENCIAMENTO'!$A$6:$EK$3848,141,0)," - ",VLOOKUP(B18,'APONTAMENTO CREDENCIAMENTO'!$A$6:$EL$3848,142,0))</f>
        <v>#N/A</v>
      </c>
      <c r="M18" s="969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148"/>
  <sheetViews>
    <sheetView topLeftCell="A243" workbookViewId="0">
      <selection activeCell="A2" sqref="A2:C74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3238</v>
      </c>
      <c r="B1" t="s">
        <v>1402</v>
      </c>
      <c r="C1" t="s">
        <v>3236</v>
      </c>
    </row>
    <row r="2" spans="1:3" x14ac:dyDescent="0.2">
      <c r="A2" t="s">
        <v>3267</v>
      </c>
      <c r="B2" t="s">
        <v>1421</v>
      </c>
      <c r="C2" t="s">
        <v>3266</v>
      </c>
    </row>
    <row r="3" spans="1:3" x14ac:dyDescent="0.2">
      <c r="A3" t="s">
        <v>3366</v>
      </c>
      <c r="B3" t="s">
        <v>199</v>
      </c>
      <c r="C3" t="s">
        <v>3365</v>
      </c>
    </row>
    <row r="4" spans="1:3" x14ac:dyDescent="0.2">
      <c r="A4" t="s">
        <v>3420</v>
      </c>
      <c r="B4" t="s">
        <v>1459</v>
      </c>
      <c r="C4" t="s">
        <v>3419</v>
      </c>
    </row>
    <row r="5" spans="1:3" x14ac:dyDescent="0.2">
      <c r="A5" t="s">
        <v>3409</v>
      </c>
      <c r="B5" t="s">
        <v>1451</v>
      </c>
      <c r="C5" t="s">
        <v>3408</v>
      </c>
    </row>
    <row r="6" spans="1:3" x14ac:dyDescent="0.2">
      <c r="A6" t="s">
        <v>3374</v>
      </c>
      <c r="B6" t="s">
        <v>1431</v>
      </c>
      <c r="C6" t="s">
        <v>3373</v>
      </c>
    </row>
    <row r="7" spans="1:3" x14ac:dyDescent="0.2">
      <c r="A7" t="s">
        <v>3277</v>
      </c>
      <c r="B7" t="s">
        <v>1427</v>
      </c>
      <c r="C7" t="s">
        <v>3276</v>
      </c>
    </row>
    <row r="8" spans="1:3" x14ac:dyDescent="0.2">
      <c r="A8" t="s">
        <v>3277</v>
      </c>
      <c r="B8" t="s">
        <v>1427</v>
      </c>
      <c r="C8" t="s">
        <v>3278</v>
      </c>
    </row>
    <row r="9" spans="1:3" x14ac:dyDescent="0.2">
      <c r="A9" t="s">
        <v>3466</v>
      </c>
      <c r="B9" t="s">
        <v>1491</v>
      </c>
      <c r="C9" t="s">
        <v>3465</v>
      </c>
    </row>
    <row r="10" spans="1:3" x14ac:dyDescent="0.2">
      <c r="A10" t="s">
        <v>3482</v>
      </c>
      <c r="B10" t="s">
        <v>1501</v>
      </c>
      <c r="C10" t="s">
        <v>3481</v>
      </c>
    </row>
    <row r="11" spans="1:3" x14ac:dyDescent="0.2">
      <c r="A11" t="s">
        <v>3456</v>
      </c>
      <c r="B11" t="s">
        <v>1481</v>
      </c>
      <c r="C11" t="s">
        <v>3455</v>
      </c>
    </row>
    <row r="12" spans="1:3" x14ac:dyDescent="0.2">
      <c r="A12" t="s">
        <v>3381</v>
      </c>
      <c r="B12" t="s">
        <v>1437</v>
      </c>
      <c r="C12" t="s">
        <v>3380</v>
      </c>
    </row>
    <row r="13" spans="1:3" x14ac:dyDescent="0.2">
      <c r="A13" t="s">
        <v>3460</v>
      </c>
      <c r="B13" t="s">
        <v>1485</v>
      </c>
      <c r="C13" t="s">
        <v>3459</v>
      </c>
    </row>
    <row r="14" spans="1:3" x14ac:dyDescent="0.2">
      <c r="A14" t="s">
        <v>3426</v>
      </c>
      <c r="B14" t="s">
        <v>1463</v>
      </c>
      <c r="C14" t="s">
        <v>3425</v>
      </c>
    </row>
    <row r="15" spans="1:3" x14ac:dyDescent="0.2">
      <c r="A15" t="s">
        <v>3403</v>
      </c>
      <c r="B15" t="s">
        <v>1445</v>
      </c>
      <c r="C15" t="s">
        <v>3402</v>
      </c>
    </row>
    <row r="16" spans="1:3" x14ac:dyDescent="0.2">
      <c r="A16" t="s">
        <v>3401</v>
      </c>
      <c r="B16" t="s">
        <v>1445</v>
      </c>
      <c r="C16" t="s">
        <v>3400</v>
      </c>
    </row>
    <row r="17" spans="1:3" x14ac:dyDescent="0.2">
      <c r="A17" t="s">
        <v>3405</v>
      </c>
      <c r="B17" t="s">
        <v>1447</v>
      </c>
      <c r="C17" t="s">
        <v>3404</v>
      </c>
    </row>
    <row r="18" spans="1:3" x14ac:dyDescent="0.2">
      <c r="A18" t="s">
        <v>3430</v>
      </c>
      <c r="B18" t="s">
        <v>1465</v>
      </c>
      <c r="C18" t="s">
        <v>3429</v>
      </c>
    </row>
    <row r="19" spans="1:3" x14ac:dyDescent="0.2">
      <c r="A19" t="s">
        <v>3265</v>
      </c>
      <c r="B19" t="s">
        <v>1419</v>
      </c>
      <c r="C19" t="s">
        <v>3264</v>
      </c>
    </row>
    <row r="20" spans="1:3" x14ac:dyDescent="0.2">
      <c r="A20" t="s">
        <v>3269</v>
      </c>
      <c r="B20" t="s">
        <v>1423</v>
      </c>
      <c r="C20" t="s">
        <v>3268</v>
      </c>
    </row>
    <row r="21" spans="1:3" x14ac:dyDescent="0.2">
      <c r="A21" t="s">
        <v>3269</v>
      </c>
      <c r="B21" t="s">
        <v>1423</v>
      </c>
      <c r="C21" t="s">
        <v>3270</v>
      </c>
    </row>
    <row r="22" spans="1:3" x14ac:dyDescent="0.2">
      <c r="A22" t="s">
        <v>3486</v>
      </c>
      <c r="B22" t="s">
        <v>1503</v>
      </c>
      <c r="C22" t="s">
        <v>3487</v>
      </c>
    </row>
    <row r="23" spans="1:3" x14ac:dyDescent="0.2">
      <c r="A23" t="s">
        <v>3486</v>
      </c>
      <c r="B23" t="s">
        <v>1503</v>
      </c>
      <c r="C23" t="s">
        <v>3485</v>
      </c>
    </row>
    <row r="24" spans="1:3" x14ac:dyDescent="0.2">
      <c r="A24" t="s">
        <v>3411</v>
      </c>
      <c r="B24" t="s">
        <v>1453</v>
      </c>
      <c r="C24" t="s">
        <v>3410</v>
      </c>
    </row>
    <row r="25" spans="1:3" x14ac:dyDescent="0.2">
      <c r="A25" t="s">
        <v>3345</v>
      </c>
      <c r="B25" t="s">
        <v>196</v>
      </c>
      <c r="C25" t="s">
        <v>3344</v>
      </c>
    </row>
    <row r="26" spans="1:3" x14ac:dyDescent="0.2">
      <c r="A26" t="s">
        <v>3378</v>
      </c>
      <c r="B26" t="s">
        <v>1435</v>
      </c>
      <c r="C26" t="s">
        <v>3379</v>
      </c>
    </row>
    <row r="27" spans="1:3" x14ac:dyDescent="0.2">
      <c r="A27" t="s">
        <v>3378</v>
      </c>
      <c r="B27" t="s">
        <v>1435</v>
      </c>
      <c r="C27" t="s">
        <v>3377</v>
      </c>
    </row>
    <row r="28" spans="1:3" x14ac:dyDescent="0.2">
      <c r="A28" t="s">
        <v>3422</v>
      </c>
      <c r="B28" t="s">
        <v>1461</v>
      </c>
      <c r="C28" t="s">
        <v>3421</v>
      </c>
    </row>
    <row r="29" spans="1:3" x14ac:dyDescent="0.2">
      <c r="A29" t="s">
        <v>3263</v>
      </c>
      <c r="B29" t="s">
        <v>1417</v>
      </c>
      <c r="C29" t="s">
        <v>3262</v>
      </c>
    </row>
    <row r="30" spans="1:3" x14ac:dyDescent="0.2">
      <c r="A30" t="s">
        <v>3257</v>
      </c>
      <c r="B30" t="s">
        <v>1411</v>
      </c>
      <c r="C30" t="s">
        <v>3256</v>
      </c>
    </row>
    <row r="31" spans="1:3" x14ac:dyDescent="0.2">
      <c r="A31" t="s">
        <v>3282</v>
      </c>
      <c r="B31" t="s">
        <v>1427</v>
      </c>
      <c r="C31" t="s">
        <v>3281</v>
      </c>
    </row>
    <row r="32" spans="1:3" x14ac:dyDescent="0.2">
      <c r="A32" t="s">
        <v>3372</v>
      </c>
      <c r="B32" t="s">
        <v>1431</v>
      </c>
      <c r="C32" t="s">
        <v>3371</v>
      </c>
    </row>
    <row r="33" spans="1:3" x14ac:dyDescent="0.2">
      <c r="A33" t="s">
        <v>3478</v>
      </c>
      <c r="B33" t="s">
        <v>1499</v>
      </c>
      <c r="C33" t="s">
        <v>3477</v>
      </c>
    </row>
    <row r="34" spans="1:3" x14ac:dyDescent="0.2">
      <c r="A34" t="s">
        <v>3452</v>
      </c>
      <c r="B34" t="s">
        <v>1478</v>
      </c>
      <c r="C34" t="s">
        <v>3451</v>
      </c>
    </row>
    <row r="35" spans="1:3" x14ac:dyDescent="0.2">
      <c r="A35" t="s">
        <v>3385</v>
      </c>
      <c r="B35" t="s">
        <v>1441</v>
      </c>
      <c r="C35" t="s">
        <v>3386</v>
      </c>
    </row>
    <row r="36" spans="1:3" x14ac:dyDescent="0.2">
      <c r="A36" t="s">
        <v>3385</v>
      </c>
      <c r="B36" t="s">
        <v>1441</v>
      </c>
      <c r="C36" t="s">
        <v>3387</v>
      </c>
    </row>
    <row r="37" spans="1:3" x14ac:dyDescent="0.2">
      <c r="A37" t="s">
        <v>3385</v>
      </c>
      <c r="B37" t="s">
        <v>1441</v>
      </c>
      <c r="C37" t="s">
        <v>3384</v>
      </c>
    </row>
    <row r="38" spans="1:3" x14ac:dyDescent="0.2">
      <c r="A38" t="s">
        <v>3385</v>
      </c>
      <c r="B38" t="s">
        <v>1441</v>
      </c>
      <c r="C38" t="s">
        <v>3388</v>
      </c>
    </row>
    <row r="39" spans="1:3" x14ac:dyDescent="0.2">
      <c r="A39" t="s">
        <v>3385</v>
      </c>
      <c r="B39" t="s">
        <v>1441</v>
      </c>
      <c r="C39" t="s">
        <v>3389</v>
      </c>
    </row>
    <row r="40" spans="1:3" x14ac:dyDescent="0.2">
      <c r="A40" t="s">
        <v>3413</v>
      </c>
      <c r="B40" t="s">
        <v>1455</v>
      </c>
      <c r="C40" t="s">
        <v>3412</v>
      </c>
    </row>
    <row r="41" spans="1:3" x14ac:dyDescent="0.2">
      <c r="A41" t="s">
        <v>3424</v>
      </c>
      <c r="B41" t="s">
        <v>1461</v>
      </c>
      <c r="C41" t="s">
        <v>3423</v>
      </c>
    </row>
    <row r="42" spans="1:3" x14ac:dyDescent="0.2">
      <c r="A42" t="s">
        <v>3464</v>
      </c>
      <c r="B42" t="s">
        <v>1491</v>
      </c>
      <c r="C42" t="s">
        <v>3463</v>
      </c>
    </row>
    <row r="43" spans="1:3" x14ac:dyDescent="0.2">
      <c r="A43" t="s">
        <v>3397</v>
      </c>
      <c r="B43" t="s">
        <v>1443</v>
      </c>
      <c r="C43" t="s">
        <v>3396</v>
      </c>
    </row>
    <row r="44" spans="1:3" x14ac:dyDescent="0.2">
      <c r="A44" t="s">
        <v>3261</v>
      </c>
      <c r="B44" t="s">
        <v>1415</v>
      </c>
      <c r="C44" t="s">
        <v>3260</v>
      </c>
    </row>
    <row r="45" spans="1:3" x14ac:dyDescent="0.2">
      <c r="A45" t="s">
        <v>3280</v>
      </c>
      <c r="B45" t="s">
        <v>1427</v>
      </c>
      <c r="C45" t="s">
        <v>3279</v>
      </c>
    </row>
    <row r="46" spans="1:3" x14ac:dyDescent="0.2">
      <c r="A46" t="s">
        <v>3441</v>
      </c>
      <c r="B46" t="s">
        <v>432</v>
      </c>
      <c r="C46" t="s">
        <v>3440</v>
      </c>
    </row>
    <row r="47" spans="1:3" x14ac:dyDescent="0.2">
      <c r="A47" t="s">
        <v>3475</v>
      </c>
      <c r="B47" t="s">
        <v>1499</v>
      </c>
      <c r="C47" t="s">
        <v>3476</v>
      </c>
    </row>
    <row r="48" spans="1:3" x14ac:dyDescent="0.2">
      <c r="A48" t="s">
        <v>3475</v>
      </c>
      <c r="B48" t="s">
        <v>1499</v>
      </c>
      <c r="C48" t="s">
        <v>3479</v>
      </c>
    </row>
    <row r="49" spans="1:3" x14ac:dyDescent="0.2">
      <c r="A49" t="s">
        <v>3475</v>
      </c>
      <c r="B49" t="s">
        <v>1499</v>
      </c>
      <c r="C49" t="s">
        <v>3474</v>
      </c>
    </row>
    <row r="50" spans="1:3" x14ac:dyDescent="0.2">
      <c r="A50" t="s">
        <v>3475</v>
      </c>
      <c r="B50" t="s">
        <v>1499</v>
      </c>
      <c r="C50" t="s">
        <v>3480</v>
      </c>
    </row>
    <row r="51" spans="1:3" x14ac:dyDescent="0.2">
      <c r="A51" t="s">
        <v>3255</v>
      </c>
      <c r="B51" t="s">
        <v>1411</v>
      </c>
      <c r="C51" t="s">
        <v>3254</v>
      </c>
    </row>
    <row r="52" spans="1:3" x14ac:dyDescent="0.2">
      <c r="A52" t="s">
        <v>3399</v>
      </c>
      <c r="B52" t="s">
        <v>1443</v>
      </c>
      <c r="C52" t="s">
        <v>3398</v>
      </c>
    </row>
    <row r="53" spans="1:3" x14ac:dyDescent="0.2">
      <c r="A53" t="s">
        <v>3418</v>
      </c>
      <c r="B53" t="s">
        <v>1457</v>
      </c>
      <c r="C53" t="s">
        <v>3417</v>
      </c>
    </row>
    <row r="54" spans="1:3" x14ac:dyDescent="0.2">
      <c r="A54" t="s">
        <v>3458</v>
      </c>
      <c r="B54" t="s">
        <v>1483</v>
      </c>
      <c r="C54" t="s">
        <v>3457</v>
      </c>
    </row>
    <row r="55" spans="1:3" x14ac:dyDescent="0.2">
      <c r="A55" t="s">
        <v>3383</v>
      </c>
      <c r="B55" t="s">
        <v>1439</v>
      </c>
      <c r="C55" t="s">
        <v>3382</v>
      </c>
    </row>
    <row r="56" spans="1:3" x14ac:dyDescent="0.2">
      <c r="A56" t="s">
        <v>3370</v>
      </c>
      <c r="B56" t="s">
        <v>1319</v>
      </c>
      <c r="C56" t="s">
        <v>3369</v>
      </c>
    </row>
    <row r="57" spans="1:3" x14ac:dyDescent="0.2">
      <c r="A57" t="s">
        <v>3376</v>
      </c>
      <c r="B57" t="s">
        <v>1433</v>
      </c>
      <c r="C57" t="s">
        <v>3375</v>
      </c>
    </row>
    <row r="58" spans="1:3" x14ac:dyDescent="0.2">
      <c r="A58" t="s">
        <v>3354</v>
      </c>
      <c r="B58" t="s">
        <v>1315</v>
      </c>
      <c r="C58" t="s">
        <v>3353</v>
      </c>
    </row>
    <row r="59" spans="1:3" x14ac:dyDescent="0.2">
      <c r="A59" t="s">
        <v>3286</v>
      </c>
      <c r="B59" t="s">
        <v>231</v>
      </c>
      <c r="C59" t="s">
        <v>3285</v>
      </c>
    </row>
    <row r="60" spans="1:3" x14ac:dyDescent="0.2">
      <c r="A60" t="s">
        <v>3286</v>
      </c>
      <c r="B60" t="s">
        <v>231</v>
      </c>
      <c r="C60" t="s">
        <v>3292</v>
      </c>
    </row>
    <row r="61" spans="1:3" x14ac:dyDescent="0.2">
      <c r="A61" t="s">
        <v>3286</v>
      </c>
      <c r="B61" t="s">
        <v>231</v>
      </c>
      <c r="C61" t="s">
        <v>3291</v>
      </c>
    </row>
    <row r="62" spans="1:3" x14ac:dyDescent="0.2">
      <c r="A62" t="s">
        <v>3286</v>
      </c>
      <c r="B62" t="s">
        <v>231</v>
      </c>
      <c r="C62" t="s">
        <v>3288</v>
      </c>
    </row>
    <row r="63" spans="1:3" x14ac:dyDescent="0.2">
      <c r="A63" t="s">
        <v>3286</v>
      </c>
      <c r="B63" t="s">
        <v>231</v>
      </c>
      <c r="C63" t="s">
        <v>3289</v>
      </c>
    </row>
    <row r="64" spans="1:3" x14ac:dyDescent="0.2">
      <c r="A64" t="s">
        <v>3286</v>
      </c>
      <c r="B64" t="s">
        <v>231</v>
      </c>
      <c r="C64" t="s">
        <v>3290</v>
      </c>
    </row>
    <row r="65" spans="1:3" x14ac:dyDescent="0.2">
      <c r="A65" t="s">
        <v>3286</v>
      </c>
      <c r="B65" t="s">
        <v>231</v>
      </c>
      <c r="C65" t="s">
        <v>3287</v>
      </c>
    </row>
    <row r="66" spans="1:3" x14ac:dyDescent="0.2">
      <c r="A66" t="s">
        <v>3294</v>
      </c>
      <c r="B66" t="s">
        <v>191</v>
      </c>
      <c r="C66" t="s">
        <v>3301</v>
      </c>
    </row>
    <row r="67" spans="1:3" x14ac:dyDescent="0.2">
      <c r="A67" t="s">
        <v>3294</v>
      </c>
      <c r="B67" t="s">
        <v>191</v>
      </c>
      <c r="C67" t="s">
        <v>3311</v>
      </c>
    </row>
    <row r="68" spans="1:3" x14ac:dyDescent="0.2">
      <c r="A68" t="s">
        <v>3294</v>
      </c>
      <c r="B68" t="s">
        <v>191</v>
      </c>
      <c r="C68" t="s">
        <v>3313</v>
      </c>
    </row>
    <row r="69" spans="1:3" x14ac:dyDescent="0.2">
      <c r="A69" t="s">
        <v>3294</v>
      </c>
      <c r="B69" t="s">
        <v>191</v>
      </c>
      <c r="C69" t="s">
        <v>3303</v>
      </c>
    </row>
    <row r="70" spans="1:3" x14ac:dyDescent="0.2">
      <c r="A70" t="s">
        <v>3294</v>
      </c>
      <c r="B70" t="s">
        <v>191</v>
      </c>
      <c r="C70" t="s">
        <v>3314</v>
      </c>
    </row>
    <row r="71" spans="1:3" x14ac:dyDescent="0.2">
      <c r="A71" t="s">
        <v>3294</v>
      </c>
      <c r="B71" t="s">
        <v>191</v>
      </c>
      <c r="C71" t="s">
        <v>3308</v>
      </c>
    </row>
    <row r="72" spans="1:3" x14ac:dyDescent="0.2">
      <c r="A72" t="s">
        <v>3294</v>
      </c>
      <c r="B72" t="s">
        <v>191</v>
      </c>
      <c r="C72" t="s">
        <v>3312</v>
      </c>
    </row>
    <row r="73" spans="1:3" x14ac:dyDescent="0.2">
      <c r="A73" t="s">
        <v>3294</v>
      </c>
      <c r="B73" t="s">
        <v>191</v>
      </c>
      <c r="C73" t="s">
        <v>3297</v>
      </c>
    </row>
    <row r="74" spans="1:3" x14ac:dyDescent="0.2">
      <c r="A74" t="s">
        <v>3294</v>
      </c>
      <c r="B74" t="s">
        <v>191</v>
      </c>
      <c r="C74" t="s">
        <v>3295</v>
      </c>
    </row>
    <row r="75" spans="1:3" x14ac:dyDescent="0.2">
      <c r="A75" t="s">
        <v>3294</v>
      </c>
      <c r="B75" t="s">
        <v>191</v>
      </c>
      <c r="C75" t="s">
        <v>3296</v>
      </c>
    </row>
    <row r="76" spans="1:3" x14ac:dyDescent="0.2">
      <c r="A76" t="s">
        <v>3294</v>
      </c>
      <c r="B76" t="s">
        <v>191</v>
      </c>
      <c r="C76" t="s">
        <v>3300</v>
      </c>
    </row>
    <row r="77" spans="1:3" x14ac:dyDescent="0.2">
      <c r="A77" t="s">
        <v>3294</v>
      </c>
      <c r="B77" t="s">
        <v>191</v>
      </c>
      <c r="C77" t="s">
        <v>3293</v>
      </c>
    </row>
    <row r="78" spans="1:3" x14ac:dyDescent="0.2">
      <c r="A78" t="s">
        <v>3294</v>
      </c>
      <c r="B78" t="s">
        <v>191</v>
      </c>
      <c r="C78" t="s">
        <v>3298</v>
      </c>
    </row>
    <row r="79" spans="1:3" x14ac:dyDescent="0.2">
      <c r="A79" t="s">
        <v>3294</v>
      </c>
      <c r="B79" t="s">
        <v>191</v>
      </c>
      <c r="C79" t="s">
        <v>3305</v>
      </c>
    </row>
    <row r="80" spans="1:3" x14ac:dyDescent="0.2">
      <c r="A80" t="s">
        <v>3294</v>
      </c>
      <c r="B80" t="s">
        <v>191</v>
      </c>
      <c r="C80" t="s">
        <v>3309</v>
      </c>
    </row>
    <row r="81" spans="1:3" x14ac:dyDescent="0.2">
      <c r="A81" t="s">
        <v>3294</v>
      </c>
      <c r="B81" t="s">
        <v>191</v>
      </c>
      <c r="C81" t="s">
        <v>3302</v>
      </c>
    </row>
    <row r="82" spans="1:3" x14ac:dyDescent="0.2">
      <c r="A82" t="s">
        <v>3294</v>
      </c>
      <c r="B82" t="s">
        <v>191</v>
      </c>
      <c r="C82" t="s">
        <v>3315</v>
      </c>
    </row>
    <row r="83" spans="1:3" x14ac:dyDescent="0.2">
      <c r="A83" t="s">
        <v>3294</v>
      </c>
      <c r="B83" t="s">
        <v>191</v>
      </c>
      <c r="C83" t="s">
        <v>3299</v>
      </c>
    </row>
    <row r="84" spans="1:3" x14ac:dyDescent="0.2">
      <c r="A84" t="s">
        <v>3294</v>
      </c>
      <c r="B84" t="s">
        <v>191</v>
      </c>
      <c r="C84" t="s">
        <v>3307</v>
      </c>
    </row>
    <row r="85" spans="1:3" x14ac:dyDescent="0.2">
      <c r="A85" t="s">
        <v>3294</v>
      </c>
      <c r="B85" t="s">
        <v>191</v>
      </c>
      <c r="C85" t="s">
        <v>3310</v>
      </c>
    </row>
    <row r="86" spans="1:3" x14ac:dyDescent="0.2">
      <c r="A86" t="s">
        <v>3294</v>
      </c>
      <c r="B86" t="s">
        <v>191</v>
      </c>
      <c r="C86" t="s">
        <v>3306</v>
      </c>
    </row>
    <row r="87" spans="1:3" x14ac:dyDescent="0.2">
      <c r="A87" t="s">
        <v>3294</v>
      </c>
      <c r="B87" t="s">
        <v>191</v>
      </c>
      <c r="C87" t="s">
        <v>3304</v>
      </c>
    </row>
    <row r="88" spans="1:3" x14ac:dyDescent="0.2">
      <c r="A88" t="s">
        <v>3317</v>
      </c>
      <c r="B88" t="s">
        <v>445</v>
      </c>
      <c r="C88" t="s">
        <v>3318</v>
      </c>
    </row>
    <row r="89" spans="1:3" x14ac:dyDescent="0.2">
      <c r="A89" t="s">
        <v>3317</v>
      </c>
      <c r="B89" t="s">
        <v>445</v>
      </c>
      <c r="C89" t="s">
        <v>3321</v>
      </c>
    </row>
    <row r="90" spans="1:3" x14ac:dyDescent="0.2">
      <c r="A90" t="s">
        <v>3317</v>
      </c>
      <c r="B90" t="s">
        <v>445</v>
      </c>
      <c r="C90" t="s">
        <v>3320</v>
      </c>
    </row>
    <row r="91" spans="1:3" x14ac:dyDescent="0.2">
      <c r="A91" t="s">
        <v>3317</v>
      </c>
      <c r="B91" t="s">
        <v>445</v>
      </c>
      <c r="C91" t="s">
        <v>3316</v>
      </c>
    </row>
    <row r="92" spans="1:3" x14ac:dyDescent="0.2">
      <c r="A92" t="s">
        <v>3317</v>
      </c>
      <c r="B92" t="s">
        <v>445</v>
      </c>
      <c r="C92" t="s">
        <v>3319</v>
      </c>
    </row>
    <row r="93" spans="1:3" x14ac:dyDescent="0.2">
      <c r="A93" t="s">
        <v>3331</v>
      </c>
      <c r="B93" t="s">
        <v>194</v>
      </c>
      <c r="C93" t="s">
        <v>3330</v>
      </c>
    </row>
    <row r="94" spans="1:3" x14ac:dyDescent="0.2">
      <c r="A94" t="s">
        <v>3331</v>
      </c>
      <c r="B94" t="s">
        <v>194</v>
      </c>
      <c r="C94" t="s">
        <v>3332</v>
      </c>
    </row>
    <row r="95" spans="1:3" x14ac:dyDescent="0.2">
      <c r="A95" t="s">
        <v>3334</v>
      </c>
      <c r="B95" t="s">
        <v>234</v>
      </c>
      <c r="C95" t="s">
        <v>3337</v>
      </c>
    </row>
    <row r="96" spans="1:3" x14ac:dyDescent="0.2">
      <c r="A96" t="s">
        <v>3334</v>
      </c>
      <c r="B96" t="s">
        <v>234</v>
      </c>
      <c r="C96" t="s">
        <v>3340</v>
      </c>
    </row>
    <row r="97" spans="1:3" x14ac:dyDescent="0.2">
      <c r="A97" t="s">
        <v>3334</v>
      </c>
      <c r="B97" t="s">
        <v>234</v>
      </c>
      <c r="C97" t="s">
        <v>3335</v>
      </c>
    </row>
    <row r="98" spans="1:3" x14ac:dyDescent="0.2">
      <c r="A98" t="s">
        <v>3334</v>
      </c>
      <c r="B98" t="s">
        <v>234</v>
      </c>
      <c r="C98" t="s">
        <v>3333</v>
      </c>
    </row>
    <row r="99" spans="1:3" x14ac:dyDescent="0.2">
      <c r="A99" t="s">
        <v>3334</v>
      </c>
      <c r="B99" t="s">
        <v>234</v>
      </c>
      <c r="C99" t="s">
        <v>3339</v>
      </c>
    </row>
    <row r="100" spans="1:3" x14ac:dyDescent="0.2">
      <c r="A100" t="s">
        <v>3334</v>
      </c>
      <c r="B100" t="s">
        <v>234</v>
      </c>
      <c r="C100" t="s">
        <v>3341</v>
      </c>
    </row>
    <row r="101" spans="1:3" x14ac:dyDescent="0.2">
      <c r="A101" t="s">
        <v>3334</v>
      </c>
      <c r="B101" t="s">
        <v>234</v>
      </c>
      <c r="C101" t="s">
        <v>3336</v>
      </c>
    </row>
    <row r="102" spans="1:3" x14ac:dyDescent="0.2">
      <c r="A102" t="s">
        <v>3334</v>
      </c>
      <c r="B102" t="s">
        <v>234</v>
      </c>
      <c r="C102" t="s">
        <v>3338</v>
      </c>
    </row>
    <row r="103" spans="1:3" x14ac:dyDescent="0.2">
      <c r="A103" t="s">
        <v>3347</v>
      </c>
      <c r="B103" t="s">
        <v>197</v>
      </c>
      <c r="C103" t="s">
        <v>3348</v>
      </c>
    </row>
    <row r="104" spans="1:3" x14ac:dyDescent="0.2">
      <c r="A104" t="s">
        <v>3347</v>
      </c>
      <c r="B104" t="s">
        <v>197</v>
      </c>
      <c r="C104" t="s">
        <v>3346</v>
      </c>
    </row>
    <row r="105" spans="1:3" x14ac:dyDescent="0.2">
      <c r="A105" t="s">
        <v>3350</v>
      </c>
      <c r="B105" t="s">
        <v>1313</v>
      </c>
      <c r="C105" t="s">
        <v>3349</v>
      </c>
    </row>
    <row r="106" spans="1:3" x14ac:dyDescent="0.2">
      <c r="A106" t="s">
        <v>3323</v>
      </c>
      <c r="B106" t="s">
        <v>1311</v>
      </c>
      <c r="C106" t="s">
        <v>3324</v>
      </c>
    </row>
    <row r="107" spans="1:3" x14ac:dyDescent="0.2">
      <c r="A107" t="s">
        <v>3323</v>
      </c>
      <c r="B107" t="s">
        <v>1311</v>
      </c>
      <c r="C107" t="s">
        <v>3322</v>
      </c>
    </row>
    <row r="108" spans="1:3" x14ac:dyDescent="0.2">
      <c r="A108" t="s">
        <v>3253</v>
      </c>
      <c r="B108" t="s">
        <v>1411</v>
      </c>
      <c r="C108" t="s">
        <v>3252</v>
      </c>
    </row>
    <row r="109" spans="1:3" x14ac:dyDescent="0.2">
      <c r="A109" t="s">
        <v>3356</v>
      </c>
      <c r="B109" t="s">
        <v>1317</v>
      </c>
      <c r="C109" t="s">
        <v>3362</v>
      </c>
    </row>
    <row r="110" spans="1:3" x14ac:dyDescent="0.2">
      <c r="A110" t="s">
        <v>3356</v>
      </c>
      <c r="B110" t="s">
        <v>1317</v>
      </c>
      <c r="C110" t="s">
        <v>3355</v>
      </c>
    </row>
    <row r="111" spans="1:3" x14ac:dyDescent="0.2">
      <c r="A111" t="s">
        <v>3356</v>
      </c>
      <c r="B111" t="s">
        <v>1317</v>
      </c>
      <c r="C111" t="s">
        <v>3359</v>
      </c>
    </row>
    <row r="112" spans="1:3" x14ac:dyDescent="0.2">
      <c r="A112" t="s">
        <v>3450</v>
      </c>
      <c r="B112" t="s">
        <v>1476</v>
      </c>
      <c r="C112" t="s">
        <v>3449</v>
      </c>
    </row>
    <row r="113" spans="1:3" x14ac:dyDescent="0.2">
      <c r="A113" t="s">
        <v>3326</v>
      </c>
      <c r="B113" t="s">
        <v>233</v>
      </c>
      <c r="C113" t="s">
        <v>3325</v>
      </c>
    </row>
    <row r="114" spans="1:3" x14ac:dyDescent="0.2">
      <c r="A114" t="s">
        <v>3326</v>
      </c>
      <c r="B114" t="s">
        <v>233</v>
      </c>
      <c r="C114" t="s">
        <v>3329</v>
      </c>
    </row>
    <row r="115" spans="1:3" x14ac:dyDescent="0.2">
      <c r="A115" t="s">
        <v>3484</v>
      </c>
      <c r="B115" t="s">
        <v>1501</v>
      </c>
      <c r="C115" t="s">
        <v>3483</v>
      </c>
    </row>
    <row r="116" spans="1:3" x14ac:dyDescent="0.2">
      <c r="A116" t="s">
        <v>3358</v>
      </c>
      <c r="B116" t="s">
        <v>1317</v>
      </c>
      <c r="C116" t="s">
        <v>3357</v>
      </c>
    </row>
    <row r="117" spans="1:3" x14ac:dyDescent="0.2">
      <c r="A117" t="s">
        <v>3454</v>
      </c>
      <c r="B117" t="s">
        <v>1480</v>
      </c>
      <c r="C117" t="s">
        <v>3453</v>
      </c>
    </row>
    <row r="118" spans="1:3" x14ac:dyDescent="0.2">
      <c r="A118" t="s">
        <v>3328</v>
      </c>
      <c r="B118" t="s">
        <v>233</v>
      </c>
      <c r="C118" t="s">
        <v>3327</v>
      </c>
    </row>
    <row r="119" spans="1:3" x14ac:dyDescent="0.2">
      <c r="A119" t="s">
        <v>3443</v>
      </c>
      <c r="B119" t="s">
        <v>1472</v>
      </c>
      <c r="C119" t="s">
        <v>3442</v>
      </c>
    </row>
    <row r="120" spans="1:3" x14ac:dyDescent="0.2">
      <c r="A120" t="s">
        <v>3432</v>
      </c>
      <c r="B120" t="s">
        <v>1467</v>
      </c>
      <c r="C120" t="s">
        <v>3431</v>
      </c>
    </row>
    <row r="121" spans="1:3" x14ac:dyDescent="0.2">
      <c r="A121" t="s">
        <v>3242</v>
      </c>
      <c r="B121" t="s">
        <v>1404</v>
      </c>
      <c r="C121" t="s">
        <v>3241</v>
      </c>
    </row>
    <row r="122" spans="1:3" x14ac:dyDescent="0.2">
      <c r="A122" t="s">
        <v>3249</v>
      </c>
      <c r="B122" t="s">
        <v>1407</v>
      </c>
      <c r="C122" t="s">
        <v>3248</v>
      </c>
    </row>
    <row r="123" spans="1:3" x14ac:dyDescent="0.2">
      <c r="A123" t="s">
        <v>3343</v>
      </c>
      <c r="B123" t="s">
        <v>195</v>
      </c>
      <c r="C123" t="s">
        <v>3342</v>
      </c>
    </row>
    <row r="124" spans="1:3" x14ac:dyDescent="0.2">
      <c r="A124" t="s">
        <v>3275</v>
      </c>
      <c r="B124" t="s">
        <v>1425</v>
      </c>
      <c r="C124" t="s">
        <v>3274</v>
      </c>
    </row>
    <row r="125" spans="1:3" x14ac:dyDescent="0.2">
      <c r="A125" t="s">
        <v>3462</v>
      </c>
      <c r="B125" t="s">
        <v>1489</v>
      </c>
      <c r="C125" t="s">
        <v>3461</v>
      </c>
    </row>
    <row r="126" spans="1:3" x14ac:dyDescent="0.2">
      <c r="A126" t="s">
        <v>3434</v>
      </c>
      <c r="B126" t="s">
        <v>1469</v>
      </c>
      <c r="C126" t="s">
        <v>3433</v>
      </c>
    </row>
    <row r="127" spans="1:3" x14ac:dyDescent="0.2">
      <c r="A127" t="s">
        <v>3448</v>
      </c>
      <c r="B127" t="s">
        <v>1474</v>
      </c>
      <c r="C127" t="s">
        <v>3447</v>
      </c>
    </row>
    <row r="128" spans="1:3" x14ac:dyDescent="0.2">
      <c r="A128" t="s">
        <v>3361</v>
      </c>
      <c r="B128" t="s">
        <v>1317</v>
      </c>
      <c r="C128" t="s">
        <v>3360</v>
      </c>
    </row>
    <row r="129" spans="1:3" x14ac:dyDescent="0.2">
      <c r="A129" t="s">
        <v>3244</v>
      </c>
      <c r="B129" t="s">
        <v>1406</v>
      </c>
      <c r="C129" t="s">
        <v>3243</v>
      </c>
    </row>
    <row r="130" spans="1:3" x14ac:dyDescent="0.2">
      <c r="A130" t="s">
        <v>3251</v>
      </c>
      <c r="B130" t="s">
        <v>1409</v>
      </c>
      <c r="C130" t="s">
        <v>3250</v>
      </c>
    </row>
    <row r="131" spans="1:3" x14ac:dyDescent="0.2">
      <c r="A131" t="s">
        <v>3259</v>
      </c>
      <c r="B131" t="s">
        <v>1413</v>
      </c>
      <c r="C131" t="s">
        <v>3258</v>
      </c>
    </row>
    <row r="132" spans="1:3" x14ac:dyDescent="0.2">
      <c r="A132" t="s">
        <v>3473</v>
      </c>
      <c r="B132" t="s">
        <v>1497</v>
      </c>
      <c r="C132" t="s">
        <v>3472</v>
      </c>
    </row>
    <row r="133" spans="1:3" x14ac:dyDescent="0.2">
      <c r="A133" t="s">
        <v>3471</v>
      </c>
      <c r="B133" t="s">
        <v>1495</v>
      </c>
      <c r="C133" t="s">
        <v>3470</v>
      </c>
    </row>
    <row r="134" spans="1:3" x14ac:dyDescent="0.2">
      <c r="A134" t="s">
        <v>3436</v>
      </c>
      <c r="B134" t="s">
        <v>1471</v>
      </c>
      <c r="C134" t="s">
        <v>3435</v>
      </c>
    </row>
    <row r="135" spans="1:3" x14ac:dyDescent="0.2">
      <c r="A135" t="s">
        <v>3284</v>
      </c>
      <c r="B135" t="s">
        <v>1429</v>
      </c>
      <c r="C135" t="s">
        <v>3283</v>
      </c>
    </row>
    <row r="136" spans="1:3" x14ac:dyDescent="0.2">
      <c r="A136" t="s">
        <v>3364</v>
      </c>
      <c r="B136" t="s">
        <v>1317</v>
      </c>
      <c r="C136" t="s">
        <v>3363</v>
      </c>
    </row>
    <row r="137" spans="1:3" x14ac:dyDescent="0.2">
      <c r="A137" t="s">
        <v>3368</v>
      </c>
      <c r="B137" t="s">
        <v>1319</v>
      </c>
      <c r="C137" t="s">
        <v>3367</v>
      </c>
    </row>
    <row r="138" spans="1:3" x14ac:dyDescent="0.2">
      <c r="A138" t="s">
        <v>3407</v>
      </c>
      <c r="B138" t="s">
        <v>1449</v>
      </c>
      <c r="C138" t="s">
        <v>3406</v>
      </c>
    </row>
    <row r="139" spans="1:3" x14ac:dyDescent="0.2">
      <c r="A139" t="s">
        <v>3272</v>
      </c>
      <c r="B139" t="s">
        <v>3273</v>
      </c>
      <c r="C139" t="s">
        <v>3271</v>
      </c>
    </row>
    <row r="140" spans="1:3" x14ac:dyDescent="0.2">
      <c r="A140" t="s">
        <v>3394</v>
      </c>
      <c r="B140" t="s">
        <v>3395</v>
      </c>
      <c r="C140" t="s">
        <v>3393</v>
      </c>
    </row>
    <row r="141" spans="1:3" x14ac:dyDescent="0.2">
      <c r="A141" t="s">
        <v>3445</v>
      </c>
      <c r="B141" t="s">
        <v>3446</v>
      </c>
      <c r="C141" t="s">
        <v>3444</v>
      </c>
    </row>
    <row r="142" spans="1:3" x14ac:dyDescent="0.2">
      <c r="A142" t="s">
        <v>3246</v>
      </c>
      <c r="B142" t="s">
        <v>3247</v>
      </c>
      <c r="C142" t="s">
        <v>3245</v>
      </c>
    </row>
    <row r="143" spans="1:3" x14ac:dyDescent="0.2">
      <c r="A143" t="s">
        <v>3428</v>
      </c>
      <c r="B143" t="s">
        <v>1463</v>
      </c>
      <c r="C143" t="s">
        <v>3427</v>
      </c>
    </row>
    <row r="144" spans="1:3" x14ac:dyDescent="0.2">
      <c r="A144" t="s">
        <v>3438</v>
      </c>
      <c r="B144" t="s">
        <v>3439</v>
      </c>
      <c r="C144" t="s">
        <v>3437</v>
      </c>
    </row>
    <row r="145" spans="1:3" x14ac:dyDescent="0.2">
      <c r="A145" t="s">
        <v>3391</v>
      </c>
      <c r="B145" t="s">
        <v>3392</v>
      </c>
      <c r="C145" t="s">
        <v>3390</v>
      </c>
    </row>
    <row r="146" spans="1:3" x14ac:dyDescent="0.2">
      <c r="A146" t="s">
        <v>3352</v>
      </c>
      <c r="B146" t="s">
        <v>1313</v>
      </c>
      <c r="C146" t="s">
        <v>3351</v>
      </c>
    </row>
    <row r="147" spans="1:3" x14ac:dyDescent="0.2">
      <c r="A147" t="s">
        <v>3468</v>
      </c>
      <c r="B147" t="s">
        <v>3469</v>
      </c>
      <c r="C147" t="s">
        <v>3467</v>
      </c>
    </row>
    <row r="148" spans="1:3" x14ac:dyDescent="0.2">
      <c r="A148" t="s">
        <v>3415</v>
      </c>
      <c r="B148" t="s">
        <v>3416</v>
      </c>
      <c r="C148" t="s">
        <v>3414</v>
      </c>
    </row>
  </sheetData>
  <sortState xmlns:xlrd2="http://schemas.microsoft.com/office/spreadsheetml/2017/richdata2" ref="A2:C740">
    <sortCondition ref="A1:A740"/>
    <sortCondition ref="B1:B740"/>
    <sortCondition ref="C1:C74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149"/>
  <sheetViews>
    <sheetView workbookViewId="0">
      <selection activeCell="G1" sqref="G1:G149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3238</v>
      </c>
      <c r="F2" t="s">
        <v>3488</v>
      </c>
      <c r="G2" t="s">
        <v>3581</v>
      </c>
    </row>
    <row r="3" spans="5:7" x14ac:dyDescent="0.2">
      <c r="E3" t="s">
        <v>3242</v>
      </c>
      <c r="F3" t="s">
        <v>3489</v>
      </c>
      <c r="G3" t="s">
        <v>3582</v>
      </c>
    </row>
    <row r="4" spans="5:7" x14ac:dyDescent="0.2">
      <c r="E4" t="s">
        <v>3244</v>
      </c>
      <c r="F4" t="s">
        <v>3490</v>
      </c>
      <c r="G4" t="s">
        <v>3583</v>
      </c>
    </row>
    <row r="5" spans="5:7" x14ac:dyDescent="0.2">
      <c r="E5" t="s">
        <v>3246</v>
      </c>
      <c r="F5" t="s">
        <v>3491</v>
      </c>
      <c r="G5" t="s">
        <v>3584</v>
      </c>
    </row>
    <row r="6" spans="5:7" x14ac:dyDescent="0.2">
      <c r="E6" t="s">
        <v>3249</v>
      </c>
      <c r="F6" t="s">
        <v>3492</v>
      </c>
      <c r="G6" t="s">
        <v>3585</v>
      </c>
    </row>
    <row r="7" spans="5:7" x14ac:dyDescent="0.2">
      <c r="E7" t="s">
        <v>3251</v>
      </c>
      <c r="F7" t="s">
        <v>3493</v>
      </c>
      <c r="G7" t="s">
        <v>3586</v>
      </c>
    </row>
    <row r="8" spans="5:7" x14ac:dyDescent="0.2">
      <c r="E8" t="s">
        <v>3253</v>
      </c>
      <c r="F8" t="s">
        <v>3494</v>
      </c>
      <c r="G8" t="s">
        <v>3587</v>
      </c>
    </row>
    <row r="9" spans="5:7" x14ac:dyDescent="0.2">
      <c r="E9" t="s">
        <v>3255</v>
      </c>
      <c r="F9" t="s">
        <v>3495</v>
      </c>
      <c r="G9" t="s">
        <v>3587</v>
      </c>
    </row>
    <row r="10" spans="5:7" x14ac:dyDescent="0.2">
      <c r="E10" t="s">
        <v>3257</v>
      </c>
      <c r="F10" t="s">
        <v>3496</v>
      </c>
      <c r="G10" t="s">
        <v>3587</v>
      </c>
    </row>
    <row r="11" spans="5:7" x14ac:dyDescent="0.2">
      <c r="E11" t="s">
        <v>3259</v>
      </c>
      <c r="F11" t="s">
        <v>3497</v>
      </c>
      <c r="G11" t="s">
        <v>3588</v>
      </c>
    </row>
    <row r="12" spans="5:7" x14ac:dyDescent="0.2">
      <c r="E12" t="s">
        <v>3261</v>
      </c>
      <c r="F12" t="s">
        <v>3498</v>
      </c>
      <c r="G12" t="s">
        <v>3589</v>
      </c>
    </row>
    <row r="13" spans="5:7" x14ac:dyDescent="0.2">
      <c r="E13" t="s">
        <v>3263</v>
      </c>
      <c r="F13" t="s">
        <v>3499</v>
      </c>
      <c r="G13" t="s">
        <v>3128</v>
      </c>
    </row>
    <row r="14" spans="5:7" x14ac:dyDescent="0.2">
      <c r="E14" t="s">
        <v>3265</v>
      </c>
      <c r="F14" t="s">
        <v>3500</v>
      </c>
      <c r="G14" t="s">
        <v>3590</v>
      </c>
    </row>
    <row r="15" spans="5:7" x14ac:dyDescent="0.2">
      <c r="E15" t="s">
        <v>3267</v>
      </c>
      <c r="F15" t="s">
        <v>3501</v>
      </c>
      <c r="G15" t="s">
        <v>3591</v>
      </c>
    </row>
    <row r="16" spans="5:7" x14ac:dyDescent="0.2">
      <c r="E16" t="s">
        <v>3269</v>
      </c>
      <c r="F16" t="s">
        <v>3502</v>
      </c>
      <c r="G16" t="s">
        <v>3592</v>
      </c>
    </row>
    <row r="17" spans="5:7" x14ac:dyDescent="0.2">
      <c r="E17" t="s">
        <v>3269</v>
      </c>
      <c r="F17" t="s">
        <v>3502</v>
      </c>
      <c r="G17" t="s">
        <v>3592</v>
      </c>
    </row>
    <row r="18" spans="5:7" x14ac:dyDescent="0.2">
      <c r="E18" t="s">
        <v>3272</v>
      </c>
      <c r="F18" t="s">
        <v>3503</v>
      </c>
      <c r="G18" t="s">
        <v>3593</v>
      </c>
    </row>
    <row r="19" spans="5:7" x14ac:dyDescent="0.2">
      <c r="E19" t="s">
        <v>3275</v>
      </c>
      <c r="F19" t="s">
        <v>3504</v>
      </c>
      <c r="G19" t="s">
        <v>3594</v>
      </c>
    </row>
    <row r="20" spans="5:7" x14ac:dyDescent="0.2">
      <c r="E20" t="s">
        <v>3277</v>
      </c>
      <c r="F20" t="s">
        <v>3505</v>
      </c>
      <c r="G20" t="s">
        <v>3595</v>
      </c>
    </row>
    <row r="21" spans="5:7" x14ac:dyDescent="0.2">
      <c r="E21" t="s">
        <v>3277</v>
      </c>
      <c r="F21" t="s">
        <v>3505</v>
      </c>
      <c r="G21" t="s">
        <v>3595</v>
      </c>
    </row>
    <row r="22" spans="5:7" x14ac:dyDescent="0.2">
      <c r="E22" t="s">
        <v>3280</v>
      </c>
      <c r="F22" t="s">
        <v>3506</v>
      </c>
      <c r="G22" t="s">
        <v>3595</v>
      </c>
    </row>
    <row r="23" spans="5:7" x14ac:dyDescent="0.2">
      <c r="E23" t="s">
        <v>3282</v>
      </c>
      <c r="F23" t="s">
        <v>3507</v>
      </c>
      <c r="G23" t="s">
        <v>3595</v>
      </c>
    </row>
    <row r="24" spans="5:7" x14ac:dyDescent="0.2">
      <c r="E24" t="s">
        <v>3284</v>
      </c>
      <c r="F24" t="s">
        <v>3508</v>
      </c>
      <c r="G24" t="s">
        <v>3596</v>
      </c>
    </row>
    <row r="25" spans="5:7" x14ac:dyDescent="0.2">
      <c r="E25" t="s">
        <v>3286</v>
      </c>
      <c r="F25" t="s">
        <v>3509</v>
      </c>
      <c r="G25" t="s">
        <v>285</v>
      </c>
    </row>
    <row r="26" spans="5:7" x14ac:dyDescent="0.2">
      <c r="E26" t="s">
        <v>3286</v>
      </c>
      <c r="F26" t="s">
        <v>3509</v>
      </c>
      <c r="G26" t="s">
        <v>285</v>
      </c>
    </row>
    <row r="27" spans="5:7" x14ac:dyDescent="0.2">
      <c r="E27" t="s">
        <v>3286</v>
      </c>
      <c r="F27" t="s">
        <v>3509</v>
      </c>
      <c r="G27" t="s">
        <v>285</v>
      </c>
    </row>
    <row r="28" spans="5:7" x14ac:dyDescent="0.2">
      <c r="E28" t="s">
        <v>3286</v>
      </c>
      <c r="F28" t="s">
        <v>3509</v>
      </c>
      <c r="G28" t="s">
        <v>285</v>
      </c>
    </row>
    <row r="29" spans="5:7" x14ac:dyDescent="0.2">
      <c r="E29" t="s">
        <v>3286</v>
      </c>
      <c r="F29" t="s">
        <v>3509</v>
      </c>
      <c r="G29" t="s">
        <v>285</v>
      </c>
    </row>
    <row r="30" spans="5:7" x14ac:dyDescent="0.2">
      <c r="E30" t="s">
        <v>3286</v>
      </c>
      <c r="F30" t="s">
        <v>3509</v>
      </c>
      <c r="G30" t="s">
        <v>285</v>
      </c>
    </row>
    <row r="31" spans="5:7" x14ac:dyDescent="0.2">
      <c r="E31" t="s">
        <v>3286</v>
      </c>
      <c r="F31" t="s">
        <v>3509</v>
      </c>
      <c r="G31" t="s">
        <v>285</v>
      </c>
    </row>
    <row r="32" spans="5:7" x14ac:dyDescent="0.2">
      <c r="E32" t="s">
        <v>3294</v>
      </c>
      <c r="F32" t="s">
        <v>3510</v>
      </c>
      <c r="G32" t="s">
        <v>287</v>
      </c>
    </row>
    <row r="33" spans="5:7" x14ac:dyDescent="0.2">
      <c r="E33" t="s">
        <v>3294</v>
      </c>
      <c r="F33" t="s">
        <v>3510</v>
      </c>
      <c r="G33" t="s">
        <v>287</v>
      </c>
    </row>
    <row r="34" spans="5:7" x14ac:dyDescent="0.2">
      <c r="E34" t="s">
        <v>3294</v>
      </c>
      <c r="F34" t="s">
        <v>3510</v>
      </c>
      <c r="G34" t="s">
        <v>287</v>
      </c>
    </row>
    <row r="35" spans="5:7" x14ac:dyDescent="0.2">
      <c r="E35" t="s">
        <v>3294</v>
      </c>
      <c r="F35" t="s">
        <v>3510</v>
      </c>
      <c r="G35" t="s">
        <v>287</v>
      </c>
    </row>
    <row r="36" spans="5:7" x14ac:dyDescent="0.2">
      <c r="E36" t="s">
        <v>3294</v>
      </c>
      <c r="F36" t="s">
        <v>3510</v>
      </c>
      <c r="G36" t="s">
        <v>287</v>
      </c>
    </row>
    <row r="37" spans="5:7" x14ac:dyDescent="0.2">
      <c r="E37" t="s">
        <v>3294</v>
      </c>
      <c r="F37" t="s">
        <v>3510</v>
      </c>
      <c r="G37" t="s">
        <v>287</v>
      </c>
    </row>
    <row r="38" spans="5:7" x14ac:dyDescent="0.2">
      <c r="E38" t="s">
        <v>3294</v>
      </c>
      <c r="F38" t="s">
        <v>3510</v>
      </c>
      <c r="G38" t="s">
        <v>287</v>
      </c>
    </row>
    <row r="39" spans="5:7" x14ac:dyDescent="0.2">
      <c r="E39" t="s">
        <v>3294</v>
      </c>
      <c r="F39" t="s">
        <v>3510</v>
      </c>
      <c r="G39" t="s">
        <v>287</v>
      </c>
    </row>
    <row r="40" spans="5:7" x14ac:dyDescent="0.2">
      <c r="E40" t="s">
        <v>3294</v>
      </c>
      <c r="F40" t="s">
        <v>3510</v>
      </c>
      <c r="G40" t="s">
        <v>287</v>
      </c>
    </row>
    <row r="41" spans="5:7" x14ac:dyDescent="0.2">
      <c r="E41" t="s">
        <v>3294</v>
      </c>
      <c r="F41" t="s">
        <v>3510</v>
      </c>
      <c r="G41" t="s">
        <v>287</v>
      </c>
    </row>
    <row r="42" spans="5:7" x14ac:dyDescent="0.2">
      <c r="E42" t="s">
        <v>3294</v>
      </c>
      <c r="F42" t="s">
        <v>3510</v>
      </c>
      <c r="G42" t="s">
        <v>287</v>
      </c>
    </row>
    <row r="43" spans="5:7" x14ac:dyDescent="0.2">
      <c r="E43" t="s">
        <v>3294</v>
      </c>
      <c r="F43" t="s">
        <v>3510</v>
      </c>
      <c r="G43" t="s">
        <v>287</v>
      </c>
    </row>
    <row r="44" spans="5:7" x14ac:dyDescent="0.2">
      <c r="E44" t="s">
        <v>3294</v>
      </c>
      <c r="F44" t="s">
        <v>3510</v>
      </c>
      <c r="G44" t="s">
        <v>287</v>
      </c>
    </row>
    <row r="45" spans="5:7" x14ac:dyDescent="0.2">
      <c r="E45" t="s">
        <v>3294</v>
      </c>
      <c r="F45" t="s">
        <v>3510</v>
      </c>
      <c r="G45" t="s">
        <v>287</v>
      </c>
    </row>
    <row r="46" spans="5:7" x14ac:dyDescent="0.2">
      <c r="E46" t="s">
        <v>3294</v>
      </c>
      <c r="F46" t="s">
        <v>3510</v>
      </c>
      <c r="G46" t="s">
        <v>287</v>
      </c>
    </row>
    <row r="47" spans="5:7" x14ac:dyDescent="0.2">
      <c r="E47" t="s">
        <v>3294</v>
      </c>
      <c r="F47" t="s">
        <v>3510</v>
      </c>
      <c r="G47" t="s">
        <v>287</v>
      </c>
    </row>
    <row r="48" spans="5:7" x14ac:dyDescent="0.2">
      <c r="E48" t="s">
        <v>3294</v>
      </c>
      <c r="F48" t="s">
        <v>3510</v>
      </c>
      <c r="G48" t="s">
        <v>287</v>
      </c>
    </row>
    <row r="49" spans="5:7" x14ac:dyDescent="0.2">
      <c r="E49" t="s">
        <v>3294</v>
      </c>
      <c r="F49" t="s">
        <v>3510</v>
      </c>
      <c r="G49" t="s">
        <v>287</v>
      </c>
    </row>
    <row r="50" spans="5:7" x14ac:dyDescent="0.2">
      <c r="E50" t="s">
        <v>3294</v>
      </c>
      <c r="F50" t="s">
        <v>3510</v>
      </c>
      <c r="G50" t="s">
        <v>287</v>
      </c>
    </row>
    <row r="51" spans="5:7" x14ac:dyDescent="0.2">
      <c r="E51" t="s">
        <v>3294</v>
      </c>
      <c r="F51" t="s">
        <v>3510</v>
      </c>
      <c r="G51" t="s">
        <v>287</v>
      </c>
    </row>
    <row r="52" spans="5:7" x14ac:dyDescent="0.2">
      <c r="E52" t="s">
        <v>3294</v>
      </c>
      <c r="F52" t="s">
        <v>3510</v>
      </c>
      <c r="G52" t="s">
        <v>287</v>
      </c>
    </row>
    <row r="53" spans="5:7" x14ac:dyDescent="0.2">
      <c r="E53" t="s">
        <v>3294</v>
      </c>
      <c r="F53" t="s">
        <v>3510</v>
      </c>
      <c r="G53" t="s">
        <v>287</v>
      </c>
    </row>
    <row r="54" spans="5:7" x14ac:dyDescent="0.2">
      <c r="E54" t="s">
        <v>3317</v>
      </c>
      <c r="F54" t="s">
        <v>3511</v>
      </c>
      <c r="G54" t="s">
        <v>3129</v>
      </c>
    </row>
    <row r="55" spans="5:7" x14ac:dyDescent="0.2">
      <c r="E55" t="s">
        <v>3317</v>
      </c>
      <c r="F55" t="s">
        <v>3511</v>
      </c>
      <c r="G55" t="s">
        <v>3129</v>
      </c>
    </row>
    <row r="56" spans="5:7" x14ac:dyDescent="0.2">
      <c r="E56" t="s">
        <v>3317</v>
      </c>
      <c r="F56" t="s">
        <v>3511</v>
      </c>
      <c r="G56" t="s">
        <v>3129</v>
      </c>
    </row>
    <row r="57" spans="5:7" x14ac:dyDescent="0.2">
      <c r="E57" t="s">
        <v>3317</v>
      </c>
      <c r="F57" t="s">
        <v>3511</v>
      </c>
      <c r="G57" t="s">
        <v>3129</v>
      </c>
    </row>
    <row r="58" spans="5:7" x14ac:dyDescent="0.2">
      <c r="E58" t="s">
        <v>3317</v>
      </c>
      <c r="F58" t="s">
        <v>3511</v>
      </c>
      <c r="G58" t="s">
        <v>3129</v>
      </c>
    </row>
    <row r="59" spans="5:7" x14ac:dyDescent="0.2">
      <c r="E59" t="s">
        <v>3323</v>
      </c>
      <c r="F59" t="s">
        <v>3512</v>
      </c>
      <c r="G59" t="s">
        <v>3130</v>
      </c>
    </row>
    <row r="60" spans="5:7" x14ac:dyDescent="0.2">
      <c r="E60" t="s">
        <v>3323</v>
      </c>
      <c r="F60" t="s">
        <v>3512</v>
      </c>
      <c r="G60" t="s">
        <v>3130</v>
      </c>
    </row>
    <row r="61" spans="5:7" x14ac:dyDescent="0.2">
      <c r="E61" t="s">
        <v>3326</v>
      </c>
      <c r="F61" t="s">
        <v>3513</v>
      </c>
      <c r="G61" t="s">
        <v>3234</v>
      </c>
    </row>
    <row r="62" spans="5:7" x14ac:dyDescent="0.2">
      <c r="E62" t="s">
        <v>3328</v>
      </c>
      <c r="F62" t="s">
        <v>3514</v>
      </c>
      <c r="G62" t="s">
        <v>3234</v>
      </c>
    </row>
    <row r="63" spans="5:7" x14ac:dyDescent="0.2">
      <c r="E63" t="s">
        <v>3326</v>
      </c>
      <c r="F63" t="s">
        <v>3513</v>
      </c>
      <c r="G63" t="s">
        <v>3234</v>
      </c>
    </row>
    <row r="64" spans="5:7" x14ac:dyDescent="0.2">
      <c r="E64" t="s">
        <v>3331</v>
      </c>
      <c r="F64" t="s">
        <v>3515</v>
      </c>
      <c r="G64" t="s">
        <v>288</v>
      </c>
    </row>
    <row r="65" spans="5:7" x14ac:dyDescent="0.2">
      <c r="E65" t="s">
        <v>3331</v>
      </c>
      <c r="F65" t="s">
        <v>3515</v>
      </c>
      <c r="G65" t="s">
        <v>288</v>
      </c>
    </row>
    <row r="66" spans="5:7" x14ac:dyDescent="0.2">
      <c r="E66" t="s">
        <v>3334</v>
      </c>
      <c r="F66" t="s">
        <v>3516</v>
      </c>
      <c r="G66" t="s">
        <v>289</v>
      </c>
    </row>
    <row r="67" spans="5:7" x14ac:dyDescent="0.2">
      <c r="E67" t="s">
        <v>3334</v>
      </c>
      <c r="F67" t="s">
        <v>3516</v>
      </c>
      <c r="G67" t="s">
        <v>289</v>
      </c>
    </row>
    <row r="68" spans="5:7" x14ac:dyDescent="0.2">
      <c r="E68" t="s">
        <v>3334</v>
      </c>
      <c r="F68" t="s">
        <v>3516</v>
      </c>
      <c r="G68" t="s">
        <v>289</v>
      </c>
    </row>
    <row r="69" spans="5:7" x14ac:dyDescent="0.2">
      <c r="E69" t="s">
        <v>3334</v>
      </c>
      <c r="F69" t="s">
        <v>3516</v>
      </c>
      <c r="G69" t="s">
        <v>289</v>
      </c>
    </row>
    <row r="70" spans="5:7" x14ac:dyDescent="0.2">
      <c r="E70" t="s">
        <v>3334</v>
      </c>
      <c r="F70" t="s">
        <v>3516</v>
      </c>
      <c r="G70" t="s">
        <v>289</v>
      </c>
    </row>
    <row r="71" spans="5:7" x14ac:dyDescent="0.2">
      <c r="E71" t="s">
        <v>3334</v>
      </c>
      <c r="F71" t="s">
        <v>3516</v>
      </c>
      <c r="G71" t="s">
        <v>289</v>
      </c>
    </row>
    <row r="72" spans="5:7" x14ac:dyDescent="0.2">
      <c r="E72" t="s">
        <v>3334</v>
      </c>
      <c r="F72" t="s">
        <v>3516</v>
      </c>
      <c r="G72" t="s">
        <v>289</v>
      </c>
    </row>
    <row r="73" spans="5:7" x14ac:dyDescent="0.2">
      <c r="E73" t="s">
        <v>3334</v>
      </c>
      <c r="F73" t="s">
        <v>3516</v>
      </c>
      <c r="G73" t="s">
        <v>289</v>
      </c>
    </row>
    <row r="74" spans="5:7" x14ac:dyDescent="0.2">
      <c r="E74" t="s">
        <v>3343</v>
      </c>
      <c r="F74" t="s">
        <v>3517</v>
      </c>
      <c r="G74" t="s">
        <v>290</v>
      </c>
    </row>
    <row r="75" spans="5:7" x14ac:dyDescent="0.2">
      <c r="E75" t="s">
        <v>3345</v>
      </c>
      <c r="F75" t="s">
        <v>3518</v>
      </c>
      <c r="G75" t="s">
        <v>291</v>
      </c>
    </row>
    <row r="76" spans="5:7" x14ac:dyDescent="0.2">
      <c r="E76" t="s">
        <v>3347</v>
      </c>
      <c r="F76" t="s">
        <v>3519</v>
      </c>
      <c r="G76" t="s">
        <v>292</v>
      </c>
    </row>
    <row r="77" spans="5:7" x14ac:dyDescent="0.2">
      <c r="E77" t="s">
        <v>3347</v>
      </c>
      <c r="F77" t="s">
        <v>3519</v>
      </c>
      <c r="G77" t="s">
        <v>292</v>
      </c>
    </row>
    <row r="78" spans="5:7" x14ac:dyDescent="0.2">
      <c r="E78" t="s">
        <v>3350</v>
      </c>
      <c r="F78" t="s">
        <v>3520</v>
      </c>
      <c r="G78" t="s">
        <v>3597</v>
      </c>
    </row>
    <row r="79" spans="5:7" x14ac:dyDescent="0.2">
      <c r="E79" t="s">
        <v>3352</v>
      </c>
      <c r="F79" t="s">
        <v>3521</v>
      </c>
      <c r="G79" t="s">
        <v>3597</v>
      </c>
    </row>
    <row r="80" spans="5:7" x14ac:dyDescent="0.2">
      <c r="E80" t="s">
        <v>3354</v>
      </c>
      <c r="F80" t="s">
        <v>3522</v>
      </c>
      <c r="G80" t="s">
        <v>3131</v>
      </c>
    </row>
    <row r="81" spans="5:7" x14ac:dyDescent="0.2">
      <c r="E81" t="s">
        <v>3356</v>
      </c>
      <c r="F81" t="s">
        <v>3523</v>
      </c>
      <c r="G81" t="s">
        <v>3132</v>
      </c>
    </row>
    <row r="82" spans="5:7" x14ac:dyDescent="0.2">
      <c r="E82" t="s">
        <v>3358</v>
      </c>
      <c r="F82" t="s">
        <v>3524</v>
      </c>
      <c r="G82" t="s">
        <v>3132</v>
      </c>
    </row>
    <row r="83" spans="5:7" x14ac:dyDescent="0.2">
      <c r="E83" t="s">
        <v>3356</v>
      </c>
      <c r="F83" t="s">
        <v>3523</v>
      </c>
      <c r="G83" t="s">
        <v>3132</v>
      </c>
    </row>
    <row r="84" spans="5:7" x14ac:dyDescent="0.2">
      <c r="E84" t="s">
        <v>3361</v>
      </c>
      <c r="F84" t="s">
        <v>3525</v>
      </c>
      <c r="G84" t="s">
        <v>3132</v>
      </c>
    </row>
    <row r="85" spans="5:7" x14ac:dyDescent="0.2">
      <c r="E85" t="s">
        <v>3356</v>
      </c>
      <c r="F85" t="s">
        <v>3523</v>
      </c>
      <c r="G85" t="s">
        <v>3132</v>
      </c>
    </row>
    <row r="86" spans="5:7" x14ac:dyDescent="0.2">
      <c r="E86" t="s">
        <v>3364</v>
      </c>
      <c r="F86" t="s">
        <v>3526</v>
      </c>
      <c r="G86" t="s">
        <v>3132</v>
      </c>
    </row>
    <row r="87" spans="5:7" x14ac:dyDescent="0.2">
      <c r="E87" t="s">
        <v>3366</v>
      </c>
      <c r="F87" t="s">
        <v>3527</v>
      </c>
      <c r="G87" t="s">
        <v>293</v>
      </c>
    </row>
    <row r="88" spans="5:7" x14ac:dyDescent="0.2">
      <c r="E88" t="s">
        <v>3368</v>
      </c>
      <c r="F88" t="s">
        <v>3528</v>
      </c>
      <c r="G88" t="s">
        <v>3133</v>
      </c>
    </row>
    <row r="89" spans="5:7" x14ac:dyDescent="0.2">
      <c r="E89" t="s">
        <v>3370</v>
      </c>
      <c r="F89" t="s">
        <v>3529</v>
      </c>
      <c r="G89" t="s">
        <v>3133</v>
      </c>
    </row>
    <row r="90" spans="5:7" x14ac:dyDescent="0.2">
      <c r="E90" t="s">
        <v>3372</v>
      </c>
      <c r="F90" t="s">
        <v>3530</v>
      </c>
      <c r="G90" t="s">
        <v>3598</v>
      </c>
    </row>
    <row r="91" spans="5:7" x14ac:dyDescent="0.2">
      <c r="E91" t="s">
        <v>3374</v>
      </c>
      <c r="F91" t="s">
        <v>3531</v>
      </c>
      <c r="G91" t="s">
        <v>3598</v>
      </c>
    </row>
    <row r="92" spans="5:7" x14ac:dyDescent="0.2">
      <c r="E92" t="s">
        <v>3376</v>
      </c>
      <c r="F92" t="s">
        <v>3532</v>
      </c>
      <c r="G92" t="s">
        <v>3599</v>
      </c>
    </row>
    <row r="93" spans="5:7" x14ac:dyDescent="0.2">
      <c r="E93" t="s">
        <v>3378</v>
      </c>
      <c r="F93" t="s">
        <v>3533</v>
      </c>
      <c r="G93" t="s">
        <v>3600</v>
      </c>
    </row>
    <row r="94" spans="5:7" x14ac:dyDescent="0.2">
      <c r="E94" t="s">
        <v>3378</v>
      </c>
      <c r="F94" t="s">
        <v>3533</v>
      </c>
      <c r="G94" t="s">
        <v>3600</v>
      </c>
    </row>
    <row r="95" spans="5:7" x14ac:dyDescent="0.2">
      <c r="E95" t="s">
        <v>3381</v>
      </c>
      <c r="F95" t="s">
        <v>3534</v>
      </c>
      <c r="G95" t="s">
        <v>3601</v>
      </c>
    </row>
    <row r="96" spans="5:7" x14ac:dyDescent="0.2">
      <c r="E96" t="s">
        <v>3383</v>
      </c>
      <c r="F96" t="s">
        <v>3535</v>
      </c>
      <c r="G96" t="s">
        <v>3602</v>
      </c>
    </row>
    <row r="97" spans="5:7" x14ac:dyDescent="0.2">
      <c r="E97" t="s">
        <v>3385</v>
      </c>
      <c r="F97" t="s">
        <v>3536</v>
      </c>
      <c r="G97" t="s">
        <v>3134</v>
      </c>
    </row>
    <row r="98" spans="5:7" x14ac:dyDescent="0.2">
      <c r="E98" t="s">
        <v>3385</v>
      </c>
      <c r="F98" t="s">
        <v>3536</v>
      </c>
      <c r="G98" t="s">
        <v>3134</v>
      </c>
    </row>
    <row r="99" spans="5:7" x14ac:dyDescent="0.2">
      <c r="E99" t="s">
        <v>3385</v>
      </c>
      <c r="F99" t="s">
        <v>3536</v>
      </c>
      <c r="G99" t="s">
        <v>3134</v>
      </c>
    </row>
    <row r="100" spans="5:7" x14ac:dyDescent="0.2">
      <c r="E100" t="s">
        <v>3385</v>
      </c>
      <c r="F100" t="s">
        <v>3536</v>
      </c>
      <c r="G100" t="s">
        <v>3134</v>
      </c>
    </row>
    <row r="101" spans="5:7" x14ac:dyDescent="0.2">
      <c r="E101" t="s">
        <v>3385</v>
      </c>
      <c r="F101" t="s">
        <v>3536</v>
      </c>
      <c r="G101" t="s">
        <v>3134</v>
      </c>
    </row>
    <row r="102" spans="5:7" x14ac:dyDescent="0.2">
      <c r="E102" t="s">
        <v>3391</v>
      </c>
      <c r="F102" t="s">
        <v>3537</v>
      </c>
      <c r="G102" t="s">
        <v>3603</v>
      </c>
    </row>
    <row r="103" spans="5:7" x14ac:dyDescent="0.2">
      <c r="E103" t="s">
        <v>3394</v>
      </c>
      <c r="F103" t="s">
        <v>3538</v>
      </c>
      <c r="G103" t="s">
        <v>3604</v>
      </c>
    </row>
    <row r="104" spans="5:7" x14ac:dyDescent="0.2">
      <c r="E104" t="s">
        <v>3397</v>
      </c>
      <c r="F104" t="s">
        <v>3539</v>
      </c>
      <c r="G104" t="s">
        <v>3605</v>
      </c>
    </row>
    <row r="105" spans="5:7" x14ac:dyDescent="0.2">
      <c r="E105" t="s">
        <v>3399</v>
      </c>
      <c r="F105" t="s">
        <v>3540</v>
      </c>
      <c r="G105" t="s">
        <v>3605</v>
      </c>
    </row>
    <row r="106" spans="5:7" x14ac:dyDescent="0.2">
      <c r="E106" t="s">
        <v>3401</v>
      </c>
      <c r="F106" t="s">
        <v>3541</v>
      </c>
      <c r="G106" t="s">
        <v>3606</v>
      </c>
    </row>
    <row r="107" spans="5:7" x14ac:dyDescent="0.2">
      <c r="E107" t="s">
        <v>3403</v>
      </c>
      <c r="F107" t="s">
        <v>3542</v>
      </c>
      <c r="G107" t="s">
        <v>3606</v>
      </c>
    </row>
    <row r="108" spans="5:7" x14ac:dyDescent="0.2">
      <c r="E108" t="s">
        <v>3405</v>
      </c>
      <c r="F108" t="s">
        <v>3543</v>
      </c>
      <c r="G108" t="s">
        <v>3607</v>
      </c>
    </row>
    <row r="109" spans="5:7" x14ac:dyDescent="0.2">
      <c r="E109" t="s">
        <v>3407</v>
      </c>
      <c r="F109" t="s">
        <v>3544</v>
      </c>
      <c r="G109" t="s">
        <v>3608</v>
      </c>
    </row>
    <row r="110" spans="5:7" x14ac:dyDescent="0.2">
      <c r="E110" t="s">
        <v>3409</v>
      </c>
      <c r="F110" t="s">
        <v>3545</v>
      </c>
      <c r="G110" t="s">
        <v>3609</v>
      </c>
    </row>
    <row r="111" spans="5:7" x14ac:dyDescent="0.2">
      <c r="E111" t="s">
        <v>3411</v>
      </c>
      <c r="F111" t="s">
        <v>3546</v>
      </c>
      <c r="G111" t="s">
        <v>3610</v>
      </c>
    </row>
    <row r="112" spans="5:7" x14ac:dyDescent="0.2">
      <c r="E112" t="s">
        <v>3413</v>
      </c>
      <c r="F112" t="s">
        <v>3547</v>
      </c>
      <c r="G112" t="s">
        <v>3611</v>
      </c>
    </row>
    <row r="113" spans="5:7" x14ac:dyDescent="0.2">
      <c r="E113" t="s">
        <v>3415</v>
      </c>
      <c r="F113" t="s">
        <v>3548</v>
      </c>
      <c r="G113" t="s">
        <v>3612</v>
      </c>
    </row>
    <row r="114" spans="5:7" x14ac:dyDescent="0.2">
      <c r="E114" t="s">
        <v>3418</v>
      </c>
      <c r="F114" t="s">
        <v>3549</v>
      </c>
      <c r="G114" t="s">
        <v>3613</v>
      </c>
    </row>
    <row r="115" spans="5:7" x14ac:dyDescent="0.2">
      <c r="E115" t="s">
        <v>3420</v>
      </c>
      <c r="F115" t="s">
        <v>3550</v>
      </c>
      <c r="G115" t="s">
        <v>3135</v>
      </c>
    </row>
    <row r="116" spans="5:7" x14ac:dyDescent="0.2">
      <c r="E116" t="s">
        <v>3422</v>
      </c>
      <c r="F116" t="s">
        <v>3551</v>
      </c>
      <c r="G116" t="s">
        <v>3614</v>
      </c>
    </row>
    <row r="117" spans="5:7" x14ac:dyDescent="0.2">
      <c r="E117" t="s">
        <v>3424</v>
      </c>
      <c r="F117" t="s">
        <v>3552</v>
      </c>
      <c r="G117" t="s">
        <v>3614</v>
      </c>
    </row>
    <row r="118" spans="5:7" x14ac:dyDescent="0.2">
      <c r="E118" t="s">
        <v>3426</v>
      </c>
      <c r="F118" t="s">
        <v>3553</v>
      </c>
      <c r="G118" t="s">
        <v>3615</v>
      </c>
    </row>
    <row r="119" spans="5:7" x14ac:dyDescent="0.2">
      <c r="E119" t="s">
        <v>3428</v>
      </c>
      <c r="F119" t="s">
        <v>3554</v>
      </c>
      <c r="G119" t="s">
        <v>3615</v>
      </c>
    </row>
    <row r="120" spans="5:7" x14ac:dyDescent="0.2">
      <c r="E120" t="s">
        <v>3430</v>
      </c>
      <c r="F120" t="s">
        <v>3555</v>
      </c>
      <c r="G120" t="s">
        <v>3616</v>
      </c>
    </row>
    <row r="121" spans="5:7" x14ac:dyDescent="0.2">
      <c r="E121" t="s">
        <v>3432</v>
      </c>
      <c r="F121" t="s">
        <v>3556</v>
      </c>
      <c r="G121" t="s">
        <v>3617</v>
      </c>
    </row>
    <row r="122" spans="5:7" x14ac:dyDescent="0.2">
      <c r="E122" t="s">
        <v>3434</v>
      </c>
      <c r="F122" t="s">
        <v>3557</v>
      </c>
      <c r="G122" t="s">
        <v>3618</v>
      </c>
    </row>
    <row r="123" spans="5:7" x14ac:dyDescent="0.2">
      <c r="E123" t="s">
        <v>3436</v>
      </c>
      <c r="F123" t="s">
        <v>3558</v>
      </c>
      <c r="G123" t="s">
        <v>3619</v>
      </c>
    </row>
    <row r="124" spans="5:7" x14ac:dyDescent="0.2">
      <c r="E124" t="s">
        <v>3438</v>
      </c>
      <c r="F124" t="s">
        <v>3559</v>
      </c>
      <c r="G124" t="s">
        <v>3620</v>
      </c>
    </row>
    <row r="125" spans="5:7" x14ac:dyDescent="0.2">
      <c r="E125" t="s">
        <v>3441</v>
      </c>
      <c r="F125" t="s">
        <v>3560</v>
      </c>
      <c r="G125" t="s">
        <v>3621</v>
      </c>
    </row>
    <row r="126" spans="5:7" x14ac:dyDescent="0.2">
      <c r="E126" t="s">
        <v>3443</v>
      </c>
      <c r="F126" t="s">
        <v>3561</v>
      </c>
      <c r="G126" t="s">
        <v>3622</v>
      </c>
    </row>
    <row r="127" spans="5:7" x14ac:dyDescent="0.2">
      <c r="E127" t="s">
        <v>3445</v>
      </c>
      <c r="F127" t="s">
        <v>3562</v>
      </c>
      <c r="G127" t="s">
        <v>3623</v>
      </c>
    </row>
    <row r="128" spans="5:7" x14ac:dyDescent="0.2">
      <c r="E128" t="s">
        <v>3448</v>
      </c>
      <c r="F128" t="s">
        <v>3563</v>
      </c>
      <c r="G128" t="s">
        <v>3624</v>
      </c>
    </row>
    <row r="129" spans="5:7" x14ac:dyDescent="0.2">
      <c r="E129" t="s">
        <v>3450</v>
      </c>
      <c r="F129" t="s">
        <v>3564</v>
      </c>
      <c r="G129" t="s">
        <v>3625</v>
      </c>
    </row>
    <row r="130" spans="5:7" x14ac:dyDescent="0.2">
      <c r="E130" t="s">
        <v>3452</v>
      </c>
      <c r="F130" t="s">
        <v>3565</v>
      </c>
      <c r="G130" t="s">
        <v>3626</v>
      </c>
    </row>
    <row r="131" spans="5:7" x14ac:dyDescent="0.2">
      <c r="E131" t="s">
        <v>3454</v>
      </c>
      <c r="F131" t="s">
        <v>3566</v>
      </c>
      <c r="G131" t="s">
        <v>3627</v>
      </c>
    </row>
    <row r="132" spans="5:7" x14ac:dyDescent="0.2">
      <c r="E132" t="s">
        <v>3456</v>
      </c>
      <c r="F132" t="s">
        <v>3567</v>
      </c>
      <c r="G132" t="s">
        <v>3628</v>
      </c>
    </row>
    <row r="133" spans="5:7" x14ac:dyDescent="0.2">
      <c r="E133" t="s">
        <v>3458</v>
      </c>
      <c r="F133" t="s">
        <v>3568</v>
      </c>
      <c r="G133" t="s">
        <v>3629</v>
      </c>
    </row>
    <row r="134" spans="5:7" x14ac:dyDescent="0.2">
      <c r="E134" t="s">
        <v>3460</v>
      </c>
      <c r="F134" t="s">
        <v>3569</v>
      </c>
      <c r="G134" t="s">
        <v>3630</v>
      </c>
    </row>
    <row r="135" spans="5:7" x14ac:dyDescent="0.2">
      <c r="E135" t="s">
        <v>3462</v>
      </c>
      <c r="F135" t="s">
        <v>3570</v>
      </c>
      <c r="G135" t="s">
        <v>3631</v>
      </c>
    </row>
    <row r="136" spans="5:7" x14ac:dyDescent="0.2">
      <c r="E136" t="s">
        <v>3464</v>
      </c>
      <c r="F136" t="s">
        <v>3571</v>
      </c>
      <c r="G136" t="s">
        <v>3632</v>
      </c>
    </row>
    <row r="137" spans="5:7" x14ac:dyDescent="0.2">
      <c r="E137" t="s">
        <v>3466</v>
      </c>
      <c r="F137" t="s">
        <v>3572</v>
      </c>
      <c r="G137" t="s">
        <v>3632</v>
      </c>
    </row>
    <row r="138" spans="5:7" x14ac:dyDescent="0.2">
      <c r="E138" t="s">
        <v>3468</v>
      </c>
      <c r="F138" t="s">
        <v>3573</v>
      </c>
      <c r="G138" t="s">
        <v>3633</v>
      </c>
    </row>
    <row r="139" spans="5:7" x14ac:dyDescent="0.2">
      <c r="E139" t="s">
        <v>3471</v>
      </c>
      <c r="F139" t="s">
        <v>3574</v>
      </c>
      <c r="G139" t="s">
        <v>3634</v>
      </c>
    </row>
    <row r="140" spans="5:7" x14ac:dyDescent="0.2">
      <c r="E140" t="s">
        <v>3473</v>
      </c>
      <c r="F140" t="s">
        <v>3575</v>
      </c>
      <c r="G140" t="s">
        <v>3635</v>
      </c>
    </row>
    <row r="141" spans="5:7" x14ac:dyDescent="0.2">
      <c r="E141" t="s">
        <v>3475</v>
      </c>
      <c r="F141" t="s">
        <v>3576</v>
      </c>
      <c r="G141" t="s">
        <v>3636</v>
      </c>
    </row>
    <row r="142" spans="5:7" x14ac:dyDescent="0.2">
      <c r="E142" t="s">
        <v>3475</v>
      </c>
      <c r="F142" t="s">
        <v>3576</v>
      </c>
      <c r="G142" t="s">
        <v>3636</v>
      </c>
    </row>
    <row r="143" spans="5:7" x14ac:dyDescent="0.2">
      <c r="E143" t="s">
        <v>3478</v>
      </c>
      <c r="F143" t="s">
        <v>3577</v>
      </c>
      <c r="G143" t="s">
        <v>3636</v>
      </c>
    </row>
    <row r="144" spans="5:7" x14ac:dyDescent="0.2">
      <c r="E144" t="s">
        <v>3475</v>
      </c>
      <c r="F144" t="s">
        <v>3576</v>
      </c>
      <c r="G144" t="s">
        <v>3636</v>
      </c>
    </row>
    <row r="145" spans="5:7" x14ac:dyDescent="0.2">
      <c r="E145" t="s">
        <v>3475</v>
      </c>
      <c r="F145" t="s">
        <v>3576</v>
      </c>
      <c r="G145" t="s">
        <v>3636</v>
      </c>
    </row>
    <row r="146" spans="5:7" x14ac:dyDescent="0.2">
      <c r="E146" t="s">
        <v>3482</v>
      </c>
      <c r="F146" t="s">
        <v>3578</v>
      </c>
      <c r="G146" t="s">
        <v>3637</v>
      </c>
    </row>
    <row r="147" spans="5:7" x14ac:dyDescent="0.2">
      <c r="E147" t="s">
        <v>3484</v>
      </c>
      <c r="F147" t="s">
        <v>3579</v>
      </c>
      <c r="G147" t="s">
        <v>3637</v>
      </c>
    </row>
    <row r="148" spans="5:7" x14ac:dyDescent="0.2">
      <c r="E148" t="s">
        <v>3486</v>
      </c>
      <c r="F148" t="s">
        <v>3580</v>
      </c>
      <c r="G148" t="s">
        <v>3638</v>
      </c>
    </row>
    <row r="149" spans="5:7" x14ac:dyDescent="0.2">
      <c r="E149" t="s">
        <v>3486</v>
      </c>
      <c r="F149" t="s">
        <v>3580</v>
      </c>
      <c r="G149" t="s">
        <v>3638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115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94" sqref="B94:AD94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3238</v>
      </c>
      <c r="B2" s="130"/>
      <c r="C2" s="131">
        <f>W2</f>
        <v>0</v>
      </c>
      <c r="D2" s="132" t="str">
        <f>VLOOKUP(A2,'APONTAMENTO CREDENCIAMENTO'!$D$6:$P$2821,12,0)</f>
        <v>6020.2025/0018729-5</v>
      </c>
      <c r="E2" s="133"/>
      <c r="F2" s="134">
        <f>SUMIF('APONTAMENTO CREDENCIAMENTO'!$D$6:$D$2821,'ATESTE-LIQ'!A2,'APONTAMENTO CREDENCIAMENTO'!$FF$6:$FF$2821)</f>
        <v>880.27037500000017</v>
      </c>
      <c r="G2" s="328" t="str">
        <f>VLOOKUP(A2,'APONTAMENTO CREDENCIAMENTO'!$D$6:$G$2821,3,0)</f>
        <v>01/04/2026</v>
      </c>
      <c r="H2" s="328" t="str">
        <f>VLOOKUP(A2,'APONTAMENTO CREDENCIAMENTO'!$D$6:$G$2821,4,0)</f>
        <v>30/04/2026</v>
      </c>
      <c r="I2" s="135" t="str">
        <f>CONCATENATE("PE - Pagto. Doc(s): ",E2," - Contrato nº ",A2)</f>
        <v>PE - Pagto. Doc(s):  - Contrato nº 2025/0018729</v>
      </c>
      <c r="J2" s="136">
        <f>F2</f>
        <v>880.27037500000017</v>
      </c>
      <c r="K2" s="136">
        <v>0</v>
      </c>
      <c r="L2" s="137" t="str">
        <f>VLOOKUP(A2,'APONTAMENTO CREDENCIAMENTO'!$D$6:$P$2821,5,0)</f>
        <v>25.292.508 CLAUDIA COSTA BORCA</v>
      </c>
      <c r="M2" s="138"/>
      <c r="N2" s="139"/>
      <c r="O2" s="140"/>
      <c r="P2" s="141"/>
      <c r="Q2" s="141"/>
      <c r="R2" s="141"/>
      <c r="S2" s="142"/>
      <c r="T2" s="143" t="str">
        <f>D2</f>
        <v>6020.2025/0018729-5</v>
      </c>
      <c r="U2" s="144">
        <f>F2</f>
        <v>880.27037500000017</v>
      </c>
      <c r="V2" s="145">
        <f>U2</f>
        <v>880.27037500000017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2025/0018729 - DRE - FB</v>
      </c>
      <c r="AB2" s="238" t="str">
        <f>L2</f>
        <v>25.292.508 CLAUDIA COSTA BORCA</v>
      </c>
      <c r="AC2" s="239"/>
      <c r="AD2" s="240"/>
      <c r="AE2" s="242"/>
      <c r="AF2" s="102"/>
    </row>
    <row r="3" spans="1:32" s="57" customFormat="1" ht="20.100000000000001" customHeight="1" x14ac:dyDescent="0.25">
      <c r="A3" s="653" t="s">
        <v>3267</v>
      </c>
      <c r="B3" s="130"/>
      <c r="C3" s="131">
        <f t="shared" ref="C3:C66" si="0">W3</f>
        <v>0</v>
      </c>
      <c r="D3" s="132" t="e">
        <f>VLOOKUP(A3,'APONTAMENTO CREDENCIAMENTO'!$D$6:$P$2821,12,0)</f>
        <v>#N/A</v>
      </c>
      <c r="E3" s="133"/>
      <c r="F3" s="134">
        <f>SUMIF('APONTAMENTO CREDENCIAMENTO'!$D$6:$D$2821,'ATESTE-LIQ'!A3,'APONTAMENTO CREDENCIAMENTO'!$FF$6:$FF$2821)</f>
        <v>0</v>
      </c>
      <c r="G3" s="328" t="e">
        <f>VLOOKUP(A3,'APONTAMENTO CREDENCIAMENTO'!$D$6:$G$2821,3,0)</f>
        <v>#N/A</v>
      </c>
      <c r="H3" s="328" t="e">
        <f>VLOOKUP(A3,'APONTAMENTO CREDENCIAMENTO'!$D$6:$G$2821,4,0)</f>
        <v>#N/A</v>
      </c>
      <c r="I3" s="135" t="str">
        <f t="shared" ref="I3:I66" si="1">CONCATENATE("PE - Pagto. Doc(s): ",E3," - Contrato nº ",A3)</f>
        <v>PE - Pagto. Doc(s):  - Contrato nº 2022/0025069</v>
      </c>
      <c r="J3" s="136">
        <f t="shared" ref="J3:J66" si="2">F3</f>
        <v>0</v>
      </c>
      <c r="K3" s="136">
        <v>0</v>
      </c>
      <c r="L3" s="137" t="e">
        <f>VLOOKUP(A3,'APONTAMENTO CREDENCIAMENTO'!$D$6:$P$2821,5,0)</f>
        <v>#N/A</v>
      </c>
      <c r="M3" s="138"/>
      <c r="N3" s="139"/>
      <c r="O3" s="140"/>
      <c r="P3" s="141"/>
      <c r="Q3" s="141"/>
      <c r="R3" s="141"/>
      <c r="S3" s="142"/>
      <c r="T3" s="143" t="e">
        <f t="shared" ref="T3:T66" si="3">D3</f>
        <v>#N/A</v>
      </c>
      <c r="U3" s="144">
        <f t="shared" ref="U3:U66" si="4">F3</f>
        <v>0</v>
      </c>
      <c r="V3" s="145">
        <f t="shared" ref="V3:V66" si="5">U3</f>
        <v>0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2022/0025069 - DRE - FB</v>
      </c>
      <c r="AB3" s="238" t="e">
        <f t="shared" ref="AB3:AB66" si="6">L3</f>
        <v>#N/A</v>
      </c>
      <c r="AC3" s="239"/>
      <c r="AD3" s="240"/>
      <c r="AE3" s="242"/>
      <c r="AF3" s="102"/>
    </row>
    <row r="4" spans="1:32" s="57" customFormat="1" ht="20.100000000000001" customHeight="1" x14ac:dyDescent="0.25">
      <c r="A4" s="653" t="s">
        <v>3366</v>
      </c>
      <c r="B4" s="130"/>
      <c r="C4" s="131">
        <f t="shared" si="0"/>
        <v>0</v>
      </c>
      <c r="D4" s="132" t="e">
        <f>VLOOKUP(A4,'APONTAMENTO CREDENCIAMENTO'!$D$6:$P$2821,12,0)</f>
        <v>#N/A</v>
      </c>
      <c r="E4" s="133"/>
      <c r="F4" s="134">
        <f>SUMIF('APONTAMENTO CREDENCIAMENTO'!$D$6:$D$2821,'ATESTE-LIQ'!A4,'APONTAMENTO CREDENCIAMENTO'!$FF$6:$FF$2821)</f>
        <v>0</v>
      </c>
      <c r="G4" s="328" t="e">
        <f>VLOOKUP(A4,'APONTAMENTO CREDENCIAMENTO'!$D$6:$G$2821,3,0)</f>
        <v>#N/A</v>
      </c>
      <c r="H4" s="328" t="e">
        <f>VLOOKUP(A4,'APONTAMENTO CREDENCIAMENTO'!$D$6:$G$2821,4,0)</f>
        <v>#N/A</v>
      </c>
      <c r="I4" s="135" t="str">
        <f t="shared" si="1"/>
        <v>PE - Pagto. Doc(s):  - Contrato nº 2022/0026693</v>
      </c>
      <c r="J4" s="136">
        <f t="shared" si="2"/>
        <v>0</v>
      </c>
      <c r="K4" s="136">
        <v>0</v>
      </c>
      <c r="L4" s="137" t="e">
        <f>VLOOKUP(A4,'APONTAMENTO CREDENCIAMENTO'!$D$6:$P$2821,5,0)</f>
        <v>#N/A</v>
      </c>
      <c r="M4" s="138"/>
      <c r="N4" s="139"/>
      <c r="O4" s="140"/>
      <c r="P4" s="141"/>
      <c r="Q4" s="141"/>
      <c r="R4" s="141"/>
      <c r="S4" s="142"/>
      <c r="T4" s="143" t="e">
        <f t="shared" si="3"/>
        <v>#N/A</v>
      </c>
      <c r="U4" s="144">
        <f t="shared" si="4"/>
        <v>0</v>
      </c>
      <c r="V4" s="145">
        <f t="shared" si="5"/>
        <v>0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2022/0026693 - DRE - FB</v>
      </c>
      <c r="AB4" s="238" t="e">
        <f t="shared" si="6"/>
        <v>#N/A</v>
      </c>
      <c r="AC4" s="239"/>
      <c r="AD4" s="240"/>
      <c r="AE4" s="242"/>
      <c r="AF4" s="102"/>
    </row>
    <row r="5" spans="1:32" s="57" customFormat="1" ht="20.100000000000001" customHeight="1" x14ac:dyDescent="0.25">
      <c r="A5" s="653" t="s">
        <v>3420</v>
      </c>
      <c r="B5" s="130"/>
      <c r="C5" s="131">
        <f t="shared" si="0"/>
        <v>0</v>
      </c>
      <c r="D5" s="132" t="e">
        <f>VLOOKUP(A5,'APONTAMENTO CREDENCIAMENTO'!$D$6:$P$2821,12,0)</f>
        <v>#N/A</v>
      </c>
      <c r="E5" s="133"/>
      <c r="F5" s="134">
        <f>SUMIF('APONTAMENTO CREDENCIAMENTO'!$D$6:$D$2821,'ATESTE-LIQ'!A5,'APONTAMENTO CREDENCIAMENTO'!$FF$6:$FF$2821)</f>
        <v>0</v>
      </c>
      <c r="G5" s="328" t="e">
        <f>VLOOKUP(A5,'APONTAMENTO CREDENCIAMENTO'!$D$6:$G$2821,3,0)</f>
        <v>#N/A</v>
      </c>
      <c r="H5" s="328" t="e">
        <f>VLOOKUP(A5,'APONTAMENTO CREDENCIAMENTO'!$D$6:$G$2821,4,0)</f>
        <v>#N/A</v>
      </c>
      <c r="I5" s="135" t="str">
        <f t="shared" si="1"/>
        <v>PE - Pagto. Doc(s):  - Contrato nº 2022/0026745</v>
      </c>
      <c r="J5" s="136">
        <f t="shared" si="2"/>
        <v>0</v>
      </c>
      <c r="K5" s="136">
        <v>0</v>
      </c>
      <c r="L5" s="137" t="e">
        <f>VLOOKUP(A5,'APONTAMENTO CREDENCIAMENTO'!$D$6:$P$2821,5,0)</f>
        <v>#N/A</v>
      </c>
      <c r="M5" s="138"/>
      <c r="N5" s="139"/>
      <c r="O5" s="140"/>
      <c r="P5" s="141"/>
      <c r="Q5" s="141"/>
      <c r="R5" s="141"/>
      <c r="S5" s="142"/>
      <c r="T5" s="143" t="e">
        <f t="shared" si="3"/>
        <v>#N/A</v>
      </c>
      <c r="U5" s="144">
        <f t="shared" si="4"/>
        <v>0</v>
      </c>
      <c r="V5" s="145">
        <f t="shared" si="5"/>
        <v>0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2022/0026745 - DRE - FB</v>
      </c>
      <c r="AB5" s="238" t="e">
        <f t="shared" si="6"/>
        <v>#N/A</v>
      </c>
      <c r="AC5" s="239"/>
      <c r="AD5" s="240"/>
      <c r="AE5" s="242"/>
      <c r="AF5" s="102"/>
    </row>
    <row r="6" spans="1:32" s="57" customFormat="1" ht="20.100000000000001" customHeight="1" x14ac:dyDescent="0.25">
      <c r="A6" s="653" t="s">
        <v>3409</v>
      </c>
      <c r="B6" s="130"/>
      <c r="C6" s="131">
        <f t="shared" si="0"/>
        <v>0</v>
      </c>
      <c r="D6" s="132" t="e">
        <f>VLOOKUP(A6,'APONTAMENTO CREDENCIAMENTO'!$D$6:$P$2821,12,0)</f>
        <v>#N/A</v>
      </c>
      <c r="E6" s="133"/>
      <c r="F6" s="134">
        <f>SUMIF('APONTAMENTO CREDENCIAMENTO'!$D$6:$D$2821,'ATESTE-LIQ'!A6,'APONTAMENTO CREDENCIAMENTO'!$FF$6:$FF$2821)</f>
        <v>0</v>
      </c>
      <c r="G6" s="328" t="e">
        <f>VLOOKUP(A6,'APONTAMENTO CREDENCIAMENTO'!$D$6:$G$2821,3,0)</f>
        <v>#N/A</v>
      </c>
      <c r="H6" s="328" t="e">
        <f>VLOOKUP(A6,'APONTAMENTO CREDENCIAMENTO'!$D$6:$G$2821,4,0)</f>
        <v>#N/A</v>
      </c>
      <c r="I6" s="135" t="str">
        <f t="shared" si="1"/>
        <v>PE - Pagto. Doc(s):  - Contrato nº 2022/0026751</v>
      </c>
      <c r="J6" s="136">
        <f t="shared" si="2"/>
        <v>0</v>
      </c>
      <c r="K6" s="136">
        <v>0</v>
      </c>
      <c r="L6" s="137" t="e">
        <f>VLOOKUP(A6,'APONTAMENTO CREDENCIAMENTO'!$D$6:$P$2821,5,0)</f>
        <v>#N/A</v>
      </c>
      <c r="M6" s="138"/>
      <c r="N6" s="139"/>
      <c r="O6" s="140"/>
      <c r="P6" s="141"/>
      <c r="Q6" s="141"/>
      <c r="R6" s="141"/>
      <c r="S6" s="142"/>
      <c r="T6" s="143" t="e">
        <f t="shared" si="3"/>
        <v>#N/A</v>
      </c>
      <c r="U6" s="144">
        <f t="shared" si="4"/>
        <v>0</v>
      </c>
      <c r="V6" s="145">
        <f t="shared" si="5"/>
        <v>0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2022/0026751 - DRE - FB</v>
      </c>
      <c r="AB6" s="238" t="e">
        <f t="shared" si="6"/>
        <v>#N/A</v>
      </c>
      <c r="AC6" s="239"/>
      <c r="AD6" s="240"/>
      <c r="AE6" s="242"/>
      <c r="AF6" s="102"/>
    </row>
    <row r="7" spans="1:32" s="57" customFormat="1" ht="20.100000000000001" customHeight="1" x14ac:dyDescent="0.25">
      <c r="A7" s="653" t="s">
        <v>3374</v>
      </c>
      <c r="B7" s="130"/>
      <c r="C7" s="131">
        <f t="shared" si="0"/>
        <v>0</v>
      </c>
      <c r="D7" s="132" t="e">
        <f>VLOOKUP(A7,'APONTAMENTO CREDENCIAMENTO'!$D$6:$P$2821,12,0)</f>
        <v>#N/A</v>
      </c>
      <c r="E7" s="133"/>
      <c r="F7" s="134">
        <f>SUMIF('APONTAMENTO CREDENCIAMENTO'!$D$6:$D$2821,'ATESTE-LIQ'!A7,'APONTAMENTO CREDENCIAMENTO'!$FF$6:$FF$2821)</f>
        <v>0</v>
      </c>
      <c r="G7" s="328" t="e">
        <f>VLOOKUP(A7,'APONTAMENTO CREDENCIAMENTO'!$D$6:$G$2821,3,0)</f>
        <v>#N/A</v>
      </c>
      <c r="H7" s="328" t="e">
        <f>VLOOKUP(A7,'APONTAMENTO CREDENCIAMENTO'!$D$6:$G$2821,4,0)</f>
        <v>#N/A</v>
      </c>
      <c r="I7" s="135" t="str">
        <f t="shared" si="1"/>
        <v>PE - Pagto. Doc(s):  - Contrato nº 2022/0026934</v>
      </c>
      <c r="J7" s="136">
        <f t="shared" si="2"/>
        <v>0</v>
      </c>
      <c r="K7" s="136">
        <v>0</v>
      </c>
      <c r="L7" s="137" t="e">
        <f>VLOOKUP(A7,'APONTAMENTO CREDENCIAMENTO'!$D$6:$P$2821,5,0)</f>
        <v>#N/A</v>
      </c>
      <c r="M7" s="138"/>
      <c r="N7" s="139"/>
      <c r="O7" s="140"/>
      <c r="P7" s="141"/>
      <c r="Q7" s="141"/>
      <c r="R7" s="141"/>
      <c r="S7" s="142"/>
      <c r="T7" s="143" t="e">
        <f t="shared" si="3"/>
        <v>#N/A</v>
      </c>
      <c r="U7" s="144">
        <f t="shared" si="4"/>
        <v>0</v>
      </c>
      <c r="V7" s="145">
        <f t="shared" si="5"/>
        <v>0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2022/0026934 - DRE - FB</v>
      </c>
      <c r="AB7" s="238" t="e">
        <f t="shared" si="6"/>
        <v>#N/A</v>
      </c>
      <c r="AC7" s="239"/>
      <c r="AD7" s="240"/>
      <c r="AE7" s="242"/>
      <c r="AF7" s="102"/>
    </row>
    <row r="8" spans="1:32" s="57" customFormat="1" ht="20.100000000000001" customHeight="1" x14ac:dyDescent="0.25">
      <c r="A8" s="653" t="s">
        <v>3277</v>
      </c>
      <c r="B8" s="130"/>
      <c r="C8" s="131">
        <f t="shared" si="0"/>
        <v>0</v>
      </c>
      <c r="D8" s="132" t="e">
        <f>VLOOKUP(A8,'APONTAMENTO CREDENCIAMENTO'!$D$6:$P$2821,12,0)</f>
        <v>#N/A</v>
      </c>
      <c r="E8" s="133"/>
      <c r="F8" s="134">
        <f>SUMIF('APONTAMENTO CREDENCIAMENTO'!$D$6:$D$2821,'ATESTE-LIQ'!A8,'APONTAMENTO CREDENCIAMENTO'!$FF$6:$FF$2821)</f>
        <v>0</v>
      </c>
      <c r="G8" s="328" t="e">
        <f>VLOOKUP(A8,'APONTAMENTO CREDENCIAMENTO'!$D$6:$G$2821,3,0)</f>
        <v>#N/A</v>
      </c>
      <c r="H8" s="328" t="e">
        <f>VLOOKUP(A8,'APONTAMENTO CREDENCIAMENTO'!$D$6:$G$2821,4,0)</f>
        <v>#N/A</v>
      </c>
      <c r="I8" s="135" t="str">
        <f t="shared" si="1"/>
        <v>PE - Pagto. Doc(s):  - Contrato nº 2022/0027035</v>
      </c>
      <c r="J8" s="136">
        <f t="shared" si="2"/>
        <v>0</v>
      </c>
      <c r="K8" s="136">
        <v>0</v>
      </c>
      <c r="L8" s="137" t="e">
        <f>VLOOKUP(A8,'APONTAMENTO CREDENCIAMENTO'!$D$6:$P$2821,5,0)</f>
        <v>#N/A</v>
      </c>
      <c r="M8" s="138"/>
      <c r="N8" s="139"/>
      <c r="O8" s="140"/>
      <c r="P8" s="141"/>
      <c r="Q8" s="141"/>
      <c r="R8" s="141"/>
      <c r="S8" s="142"/>
      <c r="T8" s="143" t="e">
        <f t="shared" si="3"/>
        <v>#N/A</v>
      </c>
      <c r="U8" s="144">
        <f t="shared" si="4"/>
        <v>0</v>
      </c>
      <c r="V8" s="145">
        <f t="shared" si="5"/>
        <v>0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2022/0027035 - DRE - FB</v>
      </c>
      <c r="AB8" s="238" t="e">
        <f t="shared" si="6"/>
        <v>#N/A</v>
      </c>
      <c r="AC8" s="239"/>
      <c r="AD8" s="240"/>
      <c r="AE8" s="242"/>
      <c r="AF8" s="102"/>
    </row>
    <row r="9" spans="1:32" s="57" customFormat="1" ht="20.100000000000001" customHeight="1" x14ac:dyDescent="0.25">
      <c r="A9" s="653" t="s">
        <v>3466</v>
      </c>
      <c r="B9" s="130"/>
      <c r="C9" s="131">
        <f t="shared" si="0"/>
        <v>0</v>
      </c>
      <c r="D9" s="132" t="e">
        <f>VLOOKUP(A9,'APONTAMENTO CREDENCIAMENTO'!$D$6:$P$2821,12,0)</f>
        <v>#N/A</v>
      </c>
      <c r="E9" s="133"/>
      <c r="F9" s="134">
        <f>SUMIF('APONTAMENTO CREDENCIAMENTO'!$D$6:$D$2821,'ATESTE-LIQ'!A9,'APONTAMENTO CREDENCIAMENTO'!$FF$6:$FF$2821)</f>
        <v>0</v>
      </c>
      <c r="G9" s="328" t="e">
        <f>VLOOKUP(A9,'APONTAMENTO CREDENCIAMENTO'!$D$6:$G$2821,3,0)</f>
        <v>#N/A</v>
      </c>
      <c r="H9" s="328" t="e">
        <f>VLOOKUP(A9,'APONTAMENTO CREDENCIAMENTO'!$D$6:$G$2821,4,0)</f>
        <v>#N/A</v>
      </c>
      <c r="I9" s="135" t="str">
        <f t="shared" si="1"/>
        <v>PE - Pagto. Doc(s):  - Contrato nº 2022/0027240</v>
      </c>
      <c r="J9" s="136">
        <f t="shared" si="2"/>
        <v>0</v>
      </c>
      <c r="K9" s="136">
        <v>0</v>
      </c>
      <c r="L9" s="137" t="e">
        <f>VLOOKUP(A9,'APONTAMENTO CREDENCIAMENTO'!$D$6:$P$2821,5,0)</f>
        <v>#N/A</v>
      </c>
      <c r="M9" s="138"/>
      <c r="N9" s="139"/>
      <c r="O9" s="140"/>
      <c r="P9" s="141"/>
      <c r="Q9" s="141"/>
      <c r="R9" s="141"/>
      <c r="S9" s="142"/>
      <c r="T9" s="143" t="e">
        <f t="shared" si="3"/>
        <v>#N/A</v>
      </c>
      <c r="U9" s="144">
        <f t="shared" si="4"/>
        <v>0</v>
      </c>
      <c r="V9" s="145">
        <f t="shared" si="5"/>
        <v>0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2022/0027240 - DRE - FB</v>
      </c>
      <c r="AB9" s="238" t="e">
        <f t="shared" si="6"/>
        <v>#N/A</v>
      </c>
      <c r="AC9" s="239"/>
      <c r="AD9" s="240"/>
      <c r="AE9" s="242"/>
      <c r="AF9" s="102"/>
    </row>
    <row r="10" spans="1:32" s="57" customFormat="1" ht="20.100000000000001" customHeight="1" x14ac:dyDescent="0.25">
      <c r="A10" s="653" t="s">
        <v>3482</v>
      </c>
      <c r="B10" s="130"/>
      <c r="C10" s="131">
        <f t="shared" si="0"/>
        <v>0</v>
      </c>
      <c r="D10" s="132" t="e">
        <f>VLOOKUP(A10,'APONTAMENTO CREDENCIAMENTO'!$D$6:$P$2821,12,0)</f>
        <v>#N/A</v>
      </c>
      <c r="E10" s="133"/>
      <c r="F10" s="134">
        <f>SUMIF('APONTAMENTO CREDENCIAMENTO'!$D$6:$D$2821,'ATESTE-LIQ'!A10,'APONTAMENTO CREDENCIAMENTO'!$FF$6:$FF$2821)</f>
        <v>0</v>
      </c>
      <c r="G10" s="328" t="e">
        <f>VLOOKUP(A10,'APONTAMENTO CREDENCIAMENTO'!$D$6:$G$2821,3,0)</f>
        <v>#N/A</v>
      </c>
      <c r="H10" s="328" t="e">
        <f>VLOOKUP(A10,'APONTAMENTO CREDENCIAMENTO'!$D$6:$G$2821,4,0)</f>
        <v>#N/A</v>
      </c>
      <c r="I10" s="135" t="str">
        <f t="shared" si="1"/>
        <v>PE - Pagto. Doc(s):  - Contrato nº 2022/0027740</v>
      </c>
      <c r="J10" s="136">
        <f t="shared" si="2"/>
        <v>0</v>
      </c>
      <c r="K10" s="136">
        <v>0</v>
      </c>
      <c r="L10" s="137" t="e">
        <f>VLOOKUP(A10,'APONTAMENTO CREDENCIAMENTO'!$D$6:$P$2821,5,0)</f>
        <v>#N/A</v>
      </c>
      <c r="M10" s="138"/>
      <c r="N10" s="139"/>
      <c r="O10" s="140"/>
      <c r="P10" s="141"/>
      <c r="Q10" s="141"/>
      <c r="R10" s="141"/>
      <c r="S10" s="142"/>
      <c r="T10" s="143" t="e">
        <f t="shared" si="3"/>
        <v>#N/A</v>
      </c>
      <c r="U10" s="144">
        <f t="shared" si="4"/>
        <v>0</v>
      </c>
      <c r="V10" s="145">
        <f t="shared" si="5"/>
        <v>0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2022/0027740 - DRE - FB</v>
      </c>
      <c r="AB10" s="238" t="e">
        <f t="shared" si="6"/>
        <v>#N/A</v>
      </c>
      <c r="AC10" s="239"/>
      <c r="AD10" s="240"/>
      <c r="AE10" s="242"/>
      <c r="AF10" s="102"/>
    </row>
    <row r="11" spans="1:32" s="57" customFormat="1" ht="20.100000000000001" customHeight="1" x14ac:dyDescent="0.25">
      <c r="A11" s="653" t="s">
        <v>3456</v>
      </c>
      <c r="B11" s="130"/>
      <c r="C11" s="131">
        <f t="shared" si="0"/>
        <v>0</v>
      </c>
      <c r="D11" s="132" t="e">
        <f>VLOOKUP(A11,'APONTAMENTO CREDENCIAMENTO'!$D$6:$P$2821,12,0)</f>
        <v>#N/A</v>
      </c>
      <c r="E11" s="133"/>
      <c r="F11" s="134">
        <f>SUMIF('APONTAMENTO CREDENCIAMENTO'!$D$6:$D$2821,'ATESTE-LIQ'!A11,'APONTAMENTO CREDENCIAMENTO'!$FF$6:$FF$2821)</f>
        <v>0</v>
      </c>
      <c r="G11" s="328" t="e">
        <f>VLOOKUP(A11,'APONTAMENTO CREDENCIAMENTO'!$D$6:$G$2821,3,0)</f>
        <v>#N/A</v>
      </c>
      <c r="H11" s="328" t="e">
        <f>VLOOKUP(A11,'APONTAMENTO CREDENCIAMENTO'!$D$6:$G$2821,4,0)</f>
        <v>#N/A</v>
      </c>
      <c r="I11" s="135" t="str">
        <f t="shared" si="1"/>
        <v>PE - Pagto. Doc(s):  - Contrato nº 2022/0027919</v>
      </c>
      <c r="J11" s="136">
        <f t="shared" si="2"/>
        <v>0</v>
      </c>
      <c r="K11" s="136">
        <v>0</v>
      </c>
      <c r="L11" s="137" t="e">
        <f>VLOOKUP(A11,'APONTAMENTO CREDENCIAMENTO'!$D$6:$P$2821,5,0)</f>
        <v>#N/A</v>
      </c>
      <c r="M11" s="138"/>
      <c r="N11" s="139"/>
      <c r="O11" s="140"/>
      <c r="P11" s="141"/>
      <c r="Q11" s="141"/>
      <c r="R11" s="141"/>
      <c r="S11" s="142"/>
      <c r="T11" s="143" t="e">
        <f t="shared" si="3"/>
        <v>#N/A</v>
      </c>
      <c r="U11" s="144">
        <f t="shared" si="4"/>
        <v>0</v>
      </c>
      <c r="V11" s="145">
        <f t="shared" si="5"/>
        <v>0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2022/0027919 - DRE - FB</v>
      </c>
      <c r="AB11" s="238" t="e">
        <f t="shared" si="6"/>
        <v>#N/A</v>
      </c>
      <c r="AC11" s="239"/>
      <c r="AD11" s="240"/>
      <c r="AE11" s="242"/>
      <c r="AF11" s="102"/>
    </row>
    <row r="12" spans="1:32" s="57" customFormat="1" ht="20.100000000000001" customHeight="1" x14ac:dyDescent="0.25">
      <c r="A12" s="653" t="s">
        <v>3381</v>
      </c>
      <c r="B12" s="130"/>
      <c r="C12" s="131">
        <f t="shared" si="0"/>
        <v>0</v>
      </c>
      <c r="D12" s="132" t="e">
        <f>VLOOKUP(A12,'APONTAMENTO CREDENCIAMENTO'!$D$6:$P$2821,12,0)</f>
        <v>#N/A</v>
      </c>
      <c r="E12" s="133"/>
      <c r="F12" s="134">
        <f>SUMIF('APONTAMENTO CREDENCIAMENTO'!$D$6:$D$2821,'ATESTE-LIQ'!A12,'APONTAMENTO CREDENCIAMENTO'!$FF$6:$FF$2821)</f>
        <v>0</v>
      </c>
      <c r="G12" s="328" t="e">
        <f>VLOOKUP(A12,'APONTAMENTO CREDENCIAMENTO'!$D$6:$G$2821,3,0)</f>
        <v>#N/A</v>
      </c>
      <c r="H12" s="328" t="e">
        <f>VLOOKUP(A12,'APONTAMENTO CREDENCIAMENTO'!$D$6:$G$2821,4,0)</f>
        <v>#N/A</v>
      </c>
      <c r="I12" s="135" t="str">
        <f t="shared" si="1"/>
        <v>PE - Pagto. Doc(s):  - Contrato nº 2022/0028862</v>
      </c>
      <c r="J12" s="136">
        <f t="shared" si="2"/>
        <v>0</v>
      </c>
      <c r="K12" s="136">
        <v>0</v>
      </c>
      <c r="L12" s="137" t="e">
        <f>VLOOKUP(A12,'APONTAMENTO CREDENCIAMENTO'!$D$6:$P$2821,5,0)</f>
        <v>#N/A</v>
      </c>
      <c r="M12" s="138"/>
      <c r="N12" s="139"/>
      <c r="O12" s="140"/>
      <c r="P12" s="141"/>
      <c r="Q12" s="141"/>
      <c r="R12" s="141"/>
      <c r="S12" s="142"/>
      <c r="T12" s="143" t="e">
        <f t="shared" si="3"/>
        <v>#N/A</v>
      </c>
      <c r="U12" s="144">
        <f t="shared" si="4"/>
        <v>0</v>
      </c>
      <c r="V12" s="145">
        <f t="shared" si="5"/>
        <v>0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2022/0028862 - DRE - FB</v>
      </c>
      <c r="AB12" s="238" t="e">
        <f t="shared" si="6"/>
        <v>#N/A</v>
      </c>
      <c r="AC12" s="239"/>
      <c r="AD12" s="240"/>
      <c r="AE12" s="242"/>
      <c r="AF12" s="102"/>
    </row>
    <row r="13" spans="1:32" s="57" customFormat="1" ht="20.100000000000001" customHeight="1" x14ac:dyDescent="0.25">
      <c r="A13" s="653" t="s">
        <v>3460</v>
      </c>
      <c r="B13" s="130"/>
      <c r="C13" s="131">
        <f t="shared" si="0"/>
        <v>0</v>
      </c>
      <c r="D13" s="132" t="e">
        <f>VLOOKUP(A13,'APONTAMENTO CREDENCIAMENTO'!$D$6:$P$2821,12,0)</f>
        <v>#N/A</v>
      </c>
      <c r="E13" s="133"/>
      <c r="F13" s="134">
        <f>SUMIF('APONTAMENTO CREDENCIAMENTO'!$D$6:$D$2821,'ATESTE-LIQ'!A13,'APONTAMENTO CREDENCIAMENTO'!$FF$6:$FF$2821)</f>
        <v>0</v>
      </c>
      <c r="G13" s="328" t="e">
        <f>VLOOKUP(A13,'APONTAMENTO CREDENCIAMENTO'!$D$6:$G$2821,3,0)</f>
        <v>#N/A</v>
      </c>
      <c r="H13" s="328" t="e">
        <f>VLOOKUP(A13,'APONTAMENTO CREDENCIAMENTO'!$D$6:$G$2821,4,0)</f>
        <v>#N/A</v>
      </c>
      <c r="I13" s="135" t="str">
        <f t="shared" si="1"/>
        <v>PE - Pagto. Doc(s):  - Contrato nº 2022/0028892</v>
      </c>
      <c r="J13" s="136">
        <f t="shared" si="2"/>
        <v>0</v>
      </c>
      <c r="K13" s="136">
        <v>0</v>
      </c>
      <c r="L13" s="137" t="e">
        <f>VLOOKUP(A13,'APONTAMENTO CREDENCIAMENTO'!$D$6:$P$2821,5,0)</f>
        <v>#N/A</v>
      </c>
      <c r="M13" s="138"/>
      <c r="N13" s="139"/>
      <c r="O13" s="140"/>
      <c r="P13" s="141"/>
      <c r="Q13" s="141"/>
      <c r="R13" s="141"/>
      <c r="S13" s="142"/>
      <c r="T13" s="143" t="e">
        <f t="shared" si="3"/>
        <v>#N/A</v>
      </c>
      <c r="U13" s="144">
        <f t="shared" si="4"/>
        <v>0</v>
      </c>
      <c r="V13" s="145">
        <f t="shared" si="5"/>
        <v>0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2022/0028892 - DRE - FB</v>
      </c>
      <c r="AB13" s="238" t="e">
        <f t="shared" si="6"/>
        <v>#N/A</v>
      </c>
      <c r="AC13" s="239"/>
      <c r="AD13" s="240"/>
      <c r="AE13" s="242"/>
      <c r="AF13" s="102"/>
    </row>
    <row r="14" spans="1:32" s="57" customFormat="1" ht="20.100000000000001" customHeight="1" x14ac:dyDescent="0.25">
      <c r="A14" s="653" t="s">
        <v>3426</v>
      </c>
      <c r="B14" s="130"/>
      <c r="C14" s="131">
        <f t="shared" si="0"/>
        <v>0</v>
      </c>
      <c r="D14" s="132" t="e">
        <f>VLOOKUP(A14,'APONTAMENTO CREDENCIAMENTO'!$D$6:$P$2821,12,0)</f>
        <v>#N/A</v>
      </c>
      <c r="E14" s="133"/>
      <c r="F14" s="134">
        <f>SUMIF('APONTAMENTO CREDENCIAMENTO'!$D$6:$D$2821,'ATESTE-LIQ'!A14,'APONTAMENTO CREDENCIAMENTO'!$FF$6:$FF$2821)</f>
        <v>0</v>
      </c>
      <c r="G14" s="328" t="e">
        <f>VLOOKUP(A14,'APONTAMENTO CREDENCIAMENTO'!$D$6:$G$2821,3,0)</f>
        <v>#N/A</v>
      </c>
      <c r="H14" s="328" t="e">
        <f>VLOOKUP(A14,'APONTAMENTO CREDENCIAMENTO'!$D$6:$G$2821,4,0)</f>
        <v>#N/A</v>
      </c>
      <c r="I14" s="135" t="str">
        <f t="shared" si="1"/>
        <v>PE - Pagto. Doc(s):  - Contrato nº 2022/0029297</v>
      </c>
      <c r="J14" s="136">
        <f t="shared" si="2"/>
        <v>0</v>
      </c>
      <c r="K14" s="136">
        <v>0</v>
      </c>
      <c r="L14" s="137" t="e">
        <f>VLOOKUP(A14,'APONTAMENTO CREDENCIAMENTO'!$D$6:$P$2821,5,0)</f>
        <v>#N/A</v>
      </c>
      <c r="M14" s="138"/>
      <c r="N14" s="139"/>
      <c r="O14" s="140"/>
      <c r="P14" s="141"/>
      <c r="Q14" s="141"/>
      <c r="R14" s="141"/>
      <c r="S14" s="142"/>
      <c r="T14" s="143" t="e">
        <f t="shared" si="3"/>
        <v>#N/A</v>
      </c>
      <c r="U14" s="144">
        <f t="shared" si="4"/>
        <v>0</v>
      </c>
      <c r="V14" s="145">
        <f t="shared" si="5"/>
        <v>0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2022/0029297 - DRE - FB</v>
      </c>
      <c r="AB14" s="238" t="e">
        <f t="shared" si="6"/>
        <v>#N/A</v>
      </c>
      <c r="AC14" s="239"/>
      <c r="AD14" s="240"/>
      <c r="AE14" s="242"/>
      <c r="AF14" s="102"/>
    </row>
    <row r="15" spans="1:32" s="57" customFormat="1" ht="20.100000000000001" customHeight="1" x14ac:dyDescent="0.25">
      <c r="A15" s="653" t="s">
        <v>3403</v>
      </c>
      <c r="B15" s="130"/>
      <c r="C15" s="131">
        <f t="shared" si="0"/>
        <v>0</v>
      </c>
      <c r="D15" s="132" t="e">
        <f>VLOOKUP(A15,'APONTAMENTO CREDENCIAMENTO'!$D$6:$P$2821,12,0)</f>
        <v>#N/A</v>
      </c>
      <c r="E15" s="133"/>
      <c r="F15" s="134">
        <f>SUMIF('APONTAMENTO CREDENCIAMENTO'!$D$6:$D$2821,'ATESTE-LIQ'!A15,'APONTAMENTO CREDENCIAMENTO'!$FF$6:$FF$2821)</f>
        <v>0</v>
      </c>
      <c r="G15" s="328" t="e">
        <f>VLOOKUP(A15,'APONTAMENTO CREDENCIAMENTO'!$D$6:$G$2821,3,0)</f>
        <v>#N/A</v>
      </c>
      <c r="H15" s="328" t="e">
        <f>VLOOKUP(A15,'APONTAMENTO CREDENCIAMENTO'!$D$6:$G$2821,4,0)</f>
        <v>#N/A</v>
      </c>
      <c r="I15" s="135" t="str">
        <f t="shared" si="1"/>
        <v>PE - Pagto. Doc(s):  - Contrato nº 2022/0029796</v>
      </c>
      <c r="J15" s="136">
        <f t="shared" si="2"/>
        <v>0</v>
      </c>
      <c r="K15" s="136">
        <v>0</v>
      </c>
      <c r="L15" s="137" t="e">
        <f>VLOOKUP(A15,'APONTAMENTO CREDENCIAMENTO'!$D$6:$P$2821,5,0)</f>
        <v>#N/A</v>
      </c>
      <c r="M15" s="138"/>
      <c r="N15" s="139"/>
      <c r="O15" s="140"/>
      <c r="P15" s="141"/>
      <c r="Q15" s="141"/>
      <c r="R15" s="141"/>
      <c r="S15" s="142"/>
      <c r="T15" s="143" t="e">
        <f t="shared" si="3"/>
        <v>#N/A</v>
      </c>
      <c r="U15" s="144">
        <f t="shared" si="4"/>
        <v>0</v>
      </c>
      <c r="V15" s="145">
        <f t="shared" si="5"/>
        <v>0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2022/0029796 - DRE - FB</v>
      </c>
      <c r="AB15" s="238" t="e">
        <f t="shared" si="6"/>
        <v>#N/A</v>
      </c>
      <c r="AC15" s="239"/>
      <c r="AD15" s="240"/>
      <c r="AE15" s="242"/>
      <c r="AF15" s="102"/>
    </row>
    <row r="16" spans="1:32" s="57" customFormat="1" ht="20.100000000000001" customHeight="1" x14ac:dyDescent="0.25">
      <c r="A16" s="653" t="s">
        <v>3401</v>
      </c>
      <c r="B16" s="130"/>
      <c r="C16" s="131">
        <f t="shared" si="0"/>
        <v>0</v>
      </c>
      <c r="D16" s="132" t="e">
        <f>VLOOKUP(A16,'APONTAMENTO CREDENCIAMENTO'!$D$6:$P$2821,12,0)</f>
        <v>#N/A</v>
      </c>
      <c r="E16" s="133"/>
      <c r="F16" s="134">
        <f>SUMIF('APONTAMENTO CREDENCIAMENTO'!$D$6:$D$2821,'ATESTE-LIQ'!A16,'APONTAMENTO CREDENCIAMENTO'!$FF$6:$FF$2821)</f>
        <v>0</v>
      </c>
      <c r="G16" s="328" t="e">
        <f>VLOOKUP(A16,'APONTAMENTO CREDENCIAMENTO'!$D$6:$G$2821,3,0)</f>
        <v>#N/A</v>
      </c>
      <c r="H16" s="328" t="e">
        <f>VLOOKUP(A16,'APONTAMENTO CREDENCIAMENTO'!$D$6:$G$2821,4,0)</f>
        <v>#N/A</v>
      </c>
      <c r="I16" s="135" t="str">
        <f t="shared" si="1"/>
        <v>PE - Pagto. Doc(s):  - Contrato nº 2022/0029808</v>
      </c>
      <c r="J16" s="136">
        <f t="shared" si="2"/>
        <v>0</v>
      </c>
      <c r="K16" s="136">
        <v>0</v>
      </c>
      <c r="L16" s="137" t="e">
        <f>VLOOKUP(A16,'APONTAMENTO CREDENCIAMENTO'!$D$6:$P$2821,5,0)</f>
        <v>#N/A</v>
      </c>
      <c r="M16" s="138"/>
      <c r="N16" s="139"/>
      <c r="O16" s="140"/>
      <c r="P16" s="141"/>
      <c r="Q16" s="141"/>
      <c r="R16" s="141"/>
      <c r="S16" s="142"/>
      <c r="T16" s="143" t="e">
        <f t="shared" si="3"/>
        <v>#N/A</v>
      </c>
      <c r="U16" s="144">
        <f t="shared" si="4"/>
        <v>0</v>
      </c>
      <c r="V16" s="145">
        <f t="shared" si="5"/>
        <v>0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2022/0029808 - DRE - FB</v>
      </c>
      <c r="AB16" s="238" t="e">
        <f t="shared" si="6"/>
        <v>#N/A</v>
      </c>
      <c r="AC16" s="239"/>
      <c r="AD16" s="240"/>
      <c r="AE16" s="242"/>
      <c r="AF16" s="102"/>
    </row>
    <row r="17" spans="1:32" s="57" customFormat="1" ht="20.100000000000001" customHeight="1" x14ac:dyDescent="0.25">
      <c r="A17" s="653" t="s">
        <v>3405</v>
      </c>
      <c r="B17" s="130"/>
      <c r="C17" s="131">
        <f t="shared" si="0"/>
        <v>0</v>
      </c>
      <c r="D17" s="132" t="e">
        <f>VLOOKUP(A17,'APONTAMENTO CREDENCIAMENTO'!$D$6:$P$2821,12,0)</f>
        <v>#N/A</v>
      </c>
      <c r="E17" s="133"/>
      <c r="F17" s="134">
        <f>SUMIF('APONTAMENTO CREDENCIAMENTO'!$D$6:$D$2821,'ATESTE-LIQ'!A17,'APONTAMENTO CREDENCIAMENTO'!$FF$6:$FF$2821)</f>
        <v>0</v>
      </c>
      <c r="G17" s="328" t="e">
        <f>VLOOKUP(A17,'APONTAMENTO CREDENCIAMENTO'!$D$6:$G$2821,3,0)</f>
        <v>#N/A</v>
      </c>
      <c r="H17" s="328" t="e">
        <f>VLOOKUP(A17,'APONTAMENTO CREDENCIAMENTO'!$D$6:$G$2821,4,0)</f>
        <v>#N/A</v>
      </c>
      <c r="I17" s="135" t="str">
        <f t="shared" si="1"/>
        <v>PE - Pagto. Doc(s):  - Contrato nº 2022/0030018</v>
      </c>
      <c r="J17" s="136">
        <f t="shared" si="2"/>
        <v>0</v>
      </c>
      <c r="K17" s="136">
        <v>0</v>
      </c>
      <c r="L17" s="137" t="e">
        <f>VLOOKUP(A17,'APONTAMENTO CREDENCIAMENTO'!$D$6:$P$2821,5,0)</f>
        <v>#N/A</v>
      </c>
      <c r="M17" s="138"/>
      <c r="N17" s="139"/>
      <c r="O17" s="140"/>
      <c r="P17" s="141"/>
      <c r="Q17" s="141"/>
      <c r="R17" s="141"/>
      <c r="S17" s="142"/>
      <c r="T17" s="143" t="e">
        <f t="shared" si="3"/>
        <v>#N/A</v>
      </c>
      <c r="U17" s="144">
        <f t="shared" si="4"/>
        <v>0</v>
      </c>
      <c r="V17" s="145">
        <f t="shared" si="5"/>
        <v>0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2022/0030018 - DRE - FB</v>
      </c>
      <c r="AB17" s="238" t="e">
        <f t="shared" si="6"/>
        <v>#N/A</v>
      </c>
      <c r="AC17" s="239"/>
      <c r="AD17" s="240"/>
      <c r="AE17" s="242"/>
      <c r="AF17" s="102"/>
    </row>
    <row r="18" spans="1:32" s="57" customFormat="1" ht="20.100000000000001" customHeight="1" x14ac:dyDescent="0.25">
      <c r="A18" s="653" t="s">
        <v>3430</v>
      </c>
      <c r="B18" s="130"/>
      <c r="C18" s="131">
        <f t="shared" si="0"/>
        <v>0</v>
      </c>
      <c r="D18" s="132" t="e">
        <f>VLOOKUP(A18,'APONTAMENTO CREDENCIAMENTO'!$D$6:$P$2821,12,0)</f>
        <v>#N/A</v>
      </c>
      <c r="E18" s="133"/>
      <c r="F18" s="134">
        <f>SUMIF('APONTAMENTO CREDENCIAMENTO'!$D$6:$D$2821,'ATESTE-LIQ'!A18,'APONTAMENTO CREDENCIAMENTO'!$FF$6:$FF$2821)</f>
        <v>0</v>
      </c>
      <c r="G18" s="328" t="e">
        <f>VLOOKUP(A18,'APONTAMENTO CREDENCIAMENTO'!$D$6:$G$2821,3,0)</f>
        <v>#N/A</v>
      </c>
      <c r="H18" s="328" t="e">
        <f>VLOOKUP(A18,'APONTAMENTO CREDENCIAMENTO'!$D$6:$G$2821,4,0)</f>
        <v>#N/A</v>
      </c>
      <c r="I18" s="135" t="str">
        <f t="shared" si="1"/>
        <v>PE - Pagto. Doc(s):  - Contrato nº 2022/0030164</v>
      </c>
      <c r="J18" s="136">
        <f t="shared" si="2"/>
        <v>0</v>
      </c>
      <c r="K18" s="136">
        <v>0</v>
      </c>
      <c r="L18" s="137" t="e">
        <f>VLOOKUP(A18,'APONTAMENTO CREDENCIAMENTO'!$D$6:$P$2821,5,0)</f>
        <v>#N/A</v>
      </c>
      <c r="M18" s="138"/>
      <c r="N18" s="139"/>
      <c r="O18" s="140"/>
      <c r="P18" s="141"/>
      <c r="Q18" s="141"/>
      <c r="R18" s="141"/>
      <c r="S18" s="142"/>
      <c r="T18" s="143" t="e">
        <f t="shared" si="3"/>
        <v>#N/A</v>
      </c>
      <c r="U18" s="144">
        <f t="shared" si="4"/>
        <v>0</v>
      </c>
      <c r="V18" s="145">
        <f t="shared" si="5"/>
        <v>0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2022/0030164 - DRE - FB</v>
      </c>
      <c r="AB18" s="238" t="e">
        <f t="shared" si="6"/>
        <v>#N/A</v>
      </c>
      <c r="AC18" s="239"/>
      <c r="AD18" s="240"/>
      <c r="AE18" s="242"/>
      <c r="AF18" s="102"/>
    </row>
    <row r="19" spans="1:32" s="57" customFormat="1" ht="20.100000000000001" customHeight="1" x14ac:dyDescent="0.25">
      <c r="A19" s="653" t="s">
        <v>3265</v>
      </c>
      <c r="B19" s="130"/>
      <c r="C19" s="131">
        <f t="shared" si="0"/>
        <v>0</v>
      </c>
      <c r="D19" s="132" t="e">
        <f>VLOOKUP(A19,'APONTAMENTO CREDENCIAMENTO'!$D$6:$P$2821,12,0)</f>
        <v>#N/A</v>
      </c>
      <c r="E19" s="133"/>
      <c r="F19" s="134">
        <f>SUMIF('APONTAMENTO CREDENCIAMENTO'!$D$6:$D$2821,'ATESTE-LIQ'!A19,'APONTAMENTO CREDENCIAMENTO'!$FF$6:$FF$2821)</f>
        <v>0</v>
      </c>
      <c r="G19" s="328" t="e">
        <f>VLOOKUP(A19,'APONTAMENTO CREDENCIAMENTO'!$D$6:$G$2821,3,0)</f>
        <v>#N/A</v>
      </c>
      <c r="H19" s="328" t="e">
        <f>VLOOKUP(A19,'APONTAMENTO CREDENCIAMENTO'!$D$6:$G$2821,4,0)</f>
        <v>#N/A</v>
      </c>
      <c r="I19" s="135" t="str">
        <f t="shared" si="1"/>
        <v>PE - Pagto. Doc(s):  - Contrato nº 2022/0031804</v>
      </c>
      <c r="J19" s="136">
        <f t="shared" si="2"/>
        <v>0</v>
      </c>
      <c r="K19" s="136">
        <v>0</v>
      </c>
      <c r="L19" s="137" t="e">
        <f>VLOOKUP(A19,'APONTAMENTO CREDENCIAMENTO'!$D$6:$P$2821,5,0)</f>
        <v>#N/A</v>
      </c>
      <c r="M19" s="138"/>
      <c r="N19" s="139"/>
      <c r="O19" s="140"/>
      <c r="P19" s="141"/>
      <c r="Q19" s="141"/>
      <c r="R19" s="141"/>
      <c r="S19" s="142"/>
      <c r="T19" s="143" t="e">
        <f t="shared" si="3"/>
        <v>#N/A</v>
      </c>
      <c r="U19" s="144">
        <f t="shared" si="4"/>
        <v>0</v>
      </c>
      <c r="V19" s="145">
        <f t="shared" si="5"/>
        <v>0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2022/0031804 - DRE - FB</v>
      </c>
      <c r="AB19" s="238" t="e">
        <f t="shared" si="6"/>
        <v>#N/A</v>
      </c>
      <c r="AC19" s="239"/>
      <c r="AD19" s="240"/>
      <c r="AE19" s="242"/>
      <c r="AF19" s="102"/>
    </row>
    <row r="20" spans="1:32" s="57" customFormat="1" ht="20.100000000000001" customHeight="1" x14ac:dyDescent="0.25">
      <c r="A20" s="653" t="s">
        <v>3269</v>
      </c>
      <c r="B20" s="130"/>
      <c r="C20" s="131">
        <f t="shared" si="0"/>
        <v>0</v>
      </c>
      <c r="D20" s="132" t="e">
        <f>VLOOKUP(A20,'APONTAMENTO CREDENCIAMENTO'!$D$6:$P$2821,12,0)</f>
        <v>#N/A</v>
      </c>
      <c r="E20" s="133"/>
      <c r="F20" s="134">
        <f>SUMIF('APONTAMENTO CREDENCIAMENTO'!$D$6:$D$2821,'ATESTE-LIQ'!A20,'APONTAMENTO CREDENCIAMENTO'!$FF$6:$FF$2821)</f>
        <v>0</v>
      </c>
      <c r="G20" s="328" t="e">
        <f>VLOOKUP(A20,'APONTAMENTO CREDENCIAMENTO'!$D$6:$G$2821,3,0)</f>
        <v>#N/A</v>
      </c>
      <c r="H20" s="328" t="e">
        <f>VLOOKUP(A20,'APONTAMENTO CREDENCIAMENTO'!$D$6:$G$2821,4,0)</f>
        <v>#N/A</v>
      </c>
      <c r="I20" s="135" t="str">
        <f t="shared" si="1"/>
        <v>PE - Pagto. Doc(s):  - Contrato nº 2022/0031920</v>
      </c>
      <c r="J20" s="136">
        <f t="shared" si="2"/>
        <v>0</v>
      </c>
      <c r="K20" s="136">
        <v>0</v>
      </c>
      <c r="L20" s="137" t="e">
        <f>VLOOKUP(A20,'APONTAMENTO CREDENCIAMENTO'!$D$6:$P$2821,5,0)</f>
        <v>#N/A</v>
      </c>
      <c r="M20" s="138"/>
      <c r="N20" s="139"/>
      <c r="O20" s="140"/>
      <c r="P20" s="141"/>
      <c r="Q20" s="141"/>
      <c r="R20" s="141"/>
      <c r="S20" s="142"/>
      <c r="T20" s="143" t="e">
        <f t="shared" si="3"/>
        <v>#N/A</v>
      </c>
      <c r="U20" s="144">
        <f t="shared" si="4"/>
        <v>0</v>
      </c>
      <c r="V20" s="145">
        <f t="shared" si="5"/>
        <v>0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2022/0031920 - DRE - FB</v>
      </c>
      <c r="AB20" s="238" t="e">
        <f t="shared" si="6"/>
        <v>#N/A</v>
      </c>
      <c r="AC20" s="239"/>
      <c r="AD20" s="240"/>
      <c r="AE20" s="242"/>
      <c r="AF20" s="102"/>
    </row>
    <row r="21" spans="1:32" s="57" customFormat="1" ht="20.100000000000001" customHeight="1" x14ac:dyDescent="0.25">
      <c r="A21" s="653" t="s">
        <v>3486</v>
      </c>
      <c r="B21" s="130"/>
      <c r="C21" s="131">
        <f t="shared" si="0"/>
        <v>0</v>
      </c>
      <c r="D21" s="132" t="e">
        <f>VLOOKUP(A21,'APONTAMENTO CREDENCIAMENTO'!$D$6:$P$2821,12,0)</f>
        <v>#N/A</v>
      </c>
      <c r="E21" s="133"/>
      <c r="F21" s="134">
        <f>SUMIF('APONTAMENTO CREDENCIAMENTO'!$D$6:$D$2821,'ATESTE-LIQ'!A21,'APONTAMENTO CREDENCIAMENTO'!$FF$6:$FF$2821)</f>
        <v>0</v>
      </c>
      <c r="G21" s="328" t="e">
        <f>VLOOKUP(A21,'APONTAMENTO CREDENCIAMENTO'!$D$6:$G$2821,3,0)</f>
        <v>#N/A</v>
      </c>
      <c r="H21" s="328" t="e">
        <f>VLOOKUP(A21,'APONTAMENTO CREDENCIAMENTO'!$D$6:$G$2821,4,0)</f>
        <v>#N/A</v>
      </c>
      <c r="I21" s="135" t="str">
        <f t="shared" si="1"/>
        <v>PE - Pagto. Doc(s):  - Contrato nº 2022/0032075</v>
      </c>
      <c r="J21" s="136">
        <f t="shared" si="2"/>
        <v>0</v>
      </c>
      <c r="K21" s="136">
        <v>0</v>
      </c>
      <c r="L21" s="137" t="e">
        <f>VLOOKUP(A21,'APONTAMENTO CREDENCIAMENTO'!$D$6:$P$2821,5,0)</f>
        <v>#N/A</v>
      </c>
      <c r="M21" s="138"/>
      <c r="N21" s="139"/>
      <c r="O21" s="140"/>
      <c r="P21" s="141"/>
      <c r="Q21" s="141"/>
      <c r="R21" s="141"/>
      <c r="S21" s="142"/>
      <c r="T21" s="143" t="e">
        <f t="shared" si="3"/>
        <v>#N/A</v>
      </c>
      <c r="U21" s="144">
        <f t="shared" si="4"/>
        <v>0</v>
      </c>
      <c r="V21" s="145">
        <f t="shared" si="5"/>
        <v>0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2022/0032075 - DRE - FB</v>
      </c>
      <c r="AB21" s="238" t="e">
        <f t="shared" si="6"/>
        <v>#N/A</v>
      </c>
      <c r="AC21" s="239"/>
      <c r="AD21" s="240"/>
      <c r="AE21" s="242"/>
      <c r="AF21" s="102"/>
    </row>
    <row r="22" spans="1:32" s="57" customFormat="1" ht="20.100000000000001" customHeight="1" x14ac:dyDescent="0.25">
      <c r="A22" s="653" t="s">
        <v>3411</v>
      </c>
      <c r="B22" s="130"/>
      <c r="C22" s="131">
        <f t="shared" si="0"/>
        <v>0</v>
      </c>
      <c r="D22" s="132" t="e">
        <f>VLOOKUP(A22,'APONTAMENTO CREDENCIAMENTO'!$D$6:$P$2821,12,0)</f>
        <v>#N/A</v>
      </c>
      <c r="E22" s="133"/>
      <c r="F22" s="134">
        <f>SUMIF('APONTAMENTO CREDENCIAMENTO'!$D$6:$D$2821,'ATESTE-LIQ'!A22,'APONTAMENTO CREDENCIAMENTO'!$FF$6:$FF$2821)</f>
        <v>0</v>
      </c>
      <c r="G22" s="328" t="e">
        <f>VLOOKUP(A22,'APONTAMENTO CREDENCIAMENTO'!$D$6:$G$2821,3,0)</f>
        <v>#N/A</v>
      </c>
      <c r="H22" s="328" t="e">
        <f>VLOOKUP(A22,'APONTAMENTO CREDENCIAMENTO'!$D$6:$G$2821,4,0)</f>
        <v>#N/A</v>
      </c>
      <c r="I22" s="135" t="str">
        <f t="shared" si="1"/>
        <v>PE - Pagto. Doc(s):  - Contrato nº 2022/0032274</v>
      </c>
      <c r="J22" s="136">
        <f t="shared" si="2"/>
        <v>0</v>
      </c>
      <c r="K22" s="136">
        <v>0</v>
      </c>
      <c r="L22" s="137" t="e">
        <f>VLOOKUP(A22,'APONTAMENTO CREDENCIAMENTO'!$D$6:$P$2821,5,0)</f>
        <v>#N/A</v>
      </c>
      <c r="M22" s="138"/>
      <c r="N22" s="139"/>
      <c r="O22" s="140"/>
      <c r="P22" s="141"/>
      <c r="Q22" s="141"/>
      <c r="R22" s="141"/>
      <c r="S22" s="142"/>
      <c r="T22" s="143" t="e">
        <f t="shared" si="3"/>
        <v>#N/A</v>
      </c>
      <c r="U22" s="144">
        <f t="shared" si="4"/>
        <v>0</v>
      </c>
      <c r="V22" s="145">
        <f t="shared" si="5"/>
        <v>0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2022/0032274 - DRE - FB</v>
      </c>
      <c r="AB22" s="238" t="e">
        <f t="shared" si="6"/>
        <v>#N/A</v>
      </c>
      <c r="AC22" s="239"/>
      <c r="AD22" s="240"/>
      <c r="AE22" s="242"/>
      <c r="AF22" s="102"/>
    </row>
    <row r="23" spans="1:32" s="57" customFormat="1" ht="20.100000000000001" customHeight="1" x14ac:dyDescent="0.25">
      <c r="A23" s="653" t="s">
        <v>3345</v>
      </c>
      <c r="B23" s="130"/>
      <c r="C23" s="131">
        <f t="shared" si="0"/>
        <v>0</v>
      </c>
      <c r="D23" s="132" t="e">
        <f>VLOOKUP(A23,'APONTAMENTO CREDENCIAMENTO'!$D$6:$P$2821,12,0)</f>
        <v>#N/A</v>
      </c>
      <c r="E23" s="133"/>
      <c r="F23" s="134">
        <f>SUMIF('APONTAMENTO CREDENCIAMENTO'!$D$6:$D$2821,'ATESTE-LIQ'!A23,'APONTAMENTO CREDENCIAMENTO'!$FF$6:$FF$2821)</f>
        <v>0</v>
      </c>
      <c r="G23" s="328" t="e">
        <f>VLOOKUP(A23,'APONTAMENTO CREDENCIAMENTO'!$D$6:$G$2821,3,0)</f>
        <v>#N/A</v>
      </c>
      <c r="H23" s="328" t="e">
        <f>VLOOKUP(A23,'APONTAMENTO CREDENCIAMENTO'!$D$6:$G$2821,4,0)</f>
        <v>#N/A</v>
      </c>
      <c r="I23" s="135" t="str">
        <f t="shared" si="1"/>
        <v>PE - Pagto. Doc(s):  - Contrato nº 2022/0032766</v>
      </c>
      <c r="J23" s="136">
        <f t="shared" si="2"/>
        <v>0</v>
      </c>
      <c r="K23" s="136">
        <v>0</v>
      </c>
      <c r="L23" s="137" t="e">
        <f>VLOOKUP(A23,'APONTAMENTO CREDENCIAMENTO'!$D$6:$P$2821,5,0)</f>
        <v>#N/A</v>
      </c>
      <c r="M23" s="138"/>
      <c r="N23" s="139"/>
      <c r="O23" s="140"/>
      <c r="P23" s="141"/>
      <c r="Q23" s="141"/>
      <c r="R23" s="141"/>
      <c r="S23" s="142"/>
      <c r="T23" s="143" t="e">
        <f t="shared" si="3"/>
        <v>#N/A</v>
      </c>
      <c r="U23" s="144">
        <f t="shared" si="4"/>
        <v>0</v>
      </c>
      <c r="V23" s="145">
        <f t="shared" si="5"/>
        <v>0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2022/0032766 - DRE - FB</v>
      </c>
      <c r="AB23" s="238" t="e">
        <f t="shared" si="6"/>
        <v>#N/A</v>
      </c>
      <c r="AC23" s="239"/>
      <c r="AD23" s="240"/>
      <c r="AE23" s="242"/>
      <c r="AF23" s="102"/>
    </row>
    <row r="24" spans="1:32" s="57" customFormat="1" ht="20.100000000000001" customHeight="1" x14ac:dyDescent="0.25">
      <c r="A24" s="653" t="s">
        <v>3378</v>
      </c>
      <c r="B24" s="130"/>
      <c r="C24" s="131">
        <f t="shared" si="0"/>
        <v>0</v>
      </c>
      <c r="D24" s="132" t="e">
        <f>VLOOKUP(A24,'APONTAMENTO CREDENCIAMENTO'!$D$6:$P$2821,12,0)</f>
        <v>#N/A</v>
      </c>
      <c r="E24" s="133"/>
      <c r="F24" s="134">
        <f>SUMIF('APONTAMENTO CREDENCIAMENTO'!$D$6:$D$2821,'ATESTE-LIQ'!A24,'APONTAMENTO CREDENCIAMENTO'!$FF$6:$FF$2821)</f>
        <v>0</v>
      </c>
      <c r="G24" s="328" t="e">
        <f>VLOOKUP(A24,'APONTAMENTO CREDENCIAMENTO'!$D$6:$G$2821,3,0)</f>
        <v>#N/A</v>
      </c>
      <c r="H24" s="328" t="e">
        <f>VLOOKUP(A24,'APONTAMENTO CREDENCIAMENTO'!$D$6:$G$2821,4,0)</f>
        <v>#N/A</v>
      </c>
      <c r="I24" s="135" t="str">
        <f t="shared" si="1"/>
        <v>PE - Pagto. Doc(s):  - Contrato nº 2022/0033179</v>
      </c>
      <c r="J24" s="136">
        <f t="shared" si="2"/>
        <v>0</v>
      </c>
      <c r="K24" s="136">
        <v>0</v>
      </c>
      <c r="L24" s="137" t="e">
        <f>VLOOKUP(A24,'APONTAMENTO CREDENCIAMENTO'!$D$6:$P$2821,5,0)</f>
        <v>#N/A</v>
      </c>
      <c r="M24" s="138"/>
      <c r="N24" s="139"/>
      <c r="O24" s="140"/>
      <c r="P24" s="141"/>
      <c r="Q24" s="141"/>
      <c r="R24" s="141"/>
      <c r="S24" s="142"/>
      <c r="T24" s="143" t="e">
        <f t="shared" si="3"/>
        <v>#N/A</v>
      </c>
      <c r="U24" s="144">
        <f t="shared" si="4"/>
        <v>0</v>
      </c>
      <c r="V24" s="145">
        <f t="shared" si="5"/>
        <v>0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2022/0033179 - DRE - FB</v>
      </c>
      <c r="AB24" s="238" t="e">
        <f t="shared" si="6"/>
        <v>#N/A</v>
      </c>
      <c r="AC24" s="239"/>
      <c r="AD24" s="240"/>
      <c r="AE24" s="242"/>
      <c r="AF24" s="102"/>
    </row>
    <row r="25" spans="1:32" s="57" customFormat="1" ht="20.100000000000001" customHeight="1" x14ac:dyDescent="0.25">
      <c r="A25" s="653" t="s">
        <v>3422</v>
      </c>
      <c r="B25" s="130"/>
      <c r="C25" s="131">
        <f t="shared" si="0"/>
        <v>0</v>
      </c>
      <c r="D25" s="132" t="e">
        <f>VLOOKUP(A25,'APONTAMENTO CREDENCIAMENTO'!$D$6:$P$2821,12,0)</f>
        <v>#N/A</v>
      </c>
      <c r="E25" s="133"/>
      <c r="F25" s="134">
        <f>SUMIF('APONTAMENTO CREDENCIAMENTO'!$D$6:$D$2821,'ATESTE-LIQ'!A25,'APONTAMENTO CREDENCIAMENTO'!$FF$6:$FF$2821)</f>
        <v>0</v>
      </c>
      <c r="G25" s="328" t="e">
        <f>VLOOKUP(A25,'APONTAMENTO CREDENCIAMENTO'!$D$6:$G$2821,3,0)</f>
        <v>#N/A</v>
      </c>
      <c r="H25" s="328" t="e">
        <f>VLOOKUP(A25,'APONTAMENTO CREDENCIAMENTO'!$D$6:$G$2821,4,0)</f>
        <v>#N/A</v>
      </c>
      <c r="I25" s="135" t="str">
        <f t="shared" si="1"/>
        <v>PE - Pagto. Doc(s):  - Contrato nº 2022/0034034</v>
      </c>
      <c r="J25" s="136">
        <f t="shared" si="2"/>
        <v>0</v>
      </c>
      <c r="K25" s="136">
        <v>0</v>
      </c>
      <c r="L25" s="137" t="e">
        <f>VLOOKUP(A25,'APONTAMENTO CREDENCIAMENTO'!$D$6:$P$2821,5,0)</f>
        <v>#N/A</v>
      </c>
      <c r="M25" s="138"/>
      <c r="N25" s="139"/>
      <c r="O25" s="140"/>
      <c r="P25" s="141"/>
      <c r="Q25" s="141"/>
      <c r="R25" s="141"/>
      <c r="S25" s="142"/>
      <c r="T25" s="143" t="e">
        <f t="shared" si="3"/>
        <v>#N/A</v>
      </c>
      <c r="U25" s="144">
        <f t="shared" si="4"/>
        <v>0</v>
      </c>
      <c r="V25" s="145">
        <f t="shared" si="5"/>
        <v>0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2022/0034034 - DRE - FB</v>
      </c>
      <c r="AB25" s="238" t="e">
        <f t="shared" si="6"/>
        <v>#N/A</v>
      </c>
      <c r="AC25" s="239"/>
      <c r="AD25" s="240"/>
      <c r="AE25" s="242"/>
      <c r="AF25" s="102"/>
    </row>
    <row r="26" spans="1:32" s="57" customFormat="1" ht="20.100000000000001" customHeight="1" x14ac:dyDescent="0.25">
      <c r="A26" s="653" t="s">
        <v>3263</v>
      </c>
      <c r="B26" s="130"/>
      <c r="C26" s="131">
        <f t="shared" si="0"/>
        <v>0</v>
      </c>
      <c r="D26" s="132" t="e">
        <f>VLOOKUP(A26,'APONTAMENTO CREDENCIAMENTO'!$D$6:$P$2821,12,0)</f>
        <v>#N/A</v>
      </c>
      <c r="E26" s="133"/>
      <c r="F26" s="134">
        <f>SUMIF('APONTAMENTO CREDENCIAMENTO'!$D$6:$D$2821,'ATESTE-LIQ'!A26,'APONTAMENTO CREDENCIAMENTO'!$FF$6:$FF$2821)</f>
        <v>0</v>
      </c>
      <c r="G26" s="328" t="e">
        <f>VLOOKUP(A26,'APONTAMENTO CREDENCIAMENTO'!$D$6:$G$2821,3,0)</f>
        <v>#N/A</v>
      </c>
      <c r="H26" s="328" t="e">
        <f>VLOOKUP(A26,'APONTAMENTO CREDENCIAMENTO'!$D$6:$G$2821,4,0)</f>
        <v>#N/A</v>
      </c>
      <c r="I26" s="135" t="str">
        <f t="shared" si="1"/>
        <v>PE - Pagto. Doc(s):  - Contrato nº 2022/0034761</v>
      </c>
      <c r="J26" s="136">
        <f t="shared" si="2"/>
        <v>0</v>
      </c>
      <c r="K26" s="136">
        <v>0</v>
      </c>
      <c r="L26" s="137" t="e">
        <f>VLOOKUP(A26,'APONTAMENTO CREDENCIAMENTO'!$D$6:$P$2821,5,0)</f>
        <v>#N/A</v>
      </c>
      <c r="M26" s="138"/>
      <c r="N26" s="139"/>
      <c r="O26" s="140"/>
      <c r="P26" s="141"/>
      <c r="Q26" s="141"/>
      <c r="R26" s="141"/>
      <c r="S26" s="142"/>
      <c r="T26" s="143" t="e">
        <f t="shared" si="3"/>
        <v>#N/A</v>
      </c>
      <c r="U26" s="144">
        <f t="shared" si="4"/>
        <v>0</v>
      </c>
      <c r="V26" s="145">
        <f t="shared" si="5"/>
        <v>0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2022/0034761 - DRE - FB</v>
      </c>
      <c r="AB26" s="238" t="e">
        <f t="shared" si="6"/>
        <v>#N/A</v>
      </c>
      <c r="AC26" s="239"/>
      <c r="AD26" s="240"/>
      <c r="AE26" s="242"/>
      <c r="AF26" s="102"/>
    </row>
    <row r="27" spans="1:32" s="57" customFormat="1" ht="20.100000000000001" customHeight="1" x14ac:dyDescent="0.25">
      <c r="A27" s="653" t="s">
        <v>3257</v>
      </c>
      <c r="B27" s="130"/>
      <c r="C27" s="131">
        <f t="shared" si="0"/>
        <v>0</v>
      </c>
      <c r="D27" s="132" t="e">
        <f>VLOOKUP(A27,'APONTAMENTO CREDENCIAMENTO'!$D$6:$P$2821,12,0)</f>
        <v>#N/A</v>
      </c>
      <c r="E27" s="133"/>
      <c r="F27" s="134">
        <f>SUMIF('APONTAMENTO CREDENCIAMENTO'!$D$6:$D$2821,'ATESTE-LIQ'!A27,'APONTAMENTO CREDENCIAMENTO'!$FF$6:$FF$2821)</f>
        <v>0</v>
      </c>
      <c r="G27" s="328" t="e">
        <f>VLOOKUP(A27,'APONTAMENTO CREDENCIAMENTO'!$D$6:$G$2821,3,0)</f>
        <v>#N/A</v>
      </c>
      <c r="H27" s="328" t="e">
        <f>VLOOKUP(A27,'APONTAMENTO CREDENCIAMENTO'!$D$6:$G$2821,4,0)</f>
        <v>#N/A</v>
      </c>
      <c r="I27" s="135" t="str">
        <f t="shared" si="1"/>
        <v>PE - Pagto. Doc(s):  - Contrato nº 2022/0036627</v>
      </c>
      <c r="J27" s="136">
        <f t="shared" si="2"/>
        <v>0</v>
      </c>
      <c r="K27" s="136">
        <v>0</v>
      </c>
      <c r="L27" s="137" t="e">
        <f>VLOOKUP(A27,'APONTAMENTO CREDENCIAMENTO'!$D$6:$P$2821,5,0)</f>
        <v>#N/A</v>
      </c>
      <c r="M27" s="138"/>
      <c r="N27" s="139"/>
      <c r="O27" s="140"/>
      <c r="P27" s="141"/>
      <c r="Q27" s="141"/>
      <c r="R27" s="141"/>
      <c r="S27" s="142"/>
      <c r="T27" s="143" t="e">
        <f t="shared" si="3"/>
        <v>#N/A</v>
      </c>
      <c r="U27" s="144">
        <f t="shared" si="4"/>
        <v>0</v>
      </c>
      <c r="V27" s="145">
        <f t="shared" si="5"/>
        <v>0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2022/0036627 - DRE - FB</v>
      </c>
      <c r="AB27" s="238" t="e">
        <f t="shared" si="6"/>
        <v>#N/A</v>
      </c>
      <c r="AC27" s="239"/>
      <c r="AD27" s="240"/>
      <c r="AE27" s="242"/>
      <c r="AF27" s="102"/>
    </row>
    <row r="28" spans="1:32" s="57" customFormat="1" ht="20.100000000000001" customHeight="1" x14ac:dyDescent="0.25">
      <c r="A28" s="653" t="s">
        <v>3282</v>
      </c>
      <c r="B28" s="130"/>
      <c r="C28" s="131">
        <f t="shared" si="0"/>
        <v>0</v>
      </c>
      <c r="D28" s="132" t="e">
        <f>VLOOKUP(A28,'APONTAMENTO CREDENCIAMENTO'!$D$6:$P$2821,12,0)</f>
        <v>#N/A</v>
      </c>
      <c r="E28" s="133"/>
      <c r="F28" s="134">
        <f>SUMIF('APONTAMENTO CREDENCIAMENTO'!$D$6:$D$2821,'ATESTE-LIQ'!A28,'APONTAMENTO CREDENCIAMENTO'!$FF$6:$FF$2821)</f>
        <v>0</v>
      </c>
      <c r="G28" s="328" t="e">
        <f>VLOOKUP(A28,'APONTAMENTO CREDENCIAMENTO'!$D$6:$G$2821,3,0)</f>
        <v>#N/A</v>
      </c>
      <c r="H28" s="328" t="e">
        <f>VLOOKUP(A28,'APONTAMENTO CREDENCIAMENTO'!$D$6:$G$2821,4,0)</f>
        <v>#N/A</v>
      </c>
      <c r="I28" s="135" t="str">
        <f t="shared" si="1"/>
        <v>PE - Pagto. Doc(s):  - Contrato nº 2022/0049345</v>
      </c>
      <c r="J28" s="136">
        <f t="shared" si="2"/>
        <v>0</v>
      </c>
      <c r="K28" s="136">
        <v>0</v>
      </c>
      <c r="L28" s="137" t="e">
        <f>VLOOKUP(A28,'APONTAMENTO CREDENCIAMENTO'!$D$6:$P$2821,5,0)</f>
        <v>#N/A</v>
      </c>
      <c r="M28" s="138"/>
      <c r="N28" s="139"/>
      <c r="O28" s="140"/>
      <c r="P28" s="141"/>
      <c r="Q28" s="141"/>
      <c r="R28" s="141"/>
      <c r="S28" s="142"/>
      <c r="T28" s="143" t="e">
        <f t="shared" si="3"/>
        <v>#N/A</v>
      </c>
      <c r="U28" s="144">
        <f t="shared" si="4"/>
        <v>0</v>
      </c>
      <c r="V28" s="145">
        <f t="shared" si="5"/>
        <v>0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2022/0049345 - DRE - FB</v>
      </c>
      <c r="AB28" s="238" t="e">
        <f t="shared" si="6"/>
        <v>#N/A</v>
      </c>
      <c r="AC28" s="239"/>
      <c r="AD28" s="240"/>
      <c r="AE28" s="242"/>
      <c r="AF28" s="102"/>
    </row>
    <row r="29" spans="1:32" s="57" customFormat="1" ht="20.100000000000001" customHeight="1" x14ac:dyDescent="0.25">
      <c r="A29" s="653" t="s">
        <v>3372</v>
      </c>
      <c r="B29" s="130"/>
      <c r="C29" s="131">
        <f t="shared" si="0"/>
        <v>0</v>
      </c>
      <c r="D29" s="132" t="e">
        <f>VLOOKUP(A29,'APONTAMENTO CREDENCIAMENTO'!$D$6:$P$2821,12,0)</f>
        <v>#N/A</v>
      </c>
      <c r="E29" s="133"/>
      <c r="F29" s="134">
        <f>SUMIF('APONTAMENTO CREDENCIAMENTO'!$D$6:$D$2821,'ATESTE-LIQ'!A29,'APONTAMENTO CREDENCIAMENTO'!$FF$6:$FF$2821)</f>
        <v>0</v>
      </c>
      <c r="G29" s="328" t="e">
        <f>VLOOKUP(A29,'APONTAMENTO CREDENCIAMENTO'!$D$6:$G$2821,3,0)</f>
        <v>#N/A</v>
      </c>
      <c r="H29" s="328" t="e">
        <f>VLOOKUP(A29,'APONTAMENTO CREDENCIAMENTO'!$D$6:$G$2821,4,0)</f>
        <v>#N/A</v>
      </c>
      <c r="I29" s="135" t="str">
        <f t="shared" si="1"/>
        <v>PE - Pagto. Doc(s):  - Contrato nº 2022/0049364</v>
      </c>
      <c r="J29" s="136">
        <f t="shared" si="2"/>
        <v>0</v>
      </c>
      <c r="K29" s="136">
        <v>0</v>
      </c>
      <c r="L29" s="137" t="e">
        <f>VLOOKUP(A29,'APONTAMENTO CREDENCIAMENTO'!$D$6:$P$2821,5,0)</f>
        <v>#N/A</v>
      </c>
      <c r="M29" s="138"/>
      <c r="N29" s="139"/>
      <c r="O29" s="140"/>
      <c r="P29" s="141"/>
      <c r="Q29" s="141"/>
      <c r="R29" s="141"/>
      <c r="S29" s="142"/>
      <c r="T29" s="143" t="e">
        <f t="shared" si="3"/>
        <v>#N/A</v>
      </c>
      <c r="U29" s="144">
        <f t="shared" si="4"/>
        <v>0</v>
      </c>
      <c r="V29" s="145">
        <f t="shared" si="5"/>
        <v>0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2022/0049364 - DRE - FB</v>
      </c>
      <c r="AB29" s="238" t="e">
        <f t="shared" si="6"/>
        <v>#N/A</v>
      </c>
      <c r="AC29" s="239"/>
      <c r="AD29" s="240"/>
      <c r="AE29" s="242"/>
      <c r="AF29" s="102"/>
    </row>
    <row r="30" spans="1:32" s="57" customFormat="1" ht="20.100000000000001" customHeight="1" x14ac:dyDescent="0.25">
      <c r="A30" s="653" t="s">
        <v>3478</v>
      </c>
      <c r="B30" s="130"/>
      <c r="C30" s="131">
        <f t="shared" si="0"/>
        <v>0</v>
      </c>
      <c r="D30" s="132" t="e">
        <f>VLOOKUP(A30,'APONTAMENTO CREDENCIAMENTO'!$D$6:$P$2821,12,0)</f>
        <v>#N/A</v>
      </c>
      <c r="E30" s="133"/>
      <c r="F30" s="134">
        <f>SUMIF('APONTAMENTO CREDENCIAMENTO'!$D$6:$D$2821,'ATESTE-LIQ'!A30,'APONTAMENTO CREDENCIAMENTO'!$FF$6:$FF$2821)</f>
        <v>0</v>
      </c>
      <c r="G30" s="328" t="e">
        <f>VLOOKUP(A30,'APONTAMENTO CREDENCIAMENTO'!$D$6:$G$2821,3,0)</f>
        <v>#N/A</v>
      </c>
      <c r="H30" s="328" t="e">
        <f>VLOOKUP(A30,'APONTAMENTO CREDENCIAMENTO'!$D$6:$G$2821,4,0)</f>
        <v>#N/A</v>
      </c>
      <c r="I30" s="135" t="str">
        <f t="shared" si="1"/>
        <v>PE - Pagto. Doc(s):  - Contrato nº 2022/0049795</v>
      </c>
      <c r="J30" s="136">
        <f t="shared" si="2"/>
        <v>0</v>
      </c>
      <c r="K30" s="136">
        <v>0</v>
      </c>
      <c r="L30" s="137" t="e">
        <f>VLOOKUP(A30,'APONTAMENTO CREDENCIAMENTO'!$D$6:$P$2821,5,0)</f>
        <v>#N/A</v>
      </c>
      <c r="M30" s="138"/>
      <c r="N30" s="139"/>
      <c r="O30" s="140"/>
      <c r="P30" s="141"/>
      <c r="Q30" s="141"/>
      <c r="R30" s="141"/>
      <c r="S30" s="142"/>
      <c r="T30" s="143" t="e">
        <f t="shared" si="3"/>
        <v>#N/A</v>
      </c>
      <c r="U30" s="144">
        <f t="shared" si="4"/>
        <v>0</v>
      </c>
      <c r="V30" s="145">
        <f t="shared" si="5"/>
        <v>0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2022/0049795 - DRE - FB</v>
      </c>
      <c r="AB30" s="238" t="e">
        <f t="shared" si="6"/>
        <v>#N/A</v>
      </c>
      <c r="AC30" s="239"/>
      <c r="AD30" s="240"/>
      <c r="AE30" s="242"/>
      <c r="AF30" s="102"/>
    </row>
    <row r="31" spans="1:32" s="57" customFormat="1" ht="20.100000000000001" customHeight="1" x14ac:dyDescent="0.25">
      <c r="A31" s="653" t="s">
        <v>3452</v>
      </c>
      <c r="B31" s="130"/>
      <c r="C31" s="131">
        <f t="shared" si="0"/>
        <v>0</v>
      </c>
      <c r="D31" s="132" t="e">
        <f>VLOOKUP(A31,'APONTAMENTO CREDENCIAMENTO'!$D$6:$P$2821,12,0)</f>
        <v>#N/A</v>
      </c>
      <c r="E31" s="133"/>
      <c r="F31" s="134">
        <f>SUMIF('APONTAMENTO CREDENCIAMENTO'!$D$6:$D$2821,'ATESTE-LIQ'!A31,'APONTAMENTO CREDENCIAMENTO'!$FF$6:$FF$2821)</f>
        <v>0</v>
      </c>
      <c r="G31" s="328" t="e">
        <f>VLOOKUP(A31,'APONTAMENTO CREDENCIAMENTO'!$D$6:$G$2821,3,0)</f>
        <v>#N/A</v>
      </c>
      <c r="H31" s="328" t="e">
        <f>VLOOKUP(A31,'APONTAMENTO CREDENCIAMENTO'!$D$6:$G$2821,4,0)</f>
        <v>#N/A</v>
      </c>
      <c r="I31" s="135" t="str">
        <f t="shared" si="1"/>
        <v>PE - Pagto. Doc(s):  - Contrato nº 2022/0049951</v>
      </c>
      <c r="J31" s="136">
        <f t="shared" si="2"/>
        <v>0</v>
      </c>
      <c r="K31" s="136">
        <v>0</v>
      </c>
      <c r="L31" s="137" t="e">
        <f>VLOOKUP(A31,'APONTAMENTO CREDENCIAMENTO'!$D$6:$P$2821,5,0)</f>
        <v>#N/A</v>
      </c>
      <c r="M31" s="138"/>
      <c r="N31" s="139"/>
      <c r="O31" s="140"/>
      <c r="P31" s="141"/>
      <c r="Q31" s="141"/>
      <c r="R31" s="141"/>
      <c r="S31" s="142"/>
      <c r="T31" s="143" t="e">
        <f t="shared" si="3"/>
        <v>#N/A</v>
      </c>
      <c r="U31" s="144">
        <f t="shared" si="4"/>
        <v>0</v>
      </c>
      <c r="V31" s="145">
        <f t="shared" si="5"/>
        <v>0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2022/0049951 - DRE - FB</v>
      </c>
      <c r="AB31" s="238" t="e">
        <f t="shared" si="6"/>
        <v>#N/A</v>
      </c>
      <c r="AC31" s="239"/>
      <c r="AD31" s="240"/>
      <c r="AE31" s="242"/>
      <c r="AF31" s="102"/>
    </row>
    <row r="32" spans="1:32" s="57" customFormat="1" ht="20.100000000000001" customHeight="1" x14ac:dyDescent="0.25">
      <c r="A32" s="653" t="s">
        <v>3385</v>
      </c>
      <c r="B32" s="130"/>
      <c r="C32" s="131">
        <f t="shared" si="0"/>
        <v>0</v>
      </c>
      <c r="D32" s="132" t="e">
        <f>VLOOKUP(A32,'APONTAMENTO CREDENCIAMENTO'!$D$6:$P$2821,12,0)</f>
        <v>#N/A</v>
      </c>
      <c r="E32" s="133"/>
      <c r="F32" s="134">
        <f>SUMIF('APONTAMENTO CREDENCIAMENTO'!$D$6:$D$2821,'ATESTE-LIQ'!A32,'APONTAMENTO CREDENCIAMENTO'!$FF$6:$FF$2821)</f>
        <v>0</v>
      </c>
      <c r="G32" s="328" t="e">
        <f>VLOOKUP(A32,'APONTAMENTO CREDENCIAMENTO'!$D$6:$G$2821,3,0)</f>
        <v>#N/A</v>
      </c>
      <c r="H32" s="328" t="e">
        <f>VLOOKUP(A32,'APONTAMENTO CREDENCIAMENTO'!$D$6:$G$2821,4,0)</f>
        <v>#N/A</v>
      </c>
      <c r="I32" s="135" t="str">
        <f t="shared" si="1"/>
        <v>PE - Pagto. Doc(s):  - Contrato nº 2023/0009547</v>
      </c>
      <c r="J32" s="136">
        <f t="shared" si="2"/>
        <v>0</v>
      </c>
      <c r="K32" s="136">
        <v>0</v>
      </c>
      <c r="L32" s="137" t="e">
        <f>VLOOKUP(A32,'APONTAMENTO CREDENCIAMENTO'!$D$6:$P$2821,5,0)</f>
        <v>#N/A</v>
      </c>
      <c r="M32" s="138"/>
      <c r="N32" s="139"/>
      <c r="O32" s="140"/>
      <c r="P32" s="141"/>
      <c r="Q32" s="141"/>
      <c r="R32" s="141"/>
      <c r="S32" s="142"/>
      <c r="T32" s="143" t="e">
        <f t="shared" si="3"/>
        <v>#N/A</v>
      </c>
      <c r="U32" s="144">
        <f t="shared" si="4"/>
        <v>0</v>
      </c>
      <c r="V32" s="145">
        <f t="shared" si="5"/>
        <v>0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2023/0009547 - DRE - FB</v>
      </c>
      <c r="AB32" s="238" t="e">
        <f t="shared" si="6"/>
        <v>#N/A</v>
      </c>
      <c r="AC32" s="239"/>
      <c r="AD32" s="240"/>
      <c r="AE32" s="242"/>
      <c r="AF32" s="102"/>
    </row>
    <row r="33" spans="1:32" s="57" customFormat="1" ht="20.100000000000001" customHeight="1" x14ac:dyDescent="0.25">
      <c r="A33" s="653" t="s">
        <v>3413</v>
      </c>
      <c r="B33" s="130"/>
      <c r="C33" s="131">
        <f t="shared" si="0"/>
        <v>0</v>
      </c>
      <c r="D33" s="132" t="e">
        <f>VLOOKUP(A33,'APONTAMENTO CREDENCIAMENTO'!$D$6:$P$2821,12,0)</f>
        <v>#N/A</v>
      </c>
      <c r="E33" s="133"/>
      <c r="F33" s="134">
        <f>SUMIF('APONTAMENTO CREDENCIAMENTO'!$D$6:$D$2821,'ATESTE-LIQ'!A33,'APONTAMENTO CREDENCIAMENTO'!$FF$6:$FF$2821)</f>
        <v>0</v>
      </c>
      <c r="G33" s="328" t="e">
        <f>VLOOKUP(A33,'APONTAMENTO CREDENCIAMENTO'!$D$6:$G$2821,3,0)</f>
        <v>#N/A</v>
      </c>
      <c r="H33" s="328" t="e">
        <f>VLOOKUP(A33,'APONTAMENTO CREDENCIAMENTO'!$D$6:$G$2821,4,0)</f>
        <v>#N/A</v>
      </c>
      <c r="I33" s="135" t="str">
        <f t="shared" si="1"/>
        <v>PE - Pagto. Doc(s):  - Contrato nº 2023/0013132</v>
      </c>
      <c r="J33" s="136">
        <f t="shared" si="2"/>
        <v>0</v>
      </c>
      <c r="K33" s="136">
        <v>0</v>
      </c>
      <c r="L33" s="137" t="e">
        <f>VLOOKUP(A33,'APONTAMENTO CREDENCIAMENTO'!$D$6:$P$2821,5,0)</f>
        <v>#N/A</v>
      </c>
      <c r="M33" s="138"/>
      <c r="N33" s="139"/>
      <c r="O33" s="140"/>
      <c r="P33" s="141"/>
      <c r="Q33" s="141"/>
      <c r="R33" s="141"/>
      <c r="S33" s="142"/>
      <c r="T33" s="143" t="e">
        <f t="shared" si="3"/>
        <v>#N/A</v>
      </c>
      <c r="U33" s="144">
        <f t="shared" si="4"/>
        <v>0</v>
      </c>
      <c r="V33" s="145">
        <f t="shared" si="5"/>
        <v>0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2023/0013132 - DRE - FB</v>
      </c>
      <c r="AB33" s="238" t="e">
        <f t="shared" si="6"/>
        <v>#N/A</v>
      </c>
      <c r="AC33" s="239"/>
      <c r="AD33" s="240"/>
      <c r="AE33" s="242"/>
      <c r="AF33" s="102"/>
    </row>
    <row r="34" spans="1:32" s="57" customFormat="1" ht="20.100000000000001" customHeight="1" x14ac:dyDescent="0.25">
      <c r="A34" s="653" t="s">
        <v>3424</v>
      </c>
      <c r="B34" s="130"/>
      <c r="C34" s="131">
        <f t="shared" si="0"/>
        <v>0</v>
      </c>
      <c r="D34" s="132" t="e">
        <f>VLOOKUP(A34,'APONTAMENTO CREDENCIAMENTO'!$D$6:$P$2821,12,0)</f>
        <v>#N/A</v>
      </c>
      <c r="E34" s="133"/>
      <c r="F34" s="134">
        <f>SUMIF('APONTAMENTO CREDENCIAMENTO'!$D$6:$D$2821,'ATESTE-LIQ'!A34,'APONTAMENTO CREDENCIAMENTO'!$FF$6:$FF$2821)</f>
        <v>0</v>
      </c>
      <c r="G34" s="328" t="e">
        <f>VLOOKUP(A34,'APONTAMENTO CREDENCIAMENTO'!$D$6:$G$2821,3,0)</f>
        <v>#N/A</v>
      </c>
      <c r="H34" s="328" t="e">
        <f>VLOOKUP(A34,'APONTAMENTO CREDENCIAMENTO'!$D$6:$G$2821,4,0)</f>
        <v>#N/A</v>
      </c>
      <c r="I34" s="135" t="str">
        <f t="shared" si="1"/>
        <v>PE - Pagto. Doc(s):  - Contrato nº 2023/0013863</v>
      </c>
      <c r="J34" s="136">
        <f t="shared" si="2"/>
        <v>0</v>
      </c>
      <c r="K34" s="136">
        <v>0</v>
      </c>
      <c r="L34" s="137" t="e">
        <f>VLOOKUP(A34,'APONTAMENTO CREDENCIAMENTO'!$D$6:$P$2821,5,0)</f>
        <v>#N/A</v>
      </c>
      <c r="M34" s="138"/>
      <c r="N34" s="139"/>
      <c r="O34" s="140"/>
      <c r="P34" s="141"/>
      <c r="Q34" s="141"/>
      <c r="R34" s="141"/>
      <c r="S34" s="142"/>
      <c r="T34" s="143" t="e">
        <f t="shared" si="3"/>
        <v>#N/A</v>
      </c>
      <c r="U34" s="144">
        <f t="shared" si="4"/>
        <v>0</v>
      </c>
      <c r="V34" s="145">
        <f t="shared" si="5"/>
        <v>0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2023/0013863 - DRE - FB</v>
      </c>
      <c r="AB34" s="238" t="e">
        <f t="shared" si="6"/>
        <v>#N/A</v>
      </c>
      <c r="AC34" s="239"/>
      <c r="AD34" s="240"/>
      <c r="AE34" s="242"/>
      <c r="AF34" s="102"/>
    </row>
    <row r="35" spans="1:32" s="57" customFormat="1" ht="20.100000000000001" customHeight="1" x14ac:dyDescent="0.25">
      <c r="A35" s="653" t="s">
        <v>3464</v>
      </c>
      <c r="B35" s="130"/>
      <c r="C35" s="131">
        <f t="shared" si="0"/>
        <v>0</v>
      </c>
      <c r="D35" s="132" t="e">
        <f>VLOOKUP(A35,'APONTAMENTO CREDENCIAMENTO'!$D$6:$P$2821,12,0)</f>
        <v>#N/A</v>
      </c>
      <c r="E35" s="133"/>
      <c r="F35" s="134">
        <f>SUMIF('APONTAMENTO CREDENCIAMENTO'!$D$6:$D$2821,'ATESTE-LIQ'!A35,'APONTAMENTO CREDENCIAMENTO'!$FF$6:$FF$2821)</f>
        <v>0</v>
      </c>
      <c r="G35" s="328" t="e">
        <f>VLOOKUP(A35,'APONTAMENTO CREDENCIAMENTO'!$D$6:$G$2821,3,0)</f>
        <v>#N/A</v>
      </c>
      <c r="H35" s="328" t="e">
        <f>VLOOKUP(A35,'APONTAMENTO CREDENCIAMENTO'!$D$6:$G$2821,4,0)</f>
        <v>#N/A</v>
      </c>
      <c r="I35" s="135" t="str">
        <f t="shared" si="1"/>
        <v>PE - Pagto. Doc(s):  - Contrato nº 2023/0014392</v>
      </c>
      <c r="J35" s="136">
        <f t="shared" si="2"/>
        <v>0</v>
      </c>
      <c r="K35" s="136">
        <v>0</v>
      </c>
      <c r="L35" s="137" t="e">
        <f>VLOOKUP(A35,'APONTAMENTO CREDENCIAMENTO'!$D$6:$P$2821,5,0)</f>
        <v>#N/A</v>
      </c>
      <c r="M35" s="138"/>
      <c r="N35" s="139"/>
      <c r="O35" s="140"/>
      <c r="P35" s="141"/>
      <c r="Q35" s="141"/>
      <c r="R35" s="141"/>
      <c r="S35" s="142"/>
      <c r="T35" s="143" t="e">
        <f t="shared" si="3"/>
        <v>#N/A</v>
      </c>
      <c r="U35" s="144">
        <f t="shared" si="4"/>
        <v>0</v>
      </c>
      <c r="V35" s="145">
        <f t="shared" si="5"/>
        <v>0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2023/0014392 - DRE - FB</v>
      </c>
      <c r="AB35" s="238" t="e">
        <f t="shared" si="6"/>
        <v>#N/A</v>
      </c>
      <c r="AC35" s="239"/>
      <c r="AD35" s="240"/>
      <c r="AE35" s="242"/>
      <c r="AF35" s="102"/>
    </row>
    <row r="36" spans="1:32" s="57" customFormat="1" ht="20.100000000000001" customHeight="1" x14ac:dyDescent="0.25">
      <c r="A36" s="653" t="s">
        <v>3397</v>
      </c>
      <c r="B36" s="130"/>
      <c r="C36" s="131">
        <f t="shared" si="0"/>
        <v>0</v>
      </c>
      <c r="D36" s="132" t="e">
        <f>VLOOKUP(A36,'APONTAMENTO CREDENCIAMENTO'!$D$6:$P$2821,12,0)</f>
        <v>#N/A</v>
      </c>
      <c r="E36" s="133"/>
      <c r="F36" s="134">
        <f>SUMIF('APONTAMENTO CREDENCIAMENTO'!$D$6:$D$2821,'ATESTE-LIQ'!A36,'APONTAMENTO CREDENCIAMENTO'!$FF$6:$FF$2821)</f>
        <v>0</v>
      </c>
      <c r="G36" s="328" t="e">
        <f>VLOOKUP(A36,'APONTAMENTO CREDENCIAMENTO'!$D$6:$G$2821,3,0)</f>
        <v>#N/A</v>
      </c>
      <c r="H36" s="328" t="e">
        <f>VLOOKUP(A36,'APONTAMENTO CREDENCIAMENTO'!$D$6:$G$2821,4,0)</f>
        <v>#N/A</v>
      </c>
      <c r="I36" s="135" t="str">
        <f t="shared" si="1"/>
        <v>PE - Pagto. Doc(s):  - Contrato nº 2023/0014781</v>
      </c>
      <c r="J36" s="136">
        <f t="shared" si="2"/>
        <v>0</v>
      </c>
      <c r="K36" s="136">
        <v>0</v>
      </c>
      <c r="L36" s="137" t="e">
        <f>VLOOKUP(A36,'APONTAMENTO CREDENCIAMENTO'!$D$6:$P$2821,5,0)</f>
        <v>#N/A</v>
      </c>
      <c r="M36" s="138"/>
      <c r="N36" s="139"/>
      <c r="O36" s="140"/>
      <c r="P36" s="141"/>
      <c r="Q36" s="141"/>
      <c r="R36" s="141"/>
      <c r="S36" s="142"/>
      <c r="T36" s="143" t="e">
        <f t="shared" si="3"/>
        <v>#N/A</v>
      </c>
      <c r="U36" s="144">
        <f t="shared" si="4"/>
        <v>0</v>
      </c>
      <c r="V36" s="145">
        <f t="shared" si="5"/>
        <v>0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2023/0014781 - DRE - FB</v>
      </c>
      <c r="AB36" s="238" t="e">
        <f t="shared" si="6"/>
        <v>#N/A</v>
      </c>
      <c r="AC36" s="239"/>
      <c r="AD36" s="240"/>
      <c r="AE36" s="242"/>
      <c r="AF36" s="102"/>
    </row>
    <row r="37" spans="1:32" s="57" customFormat="1" ht="20.100000000000001" customHeight="1" x14ac:dyDescent="0.25">
      <c r="A37" s="653" t="s">
        <v>3261</v>
      </c>
      <c r="B37" s="130"/>
      <c r="C37" s="131">
        <f t="shared" si="0"/>
        <v>0</v>
      </c>
      <c r="D37" s="132" t="e">
        <f>VLOOKUP(A37,'APONTAMENTO CREDENCIAMENTO'!$D$6:$P$2821,12,0)</f>
        <v>#N/A</v>
      </c>
      <c r="E37" s="133"/>
      <c r="F37" s="134">
        <f>SUMIF('APONTAMENTO CREDENCIAMENTO'!$D$6:$D$2821,'ATESTE-LIQ'!A37,'APONTAMENTO CREDENCIAMENTO'!$FF$6:$FF$2821)</f>
        <v>0</v>
      </c>
      <c r="G37" s="328" t="e">
        <f>VLOOKUP(A37,'APONTAMENTO CREDENCIAMENTO'!$D$6:$G$2821,3,0)</f>
        <v>#N/A</v>
      </c>
      <c r="H37" s="328" t="e">
        <f>VLOOKUP(A37,'APONTAMENTO CREDENCIAMENTO'!$D$6:$G$2821,4,0)</f>
        <v>#N/A</v>
      </c>
      <c r="I37" s="135" t="str">
        <f t="shared" si="1"/>
        <v>PE - Pagto. Doc(s):  - Contrato nº 2023/0019642</v>
      </c>
      <c r="J37" s="136">
        <f t="shared" si="2"/>
        <v>0</v>
      </c>
      <c r="K37" s="136">
        <v>0</v>
      </c>
      <c r="L37" s="137" t="e">
        <f>VLOOKUP(A37,'APONTAMENTO CREDENCIAMENTO'!$D$6:$P$2821,5,0)</f>
        <v>#N/A</v>
      </c>
      <c r="M37" s="138"/>
      <c r="N37" s="139"/>
      <c r="O37" s="140"/>
      <c r="P37" s="141"/>
      <c r="Q37" s="141"/>
      <c r="R37" s="141"/>
      <c r="S37" s="142"/>
      <c r="T37" s="143" t="e">
        <f t="shared" si="3"/>
        <v>#N/A</v>
      </c>
      <c r="U37" s="144">
        <f t="shared" si="4"/>
        <v>0</v>
      </c>
      <c r="V37" s="145">
        <f t="shared" si="5"/>
        <v>0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2023/0019642 - DRE - FB</v>
      </c>
      <c r="AB37" s="238" t="e">
        <f t="shared" si="6"/>
        <v>#N/A</v>
      </c>
      <c r="AC37" s="239"/>
      <c r="AD37" s="240"/>
      <c r="AE37" s="242"/>
      <c r="AF37" s="102"/>
    </row>
    <row r="38" spans="1:32" s="57" customFormat="1" ht="20.100000000000001" customHeight="1" x14ac:dyDescent="0.25">
      <c r="A38" s="653" t="s">
        <v>3280</v>
      </c>
      <c r="B38" s="130"/>
      <c r="C38" s="131">
        <f t="shared" si="0"/>
        <v>0</v>
      </c>
      <c r="D38" s="132" t="e">
        <f>VLOOKUP(A38,'APONTAMENTO CREDENCIAMENTO'!$D$6:$P$2821,12,0)</f>
        <v>#N/A</v>
      </c>
      <c r="E38" s="133"/>
      <c r="F38" s="134">
        <f>SUMIF('APONTAMENTO CREDENCIAMENTO'!$D$6:$D$2821,'ATESTE-LIQ'!A38,'APONTAMENTO CREDENCIAMENTO'!$FF$6:$FF$2821)</f>
        <v>0</v>
      </c>
      <c r="G38" s="328" t="e">
        <f>VLOOKUP(A38,'APONTAMENTO CREDENCIAMENTO'!$D$6:$G$2821,3,0)</f>
        <v>#N/A</v>
      </c>
      <c r="H38" s="328" t="e">
        <f>VLOOKUP(A38,'APONTAMENTO CREDENCIAMENTO'!$D$6:$G$2821,4,0)</f>
        <v>#N/A</v>
      </c>
      <c r="I38" s="135" t="str">
        <f t="shared" si="1"/>
        <v>PE - Pagto. Doc(s):  - Contrato nº 2023/0024308</v>
      </c>
      <c r="J38" s="136">
        <f t="shared" si="2"/>
        <v>0</v>
      </c>
      <c r="K38" s="136">
        <v>0</v>
      </c>
      <c r="L38" s="137" t="e">
        <f>VLOOKUP(A38,'APONTAMENTO CREDENCIAMENTO'!$D$6:$P$2821,5,0)</f>
        <v>#N/A</v>
      </c>
      <c r="M38" s="138"/>
      <c r="N38" s="139"/>
      <c r="O38" s="140"/>
      <c r="P38" s="141"/>
      <c r="Q38" s="141"/>
      <c r="R38" s="141"/>
      <c r="S38" s="142"/>
      <c r="T38" s="143" t="e">
        <f t="shared" si="3"/>
        <v>#N/A</v>
      </c>
      <c r="U38" s="144">
        <f t="shared" si="4"/>
        <v>0</v>
      </c>
      <c r="V38" s="145">
        <f t="shared" si="5"/>
        <v>0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2023/0024308 - DRE - FB</v>
      </c>
      <c r="AB38" s="238" t="e">
        <f t="shared" si="6"/>
        <v>#N/A</v>
      </c>
      <c r="AC38" s="239"/>
      <c r="AD38" s="240"/>
      <c r="AE38" s="242"/>
      <c r="AF38" s="102"/>
    </row>
    <row r="39" spans="1:32" s="57" customFormat="1" ht="20.100000000000001" customHeight="1" x14ac:dyDescent="0.25">
      <c r="A39" s="653" t="s">
        <v>3441</v>
      </c>
      <c r="B39" s="130"/>
      <c r="C39" s="131">
        <f t="shared" si="0"/>
        <v>0</v>
      </c>
      <c r="D39" s="132" t="e">
        <f>VLOOKUP(A39,'APONTAMENTO CREDENCIAMENTO'!$D$6:$P$2821,12,0)</f>
        <v>#N/A</v>
      </c>
      <c r="E39" s="133"/>
      <c r="F39" s="134">
        <f>SUMIF('APONTAMENTO CREDENCIAMENTO'!$D$6:$D$2821,'ATESTE-LIQ'!A39,'APONTAMENTO CREDENCIAMENTO'!$FF$6:$FF$2821)</f>
        <v>0</v>
      </c>
      <c r="G39" s="328" t="e">
        <f>VLOOKUP(A39,'APONTAMENTO CREDENCIAMENTO'!$D$6:$G$2821,3,0)</f>
        <v>#N/A</v>
      </c>
      <c r="H39" s="328" t="e">
        <f>VLOOKUP(A39,'APONTAMENTO CREDENCIAMENTO'!$D$6:$G$2821,4,0)</f>
        <v>#N/A</v>
      </c>
      <c r="I39" s="135" t="str">
        <f t="shared" si="1"/>
        <v>PE - Pagto. Doc(s):  - Contrato nº 2023/0026169</v>
      </c>
      <c r="J39" s="136">
        <f t="shared" si="2"/>
        <v>0</v>
      </c>
      <c r="K39" s="136">
        <v>0</v>
      </c>
      <c r="L39" s="137" t="e">
        <f>VLOOKUP(A39,'APONTAMENTO CREDENCIAMENTO'!$D$6:$P$2821,5,0)</f>
        <v>#N/A</v>
      </c>
      <c r="M39" s="138"/>
      <c r="N39" s="139"/>
      <c r="O39" s="140"/>
      <c r="P39" s="141"/>
      <c r="Q39" s="141"/>
      <c r="R39" s="141"/>
      <c r="S39" s="142"/>
      <c r="T39" s="143" t="e">
        <f t="shared" si="3"/>
        <v>#N/A</v>
      </c>
      <c r="U39" s="144">
        <f t="shared" si="4"/>
        <v>0</v>
      </c>
      <c r="V39" s="145">
        <f t="shared" si="5"/>
        <v>0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2023/0026169 - DRE - FB</v>
      </c>
      <c r="AB39" s="238" t="e">
        <f t="shared" si="6"/>
        <v>#N/A</v>
      </c>
      <c r="AC39" s="239"/>
      <c r="AD39" s="240"/>
      <c r="AE39" s="242"/>
      <c r="AF39" s="102"/>
    </row>
    <row r="40" spans="1:32" s="57" customFormat="1" ht="20.100000000000001" customHeight="1" x14ac:dyDescent="0.25">
      <c r="A40" s="653" t="s">
        <v>3475</v>
      </c>
      <c r="B40" s="130"/>
      <c r="C40" s="131">
        <f t="shared" si="0"/>
        <v>0</v>
      </c>
      <c r="D40" s="132" t="e">
        <f>VLOOKUP(A40,'APONTAMENTO CREDENCIAMENTO'!$D$6:$P$2821,12,0)</f>
        <v>#N/A</v>
      </c>
      <c r="E40" s="133"/>
      <c r="F40" s="134">
        <f>SUMIF('APONTAMENTO CREDENCIAMENTO'!$D$6:$D$2821,'ATESTE-LIQ'!A40,'APONTAMENTO CREDENCIAMENTO'!$FF$6:$FF$2821)</f>
        <v>0</v>
      </c>
      <c r="G40" s="328" t="e">
        <f>VLOOKUP(A40,'APONTAMENTO CREDENCIAMENTO'!$D$6:$G$2821,3,0)</f>
        <v>#N/A</v>
      </c>
      <c r="H40" s="328" t="e">
        <f>VLOOKUP(A40,'APONTAMENTO CREDENCIAMENTO'!$D$6:$G$2821,4,0)</f>
        <v>#N/A</v>
      </c>
      <c r="I40" s="135" t="str">
        <f t="shared" si="1"/>
        <v>PE - Pagto. Doc(s):  - Contrato nº 2023/0029725</v>
      </c>
      <c r="J40" s="136">
        <f t="shared" si="2"/>
        <v>0</v>
      </c>
      <c r="K40" s="136">
        <v>0</v>
      </c>
      <c r="L40" s="137" t="e">
        <f>VLOOKUP(A40,'APONTAMENTO CREDENCIAMENTO'!$D$6:$P$2821,5,0)</f>
        <v>#N/A</v>
      </c>
      <c r="M40" s="138"/>
      <c r="N40" s="139"/>
      <c r="O40" s="140"/>
      <c r="P40" s="141"/>
      <c r="Q40" s="141"/>
      <c r="R40" s="141"/>
      <c r="S40" s="142"/>
      <c r="T40" s="143" t="e">
        <f t="shared" si="3"/>
        <v>#N/A</v>
      </c>
      <c r="U40" s="144">
        <f t="shared" si="4"/>
        <v>0</v>
      </c>
      <c r="V40" s="145">
        <f t="shared" si="5"/>
        <v>0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2023/0029725 - DRE - FB</v>
      </c>
      <c r="AB40" s="238" t="e">
        <f t="shared" si="6"/>
        <v>#N/A</v>
      </c>
      <c r="AC40" s="239"/>
      <c r="AD40" s="240"/>
      <c r="AE40" s="242"/>
      <c r="AF40" s="102"/>
    </row>
    <row r="41" spans="1:32" s="57" customFormat="1" ht="20.100000000000001" customHeight="1" x14ac:dyDescent="0.25">
      <c r="A41" s="653" t="s">
        <v>3255</v>
      </c>
      <c r="B41" s="130"/>
      <c r="C41" s="131">
        <f t="shared" si="0"/>
        <v>0</v>
      </c>
      <c r="D41" s="132" t="e">
        <f>VLOOKUP(A41,'APONTAMENTO CREDENCIAMENTO'!$D$6:$P$2821,12,0)</f>
        <v>#N/A</v>
      </c>
      <c r="E41" s="133"/>
      <c r="F41" s="134">
        <f>SUMIF('APONTAMENTO CREDENCIAMENTO'!$D$6:$D$2821,'ATESTE-LIQ'!A41,'APONTAMENTO CREDENCIAMENTO'!$FF$6:$FF$2821)</f>
        <v>0</v>
      </c>
      <c r="G41" s="328" t="e">
        <f>VLOOKUP(A41,'APONTAMENTO CREDENCIAMENTO'!$D$6:$G$2821,3,0)</f>
        <v>#N/A</v>
      </c>
      <c r="H41" s="328" t="e">
        <f>VLOOKUP(A41,'APONTAMENTO CREDENCIAMENTO'!$D$6:$G$2821,4,0)</f>
        <v>#N/A</v>
      </c>
      <c r="I41" s="135" t="str">
        <f t="shared" si="1"/>
        <v>PE - Pagto. Doc(s):  - Contrato nº 2023/0030066</v>
      </c>
      <c r="J41" s="136">
        <f t="shared" si="2"/>
        <v>0</v>
      </c>
      <c r="K41" s="136">
        <v>0</v>
      </c>
      <c r="L41" s="137" t="e">
        <f>VLOOKUP(A41,'APONTAMENTO CREDENCIAMENTO'!$D$6:$P$2821,5,0)</f>
        <v>#N/A</v>
      </c>
      <c r="M41" s="138"/>
      <c r="N41" s="139"/>
      <c r="O41" s="140"/>
      <c r="P41" s="141"/>
      <c r="Q41" s="141"/>
      <c r="R41" s="141"/>
      <c r="S41" s="142"/>
      <c r="T41" s="143" t="e">
        <f t="shared" si="3"/>
        <v>#N/A</v>
      </c>
      <c r="U41" s="144">
        <f t="shared" si="4"/>
        <v>0</v>
      </c>
      <c r="V41" s="145">
        <f t="shared" si="5"/>
        <v>0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2023/0030066 - DRE - FB</v>
      </c>
      <c r="AB41" s="238" t="e">
        <f t="shared" si="6"/>
        <v>#N/A</v>
      </c>
      <c r="AC41" s="239"/>
      <c r="AD41" s="240"/>
      <c r="AE41" s="242"/>
      <c r="AF41" s="102"/>
    </row>
    <row r="42" spans="1:32" s="57" customFormat="1" ht="20.100000000000001" customHeight="1" x14ac:dyDescent="0.25">
      <c r="A42" s="653" t="s">
        <v>3399</v>
      </c>
      <c r="B42" s="130"/>
      <c r="C42" s="131">
        <f t="shared" si="0"/>
        <v>0</v>
      </c>
      <c r="D42" s="132" t="e">
        <f>VLOOKUP(A42,'APONTAMENTO CREDENCIAMENTO'!$D$6:$P$2821,12,0)</f>
        <v>#N/A</v>
      </c>
      <c r="E42" s="133"/>
      <c r="F42" s="134">
        <f>SUMIF('APONTAMENTO CREDENCIAMENTO'!$D$6:$D$2821,'ATESTE-LIQ'!A42,'APONTAMENTO CREDENCIAMENTO'!$FF$6:$FF$2821)</f>
        <v>0</v>
      </c>
      <c r="G42" s="328" t="e">
        <f>VLOOKUP(A42,'APONTAMENTO CREDENCIAMENTO'!$D$6:$G$2821,3,0)</f>
        <v>#N/A</v>
      </c>
      <c r="H42" s="328" t="e">
        <f>VLOOKUP(A42,'APONTAMENTO CREDENCIAMENTO'!$D$6:$G$2821,4,0)</f>
        <v>#N/A</v>
      </c>
      <c r="I42" s="135" t="str">
        <f t="shared" si="1"/>
        <v>PE - Pagto. Doc(s):  - Contrato nº 2024/0018157</v>
      </c>
      <c r="J42" s="136">
        <f t="shared" si="2"/>
        <v>0</v>
      </c>
      <c r="K42" s="136">
        <v>0</v>
      </c>
      <c r="L42" s="137" t="e">
        <f>VLOOKUP(A42,'APONTAMENTO CREDENCIAMENTO'!$D$6:$P$2821,5,0)</f>
        <v>#N/A</v>
      </c>
      <c r="M42" s="138"/>
      <c r="N42" s="139"/>
      <c r="O42" s="140"/>
      <c r="P42" s="141"/>
      <c r="Q42" s="141"/>
      <c r="R42" s="141"/>
      <c r="S42" s="142"/>
      <c r="T42" s="143" t="e">
        <f t="shared" si="3"/>
        <v>#N/A</v>
      </c>
      <c r="U42" s="144">
        <f t="shared" si="4"/>
        <v>0</v>
      </c>
      <c r="V42" s="145">
        <f t="shared" si="5"/>
        <v>0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2024/0018157 - DRE - FB</v>
      </c>
      <c r="AB42" s="238" t="e">
        <f t="shared" si="6"/>
        <v>#N/A</v>
      </c>
      <c r="AC42" s="239"/>
      <c r="AD42" s="240"/>
      <c r="AE42" s="242"/>
      <c r="AF42" s="102"/>
    </row>
    <row r="43" spans="1:32" s="57" customFormat="1" ht="20.100000000000001" customHeight="1" x14ac:dyDescent="0.25">
      <c r="A43" s="653" t="s">
        <v>3418</v>
      </c>
      <c r="B43" s="130"/>
      <c r="C43" s="131">
        <f t="shared" si="0"/>
        <v>0</v>
      </c>
      <c r="D43" s="132" t="e">
        <f>VLOOKUP(A43,'APONTAMENTO CREDENCIAMENTO'!$D$6:$P$2821,12,0)</f>
        <v>#N/A</v>
      </c>
      <c r="E43" s="133"/>
      <c r="F43" s="134">
        <f>SUMIF('APONTAMENTO CREDENCIAMENTO'!$D$6:$D$2821,'ATESTE-LIQ'!A43,'APONTAMENTO CREDENCIAMENTO'!$FF$6:$FF$2821)</f>
        <v>0</v>
      </c>
      <c r="G43" s="328" t="e">
        <f>VLOOKUP(A43,'APONTAMENTO CREDENCIAMENTO'!$D$6:$G$2821,3,0)</f>
        <v>#N/A</v>
      </c>
      <c r="H43" s="328" t="e">
        <f>VLOOKUP(A43,'APONTAMENTO CREDENCIAMENTO'!$D$6:$G$2821,4,0)</f>
        <v>#N/A</v>
      </c>
      <c r="I43" s="135" t="str">
        <f t="shared" si="1"/>
        <v>PE - Pagto. Doc(s):  - Contrato nº 2024/0021629</v>
      </c>
      <c r="J43" s="136">
        <f t="shared" si="2"/>
        <v>0</v>
      </c>
      <c r="K43" s="136">
        <v>0</v>
      </c>
      <c r="L43" s="137" t="e">
        <f>VLOOKUP(A43,'APONTAMENTO CREDENCIAMENTO'!$D$6:$P$2821,5,0)</f>
        <v>#N/A</v>
      </c>
      <c r="M43" s="138"/>
      <c r="N43" s="139"/>
      <c r="O43" s="140"/>
      <c r="P43" s="141"/>
      <c r="Q43" s="141"/>
      <c r="R43" s="141"/>
      <c r="S43" s="142"/>
      <c r="T43" s="143" t="e">
        <f t="shared" si="3"/>
        <v>#N/A</v>
      </c>
      <c r="U43" s="144">
        <f t="shared" si="4"/>
        <v>0</v>
      </c>
      <c r="V43" s="145">
        <f t="shared" si="5"/>
        <v>0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2024/0021629 - DRE - FB</v>
      </c>
      <c r="AB43" s="238" t="e">
        <f t="shared" si="6"/>
        <v>#N/A</v>
      </c>
      <c r="AC43" s="239"/>
      <c r="AD43" s="240"/>
      <c r="AE43" s="242"/>
      <c r="AF43" s="102"/>
    </row>
    <row r="44" spans="1:32" s="57" customFormat="1" ht="20.100000000000001" customHeight="1" x14ac:dyDescent="0.25">
      <c r="A44" s="653" t="s">
        <v>3458</v>
      </c>
      <c r="B44" s="130"/>
      <c r="C44" s="131">
        <f t="shared" si="0"/>
        <v>0</v>
      </c>
      <c r="D44" s="132" t="e">
        <f>VLOOKUP(A44,'APONTAMENTO CREDENCIAMENTO'!$D$6:$P$2821,12,0)</f>
        <v>#N/A</v>
      </c>
      <c r="E44" s="133"/>
      <c r="F44" s="134">
        <f>SUMIF('APONTAMENTO CREDENCIAMENTO'!$D$6:$D$2821,'ATESTE-LIQ'!A44,'APONTAMENTO CREDENCIAMENTO'!$FF$6:$FF$2821)</f>
        <v>0</v>
      </c>
      <c r="G44" s="328" t="e">
        <f>VLOOKUP(A44,'APONTAMENTO CREDENCIAMENTO'!$D$6:$G$2821,3,0)</f>
        <v>#N/A</v>
      </c>
      <c r="H44" s="328" t="e">
        <f>VLOOKUP(A44,'APONTAMENTO CREDENCIAMENTO'!$D$6:$G$2821,4,0)</f>
        <v>#N/A</v>
      </c>
      <c r="I44" s="135" t="str">
        <f t="shared" si="1"/>
        <v>PE - Pagto. Doc(s):  - Contrato nº 2024/0034586</v>
      </c>
      <c r="J44" s="136">
        <f t="shared" si="2"/>
        <v>0</v>
      </c>
      <c r="K44" s="136">
        <v>0</v>
      </c>
      <c r="L44" s="137" t="e">
        <f>VLOOKUP(A44,'APONTAMENTO CREDENCIAMENTO'!$D$6:$P$2821,5,0)</f>
        <v>#N/A</v>
      </c>
      <c r="M44" s="138"/>
      <c r="N44" s="139"/>
      <c r="O44" s="140"/>
      <c r="P44" s="141"/>
      <c r="Q44" s="141"/>
      <c r="R44" s="141"/>
      <c r="S44" s="142"/>
      <c r="T44" s="143" t="e">
        <f t="shared" si="3"/>
        <v>#N/A</v>
      </c>
      <c r="U44" s="144">
        <f t="shared" si="4"/>
        <v>0</v>
      </c>
      <c r="V44" s="145">
        <f t="shared" si="5"/>
        <v>0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2024/0034586 - DRE - FB</v>
      </c>
      <c r="AB44" s="238" t="e">
        <f t="shared" si="6"/>
        <v>#N/A</v>
      </c>
      <c r="AC44" s="239"/>
      <c r="AD44" s="240"/>
      <c r="AE44" s="242"/>
      <c r="AF44" s="102"/>
    </row>
    <row r="45" spans="1:32" s="57" customFormat="1" ht="20.100000000000001" customHeight="1" x14ac:dyDescent="0.25">
      <c r="A45" s="653" t="s">
        <v>3383</v>
      </c>
      <c r="B45" s="130"/>
      <c r="C45" s="131">
        <f t="shared" si="0"/>
        <v>0</v>
      </c>
      <c r="D45" s="132" t="e">
        <f>VLOOKUP(A45,'APONTAMENTO CREDENCIAMENTO'!$D$6:$P$2821,12,0)</f>
        <v>#N/A</v>
      </c>
      <c r="E45" s="133"/>
      <c r="F45" s="134">
        <f>SUMIF('APONTAMENTO CREDENCIAMENTO'!$D$6:$D$2821,'ATESTE-LIQ'!A45,'APONTAMENTO CREDENCIAMENTO'!$FF$6:$FF$2821)</f>
        <v>0</v>
      </c>
      <c r="G45" s="328" t="e">
        <f>VLOOKUP(A45,'APONTAMENTO CREDENCIAMENTO'!$D$6:$G$2821,3,0)</f>
        <v>#N/A</v>
      </c>
      <c r="H45" s="328" t="e">
        <f>VLOOKUP(A45,'APONTAMENTO CREDENCIAMENTO'!$D$6:$G$2821,4,0)</f>
        <v>#N/A</v>
      </c>
      <c r="I45" s="135" t="str">
        <f t="shared" si="1"/>
        <v>PE - Pagto. Doc(s):  - Contrato nº 2024/0048650</v>
      </c>
      <c r="J45" s="136">
        <f t="shared" si="2"/>
        <v>0</v>
      </c>
      <c r="K45" s="136">
        <v>0</v>
      </c>
      <c r="L45" s="137" t="e">
        <f>VLOOKUP(A45,'APONTAMENTO CREDENCIAMENTO'!$D$6:$P$2821,5,0)</f>
        <v>#N/A</v>
      </c>
      <c r="M45" s="138"/>
      <c r="N45" s="139"/>
      <c r="O45" s="140"/>
      <c r="P45" s="141"/>
      <c r="Q45" s="141"/>
      <c r="R45" s="141"/>
      <c r="S45" s="142"/>
      <c r="T45" s="143" t="e">
        <f t="shared" si="3"/>
        <v>#N/A</v>
      </c>
      <c r="U45" s="144">
        <f t="shared" si="4"/>
        <v>0</v>
      </c>
      <c r="V45" s="145">
        <f t="shared" si="5"/>
        <v>0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2024/0048650 - DRE - FB</v>
      </c>
      <c r="AB45" s="238" t="e">
        <f t="shared" si="6"/>
        <v>#N/A</v>
      </c>
      <c r="AC45" s="239"/>
      <c r="AD45" s="240"/>
      <c r="AE45" s="242"/>
      <c r="AF45" s="102"/>
    </row>
    <row r="46" spans="1:32" s="57" customFormat="1" ht="20.100000000000001" customHeight="1" x14ac:dyDescent="0.25">
      <c r="A46" s="653" t="s">
        <v>3370</v>
      </c>
      <c r="B46" s="130"/>
      <c r="C46" s="131">
        <f t="shared" si="0"/>
        <v>0</v>
      </c>
      <c r="D46" s="132" t="e">
        <f>VLOOKUP(A46,'APONTAMENTO CREDENCIAMENTO'!$D$6:$P$2821,12,0)</f>
        <v>#N/A</v>
      </c>
      <c r="E46" s="133"/>
      <c r="F46" s="134">
        <f>SUMIF('APONTAMENTO CREDENCIAMENTO'!$D$6:$D$2821,'ATESTE-LIQ'!A46,'APONTAMENTO CREDENCIAMENTO'!$FF$6:$FF$2821)</f>
        <v>0</v>
      </c>
      <c r="G46" s="328" t="e">
        <f>VLOOKUP(A46,'APONTAMENTO CREDENCIAMENTO'!$D$6:$G$2821,3,0)</f>
        <v>#N/A</v>
      </c>
      <c r="H46" s="328" t="e">
        <f>VLOOKUP(A46,'APONTAMENTO CREDENCIAMENTO'!$D$6:$G$2821,4,0)</f>
        <v>#N/A</v>
      </c>
      <c r="I46" s="135" t="str">
        <f t="shared" si="1"/>
        <v>PE - Pagto. Doc(s):  - Contrato nº 2024/0056045</v>
      </c>
      <c r="J46" s="136">
        <f t="shared" si="2"/>
        <v>0</v>
      </c>
      <c r="K46" s="136">
        <v>0</v>
      </c>
      <c r="L46" s="137" t="e">
        <f>VLOOKUP(A46,'APONTAMENTO CREDENCIAMENTO'!$D$6:$P$2821,5,0)</f>
        <v>#N/A</v>
      </c>
      <c r="M46" s="138"/>
      <c r="N46" s="139"/>
      <c r="O46" s="140"/>
      <c r="P46" s="141"/>
      <c r="Q46" s="141"/>
      <c r="R46" s="141"/>
      <c r="S46" s="142"/>
      <c r="T46" s="143" t="e">
        <f t="shared" si="3"/>
        <v>#N/A</v>
      </c>
      <c r="U46" s="144">
        <f t="shared" si="4"/>
        <v>0</v>
      </c>
      <c r="V46" s="145">
        <f t="shared" si="5"/>
        <v>0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2024/0056045 - DRE - FB</v>
      </c>
      <c r="AB46" s="238" t="e">
        <f t="shared" si="6"/>
        <v>#N/A</v>
      </c>
      <c r="AC46" s="239"/>
      <c r="AD46" s="240"/>
      <c r="AE46" s="242"/>
      <c r="AF46" s="102"/>
    </row>
    <row r="47" spans="1:32" s="57" customFormat="1" ht="20.100000000000001" customHeight="1" x14ac:dyDescent="0.25">
      <c r="A47" s="653" t="s">
        <v>3376</v>
      </c>
      <c r="B47" s="130"/>
      <c r="C47" s="131">
        <f t="shared" si="0"/>
        <v>0</v>
      </c>
      <c r="D47" s="132" t="e">
        <f>VLOOKUP(A47,'APONTAMENTO CREDENCIAMENTO'!$D$6:$P$2821,12,0)</f>
        <v>#N/A</v>
      </c>
      <c r="E47" s="133"/>
      <c r="F47" s="134">
        <f>SUMIF('APONTAMENTO CREDENCIAMENTO'!$D$6:$D$2821,'ATESTE-LIQ'!A47,'APONTAMENTO CREDENCIAMENTO'!$FF$6:$FF$2821)</f>
        <v>0</v>
      </c>
      <c r="G47" s="328" t="e">
        <f>VLOOKUP(A47,'APONTAMENTO CREDENCIAMENTO'!$D$6:$G$2821,3,0)</f>
        <v>#N/A</v>
      </c>
      <c r="H47" s="328" t="e">
        <f>VLOOKUP(A47,'APONTAMENTO CREDENCIAMENTO'!$D$6:$G$2821,4,0)</f>
        <v>#N/A</v>
      </c>
      <c r="I47" s="135" t="str">
        <f t="shared" si="1"/>
        <v>PE - Pagto. Doc(s):  - Contrato nº 2024/0057053</v>
      </c>
      <c r="J47" s="136">
        <f t="shared" si="2"/>
        <v>0</v>
      </c>
      <c r="K47" s="136">
        <v>0</v>
      </c>
      <c r="L47" s="137" t="e">
        <f>VLOOKUP(A47,'APONTAMENTO CREDENCIAMENTO'!$D$6:$P$2821,5,0)</f>
        <v>#N/A</v>
      </c>
      <c r="M47" s="138"/>
      <c r="N47" s="139"/>
      <c r="O47" s="140"/>
      <c r="P47" s="141"/>
      <c r="Q47" s="141"/>
      <c r="R47" s="141"/>
      <c r="S47" s="142"/>
      <c r="T47" s="143" t="e">
        <f t="shared" si="3"/>
        <v>#N/A</v>
      </c>
      <c r="U47" s="144">
        <f t="shared" si="4"/>
        <v>0</v>
      </c>
      <c r="V47" s="145">
        <f t="shared" si="5"/>
        <v>0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2024/0057053 - DRE - FB</v>
      </c>
      <c r="AB47" s="238" t="e">
        <f t="shared" si="6"/>
        <v>#N/A</v>
      </c>
      <c r="AC47" s="239"/>
      <c r="AD47" s="240"/>
      <c r="AE47" s="242"/>
      <c r="AF47" s="102"/>
    </row>
    <row r="48" spans="1:32" s="57" customFormat="1" ht="20.100000000000001" customHeight="1" x14ac:dyDescent="0.25">
      <c r="A48" s="653" t="s">
        <v>3354</v>
      </c>
      <c r="B48" s="130"/>
      <c r="C48" s="131">
        <f t="shared" si="0"/>
        <v>0</v>
      </c>
      <c r="D48" s="132" t="e">
        <f>VLOOKUP(A48,'APONTAMENTO CREDENCIAMENTO'!$D$6:$P$2821,12,0)</f>
        <v>#N/A</v>
      </c>
      <c r="E48" s="133"/>
      <c r="F48" s="134">
        <f>SUMIF('APONTAMENTO CREDENCIAMENTO'!$D$6:$D$2821,'ATESTE-LIQ'!A48,'APONTAMENTO CREDENCIAMENTO'!$FF$6:$FF$2821)</f>
        <v>0</v>
      </c>
      <c r="G48" s="328" t="e">
        <f>VLOOKUP(A48,'APONTAMENTO CREDENCIAMENTO'!$D$6:$G$2821,3,0)</f>
        <v>#N/A</v>
      </c>
      <c r="H48" s="328" t="e">
        <f>VLOOKUP(A48,'APONTAMENTO CREDENCIAMENTO'!$D$6:$G$2821,4,0)</f>
        <v>#N/A</v>
      </c>
      <c r="I48" s="135" t="str">
        <f t="shared" si="1"/>
        <v>PE - Pagto. Doc(s):  - Contrato nº 2024/0057629</v>
      </c>
      <c r="J48" s="136">
        <f t="shared" si="2"/>
        <v>0</v>
      </c>
      <c r="K48" s="136">
        <v>0</v>
      </c>
      <c r="L48" s="137" t="e">
        <f>VLOOKUP(A48,'APONTAMENTO CREDENCIAMENTO'!$D$6:$P$2821,5,0)</f>
        <v>#N/A</v>
      </c>
      <c r="M48" s="138"/>
      <c r="N48" s="139"/>
      <c r="O48" s="140"/>
      <c r="P48" s="141"/>
      <c r="Q48" s="141"/>
      <c r="R48" s="141"/>
      <c r="S48" s="142"/>
      <c r="T48" s="143" t="e">
        <f t="shared" si="3"/>
        <v>#N/A</v>
      </c>
      <c r="U48" s="144">
        <f t="shared" si="4"/>
        <v>0</v>
      </c>
      <c r="V48" s="145">
        <f t="shared" si="5"/>
        <v>0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2024/0057629 - DRE - FB</v>
      </c>
      <c r="AB48" s="238" t="e">
        <f t="shared" si="6"/>
        <v>#N/A</v>
      </c>
      <c r="AC48" s="239"/>
      <c r="AD48" s="240"/>
      <c r="AE48" s="242"/>
      <c r="AF48" s="102"/>
    </row>
    <row r="49" spans="1:32" s="57" customFormat="1" ht="20.100000000000001" customHeight="1" x14ac:dyDescent="0.25">
      <c r="A49" s="653" t="s">
        <v>3286</v>
      </c>
      <c r="B49" s="130"/>
      <c r="C49" s="131">
        <f t="shared" si="0"/>
        <v>0</v>
      </c>
      <c r="D49" s="132" t="e">
        <f>VLOOKUP(A49,'APONTAMENTO CREDENCIAMENTO'!$D$6:$P$2821,12,0)</f>
        <v>#N/A</v>
      </c>
      <c r="E49" s="133"/>
      <c r="F49" s="134">
        <f>SUMIF('APONTAMENTO CREDENCIAMENTO'!$D$6:$D$2821,'ATESTE-LIQ'!A49,'APONTAMENTO CREDENCIAMENTO'!$FF$6:$FF$2821)</f>
        <v>0</v>
      </c>
      <c r="G49" s="328" t="e">
        <f>VLOOKUP(A49,'APONTAMENTO CREDENCIAMENTO'!$D$6:$G$2821,3,0)</f>
        <v>#N/A</v>
      </c>
      <c r="H49" s="328" t="e">
        <f>VLOOKUP(A49,'APONTAMENTO CREDENCIAMENTO'!$D$6:$G$2821,4,0)</f>
        <v>#N/A</v>
      </c>
      <c r="I49" s="135" t="str">
        <f t="shared" si="1"/>
        <v>PE - Pagto. Doc(s):  - Contrato nº 2025/0001732</v>
      </c>
      <c r="J49" s="136">
        <f t="shared" si="2"/>
        <v>0</v>
      </c>
      <c r="K49" s="136">
        <v>0</v>
      </c>
      <c r="L49" s="137" t="e">
        <f>VLOOKUP(A49,'APONTAMENTO CREDENCIAMENTO'!$D$6:$P$2821,5,0)</f>
        <v>#N/A</v>
      </c>
      <c r="M49" s="138"/>
      <c r="N49" s="139"/>
      <c r="O49" s="140"/>
      <c r="P49" s="141"/>
      <c r="Q49" s="141"/>
      <c r="R49" s="141"/>
      <c r="S49" s="142"/>
      <c r="T49" s="143" t="e">
        <f t="shared" si="3"/>
        <v>#N/A</v>
      </c>
      <c r="U49" s="144">
        <f t="shared" si="4"/>
        <v>0</v>
      </c>
      <c r="V49" s="145">
        <f t="shared" si="5"/>
        <v>0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2025/0001732 - DRE - FB</v>
      </c>
      <c r="AB49" s="238" t="e">
        <f t="shared" si="6"/>
        <v>#N/A</v>
      </c>
      <c r="AC49" s="239"/>
      <c r="AD49" s="240"/>
      <c r="AE49" s="242"/>
      <c r="AF49" s="102"/>
    </row>
    <row r="50" spans="1:32" s="57" customFormat="1" ht="20.100000000000001" customHeight="1" x14ac:dyDescent="0.25">
      <c r="A50" s="653" t="s">
        <v>3294</v>
      </c>
      <c r="B50" s="130"/>
      <c r="C50" s="131">
        <f t="shared" si="0"/>
        <v>0</v>
      </c>
      <c r="D50" s="132" t="e">
        <f>VLOOKUP(A50,'APONTAMENTO CREDENCIAMENTO'!$D$6:$P$2821,12,0)</f>
        <v>#N/A</v>
      </c>
      <c r="E50" s="133"/>
      <c r="F50" s="134">
        <f>SUMIF('APONTAMENTO CREDENCIAMENTO'!$D$6:$D$2821,'ATESTE-LIQ'!A50,'APONTAMENTO CREDENCIAMENTO'!$FF$6:$FF$2821)</f>
        <v>0</v>
      </c>
      <c r="G50" s="328" t="e">
        <f>VLOOKUP(A50,'APONTAMENTO CREDENCIAMENTO'!$D$6:$G$2821,3,0)</f>
        <v>#N/A</v>
      </c>
      <c r="H50" s="328" t="e">
        <f>VLOOKUP(A50,'APONTAMENTO CREDENCIAMENTO'!$D$6:$G$2821,4,0)</f>
        <v>#N/A</v>
      </c>
      <c r="I50" s="135" t="str">
        <f t="shared" si="1"/>
        <v>PE - Pagto. Doc(s):  - Contrato nº 2025/0001816</v>
      </c>
      <c r="J50" s="136">
        <f t="shared" si="2"/>
        <v>0</v>
      </c>
      <c r="K50" s="136">
        <v>0</v>
      </c>
      <c r="L50" s="137" t="e">
        <f>VLOOKUP(A50,'APONTAMENTO CREDENCIAMENTO'!$D$6:$P$2821,5,0)</f>
        <v>#N/A</v>
      </c>
      <c r="M50" s="138"/>
      <c r="N50" s="139"/>
      <c r="O50" s="140"/>
      <c r="P50" s="141"/>
      <c r="Q50" s="141"/>
      <c r="R50" s="141"/>
      <c r="S50" s="142"/>
      <c r="T50" s="143" t="e">
        <f t="shared" si="3"/>
        <v>#N/A</v>
      </c>
      <c r="U50" s="144">
        <f t="shared" si="4"/>
        <v>0</v>
      </c>
      <c r="V50" s="145">
        <f t="shared" si="5"/>
        <v>0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2025/0001816 - DRE - FB</v>
      </c>
      <c r="AB50" s="238" t="e">
        <f t="shared" si="6"/>
        <v>#N/A</v>
      </c>
      <c r="AC50" s="239"/>
      <c r="AD50" s="240"/>
      <c r="AE50" s="242"/>
      <c r="AF50" s="102"/>
    </row>
    <row r="51" spans="1:32" s="57" customFormat="1" ht="20.100000000000001" customHeight="1" x14ac:dyDescent="0.25">
      <c r="A51" s="653" t="s">
        <v>3317</v>
      </c>
      <c r="B51" s="130"/>
      <c r="C51" s="131">
        <f t="shared" si="0"/>
        <v>0</v>
      </c>
      <c r="D51" s="132" t="e">
        <f>VLOOKUP(A51,'APONTAMENTO CREDENCIAMENTO'!$D$6:$P$2821,12,0)</f>
        <v>#N/A</v>
      </c>
      <c r="E51" s="133"/>
      <c r="F51" s="134">
        <f>SUMIF('APONTAMENTO CREDENCIAMENTO'!$D$6:$D$2821,'ATESTE-LIQ'!A51,'APONTAMENTO CREDENCIAMENTO'!$FF$6:$FF$2821)</f>
        <v>0</v>
      </c>
      <c r="G51" s="328" t="e">
        <f>VLOOKUP(A51,'APONTAMENTO CREDENCIAMENTO'!$D$6:$G$2821,3,0)</f>
        <v>#N/A</v>
      </c>
      <c r="H51" s="328" t="e">
        <f>VLOOKUP(A51,'APONTAMENTO CREDENCIAMENTO'!$D$6:$G$2821,4,0)</f>
        <v>#N/A</v>
      </c>
      <c r="I51" s="135" t="str">
        <f t="shared" si="1"/>
        <v>PE - Pagto. Doc(s):  - Contrato nº 2025/0002087</v>
      </c>
      <c r="J51" s="136">
        <f t="shared" si="2"/>
        <v>0</v>
      </c>
      <c r="K51" s="136">
        <v>0</v>
      </c>
      <c r="L51" s="137" t="e">
        <f>VLOOKUP(A51,'APONTAMENTO CREDENCIAMENTO'!$D$6:$P$2821,5,0)</f>
        <v>#N/A</v>
      </c>
      <c r="M51" s="138"/>
      <c r="N51" s="139"/>
      <c r="O51" s="140"/>
      <c r="P51" s="141"/>
      <c r="Q51" s="141"/>
      <c r="R51" s="141"/>
      <c r="S51" s="142"/>
      <c r="T51" s="143" t="e">
        <f t="shared" si="3"/>
        <v>#N/A</v>
      </c>
      <c r="U51" s="144">
        <f t="shared" si="4"/>
        <v>0</v>
      </c>
      <c r="V51" s="145">
        <f t="shared" si="5"/>
        <v>0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2025/0002087 - DRE - FB</v>
      </c>
      <c r="AB51" s="238" t="e">
        <f t="shared" si="6"/>
        <v>#N/A</v>
      </c>
      <c r="AC51" s="239"/>
      <c r="AD51" s="240"/>
      <c r="AE51" s="242"/>
      <c r="AF51" s="102"/>
    </row>
    <row r="52" spans="1:32" s="57" customFormat="1" ht="20.100000000000001" customHeight="1" x14ac:dyDescent="0.25">
      <c r="A52" s="653" t="s">
        <v>3331</v>
      </c>
      <c r="B52" s="130"/>
      <c r="C52" s="131">
        <f t="shared" si="0"/>
        <v>0</v>
      </c>
      <c r="D52" s="132" t="e">
        <f>VLOOKUP(A52,'APONTAMENTO CREDENCIAMENTO'!$D$6:$P$2821,12,0)</f>
        <v>#N/A</v>
      </c>
      <c r="E52" s="133"/>
      <c r="F52" s="134">
        <f>SUMIF('APONTAMENTO CREDENCIAMENTO'!$D$6:$D$2821,'ATESTE-LIQ'!A52,'APONTAMENTO CREDENCIAMENTO'!$FF$6:$FF$2821)</f>
        <v>0</v>
      </c>
      <c r="G52" s="328" t="e">
        <f>VLOOKUP(A52,'APONTAMENTO CREDENCIAMENTO'!$D$6:$G$2821,3,0)</f>
        <v>#N/A</v>
      </c>
      <c r="H52" s="328" t="e">
        <f>VLOOKUP(A52,'APONTAMENTO CREDENCIAMENTO'!$D$6:$G$2821,4,0)</f>
        <v>#N/A</v>
      </c>
      <c r="I52" s="135" t="str">
        <f t="shared" si="1"/>
        <v>PE - Pagto. Doc(s):  - Contrato nº 2025/0002180</v>
      </c>
      <c r="J52" s="136">
        <f t="shared" si="2"/>
        <v>0</v>
      </c>
      <c r="K52" s="136">
        <v>0</v>
      </c>
      <c r="L52" s="137" t="e">
        <f>VLOOKUP(A52,'APONTAMENTO CREDENCIAMENTO'!$D$6:$P$2821,5,0)</f>
        <v>#N/A</v>
      </c>
      <c r="M52" s="138"/>
      <c r="N52" s="139"/>
      <c r="O52" s="140"/>
      <c r="P52" s="141"/>
      <c r="Q52" s="141"/>
      <c r="R52" s="141"/>
      <c r="S52" s="142"/>
      <c r="T52" s="143" t="e">
        <f t="shared" si="3"/>
        <v>#N/A</v>
      </c>
      <c r="U52" s="144">
        <f t="shared" si="4"/>
        <v>0</v>
      </c>
      <c r="V52" s="145">
        <f t="shared" si="5"/>
        <v>0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2025/0002180 - DRE - FB</v>
      </c>
      <c r="AB52" s="238" t="e">
        <f t="shared" si="6"/>
        <v>#N/A</v>
      </c>
      <c r="AC52" s="239"/>
      <c r="AD52" s="240"/>
      <c r="AE52" s="242"/>
      <c r="AF52" s="102"/>
    </row>
    <row r="53" spans="1:32" s="57" customFormat="1" ht="20.100000000000001" customHeight="1" x14ac:dyDescent="0.25">
      <c r="A53" s="653" t="s">
        <v>3334</v>
      </c>
      <c r="B53" s="130"/>
      <c r="C53" s="131">
        <f t="shared" si="0"/>
        <v>0</v>
      </c>
      <c r="D53" s="132" t="e">
        <f>VLOOKUP(A53,'APONTAMENTO CREDENCIAMENTO'!$D$6:$P$2821,12,0)</f>
        <v>#N/A</v>
      </c>
      <c r="E53" s="133"/>
      <c r="F53" s="134">
        <f>SUMIF('APONTAMENTO CREDENCIAMENTO'!$D$6:$D$2821,'ATESTE-LIQ'!A53,'APONTAMENTO CREDENCIAMENTO'!$FF$6:$FF$2821)</f>
        <v>0</v>
      </c>
      <c r="G53" s="328" t="e">
        <f>VLOOKUP(A53,'APONTAMENTO CREDENCIAMENTO'!$D$6:$G$2821,3,0)</f>
        <v>#N/A</v>
      </c>
      <c r="H53" s="328" t="e">
        <f>VLOOKUP(A53,'APONTAMENTO CREDENCIAMENTO'!$D$6:$G$2821,4,0)</f>
        <v>#N/A</v>
      </c>
      <c r="I53" s="135" t="str">
        <f t="shared" si="1"/>
        <v>PE - Pagto. Doc(s):  - Contrato nº 2025/0002370</v>
      </c>
      <c r="J53" s="136">
        <f t="shared" si="2"/>
        <v>0</v>
      </c>
      <c r="K53" s="136">
        <v>0</v>
      </c>
      <c r="L53" s="137" t="e">
        <f>VLOOKUP(A53,'APONTAMENTO CREDENCIAMENTO'!$D$6:$P$2821,5,0)</f>
        <v>#N/A</v>
      </c>
      <c r="M53" s="138"/>
      <c r="N53" s="139"/>
      <c r="O53" s="140"/>
      <c r="P53" s="141"/>
      <c r="Q53" s="141"/>
      <c r="R53" s="141"/>
      <c r="S53" s="142"/>
      <c r="T53" s="143" t="e">
        <f t="shared" si="3"/>
        <v>#N/A</v>
      </c>
      <c r="U53" s="144">
        <f t="shared" si="4"/>
        <v>0</v>
      </c>
      <c r="V53" s="145">
        <f t="shared" si="5"/>
        <v>0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2025/0002370 - DRE - FB</v>
      </c>
      <c r="AB53" s="238" t="e">
        <f t="shared" si="6"/>
        <v>#N/A</v>
      </c>
      <c r="AC53" s="239"/>
      <c r="AD53" s="240"/>
      <c r="AE53" s="242"/>
      <c r="AF53" s="102"/>
    </row>
    <row r="54" spans="1:32" s="57" customFormat="1" ht="20.100000000000001" customHeight="1" x14ac:dyDescent="0.25">
      <c r="A54" s="653" t="s">
        <v>3347</v>
      </c>
      <c r="B54" s="130"/>
      <c r="C54" s="131">
        <f t="shared" si="0"/>
        <v>0</v>
      </c>
      <c r="D54" s="132" t="e">
        <f>VLOOKUP(A54,'APONTAMENTO CREDENCIAMENTO'!$D$6:$P$2821,12,0)</f>
        <v>#N/A</v>
      </c>
      <c r="E54" s="133"/>
      <c r="F54" s="134">
        <f>SUMIF('APONTAMENTO CREDENCIAMENTO'!$D$6:$D$2821,'ATESTE-LIQ'!A54,'APONTAMENTO CREDENCIAMENTO'!$FF$6:$FF$2821)</f>
        <v>0</v>
      </c>
      <c r="G54" s="328" t="e">
        <f>VLOOKUP(A54,'APONTAMENTO CREDENCIAMENTO'!$D$6:$G$2821,3,0)</f>
        <v>#N/A</v>
      </c>
      <c r="H54" s="328" t="e">
        <f>VLOOKUP(A54,'APONTAMENTO CREDENCIAMENTO'!$D$6:$G$2821,4,0)</f>
        <v>#N/A</v>
      </c>
      <c r="I54" s="135" t="str">
        <f t="shared" si="1"/>
        <v>PE - Pagto. Doc(s):  - Contrato nº 2025/0002419</v>
      </c>
      <c r="J54" s="136">
        <f t="shared" si="2"/>
        <v>0</v>
      </c>
      <c r="K54" s="136">
        <v>0</v>
      </c>
      <c r="L54" s="137" t="e">
        <f>VLOOKUP(A54,'APONTAMENTO CREDENCIAMENTO'!$D$6:$P$2821,5,0)</f>
        <v>#N/A</v>
      </c>
      <c r="M54" s="138"/>
      <c r="N54" s="139"/>
      <c r="O54" s="140"/>
      <c r="P54" s="141"/>
      <c r="Q54" s="141"/>
      <c r="R54" s="141"/>
      <c r="S54" s="142"/>
      <c r="T54" s="143" t="e">
        <f t="shared" si="3"/>
        <v>#N/A</v>
      </c>
      <c r="U54" s="144">
        <f t="shared" si="4"/>
        <v>0</v>
      </c>
      <c r="V54" s="145">
        <f t="shared" si="5"/>
        <v>0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2025/0002419 - DRE - FB</v>
      </c>
      <c r="AB54" s="238" t="e">
        <f t="shared" si="6"/>
        <v>#N/A</v>
      </c>
      <c r="AC54" s="239"/>
      <c r="AD54" s="240"/>
      <c r="AE54" s="242"/>
      <c r="AF54" s="102"/>
    </row>
    <row r="55" spans="1:32" s="57" customFormat="1" ht="20.100000000000001" customHeight="1" x14ac:dyDescent="0.25">
      <c r="A55" s="653" t="s">
        <v>3350</v>
      </c>
      <c r="B55" s="130"/>
      <c r="C55" s="131">
        <f t="shared" si="0"/>
        <v>0</v>
      </c>
      <c r="D55" s="132" t="e">
        <f>VLOOKUP(A55,'APONTAMENTO CREDENCIAMENTO'!$D$6:$P$2821,12,0)</f>
        <v>#N/A</v>
      </c>
      <c r="E55" s="133"/>
      <c r="F55" s="134">
        <f>SUMIF('APONTAMENTO CREDENCIAMENTO'!$D$6:$D$2821,'ATESTE-LIQ'!A55,'APONTAMENTO CREDENCIAMENTO'!$FF$6:$FF$2821)</f>
        <v>0</v>
      </c>
      <c r="G55" s="328" t="e">
        <f>VLOOKUP(A55,'APONTAMENTO CREDENCIAMENTO'!$D$6:$G$2821,3,0)</f>
        <v>#N/A</v>
      </c>
      <c r="H55" s="328" t="e">
        <f>VLOOKUP(A55,'APONTAMENTO CREDENCIAMENTO'!$D$6:$G$2821,4,0)</f>
        <v>#N/A</v>
      </c>
      <c r="I55" s="135" t="str">
        <f t="shared" si="1"/>
        <v>PE - Pagto. Doc(s):  - Contrato nº 2025/0010603</v>
      </c>
      <c r="J55" s="136">
        <f t="shared" si="2"/>
        <v>0</v>
      </c>
      <c r="K55" s="136">
        <v>0</v>
      </c>
      <c r="L55" s="137" t="e">
        <f>VLOOKUP(A55,'APONTAMENTO CREDENCIAMENTO'!$D$6:$P$2821,5,0)</f>
        <v>#N/A</v>
      </c>
      <c r="M55" s="138"/>
      <c r="N55" s="139"/>
      <c r="O55" s="140"/>
      <c r="P55" s="141"/>
      <c r="Q55" s="141"/>
      <c r="R55" s="141"/>
      <c r="S55" s="142"/>
      <c r="T55" s="143" t="e">
        <f t="shared" si="3"/>
        <v>#N/A</v>
      </c>
      <c r="U55" s="144">
        <f t="shared" si="4"/>
        <v>0</v>
      </c>
      <c r="V55" s="145">
        <f t="shared" si="5"/>
        <v>0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2025/0010603 - DRE - FB</v>
      </c>
      <c r="AB55" s="238" t="e">
        <f t="shared" si="6"/>
        <v>#N/A</v>
      </c>
      <c r="AC55" s="239"/>
      <c r="AD55" s="240"/>
      <c r="AE55" s="242"/>
      <c r="AF55" s="102"/>
    </row>
    <row r="56" spans="1:32" s="57" customFormat="1" ht="20.100000000000001" customHeight="1" x14ac:dyDescent="0.25">
      <c r="A56" s="653" t="s">
        <v>3323</v>
      </c>
      <c r="B56" s="130"/>
      <c r="C56" s="131">
        <f t="shared" si="0"/>
        <v>0</v>
      </c>
      <c r="D56" s="132" t="e">
        <f>VLOOKUP(A56,'APONTAMENTO CREDENCIAMENTO'!$D$6:$P$2821,12,0)</f>
        <v>#N/A</v>
      </c>
      <c r="E56" s="133"/>
      <c r="F56" s="134">
        <f>SUMIF('APONTAMENTO CREDENCIAMENTO'!$D$6:$D$2821,'ATESTE-LIQ'!A56,'APONTAMENTO CREDENCIAMENTO'!$FF$6:$FF$2821)</f>
        <v>0</v>
      </c>
      <c r="G56" s="328" t="e">
        <f>VLOOKUP(A56,'APONTAMENTO CREDENCIAMENTO'!$D$6:$G$2821,3,0)</f>
        <v>#N/A</v>
      </c>
      <c r="H56" s="328" t="e">
        <f>VLOOKUP(A56,'APONTAMENTO CREDENCIAMENTO'!$D$6:$G$2821,4,0)</f>
        <v>#N/A</v>
      </c>
      <c r="I56" s="135" t="str">
        <f t="shared" si="1"/>
        <v>PE - Pagto. Doc(s):  - Contrato nº 2025/0010671</v>
      </c>
      <c r="J56" s="136">
        <f t="shared" si="2"/>
        <v>0</v>
      </c>
      <c r="K56" s="136">
        <v>0</v>
      </c>
      <c r="L56" s="137" t="e">
        <f>VLOOKUP(A56,'APONTAMENTO CREDENCIAMENTO'!$D$6:$P$2821,5,0)</f>
        <v>#N/A</v>
      </c>
      <c r="M56" s="138"/>
      <c r="N56" s="139"/>
      <c r="O56" s="140"/>
      <c r="P56" s="141"/>
      <c r="Q56" s="141"/>
      <c r="R56" s="141"/>
      <c r="S56" s="142"/>
      <c r="T56" s="143" t="e">
        <f t="shared" si="3"/>
        <v>#N/A</v>
      </c>
      <c r="U56" s="144">
        <f t="shared" si="4"/>
        <v>0</v>
      </c>
      <c r="V56" s="145">
        <f t="shared" si="5"/>
        <v>0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2025/0010671 - DRE - FB</v>
      </c>
      <c r="AB56" s="238" t="e">
        <f t="shared" si="6"/>
        <v>#N/A</v>
      </c>
      <c r="AC56" s="239"/>
      <c r="AD56" s="240"/>
      <c r="AE56" s="242"/>
      <c r="AF56" s="102"/>
    </row>
    <row r="57" spans="1:32" s="57" customFormat="1" ht="20.100000000000001" customHeight="1" x14ac:dyDescent="0.25">
      <c r="A57" s="653" t="s">
        <v>3253</v>
      </c>
      <c r="B57" s="130"/>
      <c r="C57" s="131">
        <f t="shared" si="0"/>
        <v>0</v>
      </c>
      <c r="D57" s="132" t="e">
        <f>VLOOKUP(A57,'APONTAMENTO CREDENCIAMENTO'!$D$6:$P$2821,12,0)</f>
        <v>#N/A</v>
      </c>
      <c r="E57" s="133"/>
      <c r="F57" s="134">
        <f>SUMIF('APONTAMENTO CREDENCIAMENTO'!$D$6:$D$2821,'ATESTE-LIQ'!A57,'APONTAMENTO CREDENCIAMENTO'!$FF$6:$FF$2821)</f>
        <v>0</v>
      </c>
      <c r="G57" s="328" t="e">
        <f>VLOOKUP(A57,'APONTAMENTO CREDENCIAMENTO'!$D$6:$G$2821,3,0)</f>
        <v>#N/A</v>
      </c>
      <c r="H57" s="328" t="e">
        <f>VLOOKUP(A57,'APONTAMENTO CREDENCIAMENTO'!$D$6:$G$2821,4,0)</f>
        <v>#N/A</v>
      </c>
      <c r="I57" s="135" t="str">
        <f t="shared" si="1"/>
        <v>PE - Pagto. Doc(s):  - Contrato nº 2025/0010904</v>
      </c>
      <c r="J57" s="136">
        <f t="shared" si="2"/>
        <v>0</v>
      </c>
      <c r="K57" s="136">
        <v>0</v>
      </c>
      <c r="L57" s="137" t="e">
        <f>VLOOKUP(A57,'APONTAMENTO CREDENCIAMENTO'!$D$6:$P$2821,5,0)</f>
        <v>#N/A</v>
      </c>
      <c r="M57" s="138"/>
      <c r="N57" s="139"/>
      <c r="O57" s="140"/>
      <c r="P57" s="141"/>
      <c r="Q57" s="141"/>
      <c r="R57" s="141"/>
      <c r="S57" s="142"/>
      <c r="T57" s="143" t="e">
        <f t="shared" si="3"/>
        <v>#N/A</v>
      </c>
      <c r="U57" s="144">
        <f t="shared" si="4"/>
        <v>0</v>
      </c>
      <c r="V57" s="145">
        <f t="shared" si="5"/>
        <v>0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2025/0010904 - DRE - FB</v>
      </c>
      <c r="AB57" s="238" t="e">
        <f t="shared" si="6"/>
        <v>#N/A</v>
      </c>
      <c r="AC57" s="239"/>
      <c r="AD57" s="240"/>
      <c r="AE57" s="242"/>
      <c r="AF57" s="102"/>
    </row>
    <row r="58" spans="1:32" s="57" customFormat="1" ht="20.100000000000001" customHeight="1" x14ac:dyDescent="0.25">
      <c r="A58" s="653" t="s">
        <v>3356</v>
      </c>
      <c r="B58" s="130"/>
      <c r="C58" s="131">
        <f t="shared" si="0"/>
        <v>0</v>
      </c>
      <c r="D58" s="132" t="e">
        <f>VLOOKUP(A58,'APONTAMENTO CREDENCIAMENTO'!$D$6:$P$2821,12,0)</f>
        <v>#N/A</v>
      </c>
      <c r="E58" s="133"/>
      <c r="F58" s="134">
        <f>SUMIF('APONTAMENTO CREDENCIAMENTO'!$D$6:$D$2821,'ATESTE-LIQ'!A58,'APONTAMENTO CREDENCIAMENTO'!$FF$6:$FF$2821)</f>
        <v>0</v>
      </c>
      <c r="G58" s="328" t="e">
        <f>VLOOKUP(A58,'APONTAMENTO CREDENCIAMENTO'!$D$6:$G$2821,3,0)</f>
        <v>#N/A</v>
      </c>
      <c r="H58" s="328" t="e">
        <f>VLOOKUP(A58,'APONTAMENTO CREDENCIAMENTO'!$D$6:$G$2821,4,0)</f>
        <v>#N/A</v>
      </c>
      <c r="I58" s="135" t="str">
        <f t="shared" si="1"/>
        <v>PE - Pagto. Doc(s):  - Contrato nº 2025/0010928</v>
      </c>
      <c r="J58" s="136">
        <f t="shared" si="2"/>
        <v>0</v>
      </c>
      <c r="K58" s="136">
        <v>0</v>
      </c>
      <c r="L58" s="137" t="e">
        <f>VLOOKUP(A58,'APONTAMENTO CREDENCIAMENTO'!$D$6:$P$2821,5,0)</f>
        <v>#N/A</v>
      </c>
      <c r="M58" s="138"/>
      <c r="N58" s="139"/>
      <c r="O58" s="140"/>
      <c r="P58" s="141"/>
      <c r="Q58" s="141"/>
      <c r="R58" s="141"/>
      <c r="S58" s="142"/>
      <c r="T58" s="143" t="e">
        <f t="shared" si="3"/>
        <v>#N/A</v>
      </c>
      <c r="U58" s="144">
        <f t="shared" si="4"/>
        <v>0</v>
      </c>
      <c r="V58" s="145">
        <f t="shared" si="5"/>
        <v>0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2025/0010928 - DRE - FB</v>
      </c>
      <c r="AB58" s="238" t="e">
        <f t="shared" si="6"/>
        <v>#N/A</v>
      </c>
      <c r="AC58" s="239"/>
      <c r="AD58" s="240"/>
      <c r="AE58" s="242"/>
      <c r="AF58" s="102"/>
    </row>
    <row r="59" spans="1:32" s="57" customFormat="1" ht="20.100000000000001" customHeight="1" x14ac:dyDescent="0.25">
      <c r="A59" s="653" t="s">
        <v>3450</v>
      </c>
      <c r="B59" s="130"/>
      <c r="C59" s="131">
        <f t="shared" si="0"/>
        <v>0</v>
      </c>
      <c r="D59" s="132" t="e">
        <f>VLOOKUP(A59,'APONTAMENTO CREDENCIAMENTO'!$D$6:$P$2821,12,0)</f>
        <v>#N/A</v>
      </c>
      <c r="E59" s="133"/>
      <c r="F59" s="134">
        <f>SUMIF('APONTAMENTO CREDENCIAMENTO'!$D$6:$D$2821,'ATESTE-LIQ'!A59,'APONTAMENTO CREDENCIAMENTO'!$FF$6:$FF$2821)</f>
        <v>0</v>
      </c>
      <c r="G59" s="328" t="e">
        <f>VLOOKUP(A59,'APONTAMENTO CREDENCIAMENTO'!$D$6:$G$2821,3,0)</f>
        <v>#N/A</v>
      </c>
      <c r="H59" s="328" t="e">
        <f>VLOOKUP(A59,'APONTAMENTO CREDENCIAMENTO'!$D$6:$G$2821,4,0)</f>
        <v>#N/A</v>
      </c>
      <c r="I59" s="135" t="str">
        <f t="shared" si="1"/>
        <v>PE - Pagto. Doc(s):  - Contrato nº 2025/0011029</v>
      </c>
      <c r="J59" s="136">
        <f t="shared" si="2"/>
        <v>0</v>
      </c>
      <c r="K59" s="136">
        <v>0</v>
      </c>
      <c r="L59" s="137" t="e">
        <f>VLOOKUP(A59,'APONTAMENTO CREDENCIAMENTO'!$D$6:$P$2821,5,0)</f>
        <v>#N/A</v>
      </c>
      <c r="M59" s="138"/>
      <c r="N59" s="139"/>
      <c r="O59" s="140"/>
      <c r="P59" s="141"/>
      <c r="Q59" s="141"/>
      <c r="R59" s="141"/>
      <c r="S59" s="142"/>
      <c r="T59" s="143" t="e">
        <f t="shared" si="3"/>
        <v>#N/A</v>
      </c>
      <c r="U59" s="144">
        <f t="shared" si="4"/>
        <v>0</v>
      </c>
      <c r="V59" s="145">
        <f t="shared" si="5"/>
        <v>0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2025/0011029 - DRE - FB</v>
      </c>
      <c r="AB59" s="238" t="e">
        <f t="shared" si="6"/>
        <v>#N/A</v>
      </c>
      <c r="AC59" s="239"/>
      <c r="AD59" s="240"/>
      <c r="AE59" s="242"/>
      <c r="AF59" s="102"/>
    </row>
    <row r="60" spans="1:32" s="57" customFormat="1" ht="20.100000000000001" customHeight="1" x14ac:dyDescent="0.25">
      <c r="A60" s="653" t="s">
        <v>3326</v>
      </c>
      <c r="B60" s="130"/>
      <c r="C60" s="131">
        <f t="shared" si="0"/>
        <v>0</v>
      </c>
      <c r="D60" s="132" t="e">
        <f>VLOOKUP(A60,'APONTAMENTO CREDENCIAMENTO'!$D$6:$P$2821,12,0)</f>
        <v>#N/A</v>
      </c>
      <c r="E60" s="133"/>
      <c r="F60" s="134">
        <f>SUMIF('APONTAMENTO CREDENCIAMENTO'!$D$6:$D$2821,'ATESTE-LIQ'!A60,'APONTAMENTO CREDENCIAMENTO'!$FF$6:$FF$2821)</f>
        <v>0</v>
      </c>
      <c r="G60" s="328" t="e">
        <f>VLOOKUP(A60,'APONTAMENTO CREDENCIAMENTO'!$D$6:$G$2821,3,0)</f>
        <v>#N/A</v>
      </c>
      <c r="H60" s="328" t="e">
        <f>VLOOKUP(A60,'APONTAMENTO CREDENCIAMENTO'!$D$6:$G$2821,4,0)</f>
        <v>#N/A</v>
      </c>
      <c r="I60" s="135" t="str">
        <f t="shared" si="1"/>
        <v>PE - Pagto. Doc(s):  - Contrato nº 2025/0011893</v>
      </c>
      <c r="J60" s="136">
        <f t="shared" si="2"/>
        <v>0</v>
      </c>
      <c r="K60" s="136">
        <v>0</v>
      </c>
      <c r="L60" s="137" t="e">
        <f>VLOOKUP(A60,'APONTAMENTO CREDENCIAMENTO'!$D$6:$P$2821,5,0)</f>
        <v>#N/A</v>
      </c>
      <c r="M60" s="138"/>
      <c r="N60" s="139"/>
      <c r="O60" s="140"/>
      <c r="P60" s="141"/>
      <c r="Q60" s="141"/>
      <c r="R60" s="141"/>
      <c r="S60" s="142"/>
      <c r="T60" s="143" t="e">
        <f t="shared" si="3"/>
        <v>#N/A</v>
      </c>
      <c r="U60" s="144">
        <f t="shared" si="4"/>
        <v>0</v>
      </c>
      <c r="V60" s="145">
        <f t="shared" si="5"/>
        <v>0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2025/0011893 - DRE - FB</v>
      </c>
      <c r="AB60" s="238" t="e">
        <f t="shared" si="6"/>
        <v>#N/A</v>
      </c>
      <c r="AC60" s="239"/>
      <c r="AD60" s="240"/>
      <c r="AE60" s="242"/>
      <c r="AF60" s="102"/>
    </row>
    <row r="61" spans="1:32" s="57" customFormat="1" ht="20.100000000000001" customHeight="1" x14ac:dyDescent="0.25">
      <c r="A61" s="653" t="s">
        <v>3484</v>
      </c>
      <c r="B61" s="130"/>
      <c r="C61" s="131">
        <f t="shared" si="0"/>
        <v>0</v>
      </c>
      <c r="D61" s="132" t="e">
        <f>VLOOKUP(A61,'APONTAMENTO CREDENCIAMENTO'!$D$6:$P$2821,12,0)</f>
        <v>#N/A</v>
      </c>
      <c r="E61" s="133"/>
      <c r="F61" s="134">
        <f>SUMIF('APONTAMENTO CREDENCIAMENTO'!$D$6:$D$2821,'ATESTE-LIQ'!A61,'APONTAMENTO CREDENCIAMENTO'!$FF$6:$FF$2821)</f>
        <v>0</v>
      </c>
      <c r="G61" s="328" t="e">
        <f>VLOOKUP(A61,'APONTAMENTO CREDENCIAMENTO'!$D$6:$G$2821,3,0)</f>
        <v>#N/A</v>
      </c>
      <c r="H61" s="328" t="e">
        <f>VLOOKUP(A61,'APONTAMENTO CREDENCIAMENTO'!$D$6:$G$2821,4,0)</f>
        <v>#N/A</v>
      </c>
      <c r="I61" s="135" t="str">
        <f t="shared" si="1"/>
        <v>PE - Pagto. Doc(s):  - Contrato nº 2025/0015197</v>
      </c>
      <c r="J61" s="136">
        <f t="shared" si="2"/>
        <v>0</v>
      </c>
      <c r="K61" s="136">
        <v>0</v>
      </c>
      <c r="L61" s="137" t="e">
        <f>VLOOKUP(A61,'APONTAMENTO CREDENCIAMENTO'!$D$6:$P$2821,5,0)</f>
        <v>#N/A</v>
      </c>
      <c r="M61" s="138"/>
      <c r="N61" s="139"/>
      <c r="O61" s="140"/>
      <c r="P61" s="141"/>
      <c r="Q61" s="141"/>
      <c r="R61" s="141"/>
      <c r="S61" s="142"/>
      <c r="T61" s="143" t="e">
        <f t="shared" si="3"/>
        <v>#N/A</v>
      </c>
      <c r="U61" s="144">
        <f t="shared" si="4"/>
        <v>0</v>
      </c>
      <c r="V61" s="145">
        <f t="shared" si="5"/>
        <v>0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2025/0015197 - DRE - FB</v>
      </c>
      <c r="AB61" s="238" t="e">
        <f t="shared" si="6"/>
        <v>#N/A</v>
      </c>
      <c r="AC61" s="239"/>
      <c r="AD61" s="240"/>
      <c r="AE61" s="242"/>
      <c r="AF61" s="102"/>
    </row>
    <row r="62" spans="1:32" s="57" customFormat="1" ht="20.100000000000001" customHeight="1" x14ac:dyDescent="0.25">
      <c r="A62" s="653" t="s">
        <v>3358</v>
      </c>
      <c r="B62" s="130"/>
      <c r="C62" s="131">
        <f t="shared" si="0"/>
        <v>0</v>
      </c>
      <c r="D62" s="132" t="e">
        <f>VLOOKUP(A62,'APONTAMENTO CREDENCIAMENTO'!$D$6:$P$2821,12,0)</f>
        <v>#N/A</v>
      </c>
      <c r="E62" s="133"/>
      <c r="F62" s="134">
        <f>SUMIF('APONTAMENTO CREDENCIAMENTO'!$D$6:$D$2821,'ATESTE-LIQ'!A62,'APONTAMENTO CREDENCIAMENTO'!$FF$6:$FF$2821)</f>
        <v>0</v>
      </c>
      <c r="G62" s="328" t="e">
        <f>VLOOKUP(A62,'APONTAMENTO CREDENCIAMENTO'!$D$6:$G$2821,3,0)</f>
        <v>#N/A</v>
      </c>
      <c r="H62" s="328" t="e">
        <f>VLOOKUP(A62,'APONTAMENTO CREDENCIAMENTO'!$D$6:$G$2821,4,0)</f>
        <v>#N/A</v>
      </c>
      <c r="I62" s="135" t="str">
        <f t="shared" si="1"/>
        <v>PE - Pagto. Doc(s):  - Contrato nº 2025/0019363</v>
      </c>
      <c r="J62" s="136">
        <f t="shared" si="2"/>
        <v>0</v>
      </c>
      <c r="K62" s="136">
        <v>0</v>
      </c>
      <c r="L62" s="137" t="e">
        <f>VLOOKUP(A62,'APONTAMENTO CREDENCIAMENTO'!$D$6:$P$2821,5,0)</f>
        <v>#N/A</v>
      </c>
      <c r="M62" s="138"/>
      <c r="N62" s="139"/>
      <c r="O62" s="140"/>
      <c r="P62" s="141"/>
      <c r="Q62" s="141"/>
      <c r="R62" s="141"/>
      <c r="S62" s="142"/>
      <c r="T62" s="143" t="e">
        <f t="shared" si="3"/>
        <v>#N/A</v>
      </c>
      <c r="U62" s="144">
        <f t="shared" si="4"/>
        <v>0</v>
      </c>
      <c r="V62" s="145">
        <f t="shared" si="5"/>
        <v>0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2025/0019363 - DRE - FB</v>
      </c>
      <c r="AB62" s="238" t="e">
        <f t="shared" si="6"/>
        <v>#N/A</v>
      </c>
      <c r="AC62" s="239"/>
      <c r="AD62" s="240"/>
      <c r="AE62" s="242"/>
      <c r="AF62" s="102"/>
    </row>
    <row r="63" spans="1:32" s="57" customFormat="1" ht="20.100000000000001" customHeight="1" x14ac:dyDescent="0.25">
      <c r="A63" s="653" t="s">
        <v>3454</v>
      </c>
      <c r="B63" s="130"/>
      <c r="C63" s="131">
        <f t="shared" si="0"/>
        <v>0</v>
      </c>
      <c r="D63" s="132" t="e">
        <f>VLOOKUP(A63,'APONTAMENTO CREDENCIAMENTO'!$D$6:$P$2821,12,0)</f>
        <v>#N/A</v>
      </c>
      <c r="E63" s="133"/>
      <c r="F63" s="134">
        <f>SUMIF('APONTAMENTO CREDENCIAMENTO'!$D$6:$D$2821,'ATESTE-LIQ'!A63,'APONTAMENTO CREDENCIAMENTO'!$FF$6:$FF$2821)</f>
        <v>0</v>
      </c>
      <c r="G63" s="328" t="e">
        <f>VLOOKUP(A63,'APONTAMENTO CREDENCIAMENTO'!$D$6:$G$2821,3,0)</f>
        <v>#N/A</v>
      </c>
      <c r="H63" s="328" t="e">
        <f>VLOOKUP(A63,'APONTAMENTO CREDENCIAMENTO'!$D$6:$G$2821,4,0)</f>
        <v>#N/A</v>
      </c>
      <c r="I63" s="135" t="str">
        <f t="shared" si="1"/>
        <v>PE - Pagto. Doc(s):  - Contrato nº 2025/0025983</v>
      </c>
      <c r="J63" s="136">
        <f t="shared" si="2"/>
        <v>0</v>
      </c>
      <c r="K63" s="136">
        <v>0</v>
      </c>
      <c r="L63" s="137" t="e">
        <f>VLOOKUP(A63,'APONTAMENTO CREDENCIAMENTO'!$D$6:$P$2821,5,0)</f>
        <v>#N/A</v>
      </c>
      <c r="M63" s="138"/>
      <c r="N63" s="139"/>
      <c r="O63" s="140"/>
      <c r="P63" s="141"/>
      <c r="Q63" s="141"/>
      <c r="R63" s="141"/>
      <c r="S63" s="142"/>
      <c r="T63" s="143" t="e">
        <f t="shared" si="3"/>
        <v>#N/A</v>
      </c>
      <c r="U63" s="144">
        <f t="shared" si="4"/>
        <v>0</v>
      </c>
      <c r="V63" s="145">
        <f t="shared" si="5"/>
        <v>0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2025/0025983 - DRE - FB</v>
      </c>
      <c r="AB63" s="238" t="e">
        <f t="shared" si="6"/>
        <v>#N/A</v>
      </c>
      <c r="AC63" s="239"/>
      <c r="AD63" s="240"/>
      <c r="AE63" s="242"/>
      <c r="AF63" s="102"/>
    </row>
    <row r="64" spans="1:32" s="57" customFormat="1" ht="20.100000000000001" customHeight="1" x14ac:dyDescent="0.25">
      <c r="A64" s="653" t="s">
        <v>3328</v>
      </c>
      <c r="B64" s="130"/>
      <c r="C64" s="131">
        <f t="shared" si="0"/>
        <v>0</v>
      </c>
      <c r="D64" s="132" t="e">
        <f>VLOOKUP(A64,'APONTAMENTO CREDENCIAMENTO'!$D$6:$P$2821,12,0)</f>
        <v>#N/A</v>
      </c>
      <c r="E64" s="133"/>
      <c r="F64" s="134">
        <f>SUMIF('APONTAMENTO CREDENCIAMENTO'!$D$6:$D$2821,'ATESTE-LIQ'!A64,'APONTAMENTO CREDENCIAMENTO'!$FF$6:$FF$2821)</f>
        <v>0</v>
      </c>
      <c r="G64" s="328" t="e">
        <f>VLOOKUP(A64,'APONTAMENTO CREDENCIAMENTO'!$D$6:$G$2821,3,0)</f>
        <v>#N/A</v>
      </c>
      <c r="H64" s="328" t="e">
        <f>VLOOKUP(A64,'APONTAMENTO CREDENCIAMENTO'!$D$6:$G$2821,4,0)</f>
        <v>#N/A</v>
      </c>
      <c r="I64" s="135" t="str">
        <f t="shared" si="1"/>
        <v>PE - Pagto. Doc(s):  - Contrato nº 2025/0033257</v>
      </c>
      <c r="J64" s="136">
        <f t="shared" si="2"/>
        <v>0</v>
      </c>
      <c r="K64" s="136">
        <v>0</v>
      </c>
      <c r="L64" s="137" t="e">
        <f>VLOOKUP(A64,'APONTAMENTO CREDENCIAMENTO'!$D$6:$P$2821,5,0)</f>
        <v>#N/A</v>
      </c>
      <c r="M64" s="138"/>
      <c r="N64" s="139"/>
      <c r="O64" s="140"/>
      <c r="P64" s="141"/>
      <c r="Q64" s="141"/>
      <c r="R64" s="141"/>
      <c r="S64" s="142"/>
      <c r="T64" s="143" t="e">
        <f t="shared" si="3"/>
        <v>#N/A</v>
      </c>
      <c r="U64" s="144">
        <f t="shared" si="4"/>
        <v>0</v>
      </c>
      <c r="V64" s="145">
        <f t="shared" si="5"/>
        <v>0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2025/0033257 - DRE - FB</v>
      </c>
      <c r="AB64" s="238" t="e">
        <f t="shared" si="6"/>
        <v>#N/A</v>
      </c>
      <c r="AC64" s="239"/>
      <c r="AD64" s="240"/>
      <c r="AE64" s="242"/>
      <c r="AF64" s="102"/>
    </row>
    <row r="65" spans="1:32" s="57" customFormat="1" ht="20.100000000000001" customHeight="1" x14ac:dyDescent="0.25">
      <c r="A65" s="653" t="s">
        <v>3443</v>
      </c>
      <c r="B65" s="130"/>
      <c r="C65" s="131">
        <f t="shared" si="0"/>
        <v>0</v>
      </c>
      <c r="D65" s="132" t="e">
        <f>VLOOKUP(A65,'APONTAMENTO CREDENCIAMENTO'!$D$6:$P$2821,12,0)</f>
        <v>#N/A</v>
      </c>
      <c r="E65" s="133"/>
      <c r="F65" s="134">
        <f>SUMIF('APONTAMENTO CREDENCIAMENTO'!$D$6:$D$2821,'ATESTE-LIQ'!A65,'APONTAMENTO CREDENCIAMENTO'!$FF$6:$FF$2821)</f>
        <v>0</v>
      </c>
      <c r="G65" s="328" t="e">
        <f>VLOOKUP(A65,'APONTAMENTO CREDENCIAMENTO'!$D$6:$G$2821,3,0)</f>
        <v>#N/A</v>
      </c>
      <c r="H65" s="328" t="e">
        <f>VLOOKUP(A65,'APONTAMENTO CREDENCIAMENTO'!$D$6:$G$2821,4,0)</f>
        <v>#N/A</v>
      </c>
      <c r="I65" s="135" t="str">
        <f t="shared" si="1"/>
        <v>PE - Pagto. Doc(s):  - Contrato nº 2025/0036859</v>
      </c>
      <c r="J65" s="136">
        <f t="shared" si="2"/>
        <v>0</v>
      </c>
      <c r="K65" s="136">
        <v>0</v>
      </c>
      <c r="L65" s="137" t="e">
        <f>VLOOKUP(A65,'APONTAMENTO CREDENCIAMENTO'!$D$6:$P$2821,5,0)</f>
        <v>#N/A</v>
      </c>
      <c r="M65" s="138"/>
      <c r="N65" s="139"/>
      <c r="O65" s="140"/>
      <c r="P65" s="141"/>
      <c r="Q65" s="141"/>
      <c r="R65" s="141"/>
      <c r="S65" s="142"/>
      <c r="T65" s="143" t="e">
        <f t="shared" si="3"/>
        <v>#N/A</v>
      </c>
      <c r="U65" s="144">
        <f t="shared" si="4"/>
        <v>0</v>
      </c>
      <c r="V65" s="145">
        <f t="shared" si="5"/>
        <v>0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2025/0036859 - DRE - FB</v>
      </c>
      <c r="AB65" s="238" t="e">
        <f t="shared" si="6"/>
        <v>#N/A</v>
      </c>
      <c r="AC65" s="239"/>
      <c r="AD65" s="240"/>
      <c r="AE65" s="242"/>
      <c r="AF65" s="102"/>
    </row>
    <row r="66" spans="1:32" s="57" customFormat="1" ht="20.100000000000001" customHeight="1" x14ac:dyDescent="0.25">
      <c r="A66" s="653" t="s">
        <v>3432</v>
      </c>
      <c r="B66" s="130"/>
      <c r="C66" s="131">
        <f t="shared" si="0"/>
        <v>0</v>
      </c>
      <c r="D66" s="132" t="e">
        <f>VLOOKUP(A66,'APONTAMENTO CREDENCIAMENTO'!$D$6:$P$2821,12,0)</f>
        <v>#N/A</v>
      </c>
      <c r="E66" s="133"/>
      <c r="F66" s="134">
        <f>SUMIF('APONTAMENTO CREDENCIAMENTO'!$D$6:$D$2821,'ATESTE-LIQ'!A66,'APONTAMENTO CREDENCIAMENTO'!$FF$6:$FF$2821)</f>
        <v>0</v>
      </c>
      <c r="G66" s="328" t="e">
        <f>VLOOKUP(A66,'APONTAMENTO CREDENCIAMENTO'!$D$6:$G$2821,3,0)</f>
        <v>#N/A</v>
      </c>
      <c r="H66" s="328" t="e">
        <f>VLOOKUP(A66,'APONTAMENTO CREDENCIAMENTO'!$D$6:$G$2821,4,0)</f>
        <v>#N/A</v>
      </c>
      <c r="I66" s="135" t="str">
        <f t="shared" si="1"/>
        <v>PE - Pagto. Doc(s):  - Contrato nº 2025/0037115</v>
      </c>
      <c r="J66" s="136">
        <f t="shared" si="2"/>
        <v>0</v>
      </c>
      <c r="K66" s="136">
        <v>0</v>
      </c>
      <c r="L66" s="137" t="e">
        <f>VLOOKUP(A66,'APONTAMENTO CREDENCIAMENTO'!$D$6:$P$2821,5,0)</f>
        <v>#N/A</v>
      </c>
      <c r="M66" s="138"/>
      <c r="N66" s="139"/>
      <c r="O66" s="140"/>
      <c r="P66" s="141"/>
      <c r="Q66" s="141"/>
      <c r="R66" s="141"/>
      <c r="S66" s="142"/>
      <c r="T66" s="143" t="e">
        <f t="shared" si="3"/>
        <v>#N/A</v>
      </c>
      <c r="U66" s="144">
        <f t="shared" si="4"/>
        <v>0</v>
      </c>
      <c r="V66" s="145">
        <f t="shared" si="5"/>
        <v>0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2025/0037115 - DRE - FB</v>
      </c>
      <c r="AB66" s="238" t="e">
        <f t="shared" si="6"/>
        <v>#N/A</v>
      </c>
      <c r="AC66" s="239"/>
      <c r="AD66" s="240"/>
      <c r="AE66" s="242"/>
      <c r="AF66" s="102"/>
    </row>
    <row r="67" spans="1:32" s="57" customFormat="1" ht="20.100000000000001" customHeight="1" x14ac:dyDescent="0.25">
      <c r="A67" s="653" t="s">
        <v>3242</v>
      </c>
      <c r="B67" s="130"/>
      <c r="C67" s="131">
        <f t="shared" ref="C67:C94" si="7">W67</f>
        <v>0</v>
      </c>
      <c r="D67" s="132" t="e">
        <f>VLOOKUP(A67,'APONTAMENTO CREDENCIAMENTO'!$D$6:$P$2821,12,0)</f>
        <v>#N/A</v>
      </c>
      <c r="E67" s="133"/>
      <c r="F67" s="134">
        <f>SUMIF('APONTAMENTO CREDENCIAMENTO'!$D$6:$D$2821,'ATESTE-LIQ'!A67,'APONTAMENTO CREDENCIAMENTO'!$FF$6:$FF$2821)</f>
        <v>0</v>
      </c>
      <c r="G67" s="328" t="e">
        <f>VLOOKUP(A67,'APONTAMENTO CREDENCIAMENTO'!$D$6:$G$2821,3,0)</f>
        <v>#N/A</v>
      </c>
      <c r="H67" s="328" t="e">
        <f>VLOOKUP(A67,'APONTAMENTO CREDENCIAMENTO'!$D$6:$G$2821,4,0)</f>
        <v>#N/A</v>
      </c>
      <c r="I67" s="135" t="str">
        <f t="shared" ref="I67:I94" si="8">CONCATENATE("PE - Pagto. Doc(s): ",E67," - Contrato nº ",A67)</f>
        <v>PE - Pagto. Doc(s):  - Contrato nº 2025/0037122</v>
      </c>
      <c r="J67" s="136">
        <f t="shared" ref="J67:J94" si="9">F67</f>
        <v>0</v>
      </c>
      <c r="K67" s="136">
        <v>0</v>
      </c>
      <c r="L67" s="137" t="e">
        <f>VLOOKUP(A67,'APONTAMENTO CREDENCIAMENTO'!$D$6:$P$2821,5,0)</f>
        <v>#N/A</v>
      </c>
      <c r="M67" s="138"/>
      <c r="N67" s="139"/>
      <c r="O67" s="140"/>
      <c r="P67" s="141"/>
      <c r="Q67" s="141"/>
      <c r="R67" s="141"/>
      <c r="S67" s="142"/>
      <c r="T67" s="143" t="e">
        <f t="shared" ref="T67:T94" si="10">D67</f>
        <v>#N/A</v>
      </c>
      <c r="U67" s="144">
        <f t="shared" ref="U67:U94" si="11">F67</f>
        <v>0</v>
      </c>
      <c r="V67" s="145">
        <f t="shared" ref="V67:V94" si="12">U67</f>
        <v>0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2025/0037122 - DRE - FB</v>
      </c>
      <c r="AB67" s="238" t="e">
        <f t="shared" ref="AB67:AB94" si="13">L67</f>
        <v>#N/A</v>
      </c>
      <c r="AC67" s="239"/>
      <c r="AD67" s="240"/>
      <c r="AE67" s="242"/>
      <c r="AF67" s="102"/>
    </row>
    <row r="68" spans="1:32" s="57" customFormat="1" ht="20.100000000000001" customHeight="1" x14ac:dyDescent="0.25">
      <c r="A68" s="653" t="s">
        <v>3249</v>
      </c>
      <c r="B68" s="130"/>
      <c r="C68" s="131">
        <f t="shared" si="7"/>
        <v>0</v>
      </c>
      <c r="D68" s="132" t="e">
        <f>VLOOKUP(A68,'APONTAMENTO CREDENCIAMENTO'!$D$6:$P$2821,12,0)</f>
        <v>#N/A</v>
      </c>
      <c r="E68" s="133"/>
      <c r="F68" s="134">
        <f>SUMIF('APONTAMENTO CREDENCIAMENTO'!$D$6:$D$2821,'ATESTE-LIQ'!A68,'APONTAMENTO CREDENCIAMENTO'!$FF$6:$FF$2821)</f>
        <v>0</v>
      </c>
      <c r="G68" s="328" t="e">
        <f>VLOOKUP(A68,'APONTAMENTO CREDENCIAMENTO'!$D$6:$G$2821,3,0)</f>
        <v>#N/A</v>
      </c>
      <c r="H68" s="328" t="e">
        <f>VLOOKUP(A68,'APONTAMENTO CREDENCIAMENTO'!$D$6:$G$2821,4,0)</f>
        <v>#N/A</v>
      </c>
      <c r="I68" s="135" t="str">
        <f t="shared" si="8"/>
        <v>PE - Pagto. Doc(s):  - Contrato nº 2025/0037287</v>
      </c>
      <c r="J68" s="136">
        <f t="shared" si="9"/>
        <v>0</v>
      </c>
      <c r="K68" s="136">
        <v>0</v>
      </c>
      <c r="L68" s="137" t="e">
        <f>VLOOKUP(A68,'APONTAMENTO CREDENCIAMENTO'!$D$6:$P$2821,5,0)</f>
        <v>#N/A</v>
      </c>
      <c r="M68" s="138"/>
      <c r="N68" s="139"/>
      <c r="O68" s="140"/>
      <c r="P68" s="141"/>
      <c r="Q68" s="141"/>
      <c r="R68" s="141"/>
      <c r="S68" s="142"/>
      <c r="T68" s="143" t="e">
        <f t="shared" si="10"/>
        <v>#N/A</v>
      </c>
      <c r="U68" s="144">
        <f t="shared" si="11"/>
        <v>0</v>
      </c>
      <c r="V68" s="145">
        <f t="shared" si="12"/>
        <v>0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2025/0037287 - DRE - FB</v>
      </c>
      <c r="AB68" s="238" t="e">
        <f t="shared" si="13"/>
        <v>#N/A</v>
      </c>
      <c r="AC68" s="239"/>
      <c r="AD68" s="240"/>
      <c r="AE68" s="242"/>
      <c r="AF68" s="102"/>
    </row>
    <row r="69" spans="1:32" s="57" customFormat="1" ht="20.100000000000001" customHeight="1" x14ac:dyDescent="0.25">
      <c r="A69" s="653" t="s">
        <v>3343</v>
      </c>
      <c r="B69" s="130"/>
      <c r="C69" s="131">
        <f t="shared" si="7"/>
        <v>0</v>
      </c>
      <c r="D69" s="132" t="e">
        <f>VLOOKUP(A69,'APONTAMENTO CREDENCIAMENTO'!$D$6:$P$2821,12,0)</f>
        <v>#N/A</v>
      </c>
      <c r="E69" s="133"/>
      <c r="F69" s="134">
        <f>SUMIF('APONTAMENTO CREDENCIAMENTO'!$D$6:$D$2821,'ATESTE-LIQ'!A69,'APONTAMENTO CREDENCIAMENTO'!$FF$6:$FF$2821)</f>
        <v>0</v>
      </c>
      <c r="G69" s="328" t="e">
        <f>VLOOKUP(A69,'APONTAMENTO CREDENCIAMENTO'!$D$6:$G$2821,3,0)</f>
        <v>#N/A</v>
      </c>
      <c r="H69" s="328" t="e">
        <f>VLOOKUP(A69,'APONTAMENTO CREDENCIAMENTO'!$D$6:$G$2821,4,0)</f>
        <v>#N/A</v>
      </c>
      <c r="I69" s="135" t="str">
        <f t="shared" si="8"/>
        <v>PE - Pagto. Doc(s):  - Contrato nº 2025/0038063</v>
      </c>
      <c r="J69" s="136">
        <f t="shared" si="9"/>
        <v>0</v>
      </c>
      <c r="K69" s="136">
        <v>0</v>
      </c>
      <c r="L69" s="137" t="e">
        <f>VLOOKUP(A69,'APONTAMENTO CREDENCIAMENTO'!$D$6:$P$2821,5,0)</f>
        <v>#N/A</v>
      </c>
      <c r="M69" s="138"/>
      <c r="N69" s="139"/>
      <c r="O69" s="140"/>
      <c r="P69" s="141"/>
      <c r="Q69" s="141"/>
      <c r="R69" s="141"/>
      <c r="S69" s="142"/>
      <c r="T69" s="143" t="e">
        <f t="shared" si="10"/>
        <v>#N/A</v>
      </c>
      <c r="U69" s="144">
        <f t="shared" si="11"/>
        <v>0</v>
      </c>
      <c r="V69" s="145">
        <f t="shared" si="12"/>
        <v>0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2025/0038063 - DRE - FB</v>
      </c>
      <c r="AB69" s="238" t="e">
        <f t="shared" si="13"/>
        <v>#N/A</v>
      </c>
      <c r="AC69" s="239"/>
      <c r="AD69" s="240"/>
      <c r="AE69" s="242"/>
      <c r="AF69" s="102"/>
    </row>
    <row r="70" spans="1:32" s="57" customFormat="1" ht="20.100000000000001" customHeight="1" x14ac:dyDescent="0.25">
      <c r="A70" s="653" t="s">
        <v>3275</v>
      </c>
      <c r="B70" s="130"/>
      <c r="C70" s="131">
        <f t="shared" si="7"/>
        <v>0</v>
      </c>
      <c r="D70" s="132" t="e">
        <f>VLOOKUP(A70,'APONTAMENTO CREDENCIAMENTO'!$D$6:$P$2821,12,0)</f>
        <v>#N/A</v>
      </c>
      <c r="E70" s="133"/>
      <c r="F70" s="134">
        <f>SUMIF('APONTAMENTO CREDENCIAMENTO'!$D$6:$D$2821,'ATESTE-LIQ'!A70,'APONTAMENTO CREDENCIAMENTO'!$FF$6:$FF$2821)</f>
        <v>0</v>
      </c>
      <c r="G70" s="328" t="e">
        <f>VLOOKUP(A70,'APONTAMENTO CREDENCIAMENTO'!$D$6:$G$2821,3,0)</f>
        <v>#N/A</v>
      </c>
      <c r="H70" s="328" t="e">
        <f>VLOOKUP(A70,'APONTAMENTO CREDENCIAMENTO'!$D$6:$G$2821,4,0)</f>
        <v>#N/A</v>
      </c>
      <c r="I70" s="135" t="str">
        <f t="shared" si="8"/>
        <v>PE - Pagto. Doc(s):  - Contrato nº 2025/0038871</v>
      </c>
      <c r="J70" s="136">
        <f t="shared" si="9"/>
        <v>0</v>
      </c>
      <c r="K70" s="136">
        <v>0</v>
      </c>
      <c r="L70" s="137" t="e">
        <f>VLOOKUP(A70,'APONTAMENTO CREDENCIAMENTO'!$D$6:$P$2821,5,0)</f>
        <v>#N/A</v>
      </c>
      <c r="M70" s="138"/>
      <c r="N70" s="139"/>
      <c r="O70" s="140"/>
      <c r="P70" s="141"/>
      <c r="Q70" s="141"/>
      <c r="R70" s="141"/>
      <c r="S70" s="142"/>
      <c r="T70" s="143" t="e">
        <f t="shared" si="10"/>
        <v>#N/A</v>
      </c>
      <c r="U70" s="144">
        <f t="shared" si="11"/>
        <v>0</v>
      </c>
      <c r="V70" s="145">
        <f t="shared" si="12"/>
        <v>0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2025/0038871 - DRE - FB</v>
      </c>
      <c r="AB70" s="238" t="e">
        <f t="shared" si="13"/>
        <v>#N/A</v>
      </c>
      <c r="AC70" s="239"/>
      <c r="AD70" s="240"/>
      <c r="AE70" s="242"/>
      <c r="AF70" s="102"/>
    </row>
    <row r="71" spans="1:32" s="57" customFormat="1" ht="20.100000000000001" customHeight="1" x14ac:dyDescent="0.25">
      <c r="A71" s="653" t="s">
        <v>3462</v>
      </c>
      <c r="B71" s="130"/>
      <c r="C71" s="131">
        <f t="shared" si="7"/>
        <v>0</v>
      </c>
      <c r="D71" s="132" t="e">
        <f>VLOOKUP(A71,'APONTAMENTO CREDENCIAMENTO'!$D$6:$P$2821,12,0)</f>
        <v>#N/A</v>
      </c>
      <c r="E71" s="133"/>
      <c r="F71" s="134">
        <f>SUMIF('APONTAMENTO CREDENCIAMENTO'!$D$6:$D$2821,'ATESTE-LIQ'!A71,'APONTAMENTO CREDENCIAMENTO'!$FF$6:$FF$2821)</f>
        <v>0</v>
      </c>
      <c r="G71" s="328" t="e">
        <f>VLOOKUP(A71,'APONTAMENTO CREDENCIAMENTO'!$D$6:$G$2821,3,0)</f>
        <v>#N/A</v>
      </c>
      <c r="H71" s="328" t="e">
        <f>VLOOKUP(A71,'APONTAMENTO CREDENCIAMENTO'!$D$6:$G$2821,4,0)</f>
        <v>#N/A</v>
      </c>
      <c r="I71" s="135" t="str">
        <f t="shared" si="8"/>
        <v>PE - Pagto. Doc(s):  - Contrato nº 2025/0038872</v>
      </c>
      <c r="J71" s="136">
        <f t="shared" si="9"/>
        <v>0</v>
      </c>
      <c r="K71" s="136">
        <v>0</v>
      </c>
      <c r="L71" s="137" t="e">
        <f>VLOOKUP(A71,'APONTAMENTO CREDENCIAMENTO'!$D$6:$P$2821,5,0)</f>
        <v>#N/A</v>
      </c>
      <c r="M71" s="138"/>
      <c r="N71" s="139"/>
      <c r="O71" s="140"/>
      <c r="P71" s="141"/>
      <c r="Q71" s="141"/>
      <c r="R71" s="141"/>
      <c r="S71" s="142"/>
      <c r="T71" s="143" t="e">
        <f t="shared" si="10"/>
        <v>#N/A</v>
      </c>
      <c r="U71" s="144">
        <f t="shared" si="11"/>
        <v>0</v>
      </c>
      <c r="V71" s="145">
        <f t="shared" si="12"/>
        <v>0</v>
      </c>
      <c r="W71" s="129"/>
      <c r="X71" s="129"/>
      <c r="Y71" s="129"/>
      <c r="Z71" s="129"/>
      <c r="AA71" s="146" t="str">
        <f>CONCATENATE("Prestação de Serviço e Transpor. Escolar Gratuito - TEG n. ",A71," - DRE - " &amp;'BASE C'!$C$2)</f>
        <v>Prestação de Serviço e Transpor. Escolar Gratuito - TEG n. 2025/0038872 - DRE - FB</v>
      </c>
      <c r="AB71" s="238" t="e">
        <f t="shared" si="13"/>
        <v>#N/A</v>
      </c>
      <c r="AC71" s="239"/>
      <c r="AD71" s="240"/>
      <c r="AE71" s="242"/>
      <c r="AF71" s="102"/>
    </row>
    <row r="72" spans="1:32" s="57" customFormat="1" ht="20.100000000000001" customHeight="1" x14ac:dyDescent="0.25">
      <c r="A72" s="653" t="s">
        <v>3434</v>
      </c>
      <c r="B72" s="130"/>
      <c r="C72" s="131">
        <f t="shared" si="7"/>
        <v>0</v>
      </c>
      <c r="D72" s="132" t="e">
        <f>VLOOKUP(A72,'APONTAMENTO CREDENCIAMENTO'!$D$6:$P$2821,12,0)</f>
        <v>#N/A</v>
      </c>
      <c r="E72" s="133"/>
      <c r="F72" s="134">
        <f>SUMIF('APONTAMENTO CREDENCIAMENTO'!$D$6:$D$2821,'ATESTE-LIQ'!A72,'APONTAMENTO CREDENCIAMENTO'!$FF$6:$FF$2821)</f>
        <v>0</v>
      </c>
      <c r="G72" s="328" t="e">
        <f>VLOOKUP(A72,'APONTAMENTO CREDENCIAMENTO'!$D$6:$G$2821,3,0)</f>
        <v>#N/A</v>
      </c>
      <c r="H72" s="328" t="e">
        <f>VLOOKUP(A72,'APONTAMENTO CREDENCIAMENTO'!$D$6:$G$2821,4,0)</f>
        <v>#N/A</v>
      </c>
      <c r="I72" s="135" t="str">
        <f t="shared" si="8"/>
        <v>PE - Pagto. Doc(s):  - Contrato nº 2025/0039144</v>
      </c>
      <c r="J72" s="136">
        <f t="shared" si="9"/>
        <v>0</v>
      </c>
      <c r="K72" s="136">
        <v>0</v>
      </c>
      <c r="L72" s="137" t="e">
        <f>VLOOKUP(A72,'APONTAMENTO CREDENCIAMENTO'!$D$6:$P$2821,5,0)</f>
        <v>#N/A</v>
      </c>
      <c r="M72" s="138"/>
      <c r="N72" s="139"/>
      <c r="O72" s="140"/>
      <c r="P72" s="141"/>
      <c r="Q72" s="141"/>
      <c r="R72" s="141"/>
      <c r="S72" s="142"/>
      <c r="T72" s="143" t="e">
        <f t="shared" si="10"/>
        <v>#N/A</v>
      </c>
      <c r="U72" s="144">
        <f t="shared" si="11"/>
        <v>0</v>
      </c>
      <c r="V72" s="145">
        <f t="shared" si="12"/>
        <v>0</v>
      </c>
      <c r="W72" s="129"/>
      <c r="X72" s="129"/>
      <c r="Y72" s="129"/>
      <c r="Z72" s="129"/>
      <c r="AA72" s="146" t="str">
        <f>CONCATENATE("Prestação de Serviço e Transpor. Escolar Gratuito - TEG n. ",A72," - DRE - " &amp;'BASE C'!$C$2)</f>
        <v>Prestação de Serviço e Transpor. Escolar Gratuito - TEG n. 2025/0039144 - DRE - FB</v>
      </c>
      <c r="AB72" s="238" t="e">
        <f t="shared" si="13"/>
        <v>#N/A</v>
      </c>
      <c r="AC72" s="239"/>
      <c r="AD72" s="240"/>
      <c r="AE72" s="242"/>
      <c r="AF72" s="102"/>
    </row>
    <row r="73" spans="1:32" s="57" customFormat="1" ht="20.100000000000001" customHeight="1" x14ac:dyDescent="0.25">
      <c r="A73" s="653" t="s">
        <v>3448</v>
      </c>
      <c r="B73" s="130"/>
      <c r="C73" s="131">
        <f t="shared" si="7"/>
        <v>0</v>
      </c>
      <c r="D73" s="132" t="e">
        <f>VLOOKUP(A73,'APONTAMENTO CREDENCIAMENTO'!$D$6:$P$2821,12,0)</f>
        <v>#N/A</v>
      </c>
      <c r="E73" s="133"/>
      <c r="F73" s="134">
        <f>SUMIF('APONTAMENTO CREDENCIAMENTO'!$D$6:$D$2821,'ATESTE-LIQ'!A73,'APONTAMENTO CREDENCIAMENTO'!$FF$6:$FF$2821)</f>
        <v>0</v>
      </c>
      <c r="G73" s="328" t="e">
        <f>VLOOKUP(A73,'APONTAMENTO CREDENCIAMENTO'!$D$6:$G$2821,3,0)</f>
        <v>#N/A</v>
      </c>
      <c r="H73" s="328" t="e">
        <f>VLOOKUP(A73,'APONTAMENTO CREDENCIAMENTO'!$D$6:$G$2821,4,0)</f>
        <v>#N/A</v>
      </c>
      <c r="I73" s="135" t="str">
        <f t="shared" si="8"/>
        <v>PE - Pagto. Doc(s):  - Contrato nº 2025/0039152</v>
      </c>
      <c r="J73" s="136">
        <f t="shared" si="9"/>
        <v>0</v>
      </c>
      <c r="K73" s="136">
        <v>0</v>
      </c>
      <c r="L73" s="137" t="e">
        <f>VLOOKUP(A73,'APONTAMENTO CREDENCIAMENTO'!$D$6:$P$2821,5,0)</f>
        <v>#N/A</v>
      </c>
      <c r="M73" s="138"/>
      <c r="N73" s="139"/>
      <c r="O73" s="140"/>
      <c r="P73" s="141"/>
      <c r="Q73" s="141"/>
      <c r="R73" s="141"/>
      <c r="S73" s="142"/>
      <c r="T73" s="143" t="e">
        <f t="shared" si="10"/>
        <v>#N/A</v>
      </c>
      <c r="U73" s="144">
        <f t="shared" si="11"/>
        <v>0</v>
      </c>
      <c r="V73" s="145">
        <f t="shared" si="12"/>
        <v>0</v>
      </c>
      <c r="W73" s="129"/>
      <c r="X73" s="129"/>
      <c r="Y73" s="129"/>
      <c r="Z73" s="129"/>
      <c r="AA73" s="146" t="str">
        <f>CONCATENATE("Prestação de Serviço e Transpor. Escolar Gratuito - TEG n. ",A73," - DRE - " &amp;'BASE C'!$C$2)</f>
        <v>Prestação de Serviço e Transpor. Escolar Gratuito - TEG n. 2025/0039152 - DRE - FB</v>
      </c>
      <c r="AB73" s="238" t="e">
        <f t="shared" si="13"/>
        <v>#N/A</v>
      </c>
      <c r="AC73" s="239"/>
      <c r="AD73" s="240"/>
      <c r="AE73" s="242"/>
      <c r="AF73" s="102"/>
    </row>
    <row r="74" spans="1:32" s="57" customFormat="1" ht="20.100000000000001" customHeight="1" x14ac:dyDescent="0.25">
      <c r="A74" s="653" t="s">
        <v>3361</v>
      </c>
      <c r="B74" s="130"/>
      <c r="C74" s="131">
        <f t="shared" si="7"/>
        <v>0</v>
      </c>
      <c r="D74" s="132" t="e">
        <f>VLOOKUP(A74,'APONTAMENTO CREDENCIAMENTO'!$D$6:$P$2821,12,0)</f>
        <v>#N/A</v>
      </c>
      <c r="E74" s="133"/>
      <c r="F74" s="134">
        <f>SUMIF('APONTAMENTO CREDENCIAMENTO'!$D$6:$D$2821,'ATESTE-LIQ'!A74,'APONTAMENTO CREDENCIAMENTO'!$FF$6:$FF$2821)</f>
        <v>0</v>
      </c>
      <c r="G74" s="328" t="e">
        <f>VLOOKUP(A74,'APONTAMENTO CREDENCIAMENTO'!$D$6:$G$2821,3,0)</f>
        <v>#N/A</v>
      </c>
      <c r="H74" s="328" t="e">
        <f>VLOOKUP(A74,'APONTAMENTO CREDENCIAMENTO'!$D$6:$G$2821,4,0)</f>
        <v>#N/A</v>
      </c>
      <c r="I74" s="135" t="str">
        <f t="shared" si="8"/>
        <v>PE - Pagto. Doc(s):  - Contrato nº 2025/0039785</v>
      </c>
      <c r="J74" s="136">
        <f t="shared" si="9"/>
        <v>0</v>
      </c>
      <c r="K74" s="136">
        <v>0</v>
      </c>
      <c r="L74" s="137" t="e">
        <f>VLOOKUP(A74,'APONTAMENTO CREDENCIAMENTO'!$D$6:$P$2821,5,0)</f>
        <v>#N/A</v>
      </c>
      <c r="M74" s="138"/>
      <c r="N74" s="139"/>
      <c r="O74" s="140"/>
      <c r="P74" s="141"/>
      <c r="Q74" s="141"/>
      <c r="R74" s="141"/>
      <c r="S74" s="142"/>
      <c r="T74" s="143" t="e">
        <f t="shared" si="10"/>
        <v>#N/A</v>
      </c>
      <c r="U74" s="144">
        <f t="shared" si="11"/>
        <v>0</v>
      </c>
      <c r="V74" s="145">
        <f t="shared" si="12"/>
        <v>0</v>
      </c>
      <c r="W74" s="129"/>
      <c r="X74" s="129"/>
      <c r="Y74" s="129"/>
      <c r="Z74" s="129"/>
      <c r="AA74" s="146" t="str">
        <f>CONCATENATE("Prestação de Serviço e Transpor. Escolar Gratuito - TEG n. ",A74," - DRE - " &amp;'BASE C'!$C$2)</f>
        <v>Prestação de Serviço e Transpor. Escolar Gratuito - TEG n. 2025/0039785 - DRE - FB</v>
      </c>
      <c r="AB74" s="238" t="e">
        <f t="shared" si="13"/>
        <v>#N/A</v>
      </c>
      <c r="AC74" s="239"/>
      <c r="AD74" s="240"/>
      <c r="AE74" s="242"/>
      <c r="AF74" s="102"/>
    </row>
    <row r="75" spans="1:32" s="57" customFormat="1" ht="20.100000000000001" customHeight="1" x14ac:dyDescent="0.25">
      <c r="A75" s="653" t="s">
        <v>3244</v>
      </c>
      <c r="B75" s="130"/>
      <c r="C75" s="131">
        <f t="shared" si="7"/>
        <v>0</v>
      </c>
      <c r="D75" s="132" t="e">
        <f>VLOOKUP(A75,'APONTAMENTO CREDENCIAMENTO'!$D$6:$P$2821,12,0)</f>
        <v>#N/A</v>
      </c>
      <c r="E75" s="133"/>
      <c r="F75" s="134">
        <f>SUMIF('APONTAMENTO CREDENCIAMENTO'!$D$6:$D$2821,'ATESTE-LIQ'!A75,'APONTAMENTO CREDENCIAMENTO'!$FF$6:$FF$2821)</f>
        <v>0</v>
      </c>
      <c r="G75" s="328" t="e">
        <f>VLOOKUP(A75,'APONTAMENTO CREDENCIAMENTO'!$D$6:$G$2821,3,0)</f>
        <v>#N/A</v>
      </c>
      <c r="H75" s="328" t="e">
        <f>VLOOKUP(A75,'APONTAMENTO CREDENCIAMENTO'!$D$6:$G$2821,4,0)</f>
        <v>#N/A</v>
      </c>
      <c r="I75" s="135" t="str">
        <f t="shared" si="8"/>
        <v>PE - Pagto. Doc(s):  - Contrato nº 2025/0039901</v>
      </c>
      <c r="J75" s="136">
        <f t="shared" si="9"/>
        <v>0</v>
      </c>
      <c r="K75" s="136">
        <v>0</v>
      </c>
      <c r="L75" s="137" t="e">
        <f>VLOOKUP(A75,'APONTAMENTO CREDENCIAMENTO'!$D$6:$P$2821,5,0)</f>
        <v>#N/A</v>
      </c>
      <c r="M75" s="138"/>
      <c r="N75" s="139"/>
      <c r="O75" s="140"/>
      <c r="P75" s="141"/>
      <c r="Q75" s="141"/>
      <c r="R75" s="141"/>
      <c r="S75" s="142"/>
      <c r="T75" s="143" t="e">
        <f t="shared" si="10"/>
        <v>#N/A</v>
      </c>
      <c r="U75" s="144">
        <f t="shared" si="11"/>
        <v>0</v>
      </c>
      <c r="V75" s="145">
        <f t="shared" si="12"/>
        <v>0</v>
      </c>
      <c r="W75" s="129"/>
      <c r="X75" s="129"/>
      <c r="Y75" s="129"/>
      <c r="Z75" s="129"/>
      <c r="AA75" s="146" t="str">
        <f>CONCATENATE("Prestação de Serviço e Transpor. Escolar Gratuito - TEG n. ",A75," - DRE - " &amp;'BASE C'!$C$2)</f>
        <v>Prestação de Serviço e Transpor. Escolar Gratuito - TEG n. 2025/0039901 - DRE - FB</v>
      </c>
      <c r="AB75" s="238" t="e">
        <f t="shared" si="13"/>
        <v>#N/A</v>
      </c>
      <c r="AC75" s="239"/>
      <c r="AD75" s="240"/>
      <c r="AE75" s="242"/>
      <c r="AF75" s="102"/>
    </row>
    <row r="76" spans="1:32" s="57" customFormat="1" ht="20.100000000000001" customHeight="1" x14ac:dyDescent="0.25">
      <c r="A76" s="653" t="s">
        <v>3251</v>
      </c>
      <c r="B76" s="130"/>
      <c r="C76" s="131">
        <f t="shared" si="7"/>
        <v>0</v>
      </c>
      <c r="D76" s="132" t="e">
        <f>VLOOKUP(A76,'APONTAMENTO CREDENCIAMENTO'!$D$6:$P$2821,12,0)</f>
        <v>#N/A</v>
      </c>
      <c r="E76" s="133"/>
      <c r="F76" s="134">
        <f>SUMIF('APONTAMENTO CREDENCIAMENTO'!$D$6:$D$2821,'ATESTE-LIQ'!A76,'APONTAMENTO CREDENCIAMENTO'!$FF$6:$FF$2821)</f>
        <v>0</v>
      </c>
      <c r="G76" s="328" t="e">
        <f>VLOOKUP(A76,'APONTAMENTO CREDENCIAMENTO'!$D$6:$G$2821,3,0)</f>
        <v>#N/A</v>
      </c>
      <c r="H76" s="328" t="e">
        <f>VLOOKUP(A76,'APONTAMENTO CREDENCIAMENTO'!$D$6:$G$2821,4,0)</f>
        <v>#N/A</v>
      </c>
      <c r="I76" s="135" t="str">
        <f t="shared" si="8"/>
        <v>PE - Pagto. Doc(s):  - Contrato nº 2025/0040147</v>
      </c>
      <c r="J76" s="136">
        <f t="shared" si="9"/>
        <v>0</v>
      </c>
      <c r="K76" s="136">
        <v>0</v>
      </c>
      <c r="L76" s="137" t="e">
        <f>VLOOKUP(A76,'APONTAMENTO CREDENCIAMENTO'!$D$6:$P$2821,5,0)</f>
        <v>#N/A</v>
      </c>
      <c r="M76" s="138"/>
      <c r="N76" s="139"/>
      <c r="O76" s="140"/>
      <c r="P76" s="141"/>
      <c r="Q76" s="141"/>
      <c r="R76" s="141"/>
      <c r="S76" s="142"/>
      <c r="T76" s="143" t="e">
        <f t="shared" si="10"/>
        <v>#N/A</v>
      </c>
      <c r="U76" s="144">
        <f t="shared" si="11"/>
        <v>0</v>
      </c>
      <c r="V76" s="145">
        <f t="shared" si="12"/>
        <v>0</v>
      </c>
      <c r="W76" s="129"/>
      <c r="X76" s="129"/>
      <c r="Y76" s="129"/>
      <c r="Z76" s="129"/>
      <c r="AA76" s="146" t="str">
        <f>CONCATENATE("Prestação de Serviço e Transpor. Escolar Gratuito - TEG n. ",A76," - DRE - " &amp;'BASE C'!$C$2)</f>
        <v>Prestação de Serviço e Transpor. Escolar Gratuito - TEG n. 2025/0040147 - DRE - FB</v>
      </c>
      <c r="AB76" s="238" t="e">
        <f t="shared" si="13"/>
        <v>#N/A</v>
      </c>
      <c r="AC76" s="239"/>
      <c r="AD76" s="240"/>
      <c r="AE76" s="242"/>
      <c r="AF76" s="102"/>
    </row>
    <row r="77" spans="1:32" s="57" customFormat="1" ht="20.100000000000001" customHeight="1" x14ac:dyDescent="0.25">
      <c r="A77" s="653" t="s">
        <v>3259</v>
      </c>
      <c r="B77" s="130"/>
      <c r="C77" s="131">
        <f t="shared" si="7"/>
        <v>0</v>
      </c>
      <c r="D77" s="132" t="e">
        <f>VLOOKUP(A77,'APONTAMENTO CREDENCIAMENTO'!$D$6:$P$2821,12,0)</f>
        <v>#N/A</v>
      </c>
      <c r="E77" s="133"/>
      <c r="F77" s="134">
        <f>SUMIF('APONTAMENTO CREDENCIAMENTO'!$D$6:$D$2821,'ATESTE-LIQ'!A77,'APONTAMENTO CREDENCIAMENTO'!$FF$6:$FF$2821)</f>
        <v>0</v>
      </c>
      <c r="G77" s="328" t="e">
        <f>VLOOKUP(A77,'APONTAMENTO CREDENCIAMENTO'!$D$6:$G$2821,3,0)</f>
        <v>#N/A</v>
      </c>
      <c r="H77" s="328" t="e">
        <f>VLOOKUP(A77,'APONTAMENTO CREDENCIAMENTO'!$D$6:$G$2821,4,0)</f>
        <v>#N/A</v>
      </c>
      <c r="I77" s="135" t="str">
        <f t="shared" si="8"/>
        <v>PE - Pagto. Doc(s):  - Contrato nº 2025/0040165</v>
      </c>
      <c r="J77" s="136">
        <f t="shared" si="9"/>
        <v>0</v>
      </c>
      <c r="K77" s="136">
        <v>0</v>
      </c>
      <c r="L77" s="137" t="e">
        <f>VLOOKUP(A77,'APONTAMENTO CREDENCIAMENTO'!$D$6:$P$2821,5,0)</f>
        <v>#N/A</v>
      </c>
      <c r="M77" s="138"/>
      <c r="N77" s="139"/>
      <c r="O77" s="140"/>
      <c r="P77" s="141"/>
      <c r="Q77" s="141"/>
      <c r="R77" s="141"/>
      <c r="S77" s="142"/>
      <c r="T77" s="143" t="e">
        <f t="shared" si="10"/>
        <v>#N/A</v>
      </c>
      <c r="U77" s="144">
        <f t="shared" si="11"/>
        <v>0</v>
      </c>
      <c r="V77" s="145">
        <f t="shared" si="12"/>
        <v>0</v>
      </c>
      <c r="W77" s="129"/>
      <c r="X77" s="129"/>
      <c r="Y77" s="129"/>
      <c r="Z77" s="129"/>
      <c r="AA77" s="146" t="str">
        <f>CONCATENATE("Prestação de Serviço e Transpor. Escolar Gratuito - TEG n. ",A77," - DRE - " &amp;'BASE C'!$C$2)</f>
        <v>Prestação de Serviço e Transpor. Escolar Gratuito - TEG n. 2025/0040165 - DRE - FB</v>
      </c>
      <c r="AB77" s="238" t="e">
        <f t="shared" si="13"/>
        <v>#N/A</v>
      </c>
      <c r="AC77" s="239"/>
      <c r="AD77" s="240"/>
      <c r="AE77" s="242"/>
      <c r="AF77" s="102"/>
    </row>
    <row r="78" spans="1:32" s="57" customFormat="1" ht="20.100000000000001" customHeight="1" x14ac:dyDescent="0.25">
      <c r="A78" s="653" t="s">
        <v>3473</v>
      </c>
      <c r="B78" s="130"/>
      <c r="C78" s="131">
        <f t="shared" si="7"/>
        <v>0</v>
      </c>
      <c r="D78" s="132" t="e">
        <f>VLOOKUP(A78,'APONTAMENTO CREDENCIAMENTO'!$D$6:$P$2821,12,0)</f>
        <v>#N/A</v>
      </c>
      <c r="E78" s="133"/>
      <c r="F78" s="134">
        <f>SUMIF('APONTAMENTO CREDENCIAMENTO'!$D$6:$D$2821,'ATESTE-LIQ'!A78,'APONTAMENTO CREDENCIAMENTO'!$FF$6:$FF$2821)</f>
        <v>0</v>
      </c>
      <c r="G78" s="328" t="e">
        <f>VLOOKUP(A78,'APONTAMENTO CREDENCIAMENTO'!$D$6:$G$2821,3,0)</f>
        <v>#N/A</v>
      </c>
      <c r="H78" s="328" t="e">
        <f>VLOOKUP(A78,'APONTAMENTO CREDENCIAMENTO'!$D$6:$G$2821,4,0)</f>
        <v>#N/A</v>
      </c>
      <c r="I78" s="135" t="str">
        <f t="shared" si="8"/>
        <v>PE - Pagto. Doc(s):  - Contrato nº 2025/0040446</v>
      </c>
      <c r="J78" s="136">
        <f t="shared" si="9"/>
        <v>0</v>
      </c>
      <c r="K78" s="136">
        <v>0</v>
      </c>
      <c r="L78" s="137" t="e">
        <f>VLOOKUP(A78,'APONTAMENTO CREDENCIAMENTO'!$D$6:$P$2821,5,0)</f>
        <v>#N/A</v>
      </c>
      <c r="M78" s="138"/>
      <c r="N78" s="139"/>
      <c r="O78" s="140"/>
      <c r="P78" s="141"/>
      <c r="Q78" s="141"/>
      <c r="R78" s="141"/>
      <c r="S78" s="142"/>
      <c r="T78" s="143" t="e">
        <f t="shared" si="10"/>
        <v>#N/A</v>
      </c>
      <c r="U78" s="144">
        <f t="shared" si="11"/>
        <v>0</v>
      </c>
      <c r="V78" s="145">
        <f t="shared" si="12"/>
        <v>0</v>
      </c>
      <c r="W78" s="129"/>
      <c r="X78" s="129"/>
      <c r="Y78" s="129"/>
      <c r="Z78" s="129"/>
      <c r="AA78" s="146" t="str">
        <f>CONCATENATE("Prestação de Serviço e Transpor. Escolar Gratuito - TEG n. ",A78," - DRE - " &amp;'BASE C'!$C$2)</f>
        <v>Prestação de Serviço e Transpor. Escolar Gratuito - TEG n. 2025/0040446 - DRE - FB</v>
      </c>
      <c r="AB78" s="238" t="e">
        <f t="shared" si="13"/>
        <v>#N/A</v>
      </c>
      <c r="AC78" s="239"/>
      <c r="AD78" s="240"/>
      <c r="AE78" s="242"/>
      <c r="AF78" s="102"/>
    </row>
    <row r="79" spans="1:32" s="57" customFormat="1" ht="20.100000000000001" customHeight="1" x14ac:dyDescent="0.25">
      <c r="A79" s="653" t="s">
        <v>3471</v>
      </c>
      <c r="B79" s="130"/>
      <c r="C79" s="131">
        <f t="shared" si="7"/>
        <v>0</v>
      </c>
      <c r="D79" s="132" t="e">
        <f>VLOOKUP(A79,'APONTAMENTO CREDENCIAMENTO'!$D$6:$P$2821,12,0)</f>
        <v>#N/A</v>
      </c>
      <c r="E79" s="133"/>
      <c r="F79" s="134">
        <f>SUMIF('APONTAMENTO CREDENCIAMENTO'!$D$6:$D$2821,'ATESTE-LIQ'!A79,'APONTAMENTO CREDENCIAMENTO'!$FF$6:$FF$2821)</f>
        <v>0</v>
      </c>
      <c r="G79" s="328" t="e">
        <f>VLOOKUP(A79,'APONTAMENTO CREDENCIAMENTO'!$D$6:$G$2821,3,0)</f>
        <v>#N/A</v>
      </c>
      <c r="H79" s="328" t="e">
        <f>VLOOKUP(A79,'APONTAMENTO CREDENCIAMENTO'!$D$6:$G$2821,4,0)</f>
        <v>#N/A</v>
      </c>
      <c r="I79" s="135" t="str">
        <f t="shared" si="8"/>
        <v>PE - Pagto. Doc(s):  - Contrato nº 2025/0040452</v>
      </c>
      <c r="J79" s="136">
        <f t="shared" si="9"/>
        <v>0</v>
      </c>
      <c r="K79" s="136">
        <v>0</v>
      </c>
      <c r="L79" s="137" t="e">
        <f>VLOOKUP(A79,'APONTAMENTO CREDENCIAMENTO'!$D$6:$P$2821,5,0)</f>
        <v>#N/A</v>
      </c>
      <c r="M79" s="138"/>
      <c r="N79" s="139"/>
      <c r="O79" s="140"/>
      <c r="P79" s="141"/>
      <c r="Q79" s="141"/>
      <c r="R79" s="141"/>
      <c r="S79" s="142"/>
      <c r="T79" s="143" t="e">
        <f t="shared" si="10"/>
        <v>#N/A</v>
      </c>
      <c r="U79" s="144">
        <f t="shared" si="11"/>
        <v>0</v>
      </c>
      <c r="V79" s="145">
        <f t="shared" si="12"/>
        <v>0</v>
      </c>
      <c r="W79" s="129"/>
      <c r="X79" s="129"/>
      <c r="Y79" s="129"/>
      <c r="Z79" s="129"/>
      <c r="AA79" s="146" t="str">
        <f>CONCATENATE("Prestação de Serviço e Transpor. Escolar Gratuito - TEG n. ",A79," - DRE - " &amp;'BASE C'!$C$2)</f>
        <v>Prestação de Serviço e Transpor. Escolar Gratuito - TEG n. 2025/0040452 - DRE - FB</v>
      </c>
      <c r="AB79" s="238" t="e">
        <f t="shared" si="13"/>
        <v>#N/A</v>
      </c>
      <c r="AC79" s="239"/>
      <c r="AD79" s="240"/>
      <c r="AE79" s="242"/>
      <c r="AF79" s="102"/>
    </row>
    <row r="80" spans="1:32" s="57" customFormat="1" ht="20.100000000000001" customHeight="1" x14ac:dyDescent="0.25">
      <c r="A80" s="653" t="s">
        <v>3436</v>
      </c>
      <c r="B80" s="130"/>
      <c r="C80" s="131">
        <f t="shared" si="7"/>
        <v>0</v>
      </c>
      <c r="D80" s="132" t="e">
        <f>VLOOKUP(A80,'APONTAMENTO CREDENCIAMENTO'!$D$6:$P$2821,12,0)</f>
        <v>#N/A</v>
      </c>
      <c r="E80" s="133"/>
      <c r="F80" s="134">
        <f>SUMIF('APONTAMENTO CREDENCIAMENTO'!$D$6:$D$2821,'ATESTE-LIQ'!A80,'APONTAMENTO CREDENCIAMENTO'!$FF$6:$FF$2821)</f>
        <v>0</v>
      </c>
      <c r="G80" s="328" t="e">
        <f>VLOOKUP(A80,'APONTAMENTO CREDENCIAMENTO'!$D$6:$G$2821,3,0)</f>
        <v>#N/A</v>
      </c>
      <c r="H80" s="328" t="e">
        <f>VLOOKUP(A80,'APONTAMENTO CREDENCIAMENTO'!$D$6:$G$2821,4,0)</f>
        <v>#N/A</v>
      </c>
      <c r="I80" s="135" t="str">
        <f t="shared" si="8"/>
        <v>PE - Pagto. Doc(s):  - Contrato nº 2025/0041860</v>
      </c>
      <c r="J80" s="136">
        <f t="shared" si="9"/>
        <v>0</v>
      </c>
      <c r="K80" s="136">
        <v>0</v>
      </c>
      <c r="L80" s="137" t="e">
        <f>VLOOKUP(A80,'APONTAMENTO CREDENCIAMENTO'!$D$6:$P$2821,5,0)</f>
        <v>#N/A</v>
      </c>
      <c r="M80" s="138"/>
      <c r="N80" s="139"/>
      <c r="O80" s="140"/>
      <c r="P80" s="141"/>
      <c r="Q80" s="141"/>
      <c r="R80" s="141"/>
      <c r="S80" s="142"/>
      <c r="T80" s="143" t="e">
        <f t="shared" si="10"/>
        <v>#N/A</v>
      </c>
      <c r="U80" s="144">
        <f t="shared" si="11"/>
        <v>0</v>
      </c>
      <c r="V80" s="145">
        <f t="shared" si="12"/>
        <v>0</v>
      </c>
      <c r="W80" s="129"/>
      <c r="X80" s="129"/>
      <c r="Y80" s="129"/>
      <c r="Z80" s="129"/>
      <c r="AA80" s="146" t="str">
        <f>CONCATENATE("Prestação de Serviço e Transpor. Escolar Gratuito - TEG n. ",A80," - DRE - " &amp;'BASE C'!$C$2)</f>
        <v>Prestação de Serviço e Transpor. Escolar Gratuito - TEG n. 2025/0041860 - DRE - FB</v>
      </c>
      <c r="AB80" s="238" t="e">
        <f t="shared" si="13"/>
        <v>#N/A</v>
      </c>
      <c r="AC80" s="239"/>
      <c r="AD80" s="240"/>
      <c r="AE80" s="242"/>
      <c r="AF80" s="102"/>
    </row>
    <row r="81" spans="1:32" s="57" customFormat="1" ht="20.100000000000001" customHeight="1" x14ac:dyDescent="0.25">
      <c r="A81" s="653" t="s">
        <v>3284</v>
      </c>
      <c r="B81" s="130"/>
      <c r="C81" s="131">
        <f t="shared" si="7"/>
        <v>0</v>
      </c>
      <c r="D81" s="132" t="e">
        <f>VLOOKUP(A81,'APONTAMENTO CREDENCIAMENTO'!$D$6:$P$2821,12,0)</f>
        <v>#N/A</v>
      </c>
      <c r="E81" s="133"/>
      <c r="F81" s="134">
        <f>SUMIF('APONTAMENTO CREDENCIAMENTO'!$D$6:$D$2821,'ATESTE-LIQ'!A81,'APONTAMENTO CREDENCIAMENTO'!$FF$6:$FF$2821)</f>
        <v>0</v>
      </c>
      <c r="G81" s="328" t="e">
        <f>VLOOKUP(A81,'APONTAMENTO CREDENCIAMENTO'!$D$6:$G$2821,3,0)</f>
        <v>#N/A</v>
      </c>
      <c r="H81" s="328" t="e">
        <f>VLOOKUP(A81,'APONTAMENTO CREDENCIAMENTO'!$D$6:$G$2821,4,0)</f>
        <v>#N/A</v>
      </c>
      <c r="I81" s="135" t="str">
        <f t="shared" si="8"/>
        <v>PE - Pagto. Doc(s):  - Contrato nº 2025/0043309</v>
      </c>
      <c r="J81" s="136">
        <f t="shared" si="9"/>
        <v>0</v>
      </c>
      <c r="K81" s="136">
        <v>0</v>
      </c>
      <c r="L81" s="137" t="e">
        <f>VLOOKUP(A81,'APONTAMENTO CREDENCIAMENTO'!$D$6:$P$2821,5,0)</f>
        <v>#N/A</v>
      </c>
      <c r="M81" s="138"/>
      <c r="N81" s="139"/>
      <c r="O81" s="140"/>
      <c r="P81" s="141"/>
      <c r="Q81" s="141"/>
      <c r="R81" s="141"/>
      <c r="S81" s="142"/>
      <c r="T81" s="143" t="e">
        <f t="shared" si="10"/>
        <v>#N/A</v>
      </c>
      <c r="U81" s="144">
        <f t="shared" si="11"/>
        <v>0</v>
      </c>
      <c r="V81" s="145">
        <f t="shared" si="12"/>
        <v>0</v>
      </c>
      <c r="W81" s="129"/>
      <c r="X81" s="129"/>
      <c r="Y81" s="129"/>
      <c r="Z81" s="129"/>
      <c r="AA81" s="146" t="str">
        <f>CONCATENATE("Prestação de Serviço e Transpor. Escolar Gratuito - TEG n. ",A81," - DRE - " &amp;'BASE C'!$C$2)</f>
        <v>Prestação de Serviço e Transpor. Escolar Gratuito - TEG n. 2025/0043309 - DRE - FB</v>
      </c>
      <c r="AB81" s="238" t="e">
        <f t="shared" si="13"/>
        <v>#N/A</v>
      </c>
      <c r="AC81" s="239"/>
      <c r="AD81" s="240"/>
      <c r="AE81" s="242"/>
      <c r="AF81" s="102"/>
    </row>
    <row r="82" spans="1:32" s="57" customFormat="1" ht="20.100000000000001" customHeight="1" x14ac:dyDescent="0.25">
      <c r="A82" s="653" t="s">
        <v>3364</v>
      </c>
      <c r="B82" s="130"/>
      <c r="C82" s="131">
        <f t="shared" si="7"/>
        <v>0</v>
      </c>
      <c r="D82" s="132" t="e">
        <f>VLOOKUP(A82,'APONTAMENTO CREDENCIAMENTO'!$D$6:$P$2821,12,0)</f>
        <v>#N/A</v>
      </c>
      <c r="E82" s="133"/>
      <c r="F82" s="134">
        <f>SUMIF('APONTAMENTO CREDENCIAMENTO'!$D$6:$D$2821,'ATESTE-LIQ'!A82,'APONTAMENTO CREDENCIAMENTO'!$FF$6:$FF$2821)</f>
        <v>0</v>
      </c>
      <c r="G82" s="328" t="e">
        <f>VLOOKUP(A82,'APONTAMENTO CREDENCIAMENTO'!$D$6:$G$2821,3,0)</f>
        <v>#N/A</v>
      </c>
      <c r="H82" s="328" t="e">
        <f>VLOOKUP(A82,'APONTAMENTO CREDENCIAMENTO'!$D$6:$G$2821,4,0)</f>
        <v>#N/A</v>
      </c>
      <c r="I82" s="135" t="str">
        <f t="shared" si="8"/>
        <v>PE - Pagto. Doc(s):  - Contrato nº 2025/0043600</v>
      </c>
      <c r="J82" s="136">
        <f t="shared" si="9"/>
        <v>0</v>
      </c>
      <c r="K82" s="136">
        <v>0</v>
      </c>
      <c r="L82" s="137" t="e">
        <f>VLOOKUP(A82,'APONTAMENTO CREDENCIAMENTO'!$D$6:$P$2821,5,0)</f>
        <v>#N/A</v>
      </c>
      <c r="M82" s="138"/>
      <c r="N82" s="139"/>
      <c r="O82" s="140"/>
      <c r="P82" s="141"/>
      <c r="Q82" s="141"/>
      <c r="R82" s="141"/>
      <c r="S82" s="142"/>
      <c r="T82" s="143" t="e">
        <f t="shared" si="10"/>
        <v>#N/A</v>
      </c>
      <c r="U82" s="144">
        <f t="shared" si="11"/>
        <v>0</v>
      </c>
      <c r="V82" s="145">
        <f t="shared" si="12"/>
        <v>0</v>
      </c>
      <c r="W82" s="129"/>
      <c r="X82" s="129"/>
      <c r="Y82" s="129"/>
      <c r="Z82" s="129"/>
      <c r="AA82" s="146" t="str">
        <f>CONCATENATE("Prestação de Serviço e Transpor. Escolar Gratuito - TEG n. ",A82," - DRE - " &amp;'BASE C'!$C$2)</f>
        <v>Prestação de Serviço e Transpor. Escolar Gratuito - TEG n. 2025/0043600 - DRE - FB</v>
      </c>
      <c r="AB82" s="238" t="e">
        <f t="shared" si="13"/>
        <v>#N/A</v>
      </c>
      <c r="AC82" s="239"/>
      <c r="AD82" s="240"/>
      <c r="AE82" s="242"/>
      <c r="AF82" s="102"/>
    </row>
    <row r="83" spans="1:32" s="57" customFormat="1" ht="20.100000000000001" customHeight="1" x14ac:dyDescent="0.25">
      <c r="A83" s="653" t="s">
        <v>3368</v>
      </c>
      <c r="B83" s="130"/>
      <c r="C83" s="131">
        <f t="shared" si="7"/>
        <v>0</v>
      </c>
      <c r="D83" s="132" t="e">
        <f>VLOOKUP(A83,'APONTAMENTO CREDENCIAMENTO'!$D$6:$P$2821,12,0)</f>
        <v>#N/A</v>
      </c>
      <c r="E83" s="133"/>
      <c r="F83" s="134">
        <f>SUMIF('APONTAMENTO CREDENCIAMENTO'!$D$6:$D$2821,'ATESTE-LIQ'!A83,'APONTAMENTO CREDENCIAMENTO'!$FF$6:$FF$2821)</f>
        <v>0</v>
      </c>
      <c r="G83" s="328" t="e">
        <f>VLOOKUP(A83,'APONTAMENTO CREDENCIAMENTO'!$D$6:$G$2821,3,0)</f>
        <v>#N/A</v>
      </c>
      <c r="H83" s="328" t="e">
        <f>VLOOKUP(A83,'APONTAMENTO CREDENCIAMENTO'!$D$6:$G$2821,4,0)</f>
        <v>#N/A</v>
      </c>
      <c r="I83" s="135" t="str">
        <f t="shared" si="8"/>
        <v>PE - Pagto. Doc(s):  - Contrato nº 2025/0045612</v>
      </c>
      <c r="J83" s="136">
        <f t="shared" si="9"/>
        <v>0</v>
      </c>
      <c r="K83" s="136">
        <v>0</v>
      </c>
      <c r="L83" s="137" t="e">
        <f>VLOOKUP(A83,'APONTAMENTO CREDENCIAMENTO'!$D$6:$P$2821,5,0)</f>
        <v>#N/A</v>
      </c>
      <c r="M83" s="138"/>
      <c r="N83" s="139"/>
      <c r="O83" s="140"/>
      <c r="P83" s="141"/>
      <c r="Q83" s="141"/>
      <c r="R83" s="141"/>
      <c r="S83" s="142"/>
      <c r="T83" s="143" t="e">
        <f t="shared" si="10"/>
        <v>#N/A</v>
      </c>
      <c r="U83" s="144">
        <f t="shared" si="11"/>
        <v>0</v>
      </c>
      <c r="V83" s="145">
        <f t="shared" si="12"/>
        <v>0</v>
      </c>
      <c r="W83" s="129"/>
      <c r="X83" s="129"/>
      <c r="Y83" s="129"/>
      <c r="Z83" s="129"/>
      <c r="AA83" s="146" t="str">
        <f>CONCATENATE("Prestação de Serviço e Transpor. Escolar Gratuito - TEG n. ",A83," - DRE - " &amp;'BASE C'!$C$2)</f>
        <v>Prestação de Serviço e Transpor. Escolar Gratuito - TEG n. 2025/0045612 - DRE - FB</v>
      </c>
      <c r="AB83" s="238" t="e">
        <f t="shared" si="13"/>
        <v>#N/A</v>
      </c>
      <c r="AC83" s="239"/>
      <c r="AD83" s="240"/>
      <c r="AE83" s="242"/>
      <c r="AF83" s="102"/>
    </row>
    <row r="84" spans="1:32" s="57" customFormat="1" ht="20.100000000000001" customHeight="1" x14ac:dyDescent="0.25">
      <c r="A84" s="653" t="s">
        <v>3407</v>
      </c>
      <c r="B84" s="130"/>
      <c r="C84" s="131">
        <f t="shared" si="7"/>
        <v>0</v>
      </c>
      <c r="D84" s="132" t="e">
        <f>VLOOKUP(A84,'APONTAMENTO CREDENCIAMENTO'!$D$6:$P$2821,12,0)</f>
        <v>#N/A</v>
      </c>
      <c r="E84" s="133"/>
      <c r="F84" s="134">
        <f>SUMIF('APONTAMENTO CREDENCIAMENTO'!$D$6:$D$2821,'ATESTE-LIQ'!A84,'APONTAMENTO CREDENCIAMENTO'!$FF$6:$FF$2821)</f>
        <v>0</v>
      </c>
      <c r="G84" s="328" t="e">
        <f>VLOOKUP(A84,'APONTAMENTO CREDENCIAMENTO'!$D$6:$G$2821,3,0)</f>
        <v>#N/A</v>
      </c>
      <c r="H84" s="328" t="e">
        <f>VLOOKUP(A84,'APONTAMENTO CREDENCIAMENTO'!$D$6:$G$2821,4,0)</f>
        <v>#N/A</v>
      </c>
      <c r="I84" s="135" t="str">
        <f t="shared" si="8"/>
        <v>PE - Pagto. Doc(s):  - Contrato nº 2025/0047543</v>
      </c>
      <c r="J84" s="136">
        <f t="shared" si="9"/>
        <v>0</v>
      </c>
      <c r="K84" s="136">
        <v>0</v>
      </c>
      <c r="L84" s="137" t="e">
        <f>VLOOKUP(A84,'APONTAMENTO CREDENCIAMENTO'!$D$6:$P$2821,5,0)</f>
        <v>#N/A</v>
      </c>
      <c r="M84" s="138"/>
      <c r="N84" s="139"/>
      <c r="O84" s="140"/>
      <c r="P84" s="141"/>
      <c r="Q84" s="141"/>
      <c r="R84" s="141"/>
      <c r="S84" s="142"/>
      <c r="T84" s="143" t="e">
        <f t="shared" si="10"/>
        <v>#N/A</v>
      </c>
      <c r="U84" s="144">
        <f t="shared" si="11"/>
        <v>0</v>
      </c>
      <c r="V84" s="145">
        <f t="shared" si="12"/>
        <v>0</v>
      </c>
      <c r="W84" s="129"/>
      <c r="X84" s="129"/>
      <c r="Y84" s="129"/>
      <c r="Z84" s="129"/>
      <c r="AA84" s="146" t="str">
        <f>CONCATENATE("Prestação de Serviço e Transpor. Escolar Gratuito - TEG n. ",A84," - DRE - " &amp;'BASE C'!$C$2)</f>
        <v>Prestação de Serviço e Transpor. Escolar Gratuito - TEG n. 2025/0047543 - DRE - FB</v>
      </c>
      <c r="AB84" s="238" t="e">
        <f t="shared" si="13"/>
        <v>#N/A</v>
      </c>
      <c r="AC84" s="239"/>
      <c r="AD84" s="240"/>
      <c r="AE84" s="242"/>
      <c r="AF84" s="102"/>
    </row>
    <row r="85" spans="1:32" s="57" customFormat="1" ht="20.100000000000001" customHeight="1" x14ac:dyDescent="0.25">
      <c r="A85" s="653" t="s">
        <v>3272</v>
      </c>
      <c r="B85" s="130"/>
      <c r="C85" s="131">
        <f t="shared" si="7"/>
        <v>0</v>
      </c>
      <c r="D85" s="132" t="e">
        <f>VLOOKUP(A85,'APONTAMENTO CREDENCIAMENTO'!$D$6:$P$2821,12,0)</f>
        <v>#N/A</v>
      </c>
      <c r="E85" s="133"/>
      <c r="F85" s="134">
        <f>SUMIF('APONTAMENTO CREDENCIAMENTO'!$D$6:$D$2821,'ATESTE-LIQ'!A85,'APONTAMENTO CREDENCIAMENTO'!$FF$6:$FF$2821)</f>
        <v>0</v>
      </c>
      <c r="G85" s="328" t="e">
        <f>VLOOKUP(A85,'APONTAMENTO CREDENCIAMENTO'!$D$6:$G$2821,3,0)</f>
        <v>#N/A</v>
      </c>
      <c r="H85" s="328" t="e">
        <f>VLOOKUP(A85,'APONTAMENTO CREDENCIAMENTO'!$D$6:$G$2821,4,0)</f>
        <v>#N/A</v>
      </c>
      <c r="I85" s="135" t="str">
        <f t="shared" si="8"/>
        <v>PE - Pagto. Doc(s):  - Contrato nº 2025/0066747</v>
      </c>
      <c r="J85" s="136">
        <f t="shared" si="9"/>
        <v>0</v>
      </c>
      <c r="K85" s="136">
        <v>0</v>
      </c>
      <c r="L85" s="137" t="e">
        <f>VLOOKUP(A85,'APONTAMENTO CREDENCIAMENTO'!$D$6:$P$2821,5,0)</f>
        <v>#N/A</v>
      </c>
      <c r="M85" s="138"/>
      <c r="N85" s="139"/>
      <c r="O85" s="140"/>
      <c r="P85" s="141"/>
      <c r="Q85" s="141"/>
      <c r="R85" s="141"/>
      <c r="S85" s="142"/>
      <c r="T85" s="143" t="e">
        <f t="shared" si="10"/>
        <v>#N/A</v>
      </c>
      <c r="U85" s="144">
        <f t="shared" si="11"/>
        <v>0</v>
      </c>
      <c r="V85" s="145">
        <f t="shared" si="12"/>
        <v>0</v>
      </c>
      <c r="W85" s="129"/>
      <c r="X85" s="129"/>
      <c r="Y85" s="129"/>
      <c r="Z85" s="129"/>
      <c r="AA85" s="146" t="str">
        <f>CONCATENATE("Prestação de Serviço e Transpor. Escolar Gratuito - TEG n. ",A85," - DRE - " &amp;'BASE C'!$C$2)</f>
        <v>Prestação de Serviço e Transpor. Escolar Gratuito - TEG n. 2025/0066747 - DRE - FB</v>
      </c>
      <c r="AB85" s="238" t="e">
        <f t="shared" si="13"/>
        <v>#N/A</v>
      </c>
      <c r="AC85" s="239"/>
      <c r="AD85" s="240"/>
      <c r="AE85" s="242"/>
      <c r="AF85" s="102"/>
    </row>
    <row r="86" spans="1:32" s="57" customFormat="1" ht="20.100000000000001" customHeight="1" x14ac:dyDescent="0.25">
      <c r="A86" s="653" t="s">
        <v>3394</v>
      </c>
      <c r="B86" s="130"/>
      <c r="C86" s="131">
        <f t="shared" si="7"/>
        <v>0</v>
      </c>
      <c r="D86" s="132" t="e">
        <f>VLOOKUP(A86,'APONTAMENTO CREDENCIAMENTO'!$D$6:$P$2821,12,0)</f>
        <v>#N/A</v>
      </c>
      <c r="E86" s="133"/>
      <c r="F86" s="134">
        <f>SUMIF('APONTAMENTO CREDENCIAMENTO'!$D$6:$D$2821,'ATESTE-LIQ'!A86,'APONTAMENTO CREDENCIAMENTO'!$FF$6:$FF$2821)</f>
        <v>0</v>
      </c>
      <c r="G86" s="328" t="e">
        <f>VLOOKUP(A86,'APONTAMENTO CREDENCIAMENTO'!$D$6:$G$2821,3,0)</f>
        <v>#N/A</v>
      </c>
      <c r="H86" s="328" t="e">
        <f>VLOOKUP(A86,'APONTAMENTO CREDENCIAMENTO'!$D$6:$G$2821,4,0)</f>
        <v>#N/A</v>
      </c>
      <c r="I86" s="135" t="str">
        <f t="shared" si="8"/>
        <v>PE - Pagto. Doc(s):  - Contrato nº 2025/0067317</v>
      </c>
      <c r="J86" s="136">
        <f t="shared" si="9"/>
        <v>0</v>
      </c>
      <c r="K86" s="136">
        <v>0</v>
      </c>
      <c r="L86" s="137" t="e">
        <f>VLOOKUP(A86,'APONTAMENTO CREDENCIAMENTO'!$D$6:$P$2821,5,0)</f>
        <v>#N/A</v>
      </c>
      <c r="M86" s="138"/>
      <c r="N86" s="139"/>
      <c r="O86" s="140"/>
      <c r="P86" s="141"/>
      <c r="Q86" s="141"/>
      <c r="R86" s="141"/>
      <c r="S86" s="142"/>
      <c r="T86" s="143" t="e">
        <f t="shared" si="10"/>
        <v>#N/A</v>
      </c>
      <c r="U86" s="144">
        <f t="shared" si="11"/>
        <v>0</v>
      </c>
      <c r="V86" s="145">
        <f t="shared" si="12"/>
        <v>0</v>
      </c>
      <c r="W86" s="129"/>
      <c r="X86" s="129"/>
      <c r="Y86" s="129"/>
      <c r="Z86" s="129"/>
      <c r="AA86" s="146" t="str">
        <f>CONCATENATE("Prestação de Serviço e Transpor. Escolar Gratuito - TEG n. ",A86," - DRE - " &amp;'BASE C'!$C$2)</f>
        <v>Prestação de Serviço e Transpor. Escolar Gratuito - TEG n. 2025/0067317 - DRE - FB</v>
      </c>
      <c r="AB86" s="238" t="e">
        <f t="shared" si="13"/>
        <v>#N/A</v>
      </c>
      <c r="AC86" s="239"/>
      <c r="AD86" s="240"/>
      <c r="AE86" s="242"/>
      <c r="AF86" s="102"/>
    </row>
    <row r="87" spans="1:32" s="57" customFormat="1" ht="20.100000000000001" customHeight="1" x14ac:dyDescent="0.25">
      <c r="A87" s="653" t="s">
        <v>3445</v>
      </c>
      <c r="B87" s="130"/>
      <c r="C87" s="131">
        <f t="shared" si="7"/>
        <v>0</v>
      </c>
      <c r="D87" s="132" t="e">
        <f>VLOOKUP(A87,'APONTAMENTO CREDENCIAMENTO'!$D$6:$P$2821,12,0)</f>
        <v>#N/A</v>
      </c>
      <c r="E87" s="133"/>
      <c r="F87" s="134">
        <f>SUMIF('APONTAMENTO CREDENCIAMENTO'!$D$6:$D$2821,'ATESTE-LIQ'!A87,'APONTAMENTO CREDENCIAMENTO'!$FF$6:$FF$2821)</f>
        <v>0</v>
      </c>
      <c r="G87" s="328" t="e">
        <f>VLOOKUP(A87,'APONTAMENTO CREDENCIAMENTO'!$D$6:$G$2821,3,0)</f>
        <v>#N/A</v>
      </c>
      <c r="H87" s="328" t="e">
        <f>VLOOKUP(A87,'APONTAMENTO CREDENCIAMENTO'!$D$6:$G$2821,4,0)</f>
        <v>#N/A</v>
      </c>
      <c r="I87" s="135" t="str">
        <f t="shared" si="8"/>
        <v>PE - Pagto. Doc(s):  - Contrato nº 2025/0067817</v>
      </c>
      <c r="J87" s="136">
        <f t="shared" si="9"/>
        <v>0</v>
      </c>
      <c r="K87" s="136">
        <v>0</v>
      </c>
      <c r="L87" s="137" t="e">
        <f>VLOOKUP(A87,'APONTAMENTO CREDENCIAMENTO'!$D$6:$P$2821,5,0)</f>
        <v>#N/A</v>
      </c>
      <c r="M87" s="138"/>
      <c r="N87" s="139"/>
      <c r="O87" s="140"/>
      <c r="P87" s="141"/>
      <c r="Q87" s="141"/>
      <c r="R87" s="141"/>
      <c r="S87" s="142"/>
      <c r="T87" s="143" t="e">
        <f t="shared" si="10"/>
        <v>#N/A</v>
      </c>
      <c r="U87" s="144">
        <f t="shared" si="11"/>
        <v>0</v>
      </c>
      <c r="V87" s="145">
        <f t="shared" si="12"/>
        <v>0</v>
      </c>
      <c r="W87" s="129"/>
      <c r="X87" s="129"/>
      <c r="Y87" s="129"/>
      <c r="Z87" s="129"/>
      <c r="AA87" s="146" t="str">
        <f>CONCATENATE("Prestação de Serviço e Transpor. Escolar Gratuito - TEG n. ",A87," - DRE - " &amp;'BASE C'!$C$2)</f>
        <v>Prestação de Serviço e Transpor. Escolar Gratuito - TEG n. 2025/0067817 - DRE - FB</v>
      </c>
      <c r="AB87" s="238" t="e">
        <f t="shared" si="13"/>
        <v>#N/A</v>
      </c>
      <c r="AC87" s="239"/>
      <c r="AD87" s="240"/>
      <c r="AE87" s="242"/>
      <c r="AF87" s="102"/>
    </row>
    <row r="88" spans="1:32" s="57" customFormat="1" ht="20.100000000000001" customHeight="1" x14ac:dyDescent="0.25">
      <c r="A88" s="653" t="s">
        <v>3246</v>
      </c>
      <c r="B88" s="130"/>
      <c r="C88" s="131">
        <f t="shared" si="7"/>
        <v>0</v>
      </c>
      <c r="D88" s="132" t="e">
        <f>VLOOKUP(A88,'APONTAMENTO CREDENCIAMENTO'!$D$6:$P$2821,12,0)</f>
        <v>#N/A</v>
      </c>
      <c r="E88" s="133"/>
      <c r="F88" s="134">
        <f>SUMIF('APONTAMENTO CREDENCIAMENTO'!$D$6:$D$2821,'ATESTE-LIQ'!A88,'APONTAMENTO CREDENCIAMENTO'!$FF$6:$FF$2821)</f>
        <v>0</v>
      </c>
      <c r="G88" s="328" t="e">
        <f>VLOOKUP(A88,'APONTAMENTO CREDENCIAMENTO'!$D$6:$G$2821,3,0)</f>
        <v>#N/A</v>
      </c>
      <c r="H88" s="328" t="e">
        <f>VLOOKUP(A88,'APONTAMENTO CREDENCIAMENTO'!$D$6:$G$2821,4,0)</f>
        <v>#N/A</v>
      </c>
      <c r="I88" s="135" t="str">
        <f t="shared" si="8"/>
        <v>PE - Pagto. Doc(s):  - Contrato nº 2025/0068352</v>
      </c>
      <c r="J88" s="136">
        <f t="shared" si="9"/>
        <v>0</v>
      </c>
      <c r="K88" s="136">
        <v>0</v>
      </c>
      <c r="L88" s="137" t="e">
        <f>VLOOKUP(A88,'APONTAMENTO CREDENCIAMENTO'!$D$6:$P$2821,5,0)</f>
        <v>#N/A</v>
      </c>
      <c r="M88" s="138"/>
      <c r="N88" s="139"/>
      <c r="O88" s="140"/>
      <c r="P88" s="141"/>
      <c r="Q88" s="141"/>
      <c r="R88" s="141"/>
      <c r="S88" s="142"/>
      <c r="T88" s="143" t="e">
        <f t="shared" si="10"/>
        <v>#N/A</v>
      </c>
      <c r="U88" s="144">
        <f t="shared" si="11"/>
        <v>0</v>
      </c>
      <c r="V88" s="145">
        <f t="shared" si="12"/>
        <v>0</v>
      </c>
      <c r="W88" s="129"/>
      <c r="X88" s="129"/>
      <c r="Y88" s="129"/>
      <c r="Z88" s="129"/>
      <c r="AA88" s="146" t="str">
        <f>CONCATENATE("Prestação de Serviço e Transpor. Escolar Gratuito - TEG n. ",A88," - DRE - " &amp;'BASE C'!$C$2)</f>
        <v>Prestação de Serviço e Transpor. Escolar Gratuito - TEG n. 2025/0068352 - DRE - FB</v>
      </c>
      <c r="AB88" s="238" t="e">
        <f t="shared" si="13"/>
        <v>#N/A</v>
      </c>
      <c r="AC88" s="239"/>
      <c r="AD88" s="240"/>
      <c r="AE88" s="242"/>
      <c r="AF88" s="102"/>
    </row>
    <row r="89" spans="1:32" s="57" customFormat="1" ht="20.100000000000001" customHeight="1" x14ac:dyDescent="0.25">
      <c r="A89" s="653" t="s">
        <v>3428</v>
      </c>
      <c r="B89" s="130"/>
      <c r="C89" s="131">
        <f t="shared" si="7"/>
        <v>0</v>
      </c>
      <c r="D89" s="132" t="e">
        <f>VLOOKUP(A89,'APONTAMENTO CREDENCIAMENTO'!$D$6:$P$2821,12,0)</f>
        <v>#N/A</v>
      </c>
      <c r="E89" s="133"/>
      <c r="F89" s="134">
        <f>SUMIF('APONTAMENTO CREDENCIAMENTO'!$D$6:$D$2821,'ATESTE-LIQ'!A89,'APONTAMENTO CREDENCIAMENTO'!$FF$6:$FF$2821)</f>
        <v>0</v>
      </c>
      <c r="G89" s="328" t="e">
        <f>VLOOKUP(A89,'APONTAMENTO CREDENCIAMENTO'!$D$6:$G$2821,3,0)</f>
        <v>#N/A</v>
      </c>
      <c r="H89" s="328" t="e">
        <f>VLOOKUP(A89,'APONTAMENTO CREDENCIAMENTO'!$D$6:$G$2821,4,0)</f>
        <v>#N/A</v>
      </c>
      <c r="I89" s="135" t="str">
        <f t="shared" si="8"/>
        <v>PE - Pagto. Doc(s):  - Contrato nº 2025/0068768</v>
      </c>
      <c r="J89" s="136">
        <f t="shared" si="9"/>
        <v>0</v>
      </c>
      <c r="K89" s="136">
        <v>0</v>
      </c>
      <c r="L89" s="137" t="e">
        <f>VLOOKUP(A89,'APONTAMENTO CREDENCIAMENTO'!$D$6:$P$2821,5,0)</f>
        <v>#N/A</v>
      </c>
      <c r="M89" s="138"/>
      <c r="N89" s="139"/>
      <c r="O89" s="140"/>
      <c r="P89" s="141"/>
      <c r="Q89" s="141"/>
      <c r="R89" s="141"/>
      <c r="S89" s="142"/>
      <c r="T89" s="143" t="e">
        <f t="shared" si="10"/>
        <v>#N/A</v>
      </c>
      <c r="U89" s="144">
        <f t="shared" si="11"/>
        <v>0</v>
      </c>
      <c r="V89" s="145">
        <f t="shared" si="12"/>
        <v>0</v>
      </c>
      <c r="W89" s="129"/>
      <c r="X89" s="129"/>
      <c r="Y89" s="129"/>
      <c r="Z89" s="129"/>
      <c r="AA89" s="146" t="str">
        <f>CONCATENATE("Prestação de Serviço e Transpor. Escolar Gratuito - TEG n. ",A89," - DRE - " &amp;'BASE C'!$C$2)</f>
        <v>Prestação de Serviço e Transpor. Escolar Gratuito - TEG n. 2025/0068768 - DRE - FB</v>
      </c>
      <c r="AB89" s="238" t="e">
        <f t="shared" si="13"/>
        <v>#N/A</v>
      </c>
      <c r="AC89" s="239"/>
      <c r="AD89" s="240"/>
      <c r="AE89" s="242"/>
      <c r="AF89" s="102"/>
    </row>
    <row r="90" spans="1:32" s="57" customFormat="1" ht="20.100000000000001" customHeight="1" x14ac:dyDescent="0.25">
      <c r="A90" s="653" t="s">
        <v>3438</v>
      </c>
      <c r="B90" s="130"/>
      <c r="C90" s="131">
        <f t="shared" si="7"/>
        <v>0</v>
      </c>
      <c r="D90" s="132" t="e">
        <f>VLOOKUP(A90,'APONTAMENTO CREDENCIAMENTO'!$D$6:$P$2821,12,0)</f>
        <v>#N/A</v>
      </c>
      <c r="E90" s="133"/>
      <c r="F90" s="134">
        <f>SUMIF('APONTAMENTO CREDENCIAMENTO'!$D$6:$D$2821,'ATESTE-LIQ'!A90,'APONTAMENTO CREDENCIAMENTO'!$FF$6:$FF$2821)</f>
        <v>0</v>
      </c>
      <c r="G90" s="328" t="e">
        <f>VLOOKUP(A90,'APONTAMENTO CREDENCIAMENTO'!$D$6:$G$2821,3,0)</f>
        <v>#N/A</v>
      </c>
      <c r="H90" s="328" t="e">
        <f>VLOOKUP(A90,'APONTAMENTO CREDENCIAMENTO'!$D$6:$G$2821,4,0)</f>
        <v>#N/A</v>
      </c>
      <c r="I90" s="135" t="str">
        <f t="shared" si="8"/>
        <v>PE - Pagto. Doc(s):  - Contrato nº 2025/0068834</v>
      </c>
      <c r="J90" s="136">
        <f t="shared" si="9"/>
        <v>0</v>
      </c>
      <c r="K90" s="136">
        <v>0</v>
      </c>
      <c r="L90" s="137" t="e">
        <f>VLOOKUP(A90,'APONTAMENTO CREDENCIAMENTO'!$D$6:$P$2821,5,0)</f>
        <v>#N/A</v>
      </c>
      <c r="M90" s="138"/>
      <c r="N90" s="139"/>
      <c r="O90" s="140"/>
      <c r="P90" s="141"/>
      <c r="Q90" s="141"/>
      <c r="R90" s="141"/>
      <c r="S90" s="142"/>
      <c r="T90" s="143" t="e">
        <f t="shared" si="10"/>
        <v>#N/A</v>
      </c>
      <c r="U90" s="144">
        <f t="shared" si="11"/>
        <v>0</v>
      </c>
      <c r="V90" s="145">
        <f t="shared" si="12"/>
        <v>0</v>
      </c>
      <c r="W90" s="129"/>
      <c r="X90" s="129"/>
      <c r="Y90" s="129"/>
      <c r="Z90" s="129"/>
      <c r="AA90" s="146" t="str">
        <f>CONCATENATE("Prestação de Serviço e Transpor. Escolar Gratuito - TEG n. ",A90," - DRE - " &amp;'BASE C'!$C$2)</f>
        <v>Prestação de Serviço e Transpor. Escolar Gratuito - TEG n. 2025/0068834 - DRE - FB</v>
      </c>
      <c r="AB90" s="238" t="e">
        <f t="shared" si="13"/>
        <v>#N/A</v>
      </c>
      <c r="AC90" s="239"/>
      <c r="AD90" s="240"/>
      <c r="AE90" s="242"/>
      <c r="AF90" s="102"/>
    </row>
    <row r="91" spans="1:32" s="57" customFormat="1" ht="20.100000000000001" customHeight="1" x14ac:dyDescent="0.25">
      <c r="A91" s="653" t="s">
        <v>3391</v>
      </c>
      <c r="B91" s="130"/>
      <c r="C91" s="131">
        <f t="shared" si="7"/>
        <v>0</v>
      </c>
      <c r="D91" s="132" t="e">
        <f>VLOOKUP(A91,'APONTAMENTO CREDENCIAMENTO'!$D$6:$P$2821,12,0)</f>
        <v>#N/A</v>
      </c>
      <c r="E91" s="133"/>
      <c r="F91" s="134">
        <f>SUMIF('APONTAMENTO CREDENCIAMENTO'!$D$6:$D$2821,'ATESTE-LIQ'!A91,'APONTAMENTO CREDENCIAMENTO'!$FF$6:$FF$2821)</f>
        <v>0</v>
      </c>
      <c r="G91" s="328" t="e">
        <f>VLOOKUP(A91,'APONTAMENTO CREDENCIAMENTO'!$D$6:$G$2821,3,0)</f>
        <v>#N/A</v>
      </c>
      <c r="H91" s="328" t="e">
        <f>VLOOKUP(A91,'APONTAMENTO CREDENCIAMENTO'!$D$6:$G$2821,4,0)</f>
        <v>#N/A</v>
      </c>
      <c r="I91" s="135" t="str">
        <f t="shared" si="8"/>
        <v>PE - Pagto. Doc(s):  - Contrato nº 2025/0068854</v>
      </c>
      <c r="J91" s="136">
        <f t="shared" si="9"/>
        <v>0</v>
      </c>
      <c r="K91" s="136">
        <v>0</v>
      </c>
      <c r="L91" s="137" t="e">
        <f>VLOOKUP(A91,'APONTAMENTO CREDENCIAMENTO'!$D$6:$P$2821,5,0)</f>
        <v>#N/A</v>
      </c>
      <c r="M91" s="138"/>
      <c r="N91" s="139"/>
      <c r="O91" s="140"/>
      <c r="P91" s="141"/>
      <c r="Q91" s="141"/>
      <c r="R91" s="141"/>
      <c r="S91" s="142"/>
      <c r="T91" s="143" t="e">
        <f t="shared" si="10"/>
        <v>#N/A</v>
      </c>
      <c r="U91" s="144">
        <f t="shared" si="11"/>
        <v>0</v>
      </c>
      <c r="V91" s="145">
        <f t="shared" si="12"/>
        <v>0</v>
      </c>
      <c r="W91" s="129"/>
      <c r="X91" s="129"/>
      <c r="Y91" s="129"/>
      <c r="Z91" s="129"/>
      <c r="AA91" s="146" t="str">
        <f>CONCATENATE("Prestação de Serviço e Transpor. Escolar Gratuito - TEG n. ",A91," - DRE - " &amp;'BASE C'!$C$2)</f>
        <v>Prestação de Serviço e Transpor. Escolar Gratuito - TEG n. 2025/0068854 - DRE - FB</v>
      </c>
      <c r="AB91" s="238" t="e">
        <f t="shared" si="13"/>
        <v>#N/A</v>
      </c>
      <c r="AC91" s="239"/>
      <c r="AD91" s="240"/>
      <c r="AE91" s="242"/>
      <c r="AF91" s="102"/>
    </row>
    <row r="92" spans="1:32" s="57" customFormat="1" ht="20.100000000000001" customHeight="1" x14ac:dyDescent="0.25">
      <c r="A92" s="653" t="s">
        <v>3352</v>
      </c>
      <c r="B92" s="130"/>
      <c r="C92" s="131">
        <f t="shared" si="7"/>
        <v>0</v>
      </c>
      <c r="D92" s="132" t="e">
        <f>VLOOKUP(A92,'APONTAMENTO CREDENCIAMENTO'!$D$6:$P$2821,12,0)</f>
        <v>#N/A</v>
      </c>
      <c r="E92" s="133"/>
      <c r="F92" s="134">
        <f>SUMIF('APONTAMENTO CREDENCIAMENTO'!$D$6:$D$2821,'ATESTE-LIQ'!A92,'APONTAMENTO CREDENCIAMENTO'!$FF$6:$FF$2821)</f>
        <v>0</v>
      </c>
      <c r="G92" s="328" t="e">
        <f>VLOOKUP(A92,'APONTAMENTO CREDENCIAMENTO'!$D$6:$G$2821,3,0)</f>
        <v>#N/A</v>
      </c>
      <c r="H92" s="328" t="e">
        <f>VLOOKUP(A92,'APONTAMENTO CREDENCIAMENTO'!$D$6:$G$2821,4,0)</f>
        <v>#N/A</v>
      </c>
      <c r="I92" s="135" t="str">
        <f t="shared" si="8"/>
        <v>PE - Pagto. Doc(s):  - Contrato nº 2025/0068858</v>
      </c>
      <c r="J92" s="136">
        <f t="shared" si="9"/>
        <v>0</v>
      </c>
      <c r="K92" s="136">
        <v>0</v>
      </c>
      <c r="L92" s="137" t="e">
        <f>VLOOKUP(A92,'APONTAMENTO CREDENCIAMENTO'!$D$6:$P$2821,5,0)</f>
        <v>#N/A</v>
      </c>
      <c r="M92" s="138"/>
      <c r="N92" s="139"/>
      <c r="O92" s="140"/>
      <c r="P92" s="141"/>
      <c r="Q92" s="141"/>
      <c r="R92" s="141"/>
      <c r="S92" s="142"/>
      <c r="T92" s="143" t="e">
        <f t="shared" si="10"/>
        <v>#N/A</v>
      </c>
      <c r="U92" s="144">
        <f t="shared" si="11"/>
        <v>0</v>
      </c>
      <c r="V92" s="145">
        <f t="shared" si="12"/>
        <v>0</v>
      </c>
      <c r="W92" s="129"/>
      <c r="X92" s="129"/>
      <c r="Y92" s="129"/>
      <c r="Z92" s="129"/>
      <c r="AA92" s="146" t="str">
        <f>CONCATENATE("Prestação de Serviço e Transpor. Escolar Gratuito - TEG n. ",A92," - DRE - " &amp;'BASE C'!$C$2)</f>
        <v>Prestação de Serviço e Transpor. Escolar Gratuito - TEG n. 2025/0068858 - DRE - FB</v>
      </c>
      <c r="AB92" s="238" t="e">
        <f t="shared" si="13"/>
        <v>#N/A</v>
      </c>
      <c r="AC92" s="239"/>
      <c r="AD92" s="240"/>
      <c r="AE92" s="242"/>
      <c r="AF92" s="102"/>
    </row>
    <row r="93" spans="1:32" s="57" customFormat="1" ht="20.100000000000001" customHeight="1" x14ac:dyDescent="0.25">
      <c r="A93" s="653" t="s">
        <v>3468</v>
      </c>
      <c r="B93" s="130"/>
      <c r="C93" s="131">
        <f t="shared" si="7"/>
        <v>0</v>
      </c>
      <c r="D93" s="132" t="e">
        <f>VLOOKUP(A93,'APONTAMENTO CREDENCIAMENTO'!$D$6:$P$2821,12,0)</f>
        <v>#N/A</v>
      </c>
      <c r="E93" s="133"/>
      <c r="F93" s="134">
        <f>SUMIF('APONTAMENTO CREDENCIAMENTO'!$D$6:$D$2821,'ATESTE-LIQ'!A93,'APONTAMENTO CREDENCIAMENTO'!$FF$6:$FF$2821)</f>
        <v>0</v>
      </c>
      <c r="G93" s="328" t="e">
        <f>VLOOKUP(A93,'APONTAMENTO CREDENCIAMENTO'!$D$6:$G$2821,3,0)</f>
        <v>#N/A</v>
      </c>
      <c r="H93" s="328" t="e">
        <f>VLOOKUP(A93,'APONTAMENTO CREDENCIAMENTO'!$D$6:$G$2821,4,0)</f>
        <v>#N/A</v>
      </c>
      <c r="I93" s="135" t="str">
        <f t="shared" si="8"/>
        <v>PE - Pagto. Doc(s):  - Contrato nº 2026/0009990</v>
      </c>
      <c r="J93" s="136">
        <f t="shared" si="9"/>
        <v>0</v>
      </c>
      <c r="K93" s="136">
        <v>0</v>
      </c>
      <c r="L93" s="137" t="e">
        <f>VLOOKUP(A93,'APONTAMENTO CREDENCIAMENTO'!$D$6:$P$2821,5,0)</f>
        <v>#N/A</v>
      </c>
      <c r="M93" s="138"/>
      <c r="N93" s="139"/>
      <c r="O93" s="140"/>
      <c r="P93" s="141"/>
      <c r="Q93" s="141"/>
      <c r="R93" s="141"/>
      <c r="S93" s="142"/>
      <c r="T93" s="143" t="e">
        <f t="shared" si="10"/>
        <v>#N/A</v>
      </c>
      <c r="U93" s="144">
        <f t="shared" si="11"/>
        <v>0</v>
      </c>
      <c r="V93" s="145">
        <f t="shared" si="12"/>
        <v>0</v>
      </c>
      <c r="W93" s="129"/>
      <c r="X93" s="129"/>
      <c r="Y93" s="129"/>
      <c r="Z93" s="129"/>
      <c r="AA93" s="146" t="str">
        <f>CONCATENATE("Prestação de Serviço e Transpor. Escolar Gratuito - TEG n. ",A93," - DRE - " &amp;'BASE C'!$C$2)</f>
        <v>Prestação de Serviço e Transpor. Escolar Gratuito - TEG n. 2026/0009990 - DRE - FB</v>
      </c>
      <c r="AB93" s="238" t="e">
        <f t="shared" si="13"/>
        <v>#N/A</v>
      </c>
      <c r="AC93" s="239"/>
      <c r="AD93" s="240"/>
      <c r="AE93" s="242"/>
      <c r="AF93" s="102"/>
    </row>
    <row r="94" spans="1:32" s="57" customFormat="1" ht="20.100000000000001" customHeight="1" x14ac:dyDescent="0.25">
      <c r="A94" s="653" t="s">
        <v>3415</v>
      </c>
      <c r="B94" s="130"/>
      <c r="C94" s="131">
        <f t="shared" si="7"/>
        <v>0</v>
      </c>
      <c r="D94" s="132" t="e">
        <f>VLOOKUP(A94,'APONTAMENTO CREDENCIAMENTO'!$D$6:$P$2821,12,0)</f>
        <v>#N/A</v>
      </c>
      <c r="E94" s="133"/>
      <c r="F94" s="134">
        <f>SUMIF('APONTAMENTO CREDENCIAMENTO'!$D$6:$D$2821,'ATESTE-LIQ'!A94,'APONTAMENTO CREDENCIAMENTO'!$FF$6:$FF$2821)</f>
        <v>0</v>
      </c>
      <c r="G94" s="328" t="e">
        <f>VLOOKUP(A94,'APONTAMENTO CREDENCIAMENTO'!$D$6:$G$2821,3,0)</f>
        <v>#N/A</v>
      </c>
      <c r="H94" s="328" t="e">
        <f>VLOOKUP(A94,'APONTAMENTO CREDENCIAMENTO'!$D$6:$G$2821,4,0)</f>
        <v>#N/A</v>
      </c>
      <c r="I94" s="135" t="str">
        <f t="shared" si="8"/>
        <v>PE - Pagto. Doc(s):  - Contrato nº 2026/0016071</v>
      </c>
      <c r="J94" s="136">
        <f t="shared" si="9"/>
        <v>0</v>
      </c>
      <c r="K94" s="136">
        <v>0</v>
      </c>
      <c r="L94" s="137" t="e">
        <f>VLOOKUP(A94,'APONTAMENTO CREDENCIAMENTO'!$D$6:$P$2821,5,0)</f>
        <v>#N/A</v>
      </c>
      <c r="M94" s="138"/>
      <c r="N94" s="139"/>
      <c r="O94" s="140"/>
      <c r="P94" s="141"/>
      <c r="Q94" s="141"/>
      <c r="R94" s="141"/>
      <c r="S94" s="142"/>
      <c r="T94" s="143" t="e">
        <f t="shared" si="10"/>
        <v>#N/A</v>
      </c>
      <c r="U94" s="144">
        <f t="shared" si="11"/>
        <v>0</v>
      </c>
      <c r="V94" s="145">
        <f t="shared" si="12"/>
        <v>0</v>
      </c>
      <c r="W94" s="129"/>
      <c r="X94" s="129"/>
      <c r="Y94" s="129"/>
      <c r="Z94" s="129"/>
      <c r="AA94" s="146" t="str">
        <f>CONCATENATE("Prestação de Serviço e Transpor. Escolar Gratuito - TEG n. ",A94," - DRE - " &amp;'BASE C'!$C$2)</f>
        <v>Prestação de Serviço e Transpor. Escolar Gratuito - TEG n. 2026/0016071 - DRE - FB</v>
      </c>
      <c r="AB94" s="238" t="e">
        <f t="shared" si="13"/>
        <v>#N/A</v>
      </c>
      <c r="AC94" s="239"/>
      <c r="AD94" s="240"/>
      <c r="AE94" s="242"/>
      <c r="AF94" s="102"/>
    </row>
    <row r="96" spans="1:32" ht="20.25" customHeight="1" x14ac:dyDescent="0.2">
      <c r="A96" s="237"/>
      <c r="F96" s="60">
        <f>SUM(F2:F95)</f>
        <v>880.27037500000017</v>
      </c>
      <c r="J96" s="60">
        <f>SUM(J2:J95)</f>
        <v>880.27037500000017</v>
      </c>
    </row>
    <row r="97" spans="1:1" ht="20.25" customHeight="1" x14ac:dyDescent="0.2">
      <c r="A97" s="237"/>
    </row>
    <row r="98" spans="1:1" ht="20.25" customHeight="1" x14ac:dyDescent="0.2">
      <c r="A98" s="237"/>
    </row>
    <row r="99" spans="1:1" ht="20.25" customHeight="1" x14ac:dyDescent="0.2">
      <c r="A99" s="237"/>
    </row>
    <row r="100" spans="1:1" ht="20.25" customHeight="1" x14ac:dyDescent="0.2">
      <c r="A100" s="237"/>
    </row>
    <row r="101" spans="1:1" ht="20.25" customHeight="1" x14ac:dyDescent="0.2">
      <c r="A101" s="237"/>
    </row>
    <row r="102" spans="1:1" ht="20.25" customHeight="1" x14ac:dyDescent="0.2">
      <c r="A102" s="237"/>
    </row>
    <row r="103" spans="1:1" ht="20.25" customHeight="1" x14ac:dyDescent="0.2">
      <c r="A103" s="237"/>
    </row>
    <row r="104" spans="1:1" ht="20.25" customHeight="1" x14ac:dyDescent="0.2">
      <c r="A104" s="237"/>
    </row>
    <row r="105" spans="1:1" ht="20.25" customHeight="1" x14ac:dyDescent="0.2">
      <c r="A105" s="237"/>
    </row>
    <row r="106" spans="1:1" ht="20.25" customHeight="1" x14ac:dyDescent="0.2">
      <c r="A106" s="237"/>
    </row>
    <row r="107" spans="1:1" ht="20.25" customHeight="1" x14ac:dyDescent="0.2">
      <c r="A107" s="237"/>
    </row>
    <row r="108" spans="1:1" ht="20.25" customHeight="1" x14ac:dyDescent="0.2">
      <c r="A108" s="237"/>
    </row>
    <row r="109" spans="1:1" ht="20.25" customHeight="1" x14ac:dyDescent="0.2">
      <c r="A109" s="237"/>
    </row>
    <row r="110" spans="1:1" ht="20.25" customHeight="1" x14ac:dyDescent="0.2">
      <c r="A110" s="237"/>
    </row>
    <row r="111" spans="1:1" ht="20.25" customHeight="1" x14ac:dyDescent="0.2">
      <c r="A111" s="237"/>
    </row>
    <row r="112" spans="1:1" ht="20.25" customHeight="1" x14ac:dyDescent="0.2">
      <c r="A112" s="237"/>
    </row>
    <row r="113" spans="1:1" ht="20.25" customHeight="1" x14ac:dyDescent="0.2">
      <c r="A113" s="237"/>
    </row>
    <row r="114" spans="1:1" ht="20.25" customHeight="1" x14ac:dyDescent="0.2">
      <c r="A114" s="237"/>
    </row>
    <row r="115" spans="1:1" ht="20.25" customHeight="1" x14ac:dyDescent="0.2">
      <c r="A115" s="237"/>
    </row>
  </sheetData>
  <sheetProtection formatCells="0" formatColumns="0" formatRows="0" selectLockedCells="1"/>
  <sortState xmlns:xlrd2="http://schemas.microsoft.com/office/spreadsheetml/2017/richdata2" ref="B95:B127">
    <sortCondition ref="B95:B127"/>
  </sortState>
  <conditionalFormatting sqref="A1:A94">
    <cfRule type="duplicateValues" dxfId="16" priority="165676"/>
  </conditionalFormatting>
  <conditionalFormatting sqref="B2:B94">
    <cfRule type="duplicateValues" dxfId="15" priority="165677"/>
    <cfRule type="duplicateValues" dxfId="14" priority="165678"/>
    <cfRule type="duplicateValues" dxfId="13" priority="165679"/>
    <cfRule type="duplicateValues" dxfId="12" priority="165680"/>
    <cfRule type="duplicateValues" dxfId="11" priority="165681"/>
  </conditionalFormatting>
  <conditionalFormatting sqref="C1 E1:AE1">
    <cfRule type="duplicateValues" dxfId="10" priority="48"/>
  </conditionalFormatting>
  <conditionalFormatting sqref="C2:C94">
    <cfRule type="duplicateValues" dxfId="9" priority="165682"/>
  </conditionalFormatting>
  <conditionalFormatting sqref="D2:D94">
    <cfRule type="expression" dxfId="8" priority="143" stopIfTrue="1">
      <formula>AND(COUNTIF($D:$D,D2)&gt;1,NOT(ISBLANK(D2)))</formula>
    </cfRule>
  </conditionalFormatting>
  <conditionalFormatting sqref="S2:S94">
    <cfRule type="expression" dxfId="7" priority="2499" stopIfTrue="1">
      <formula>AND(COUNTIF($S$2:$S$2,S2)&gt;1,NOT(ISBLANK(S2)))</formula>
    </cfRule>
  </conditionalFormatting>
  <conditionalFormatting sqref="S96:S1048576 S2:S94">
    <cfRule type="duplicateValues" dxfId="6" priority="2503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2" t="s">
        <v>210</v>
      </c>
    </row>
    <row r="11" spans="1:2" x14ac:dyDescent="0.2">
      <c r="A11" s="525">
        <v>45978</v>
      </c>
      <c r="B11" t="s">
        <v>3136</v>
      </c>
    </row>
    <row r="13" spans="1:2" x14ac:dyDescent="0.2">
      <c r="A13" t="s">
        <v>3138</v>
      </c>
    </row>
    <row r="14" spans="1:2" x14ac:dyDescent="0.2">
      <c r="A14" s="525">
        <v>45993</v>
      </c>
      <c r="B14" t="s">
        <v>3137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26"/>
    </row>
    <row r="2" spans="1:2" x14ac:dyDescent="0.2">
      <c r="A2" s="527"/>
    </row>
    <row r="3" spans="1:2" x14ac:dyDescent="0.2">
      <c r="A3" s="527"/>
    </row>
    <row r="4" spans="1:2" x14ac:dyDescent="0.2">
      <c r="A4" s="527"/>
    </row>
    <row r="5" spans="1:2" x14ac:dyDescent="0.2">
      <c r="A5" s="527"/>
    </row>
    <row r="6" spans="1:2" x14ac:dyDescent="0.2">
      <c r="A6" s="527"/>
      <c r="B6" s="527"/>
    </row>
    <row r="7" spans="1:2" x14ac:dyDescent="0.2">
      <c r="A7" s="527"/>
      <c r="B7" s="527"/>
    </row>
    <row r="8" spans="1:2" x14ac:dyDescent="0.2">
      <c r="A8" s="527"/>
      <c r="B8" s="527"/>
    </row>
    <row r="9" spans="1:2" x14ac:dyDescent="0.2">
      <c r="A9" s="527"/>
      <c r="B9" s="527"/>
    </row>
    <row r="10" spans="1:2" x14ac:dyDescent="0.2">
      <c r="A10" s="527"/>
      <c r="B10" s="527"/>
    </row>
    <row r="11" spans="1:2" x14ac:dyDescent="0.2">
      <c r="A11" s="527"/>
      <c r="B11" s="527"/>
    </row>
    <row r="12" spans="1:2" x14ac:dyDescent="0.2">
      <c r="A12" s="527"/>
      <c r="B12" s="527"/>
    </row>
    <row r="13" spans="1:2" x14ac:dyDescent="0.2">
      <c r="A13" s="527"/>
      <c r="B13" s="527"/>
    </row>
    <row r="14" spans="1:2" x14ac:dyDescent="0.2">
      <c r="A14" s="527"/>
      <c r="B14" s="527"/>
    </row>
    <row r="15" spans="1:2" x14ac:dyDescent="0.2">
      <c r="A15" s="527"/>
      <c r="B15" s="527"/>
    </row>
    <row r="16" spans="1:2" x14ac:dyDescent="0.2">
      <c r="A16" s="527"/>
      <c r="B16" s="527"/>
    </row>
    <row r="17" spans="1:2" x14ac:dyDescent="0.2">
      <c r="A17" s="527"/>
      <c r="B17" s="527"/>
    </row>
    <row r="18" spans="1:2" x14ac:dyDescent="0.2">
      <c r="A18" s="527"/>
      <c r="B18" s="52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29" customWidth="1"/>
    <col min="2" max="2" width="2.5703125" style="529" customWidth="1"/>
    <col min="3" max="3" width="35.85546875" style="529" customWidth="1"/>
    <col min="4" max="4" width="22.140625" style="530" customWidth="1"/>
    <col min="5" max="5" width="45.7109375" style="530" customWidth="1"/>
    <col min="6" max="6" width="23.140625" style="529" customWidth="1"/>
    <col min="7" max="7" width="3" style="529" customWidth="1"/>
    <col min="8" max="8" width="29.42578125" style="530" customWidth="1"/>
    <col min="9" max="9" width="55.5703125" style="529" customWidth="1"/>
    <col min="10" max="16384" width="9.140625" style="529"/>
  </cols>
  <sheetData>
    <row r="1" spans="2:8" ht="13.5" customHeight="1" x14ac:dyDescent="0.25"/>
    <row r="2" spans="2:8" ht="105.95" customHeight="1" x14ac:dyDescent="0.25">
      <c r="B2" s="984" t="s">
        <v>3146</v>
      </c>
      <c r="C2" s="984"/>
      <c r="D2" s="984"/>
      <c r="E2" s="984"/>
      <c r="F2" s="984"/>
      <c r="G2" s="984"/>
    </row>
    <row r="3" spans="2:8" ht="11.1" customHeight="1" thickBot="1" x14ac:dyDescent="0.3"/>
    <row r="4" spans="2:8" x14ac:dyDescent="0.25">
      <c r="B4" s="531"/>
      <c r="C4" s="532"/>
      <c r="D4" s="533"/>
      <c r="E4" s="533"/>
      <c r="F4" s="532"/>
      <c r="G4" s="534"/>
    </row>
    <row r="5" spans="2:8" ht="18.600000000000001" customHeight="1" x14ac:dyDescent="0.3">
      <c r="B5" s="535"/>
      <c r="C5" s="985" t="s">
        <v>3147</v>
      </c>
      <c r="D5" s="985"/>
      <c r="E5" s="985"/>
      <c r="F5" s="985"/>
      <c r="G5" s="536"/>
    </row>
    <row r="6" spans="2:8" x14ac:dyDescent="0.25">
      <c r="B6" s="535"/>
      <c r="C6" s="986" t="s">
        <v>3148</v>
      </c>
      <c r="D6" s="986"/>
      <c r="E6" s="986"/>
      <c r="F6" s="986"/>
      <c r="G6" s="536"/>
      <c r="H6" s="530" t="s">
        <v>4</v>
      </c>
    </row>
    <row r="7" spans="2:8" ht="14.45" customHeight="1" x14ac:dyDescent="0.25">
      <c r="B7" s="535"/>
      <c r="C7" s="537"/>
      <c r="D7" s="538"/>
      <c r="E7" s="538"/>
      <c r="G7" s="536"/>
    </row>
    <row r="8" spans="2:8" ht="21.95" customHeight="1" x14ac:dyDescent="0.25">
      <c r="B8" s="535"/>
      <c r="C8" s="987" t="s">
        <v>3149</v>
      </c>
      <c r="D8" s="987"/>
      <c r="E8" s="538"/>
      <c r="G8" s="536"/>
      <c r="H8" s="530" t="str">
        <f>'BASE C'!B3</f>
        <v>2026/0016071</v>
      </c>
    </row>
    <row r="9" spans="2:8" ht="9.6" customHeight="1" thickBot="1" x14ac:dyDescent="0.3">
      <c r="B9" s="535"/>
      <c r="C9" s="538"/>
      <c r="D9" s="538"/>
      <c r="E9" s="538"/>
      <c r="G9" s="536"/>
    </row>
    <row r="10" spans="2:8" ht="24.95" customHeight="1" thickBot="1" x14ac:dyDescent="0.3">
      <c r="B10" s="535"/>
      <c r="C10" s="988" t="s">
        <v>3150</v>
      </c>
      <c r="D10" s="989"/>
      <c r="E10" s="538"/>
      <c r="G10" s="536"/>
    </row>
    <row r="11" spans="2:8" ht="24.95" customHeight="1" thickBot="1" x14ac:dyDescent="0.3">
      <c r="B11" s="535"/>
      <c r="C11" s="539" t="s">
        <v>3151</v>
      </c>
      <c r="D11" s="540" t="e">
        <f>VLOOKUP(H8,'ATESTE-LIQ-FIS'!A:D,4,0)*60%</f>
        <v>#N/A</v>
      </c>
      <c r="E11" s="541"/>
      <c r="F11" s="541"/>
      <c r="G11" s="536"/>
    </row>
    <row r="12" spans="2:8" ht="24.95" customHeight="1" thickTop="1" thickBot="1" x14ac:dyDescent="0.3">
      <c r="B12" s="535"/>
      <c r="C12" s="542" t="s">
        <v>3152</v>
      </c>
      <c r="D12" s="543"/>
      <c r="E12" s="541"/>
      <c r="F12" s="541"/>
      <c r="G12" s="536"/>
    </row>
    <row r="13" spans="2:8" ht="24.95" customHeight="1" thickBot="1" x14ac:dyDescent="0.3">
      <c r="B13" s="535"/>
      <c r="C13" s="544" t="s">
        <v>3153</v>
      </c>
      <c r="D13" s="545" t="e">
        <f>SUM(D11:D12)</f>
        <v>#N/A</v>
      </c>
      <c r="E13" s="541"/>
      <c r="F13" s="541"/>
      <c r="G13" s="536"/>
    </row>
    <row r="14" spans="2:8" ht="10.5" customHeight="1" thickBot="1" x14ac:dyDescent="0.3">
      <c r="B14" s="535"/>
      <c r="C14" s="546"/>
      <c r="D14" s="547"/>
      <c r="E14" s="541"/>
      <c r="F14" s="541"/>
      <c r="G14" s="536"/>
    </row>
    <row r="15" spans="2:8" ht="24.95" customHeight="1" thickBot="1" x14ac:dyDescent="0.3">
      <c r="B15" s="535"/>
      <c r="C15" s="990" t="s">
        <v>3154</v>
      </c>
      <c r="D15" s="991"/>
      <c r="E15" s="541"/>
      <c r="F15" s="541"/>
      <c r="G15" s="536"/>
    </row>
    <row r="16" spans="2:8" ht="15" customHeight="1" thickBot="1" x14ac:dyDescent="0.3">
      <c r="B16" s="535"/>
      <c r="C16" s="548"/>
      <c r="D16" s="548"/>
      <c r="E16" s="541"/>
      <c r="F16" s="541"/>
      <c r="G16" s="536"/>
    </row>
    <row r="17" spans="2:8" ht="24.95" customHeight="1" thickBot="1" x14ac:dyDescent="0.3">
      <c r="B17" s="535"/>
      <c r="C17" s="992" t="s">
        <v>3155</v>
      </c>
      <c r="D17" s="993"/>
      <c r="E17" s="541"/>
      <c r="F17" s="541"/>
      <c r="G17" s="536"/>
    </row>
    <row r="18" spans="2:8" ht="24.95" customHeight="1" thickBot="1" x14ac:dyDescent="0.3">
      <c r="B18" s="535"/>
      <c r="C18" s="542" t="s">
        <v>3156</v>
      </c>
      <c r="D18" s="549"/>
      <c r="E18" s="541"/>
      <c r="F18" s="541"/>
      <c r="G18" s="536"/>
    </row>
    <row r="19" spans="2:8" ht="15" customHeight="1" thickBot="1" x14ac:dyDescent="0.3">
      <c r="B19" s="535"/>
      <c r="D19" s="538"/>
      <c r="E19" s="538"/>
      <c r="G19" s="536"/>
    </row>
    <row r="20" spans="2:8" ht="24.95" customHeight="1" thickBot="1" x14ac:dyDescent="0.3">
      <c r="B20" s="535"/>
      <c r="C20" s="988" t="s">
        <v>3157</v>
      </c>
      <c r="D20" s="989"/>
      <c r="E20" s="550"/>
      <c r="G20" s="551"/>
      <c r="H20" s="550"/>
    </row>
    <row r="21" spans="2:8" ht="15" customHeight="1" thickBot="1" x14ac:dyDescent="0.3">
      <c r="B21" s="535"/>
      <c r="C21" s="552"/>
      <c r="D21" s="553"/>
      <c r="E21" s="550"/>
      <c r="G21" s="551"/>
      <c r="H21" s="550"/>
    </row>
    <row r="22" spans="2:8" ht="24.95" customHeight="1" thickBot="1" x14ac:dyDescent="0.3">
      <c r="B22" s="535"/>
      <c r="C22" s="554" t="s">
        <v>3158</v>
      </c>
      <c r="D22" s="553"/>
      <c r="E22" s="550"/>
      <c r="G22" s="551"/>
      <c r="H22" s="550"/>
    </row>
    <row r="23" spans="2:8" ht="24.95" customHeight="1" thickBot="1" x14ac:dyDescent="0.3">
      <c r="B23" s="535"/>
      <c r="C23" s="539" t="s">
        <v>3159</v>
      </c>
      <c r="D23" s="555" t="e">
        <f>VLOOKUP(H8,'ATESTE-LIQ-FIS'!A:E,5,0)</f>
        <v>#N/A</v>
      </c>
      <c r="E23" s="538"/>
      <c r="G23" s="536"/>
    </row>
    <row r="24" spans="2:8" ht="24.95" customHeight="1" thickBot="1" x14ac:dyDescent="0.3">
      <c r="B24" s="535"/>
      <c r="C24" s="539" t="s">
        <v>3160</v>
      </c>
      <c r="D24" s="556">
        <v>0</v>
      </c>
      <c r="E24" s="538"/>
      <c r="G24" s="557"/>
    </row>
    <row r="25" spans="2:8" ht="24.95" customHeight="1" thickBot="1" x14ac:dyDescent="0.3">
      <c r="B25" s="535"/>
      <c r="C25" s="539"/>
      <c r="D25" s="558">
        <f>D24*189.59</f>
        <v>0</v>
      </c>
      <c r="E25" s="538"/>
      <c r="G25" s="557"/>
    </row>
    <row r="26" spans="2:8" ht="24.95" customHeight="1" thickBot="1" x14ac:dyDescent="0.3">
      <c r="B26" s="535"/>
      <c r="C26" s="542" t="s">
        <v>3161</v>
      </c>
      <c r="D26" s="555">
        <v>0</v>
      </c>
      <c r="E26" s="538"/>
      <c r="G26" s="557"/>
    </row>
    <row r="27" spans="2:8" ht="44.1" customHeight="1" thickBot="1" x14ac:dyDescent="0.3">
      <c r="B27" s="535"/>
      <c r="C27" s="559" t="s">
        <v>3162</v>
      </c>
      <c r="D27" s="555">
        <v>0</v>
      </c>
      <c r="E27" s="560"/>
      <c r="F27" s="561"/>
      <c r="G27" s="562"/>
    </row>
    <row r="28" spans="2:8" ht="15" customHeight="1" thickBot="1" x14ac:dyDescent="0.3">
      <c r="B28" s="535"/>
      <c r="C28" s="563"/>
      <c r="D28" s="564"/>
      <c r="E28" s="560"/>
      <c r="F28" s="561"/>
      <c r="G28" s="562"/>
    </row>
    <row r="29" spans="2:8" ht="24.95" customHeight="1" thickBot="1" x14ac:dyDescent="0.3">
      <c r="B29" s="535"/>
      <c r="C29" s="565" t="s">
        <v>3163</v>
      </c>
      <c r="D29" s="558">
        <v>607.20000000000005</v>
      </c>
      <c r="E29" s="538"/>
      <c r="F29" s="561"/>
      <c r="G29" s="562"/>
    </row>
    <row r="30" spans="2:8" ht="15" customHeight="1" thickBot="1" x14ac:dyDescent="0.3">
      <c r="B30" s="535"/>
      <c r="D30" s="538"/>
      <c r="E30" s="538"/>
      <c r="G30" s="536"/>
    </row>
    <row r="31" spans="2:8" ht="24.95" customHeight="1" thickBot="1" x14ac:dyDescent="0.3">
      <c r="B31" s="535"/>
      <c r="C31" s="994" t="s">
        <v>3164</v>
      </c>
      <c r="D31" s="994"/>
      <c r="E31" s="995" t="s">
        <v>3165</v>
      </c>
      <c r="F31" s="995"/>
      <c r="G31" s="536"/>
    </row>
    <row r="32" spans="2:8" ht="24.95" customHeight="1" thickBot="1" x14ac:dyDescent="0.3">
      <c r="B32" s="535"/>
      <c r="C32" s="566" t="s">
        <v>3166</v>
      </c>
      <c r="D32" s="567" t="e">
        <f>'IR Deduções Legais-Maio.2025'!F30</f>
        <v>#N/A</v>
      </c>
      <c r="E32" s="566" t="s">
        <v>3166</v>
      </c>
      <c r="F32" s="567" t="e">
        <f>'IR Desc. Simplificado-Maio.2025'!F30</f>
        <v>#N/A</v>
      </c>
      <c r="G32" s="536"/>
    </row>
    <row r="33" spans="2:8" ht="24.95" customHeight="1" thickBot="1" x14ac:dyDescent="0.3">
      <c r="B33" s="535"/>
      <c r="C33" s="566" t="s">
        <v>3167</v>
      </c>
      <c r="D33" s="567" t="e">
        <f>D32-D18</f>
        <v>#N/A</v>
      </c>
      <c r="E33" s="566" t="s">
        <v>3167</v>
      </c>
      <c r="F33" s="567" t="e">
        <f>F32-D18</f>
        <v>#N/A</v>
      </c>
      <c r="G33" s="536"/>
    </row>
    <row r="34" spans="2:8" ht="15" customHeight="1" thickBot="1" x14ac:dyDescent="0.3">
      <c r="B34" s="535"/>
      <c r="D34" s="538"/>
      <c r="E34" s="538"/>
      <c r="G34" s="536"/>
    </row>
    <row r="35" spans="2:8" ht="24.95" customHeight="1" thickBot="1" x14ac:dyDescent="0.3">
      <c r="B35" s="535"/>
      <c r="C35" s="996" t="s">
        <v>3168</v>
      </c>
      <c r="D35" s="997"/>
      <c r="E35" s="538"/>
      <c r="G35" s="536"/>
    </row>
    <row r="36" spans="2:8" ht="24.95" customHeight="1" thickBot="1" x14ac:dyDescent="0.3">
      <c r="B36" s="535"/>
      <c r="C36" s="568" t="e">
        <f>IF(D32&lt;F32,"Deduções Legais","Desconto Simplificado")</f>
        <v>#N/A</v>
      </c>
      <c r="D36" s="569" t="e">
        <f>TRUNC(SMALL(D32:F32,1),2)</f>
        <v>#N/A</v>
      </c>
      <c r="E36" s="538"/>
      <c r="G36" s="536"/>
    </row>
    <row r="37" spans="2:8" ht="24.95" customHeight="1" thickTop="1" thickBot="1" x14ac:dyDescent="0.3">
      <c r="B37" s="535"/>
      <c r="C37" s="570" t="s">
        <v>3167</v>
      </c>
      <c r="D37" s="571" t="e">
        <f>TRUNC(IF(F32&lt;=D32,F33,D33),2)</f>
        <v>#N/A</v>
      </c>
      <c r="E37" s="538"/>
      <c r="F37" s="572"/>
      <c r="G37" s="536"/>
    </row>
    <row r="38" spans="2:8" ht="19.5" customHeight="1" thickBot="1" x14ac:dyDescent="0.3">
      <c r="B38" s="573"/>
      <c r="C38" s="574"/>
      <c r="D38" s="575"/>
      <c r="E38" s="575"/>
      <c r="F38" s="574"/>
      <c r="G38" s="576"/>
    </row>
    <row r="39" spans="2:8" ht="24.95" customHeight="1" x14ac:dyDescent="0.25">
      <c r="B39" s="531"/>
      <c r="C39" s="577" t="s">
        <v>3169</v>
      </c>
      <c r="D39" s="578"/>
      <c r="E39" s="578"/>
      <c r="F39" s="578"/>
      <c r="G39" s="579"/>
    </row>
    <row r="40" spans="2:8" ht="9.9499999999999993" customHeight="1" x14ac:dyDescent="0.25">
      <c r="B40" s="535"/>
      <c r="C40" s="580"/>
      <c r="D40" s="581"/>
      <c r="E40" s="581"/>
      <c r="F40" s="581"/>
      <c r="G40" s="582"/>
    </row>
    <row r="41" spans="2:8" ht="30.95" customHeight="1" x14ac:dyDescent="0.25">
      <c r="B41" s="535"/>
      <c r="C41" s="979" t="s">
        <v>3170</v>
      </c>
      <c r="D41" s="979"/>
      <c r="E41" s="979"/>
      <c r="F41" s="979"/>
      <c r="G41" s="583"/>
    </row>
    <row r="42" spans="2:8" ht="27.95" customHeight="1" x14ac:dyDescent="0.25">
      <c r="B42" s="584"/>
      <c r="C42" s="979" t="s">
        <v>3171</v>
      </c>
      <c r="D42" s="979"/>
      <c r="E42" s="979"/>
      <c r="F42" s="979"/>
      <c r="G42" s="585"/>
    </row>
    <row r="43" spans="2:8" ht="15" customHeight="1" x14ac:dyDescent="0.25">
      <c r="B43" s="584"/>
      <c r="C43" s="586"/>
      <c r="D43" s="586"/>
      <c r="E43" s="586"/>
      <c r="F43" s="586"/>
      <c r="G43" s="585"/>
    </row>
    <row r="44" spans="2:8" ht="30.6" customHeight="1" x14ac:dyDescent="0.25">
      <c r="B44" s="535"/>
      <c r="C44" s="980" t="s">
        <v>3172</v>
      </c>
      <c r="D44" s="981"/>
      <c r="E44" s="982" t="s">
        <v>3173</v>
      </c>
      <c r="F44" s="982"/>
      <c r="G44" s="588"/>
      <c r="H44" s="538"/>
    </row>
    <row r="45" spans="2:8" ht="25.5" customHeight="1" x14ac:dyDescent="0.25">
      <c r="B45" s="535"/>
      <c r="C45" s="587" t="s">
        <v>3174</v>
      </c>
      <c r="D45" s="589" t="s">
        <v>3175</v>
      </c>
      <c r="E45" s="982" t="s">
        <v>3176</v>
      </c>
      <c r="F45" s="982"/>
      <c r="G45" s="588"/>
      <c r="H45" s="538"/>
    </row>
    <row r="46" spans="2:8" ht="35.1" customHeight="1" x14ac:dyDescent="0.25">
      <c r="B46" s="535"/>
      <c r="C46" s="590">
        <v>0</v>
      </c>
      <c r="D46" s="590">
        <v>5000</v>
      </c>
      <c r="E46" s="983" t="s">
        <v>3177</v>
      </c>
      <c r="F46" s="983"/>
      <c r="G46" s="591"/>
      <c r="H46" s="538"/>
    </row>
    <row r="47" spans="2:8" ht="54" customHeight="1" x14ac:dyDescent="0.25">
      <c r="B47" s="535"/>
      <c r="C47" s="590">
        <v>5000.01</v>
      </c>
      <c r="D47" s="590">
        <v>7350</v>
      </c>
      <c r="E47" s="983" t="s">
        <v>3178</v>
      </c>
      <c r="F47" s="983"/>
      <c r="G47" s="591"/>
      <c r="H47" s="538"/>
    </row>
    <row r="48" spans="2:8" x14ac:dyDescent="0.25">
      <c r="B48" s="535"/>
      <c r="C48" s="974" t="s">
        <v>3179</v>
      </c>
      <c r="D48" s="974"/>
      <c r="E48" s="974"/>
      <c r="F48" s="974"/>
      <c r="G48" s="591"/>
      <c r="H48" s="538"/>
    </row>
    <row r="49" spans="2:8" x14ac:dyDescent="0.25">
      <c r="B49" s="535"/>
      <c r="C49" s="592"/>
      <c r="D49" s="592"/>
      <c r="E49" s="592"/>
      <c r="F49" s="592"/>
      <c r="G49" s="591"/>
      <c r="H49" s="538"/>
    </row>
    <row r="50" spans="2:8" x14ac:dyDescent="0.25">
      <c r="B50" s="535"/>
      <c r="C50" s="975" t="s">
        <v>3180</v>
      </c>
      <c r="D50" s="976"/>
      <c r="E50" s="976"/>
      <c r="F50" s="977"/>
      <c r="G50" s="591"/>
      <c r="H50" s="538"/>
    </row>
    <row r="51" spans="2:8" x14ac:dyDescent="0.25">
      <c r="B51" s="535"/>
      <c r="C51" s="593"/>
      <c r="D51" s="593"/>
      <c r="E51" s="593"/>
      <c r="F51" s="593"/>
      <c r="G51" s="591"/>
      <c r="H51" s="594"/>
    </row>
    <row r="52" spans="2:8" ht="16.5" thickBot="1" x14ac:dyDescent="0.3">
      <c r="B52" s="535"/>
      <c r="C52" s="595" t="s">
        <v>3181</v>
      </c>
      <c r="D52" s="596"/>
      <c r="E52" s="597"/>
      <c r="F52" s="597"/>
      <c r="G52" s="591"/>
      <c r="H52" s="538"/>
    </row>
    <row r="53" spans="2:8" ht="16.5" thickBot="1" x14ac:dyDescent="0.3">
      <c r="B53" s="535"/>
      <c r="C53" s="598" t="s">
        <v>3182</v>
      </c>
      <c r="D53" s="598" t="s">
        <v>3183</v>
      </c>
      <c r="E53" s="598" t="s">
        <v>3184</v>
      </c>
      <c r="F53" s="597"/>
      <c r="G53" s="591"/>
      <c r="H53" s="538"/>
    </row>
    <row r="54" spans="2:8" ht="16.5" thickBot="1" x14ac:dyDescent="0.3">
      <c r="B54" s="535"/>
      <c r="C54" s="599" t="s">
        <v>3185</v>
      </c>
      <c r="D54" s="600">
        <v>0</v>
      </c>
      <c r="E54" s="600">
        <v>0</v>
      </c>
      <c r="F54" s="597"/>
      <c r="G54" s="591"/>
      <c r="H54" s="538"/>
    </row>
    <row r="55" spans="2:8" ht="16.5" thickBot="1" x14ac:dyDescent="0.3">
      <c r="B55" s="535"/>
      <c r="C55" s="601" t="s">
        <v>3186</v>
      </c>
      <c r="D55" s="602">
        <v>7.5</v>
      </c>
      <c r="E55" s="602">
        <v>182.16</v>
      </c>
      <c r="F55" s="597"/>
      <c r="G55" s="591"/>
      <c r="H55" s="538"/>
    </row>
    <row r="56" spans="2:8" ht="16.5" thickBot="1" x14ac:dyDescent="0.3">
      <c r="B56" s="535"/>
      <c r="C56" s="599" t="s">
        <v>3187</v>
      </c>
      <c r="D56" s="600">
        <v>15</v>
      </c>
      <c r="E56" s="600">
        <v>394.16</v>
      </c>
      <c r="F56" s="597"/>
      <c r="G56" s="591"/>
      <c r="H56" s="538"/>
    </row>
    <row r="57" spans="2:8" ht="16.5" thickBot="1" x14ac:dyDescent="0.3">
      <c r="B57" s="535"/>
      <c r="C57" s="601" t="s">
        <v>3188</v>
      </c>
      <c r="D57" s="602">
        <v>22.5</v>
      </c>
      <c r="E57" s="602">
        <v>675.49</v>
      </c>
      <c r="F57" s="597"/>
      <c r="G57" s="591"/>
      <c r="H57" s="538"/>
    </row>
    <row r="58" spans="2:8" ht="16.5" thickBot="1" x14ac:dyDescent="0.3">
      <c r="B58" s="535"/>
      <c r="C58" s="599" t="s">
        <v>3189</v>
      </c>
      <c r="D58" s="600">
        <v>27.5</v>
      </c>
      <c r="E58" s="600">
        <v>908.73</v>
      </c>
      <c r="F58" s="597"/>
      <c r="G58" s="591"/>
      <c r="H58" s="538"/>
    </row>
    <row r="59" spans="2:8" x14ac:dyDescent="0.25">
      <c r="B59" s="535"/>
      <c r="C59" s="978" t="s">
        <v>3190</v>
      </c>
      <c r="D59" s="978"/>
      <c r="E59" s="978"/>
      <c r="F59" s="597"/>
      <c r="G59" s="591"/>
      <c r="H59" s="538"/>
    </row>
    <row r="60" spans="2:8" ht="15.75" thickBot="1" x14ac:dyDescent="0.3">
      <c r="B60" s="573"/>
      <c r="C60" s="603"/>
      <c r="D60" s="603"/>
      <c r="E60" s="604"/>
      <c r="F60" s="604"/>
      <c r="G60" s="605"/>
      <c r="H60" s="538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29"/>
    <col min="2" max="2" width="24.42578125" style="529" customWidth="1"/>
    <col min="3" max="3" width="17.5703125" style="529" customWidth="1"/>
    <col min="4" max="4" width="14.140625" style="529" customWidth="1"/>
    <col min="5" max="5" width="12.140625" style="529" bestFit="1" customWidth="1"/>
    <col min="6" max="6" width="15.5703125" style="529" customWidth="1"/>
    <col min="7" max="7" width="14.7109375" style="529" bestFit="1" customWidth="1"/>
    <col min="8" max="8" width="17.7109375" style="529" bestFit="1" customWidth="1"/>
    <col min="9" max="9" width="13" style="529" customWidth="1"/>
    <col min="10" max="16384" width="9.140625" style="529"/>
  </cols>
  <sheetData>
    <row r="2" spans="2:9" x14ac:dyDescent="0.25">
      <c r="B2" s="1012" t="s">
        <v>3191</v>
      </c>
      <c r="C2" s="1012"/>
      <c r="D2" s="1012"/>
      <c r="E2" s="1012"/>
      <c r="F2" s="1012"/>
    </row>
    <row r="3" spans="2:9" x14ac:dyDescent="0.25">
      <c r="B3" s="1013" t="e">
        <f>'Cálculo IRRF -Jan.2026'!D13</f>
        <v>#N/A</v>
      </c>
      <c r="C3" s="1013"/>
      <c r="D3" s="1013"/>
      <c r="E3" s="1013"/>
      <c r="F3" s="1013"/>
      <c r="G3" s="607"/>
      <c r="H3" s="608"/>
    </row>
    <row r="4" spans="2:9" x14ac:dyDescent="0.25">
      <c r="G4" s="607"/>
    </row>
    <row r="5" spans="2:9" x14ac:dyDescent="0.25">
      <c r="B5" s="609"/>
      <c r="C5" s="609"/>
      <c r="D5" s="609"/>
      <c r="E5" s="609"/>
      <c r="F5" s="609"/>
    </row>
    <row r="6" spans="2:9" x14ac:dyDescent="0.25">
      <c r="B6" s="610"/>
      <c r="C6" s="610"/>
      <c r="D6" s="611"/>
      <c r="E6" s="610"/>
      <c r="F6" s="610"/>
    </row>
    <row r="7" spans="2:9" x14ac:dyDescent="0.25">
      <c r="B7" s="610"/>
      <c r="C7" s="610"/>
      <c r="D7" s="611"/>
      <c r="E7" s="610"/>
      <c r="F7" s="610"/>
      <c r="H7" s="1014"/>
      <c r="I7" s="1014"/>
    </row>
    <row r="8" spans="2:9" x14ac:dyDescent="0.25">
      <c r="B8" s="610"/>
      <c r="C8" s="610"/>
      <c r="D8" s="611"/>
      <c r="E8" s="610"/>
      <c r="F8" s="610"/>
    </row>
    <row r="9" spans="2:9" x14ac:dyDescent="0.25">
      <c r="B9" s="610"/>
      <c r="C9" s="610"/>
      <c r="D9" s="611"/>
      <c r="E9" s="610"/>
      <c r="F9" s="610"/>
    </row>
    <row r="10" spans="2:9" x14ac:dyDescent="0.25">
      <c r="B10" s="1006" t="s">
        <v>3192</v>
      </c>
      <c r="C10" s="1006"/>
      <c r="D10" s="1006"/>
      <c r="E10" s="1006"/>
      <c r="F10" s="612" t="e">
        <f>'Cálculo IRRF -Jan.2026'!D23</f>
        <v>#N/A</v>
      </c>
      <c r="G10" s="607"/>
      <c r="I10" s="550"/>
    </row>
    <row r="11" spans="2:9" x14ac:dyDescent="0.25">
      <c r="B11" s="1006"/>
      <c r="C11" s="1006"/>
      <c r="D11" s="1006"/>
      <c r="E11" s="1006"/>
      <c r="F11" s="613"/>
      <c r="G11" s="607"/>
      <c r="I11" s="614"/>
    </row>
    <row r="12" spans="2:9" x14ac:dyDescent="0.25">
      <c r="I12" s="614"/>
    </row>
    <row r="13" spans="2:9" x14ac:dyDescent="0.25">
      <c r="B13" s="1012" t="s">
        <v>3193</v>
      </c>
      <c r="C13" s="1012"/>
      <c r="D13" s="1012"/>
      <c r="E13" s="1012"/>
      <c r="F13" s="1012"/>
      <c r="I13" s="614"/>
    </row>
    <row r="14" spans="2:9" x14ac:dyDescent="0.25">
      <c r="B14" s="1000" t="s">
        <v>3194</v>
      </c>
      <c r="C14" s="1000"/>
      <c r="D14" s="1000"/>
      <c r="E14" s="1001">
        <f>'Cálculo IRRF -Jan.2026'!D24</f>
        <v>0</v>
      </c>
      <c r="F14" s="1002"/>
    </row>
    <row r="15" spans="2:9" x14ac:dyDescent="0.25">
      <c r="B15" s="1000" t="s">
        <v>3195</v>
      </c>
      <c r="C15" s="1000"/>
      <c r="D15" s="1000"/>
      <c r="E15" s="1003">
        <v>189.59</v>
      </c>
      <c r="F15" s="1003"/>
      <c r="H15" s="615" t="s">
        <v>3196</v>
      </c>
      <c r="I15" s="610" t="e">
        <f>F10+I17+I18+(E14*E15)</f>
        <v>#N/A</v>
      </c>
    </row>
    <row r="16" spans="2:9" x14ac:dyDescent="0.25">
      <c r="B16" s="1000" t="s">
        <v>3197</v>
      </c>
      <c r="C16" s="1000"/>
      <c r="D16" s="1000"/>
      <c r="E16" s="1004" t="e">
        <f>B3-I17-I18-F10-(E14*E15)</f>
        <v>#N/A</v>
      </c>
      <c r="F16" s="1005"/>
      <c r="H16" s="616"/>
      <c r="I16" s="616"/>
    </row>
    <row r="17" spans="2:9" x14ac:dyDescent="0.25">
      <c r="H17" s="615" t="s">
        <v>3198</v>
      </c>
      <c r="I17" s="617">
        <f>'Cálculo IRRF -Jan.2026'!D26</f>
        <v>0</v>
      </c>
    </row>
    <row r="18" spans="2:9" x14ac:dyDescent="0.25">
      <c r="B18" s="609" t="s">
        <v>3199</v>
      </c>
      <c r="C18" s="609" t="s">
        <v>3200</v>
      </c>
      <c r="D18" s="609" t="s">
        <v>3201</v>
      </c>
      <c r="E18" s="609" t="s">
        <v>3202</v>
      </c>
      <c r="F18" s="609" t="s">
        <v>3203</v>
      </c>
      <c r="H18" s="615" t="s">
        <v>3204</v>
      </c>
      <c r="I18" s="617">
        <f>'Cálculo IRRF -Jan.2026'!D27</f>
        <v>0</v>
      </c>
    </row>
    <row r="19" spans="2:9" x14ac:dyDescent="0.25">
      <c r="B19" s="610">
        <v>0</v>
      </c>
      <c r="C19" s="610">
        <v>2428.8000000000002</v>
      </c>
      <c r="D19" s="618">
        <v>0</v>
      </c>
      <c r="E19" s="619">
        <v>0</v>
      </c>
      <c r="F19" s="606">
        <v>0</v>
      </c>
    </row>
    <row r="20" spans="2:9" x14ac:dyDescent="0.25">
      <c r="B20" s="610">
        <v>2428.81</v>
      </c>
      <c r="C20" s="610">
        <v>2826.65</v>
      </c>
      <c r="D20" s="618">
        <v>7.4999999999999997E-2</v>
      </c>
      <c r="E20" s="619">
        <v>182.16</v>
      </c>
      <c r="F20" s="606" t="e">
        <f>TRUNC(IF(AND($E$16&gt;B20,$E$16&lt;C20),$E$16*D20-E20,0),2)</f>
        <v>#N/A</v>
      </c>
    </row>
    <row r="21" spans="2:9" x14ac:dyDescent="0.25">
      <c r="B21" s="610">
        <v>2826.66</v>
      </c>
      <c r="C21" s="610">
        <v>3751.05</v>
      </c>
      <c r="D21" s="618">
        <v>0.15</v>
      </c>
      <c r="E21" s="619">
        <v>394.16</v>
      </c>
      <c r="F21" s="606" t="e">
        <f>TRUNC(IF(AND($E$16&gt;B21,$E$16&lt;C21),$E$16*D21-E21,0),2)</f>
        <v>#N/A</v>
      </c>
    </row>
    <row r="22" spans="2:9" x14ac:dyDescent="0.25">
      <c r="B22" s="610">
        <v>3751.06</v>
      </c>
      <c r="C22" s="610">
        <v>4664.68</v>
      </c>
      <c r="D22" s="618">
        <v>0.22500000000000001</v>
      </c>
      <c r="E22" s="619">
        <v>675.49</v>
      </c>
      <c r="F22" s="606" t="e">
        <f>TRUNC(IF(AND($E$16&gt;B22,$E$16&lt;C22),$E$16*D22-E22,0),2)</f>
        <v>#N/A</v>
      </c>
      <c r="H22" s="620"/>
      <c r="I22" s="572"/>
    </row>
    <row r="23" spans="2:9" ht="15.75" thickBot="1" x14ac:dyDescent="0.3">
      <c r="B23" s="610">
        <v>4664.6899999999996</v>
      </c>
      <c r="C23" s="610">
        <v>9999999</v>
      </c>
      <c r="D23" s="618">
        <v>0.27500000000000002</v>
      </c>
      <c r="E23" s="619">
        <v>908.73</v>
      </c>
      <c r="F23" s="621" t="e">
        <f>TRUNC(IF(AND($E$16&gt;B23,$E$16&lt;C23),$E$16*D23-E23,0),2)</f>
        <v>#N/A</v>
      </c>
      <c r="I23" s="572"/>
    </row>
    <row r="24" spans="2:9" ht="16.5" thickTop="1" thickBot="1" x14ac:dyDescent="0.3">
      <c r="B24" s="1006" t="s">
        <v>3205</v>
      </c>
      <c r="C24" s="1006"/>
      <c r="D24" s="1006"/>
      <c r="E24" s="1007"/>
      <c r="F24" s="622" t="e">
        <f>SUM(F19:F23)</f>
        <v>#N/A</v>
      </c>
    </row>
    <row r="25" spans="2:9" ht="16.5" thickTop="1" thickBot="1" x14ac:dyDescent="0.3">
      <c r="F25" s="550"/>
    </row>
    <row r="26" spans="2:9" ht="16.5" thickTop="1" thickBot="1" x14ac:dyDescent="0.3">
      <c r="B26" s="1008" t="s">
        <v>3206</v>
      </c>
      <c r="C26" s="1008"/>
      <c r="D26" s="1008"/>
      <c r="E26" s="1008"/>
      <c r="F26" s="623" t="e">
        <f>IF(B3&lt;=C50,0,F24)</f>
        <v>#N/A</v>
      </c>
    </row>
    <row r="27" spans="2:9" ht="16.5" thickTop="1" thickBot="1" x14ac:dyDescent="0.3">
      <c r="B27" s="1009"/>
      <c r="C27" s="1009"/>
      <c r="D27" s="1009"/>
      <c r="E27" s="1009"/>
      <c r="F27" s="1009"/>
    </row>
    <row r="28" spans="2:9" ht="27.95" customHeight="1" thickBot="1" x14ac:dyDescent="0.3">
      <c r="B28" s="1010" t="s">
        <v>3207</v>
      </c>
      <c r="C28" s="1010"/>
      <c r="D28" s="1010"/>
      <c r="E28" s="1010"/>
      <c r="F28" s="625" t="e">
        <f>IF(AND($B$3&gt;C50,$B$3&lt;=C51),F24-E39,IF($B$3&lt;=C50,F26,F24))</f>
        <v>#N/A</v>
      </c>
    </row>
    <row r="29" spans="2:9" x14ac:dyDescent="0.25">
      <c r="B29" s="624"/>
      <c r="C29" s="624"/>
      <c r="D29" s="624"/>
      <c r="E29" s="624"/>
      <c r="F29" s="624"/>
    </row>
    <row r="30" spans="2:9" x14ac:dyDescent="0.25">
      <c r="B30" s="1011" t="s">
        <v>3208</v>
      </c>
      <c r="C30" s="1011"/>
      <c r="D30" s="1011"/>
      <c r="E30" s="1011"/>
      <c r="F30" s="626" t="e">
        <f>MIN(F24,F26,F28)</f>
        <v>#N/A</v>
      </c>
    </row>
    <row r="31" spans="2:9" x14ac:dyDescent="0.25">
      <c r="B31" s="624"/>
      <c r="C31" s="624"/>
      <c r="D31" s="624"/>
      <c r="E31" s="624"/>
      <c r="F31" s="624"/>
    </row>
    <row r="32" spans="2:9" ht="33.6" customHeight="1" x14ac:dyDescent="0.25">
      <c r="B32" s="999" t="s">
        <v>3209</v>
      </c>
      <c r="C32" s="999"/>
    </row>
    <row r="33" spans="2:6" ht="23.45" customHeight="1" x14ac:dyDescent="0.25">
      <c r="B33" s="627"/>
      <c r="C33" s="627"/>
    </row>
    <row r="34" spans="2:6" ht="30" x14ac:dyDescent="0.25">
      <c r="B34" s="628" t="s">
        <v>3210</v>
      </c>
      <c r="C34" s="629" t="e">
        <f>IF(B3&gt;7350,7350,B3)</f>
        <v>#N/A</v>
      </c>
    </row>
    <row r="35" spans="2:6" ht="30" x14ac:dyDescent="0.25">
      <c r="B35" s="628" t="s">
        <v>3211</v>
      </c>
      <c r="C35" s="630">
        <v>0.13314500000000001</v>
      </c>
    </row>
    <row r="36" spans="2:6" ht="28.5" customHeight="1" x14ac:dyDescent="0.25">
      <c r="B36" s="631" t="s">
        <v>3212</v>
      </c>
      <c r="C36" s="629">
        <v>978.62</v>
      </c>
    </row>
    <row r="38" spans="2:6" ht="75" x14ac:dyDescent="0.25">
      <c r="B38" s="632" t="s">
        <v>3212</v>
      </c>
      <c r="C38" s="628" t="s">
        <v>3213</v>
      </c>
      <c r="D38" s="633" t="s">
        <v>3214</v>
      </c>
      <c r="E38" s="633" t="s">
        <v>3215</v>
      </c>
    </row>
    <row r="39" spans="2:6" x14ac:dyDescent="0.25">
      <c r="B39" s="617">
        <v>978.62</v>
      </c>
      <c r="C39" s="617" t="e">
        <f>C34</f>
        <v>#N/A</v>
      </c>
      <c r="D39" s="616">
        <v>0.13314500000000001</v>
      </c>
      <c r="E39" s="634" t="e">
        <f>TRUNC(B39-(C39*D39),2)</f>
        <v>#N/A</v>
      </c>
    </row>
    <row r="42" spans="2:6" ht="30" x14ac:dyDescent="0.25">
      <c r="B42" s="635" t="s">
        <v>3216</v>
      </c>
      <c r="C42" s="636" t="e">
        <f>F24</f>
        <v>#N/A</v>
      </c>
    </row>
    <row r="43" spans="2:6" x14ac:dyDescent="0.25">
      <c r="B43" s="635" t="s">
        <v>3217</v>
      </c>
      <c r="C43" s="637" t="e">
        <f>E39</f>
        <v>#N/A</v>
      </c>
    </row>
    <row r="44" spans="2:6" ht="51.6" customHeight="1" x14ac:dyDescent="0.25">
      <c r="B44" s="638" t="s">
        <v>3218</v>
      </c>
      <c r="C44" s="639" t="e">
        <f>C42-C43</f>
        <v>#N/A</v>
      </c>
    </row>
    <row r="46" spans="2:6" x14ac:dyDescent="0.25">
      <c r="F46" s="640"/>
    </row>
    <row r="47" spans="2:6" x14ac:dyDescent="0.25">
      <c r="B47" s="641" t="s">
        <v>3219</v>
      </c>
      <c r="D47" s="586"/>
      <c r="E47" s="586"/>
    </row>
    <row r="48" spans="2:6" ht="27.95" customHeight="1" x14ac:dyDescent="0.25">
      <c r="B48" s="982" t="s">
        <v>3172</v>
      </c>
      <c r="C48" s="982"/>
      <c r="D48" s="982" t="s">
        <v>3173</v>
      </c>
      <c r="E48" s="982"/>
      <c r="F48" s="982"/>
    </row>
    <row r="49" spans="2:6" x14ac:dyDescent="0.25">
      <c r="B49" s="587" t="s">
        <v>3174</v>
      </c>
      <c r="C49" s="642" t="s">
        <v>3175</v>
      </c>
      <c r="D49" s="980" t="s">
        <v>3176</v>
      </c>
      <c r="E49" s="998"/>
      <c r="F49" s="981"/>
    </row>
    <row r="50" spans="2:6" ht="29.45" customHeight="1" x14ac:dyDescent="0.25">
      <c r="B50" s="643">
        <v>0</v>
      </c>
      <c r="C50" s="629">
        <v>5000</v>
      </c>
      <c r="D50" s="983" t="s">
        <v>3177</v>
      </c>
      <c r="E50" s="983"/>
      <c r="F50" s="983"/>
    </row>
    <row r="51" spans="2:6" ht="67.5" customHeight="1" x14ac:dyDescent="0.25">
      <c r="B51" s="643">
        <v>5000.01</v>
      </c>
      <c r="C51" s="629">
        <v>7350</v>
      </c>
      <c r="D51" s="983" t="s">
        <v>3178</v>
      </c>
      <c r="E51" s="983"/>
      <c r="F51" s="983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29"/>
    <col min="2" max="2" width="20.140625" style="529" customWidth="1"/>
    <col min="3" max="3" width="16" style="529" bestFit="1" customWidth="1"/>
    <col min="4" max="4" width="8.5703125" style="529" bestFit="1" customWidth="1"/>
    <col min="5" max="5" width="12.140625" style="529" bestFit="1" customWidth="1"/>
    <col min="6" max="6" width="20.85546875" style="529" customWidth="1"/>
    <col min="7" max="7" width="12.140625" style="529" bestFit="1" customWidth="1"/>
    <col min="8" max="8" width="9.5703125" style="529" customWidth="1"/>
    <col min="9" max="9" width="13" style="529" customWidth="1"/>
    <col min="10" max="10" width="11.5703125" style="529" bestFit="1" customWidth="1"/>
    <col min="11" max="16384" width="9.140625" style="529"/>
  </cols>
  <sheetData>
    <row r="2" spans="2:10" x14ac:dyDescent="0.25">
      <c r="B2" s="1012" t="s">
        <v>3191</v>
      </c>
      <c r="C2" s="1012"/>
      <c r="D2" s="1012"/>
      <c r="E2" s="1012"/>
      <c r="F2" s="1012"/>
    </row>
    <row r="3" spans="2:10" x14ac:dyDescent="0.25">
      <c r="B3" s="1013" t="e">
        <f>'Cálculo IRRF -Jan.2026'!D13</f>
        <v>#N/A</v>
      </c>
      <c r="C3" s="1013"/>
      <c r="D3" s="1013"/>
      <c r="E3" s="1013"/>
      <c r="F3" s="1013"/>
      <c r="G3" s="607"/>
      <c r="H3" s="608"/>
    </row>
    <row r="4" spans="2:10" x14ac:dyDescent="0.25">
      <c r="G4" s="607"/>
    </row>
    <row r="5" spans="2:10" x14ac:dyDescent="0.25">
      <c r="B5" s="609"/>
      <c r="C5" s="609"/>
      <c r="D5" s="609"/>
      <c r="E5" s="609"/>
      <c r="F5" s="609"/>
    </row>
    <row r="6" spans="2:10" x14ac:dyDescent="0.25">
      <c r="B6" s="610"/>
      <c r="C6" s="610"/>
      <c r="D6" s="611"/>
      <c r="E6" s="610"/>
      <c r="F6" s="610"/>
    </row>
    <row r="7" spans="2:10" x14ac:dyDescent="0.25">
      <c r="B7" s="610"/>
      <c r="C7" s="610"/>
      <c r="D7" s="611"/>
      <c r="E7" s="610"/>
      <c r="F7" s="610"/>
      <c r="H7" s="1014"/>
      <c r="I7" s="1014"/>
    </row>
    <row r="8" spans="2:10" x14ac:dyDescent="0.25">
      <c r="B8" s="610"/>
      <c r="C8" s="610"/>
      <c r="D8" s="611"/>
      <c r="E8" s="610"/>
      <c r="F8" s="610"/>
    </row>
    <row r="9" spans="2:10" x14ac:dyDescent="0.25">
      <c r="B9" s="610"/>
      <c r="C9" s="610"/>
      <c r="D9" s="611"/>
      <c r="E9" s="610"/>
      <c r="F9" s="610"/>
    </row>
    <row r="10" spans="2:10" x14ac:dyDescent="0.25">
      <c r="B10" s="1006" t="s">
        <v>3192</v>
      </c>
      <c r="C10" s="1006"/>
      <c r="D10" s="1006"/>
      <c r="E10" s="1006"/>
      <c r="F10" s="612" t="e">
        <f>'Cálculo IRRF -Jan.2026'!D23</f>
        <v>#N/A</v>
      </c>
      <c r="G10" s="607"/>
      <c r="J10" s="607"/>
    </row>
    <row r="11" spans="2:10" x14ac:dyDescent="0.25">
      <c r="B11" s="1006"/>
      <c r="C11" s="1006"/>
      <c r="D11" s="1006"/>
      <c r="E11" s="1006"/>
      <c r="F11" s="613"/>
      <c r="G11" s="607"/>
      <c r="I11" s="550"/>
      <c r="J11" s="607"/>
    </row>
    <row r="12" spans="2:10" x14ac:dyDescent="0.25">
      <c r="I12" s="614"/>
      <c r="J12" s="644"/>
    </row>
    <row r="13" spans="2:10" x14ac:dyDescent="0.25">
      <c r="B13" s="1012" t="s">
        <v>3220</v>
      </c>
      <c r="C13" s="1012"/>
      <c r="D13" s="1012"/>
      <c r="E13" s="1012"/>
      <c r="F13" s="1012"/>
      <c r="I13" s="614"/>
      <c r="J13" s="607"/>
    </row>
    <row r="14" spans="2:10" x14ac:dyDescent="0.25">
      <c r="B14" s="1000" t="s">
        <v>3221</v>
      </c>
      <c r="C14" s="1000"/>
      <c r="D14" s="1000"/>
      <c r="E14" s="1015" t="e">
        <f>B3</f>
        <v>#N/A</v>
      </c>
      <c r="F14" s="1016"/>
      <c r="I14" s="614"/>
    </row>
    <row r="15" spans="2:10" x14ac:dyDescent="0.25">
      <c r="B15" s="1000" t="s">
        <v>3222</v>
      </c>
      <c r="C15" s="1000"/>
      <c r="D15" s="1000"/>
      <c r="E15" s="1017">
        <v>607.20000000000005</v>
      </c>
      <c r="F15" s="1017"/>
    </row>
    <row r="16" spans="2:10" x14ac:dyDescent="0.25">
      <c r="B16" s="1000" t="s">
        <v>3197</v>
      </c>
      <c r="C16" s="1000"/>
      <c r="D16" s="1000"/>
      <c r="E16" s="1018" t="e">
        <f>'Cálculo IRRF -Jan.2026'!D13-'Cálculo IRRF -Jan.2026'!D29</f>
        <v>#N/A</v>
      </c>
      <c r="F16" s="1019"/>
    </row>
    <row r="18" spans="2:6" x14ac:dyDescent="0.25">
      <c r="B18" s="609" t="s">
        <v>3199</v>
      </c>
      <c r="C18" s="609" t="s">
        <v>3200</v>
      </c>
      <c r="D18" s="609" t="s">
        <v>3201</v>
      </c>
      <c r="E18" s="609" t="s">
        <v>3202</v>
      </c>
      <c r="F18" s="609" t="s">
        <v>3203</v>
      </c>
    </row>
    <row r="19" spans="2:6" x14ac:dyDescent="0.25">
      <c r="B19" s="610">
        <v>0</v>
      </c>
      <c r="C19" s="610">
        <v>2428.8000000000002</v>
      </c>
      <c r="D19" s="618">
        <v>0</v>
      </c>
      <c r="E19" s="619">
        <v>0</v>
      </c>
      <c r="F19" s="606">
        <v>0</v>
      </c>
    </row>
    <row r="20" spans="2:6" x14ac:dyDescent="0.25">
      <c r="B20" s="610">
        <v>2428.81</v>
      </c>
      <c r="C20" s="610">
        <v>2826.65</v>
      </c>
      <c r="D20" s="618">
        <v>7.4999999999999997E-2</v>
      </c>
      <c r="E20" s="619">
        <v>182.16</v>
      </c>
      <c r="F20" s="606" t="e">
        <f>IF(AND($E$16&gt;B20,$E$16&lt;C20),TRUNC($E$16*D20,2)-E20,0)</f>
        <v>#N/A</v>
      </c>
    </row>
    <row r="21" spans="2:6" x14ac:dyDescent="0.25">
      <c r="B21" s="610">
        <v>2826.66</v>
      </c>
      <c r="C21" s="610">
        <v>3751.05</v>
      </c>
      <c r="D21" s="618">
        <v>0.15</v>
      </c>
      <c r="E21" s="619">
        <v>394.16</v>
      </c>
      <c r="F21" s="606" t="e">
        <f>IF(AND($E$16&gt;B21,$E$16&lt;C21),TRUNC($E$16*D21,2)-E21,0)</f>
        <v>#N/A</v>
      </c>
    </row>
    <row r="22" spans="2:6" x14ac:dyDescent="0.25">
      <c r="B22" s="610">
        <v>3751.06</v>
      </c>
      <c r="C22" s="610">
        <v>4664.68</v>
      </c>
      <c r="D22" s="618">
        <v>0.22500000000000001</v>
      </c>
      <c r="E22" s="619">
        <v>675.49</v>
      </c>
      <c r="F22" s="645" t="e">
        <f>IF(AND($E$16&gt;B22,$E$16&lt;C22),TRUNC($E$16*D22,2)-E22,0)</f>
        <v>#N/A</v>
      </c>
    </row>
    <row r="23" spans="2:6" x14ac:dyDescent="0.25">
      <c r="B23" s="610">
        <v>4664.6899999999996</v>
      </c>
      <c r="C23" s="610">
        <v>9999999</v>
      </c>
      <c r="D23" s="618">
        <v>0.27500000000000002</v>
      </c>
      <c r="E23" s="619">
        <v>908.73</v>
      </c>
      <c r="F23" s="606" t="e">
        <f>IF(AND($E$16&gt;B23,$E$16&lt;C23),TRUNC($E$16*D23,2)-E23,0)</f>
        <v>#N/A</v>
      </c>
    </row>
    <row r="24" spans="2:6" x14ac:dyDescent="0.25">
      <c r="B24" s="1006" t="s">
        <v>3205</v>
      </c>
      <c r="C24" s="1006"/>
      <c r="D24" s="1006"/>
      <c r="E24" s="1006"/>
      <c r="F24" s="646" t="e">
        <f>SUM(F19:F23)</f>
        <v>#N/A</v>
      </c>
    </row>
    <row r="25" spans="2:6" ht="15.75" thickBot="1" x14ac:dyDescent="0.3"/>
    <row r="26" spans="2:6" ht="16.5" thickTop="1" thickBot="1" x14ac:dyDescent="0.3">
      <c r="B26" s="1008" t="s">
        <v>3206</v>
      </c>
      <c r="C26" s="1008"/>
      <c r="D26" s="1008"/>
      <c r="E26" s="1008"/>
      <c r="F26" s="623" t="e">
        <f>IF($B$3&lt;=$C$50,0,$F$24)</f>
        <v>#N/A</v>
      </c>
    </row>
    <row r="27" spans="2:6" ht="16.5" thickTop="1" thickBot="1" x14ac:dyDescent="0.3">
      <c r="B27" s="1009"/>
      <c r="C27" s="1009"/>
      <c r="D27" s="1009"/>
      <c r="E27" s="1009"/>
      <c r="F27" s="1009"/>
    </row>
    <row r="28" spans="2:6" ht="15.75" thickBot="1" x14ac:dyDescent="0.3">
      <c r="B28" s="1010" t="s">
        <v>3207</v>
      </c>
      <c r="C28" s="1010"/>
      <c r="D28" s="1010"/>
      <c r="E28" s="1010"/>
      <c r="F28" s="647" t="e">
        <f>IF(AND($B$3&gt;C50,$B$3&lt;=C51),F24-E39,IF($B$3&lt;=C50,F26,F24))</f>
        <v>#N/A</v>
      </c>
    </row>
    <row r="29" spans="2:6" x14ac:dyDescent="0.25">
      <c r="B29" s="648"/>
      <c r="C29" s="648"/>
      <c r="D29" s="648"/>
      <c r="E29" s="648"/>
      <c r="F29" s="624"/>
    </row>
    <row r="30" spans="2:6" x14ac:dyDescent="0.25">
      <c r="B30" s="1011" t="s">
        <v>3208</v>
      </c>
      <c r="C30" s="1011"/>
      <c r="D30" s="1011"/>
      <c r="E30" s="1011"/>
      <c r="F30" s="626" t="e">
        <f>MIN(F24,F26,F28)</f>
        <v>#N/A</v>
      </c>
    </row>
    <row r="32" spans="2:6" ht="29.1" customHeight="1" x14ac:dyDescent="0.25">
      <c r="B32" s="999" t="s">
        <v>3209</v>
      </c>
      <c r="C32" s="999"/>
    </row>
    <row r="33" spans="2:6" x14ac:dyDescent="0.25">
      <c r="B33" s="627"/>
      <c r="C33" s="627"/>
    </row>
    <row r="34" spans="2:6" ht="30" x14ac:dyDescent="0.25">
      <c r="B34" s="628" t="s">
        <v>3210</v>
      </c>
      <c r="C34" s="629" t="e">
        <f>IF($B$3&gt;7350,7350,$B$3)</f>
        <v>#N/A</v>
      </c>
    </row>
    <row r="35" spans="2:6" ht="45" x14ac:dyDescent="0.25">
      <c r="B35" s="628" t="s">
        <v>3211</v>
      </c>
      <c r="C35" s="630">
        <v>0.13314500000000001</v>
      </c>
    </row>
    <row r="36" spans="2:6" ht="30" x14ac:dyDescent="0.25">
      <c r="B36" s="631" t="s">
        <v>3212</v>
      </c>
      <c r="C36" s="629">
        <v>978.62</v>
      </c>
    </row>
    <row r="38" spans="2:6" ht="75" x14ac:dyDescent="0.25">
      <c r="B38" s="632" t="s">
        <v>3212</v>
      </c>
      <c r="C38" s="628" t="s">
        <v>3213</v>
      </c>
      <c r="D38" s="633" t="s">
        <v>3214</v>
      </c>
      <c r="E38" s="633" t="s">
        <v>3215</v>
      </c>
    </row>
    <row r="39" spans="2:6" ht="20.100000000000001" customHeight="1" x14ac:dyDescent="0.25">
      <c r="B39" s="617">
        <v>978.62</v>
      </c>
      <c r="C39" s="617" t="e">
        <f>$B$3</f>
        <v>#N/A</v>
      </c>
      <c r="D39" s="616">
        <v>0.13314500000000001</v>
      </c>
      <c r="E39" s="649" t="e">
        <f>TRUNC($B$39-($C$39*$D$39),2)</f>
        <v>#N/A</v>
      </c>
    </row>
    <row r="42" spans="2:6" ht="30" x14ac:dyDescent="0.25">
      <c r="B42" s="635" t="s">
        <v>3216</v>
      </c>
      <c r="C42" s="636" t="e">
        <f>$F$24</f>
        <v>#N/A</v>
      </c>
    </row>
    <row r="43" spans="2:6" ht="30" x14ac:dyDescent="0.25">
      <c r="B43" s="635" t="s">
        <v>3217</v>
      </c>
      <c r="C43" s="637" t="e">
        <f>$E$39</f>
        <v>#N/A</v>
      </c>
    </row>
    <row r="44" spans="2:6" ht="60" x14ac:dyDescent="0.25">
      <c r="B44" s="638" t="s">
        <v>3218</v>
      </c>
      <c r="C44" s="639" t="e">
        <f>$C$42-$C$43</f>
        <v>#N/A</v>
      </c>
    </row>
    <row r="46" spans="2:6" x14ac:dyDescent="0.25">
      <c r="F46" s="640"/>
    </row>
    <row r="47" spans="2:6" x14ac:dyDescent="0.25">
      <c r="B47" s="641" t="s">
        <v>3219</v>
      </c>
      <c r="D47" s="586"/>
      <c r="E47" s="586"/>
    </row>
    <row r="48" spans="2:6" ht="29.1" customHeight="1" x14ac:dyDescent="0.25">
      <c r="B48" s="982" t="s">
        <v>3172</v>
      </c>
      <c r="C48" s="982"/>
      <c r="D48" s="982" t="s">
        <v>3173</v>
      </c>
      <c r="E48" s="982"/>
      <c r="F48" s="982"/>
    </row>
    <row r="49" spans="2:6" x14ac:dyDescent="0.25">
      <c r="B49" s="587" t="s">
        <v>3174</v>
      </c>
      <c r="C49" s="642" t="s">
        <v>3175</v>
      </c>
      <c r="D49" s="980" t="s">
        <v>3176</v>
      </c>
      <c r="E49" s="998"/>
      <c r="F49" s="981"/>
    </row>
    <row r="50" spans="2:6" ht="35.450000000000003" customHeight="1" x14ac:dyDescent="0.25">
      <c r="B50" s="643">
        <v>0</v>
      </c>
      <c r="C50" s="629">
        <v>5000</v>
      </c>
      <c r="D50" s="983" t="s">
        <v>3177</v>
      </c>
      <c r="E50" s="983"/>
      <c r="F50" s="983"/>
    </row>
    <row r="51" spans="2:6" ht="37.5" customHeight="1" x14ac:dyDescent="0.25">
      <c r="B51" s="643">
        <v>5000.01</v>
      </c>
      <c r="C51" s="629">
        <v>7350</v>
      </c>
      <c r="D51" s="983" t="s">
        <v>3178</v>
      </c>
      <c r="E51" s="983"/>
      <c r="F51" s="983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49</vt:i4>
      </vt:variant>
    </vt:vector>
  </HeadingPairs>
  <TitlesOfParts>
    <vt:vector size="68" baseType="lpstr">
      <vt:lpstr>APONTAMENTO CREDENCIAMENTO</vt:lpstr>
      <vt:lpstr>APELIDOS</vt:lpstr>
      <vt:lpstr>VALORES TABELA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2026-05-26T11:55:51Z</cp:lastPrinted>
  <dcterms:created xsi:type="dcterms:W3CDTF">2019-02-08T16:49:11Z</dcterms:created>
  <dcterms:modified xsi:type="dcterms:W3CDTF">2026-05-27T18:48:48Z</dcterms:modified>
</cp:coreProperties>
</file>