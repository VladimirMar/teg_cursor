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89383\Aplicativos\teg_financ\documento\"/>
    </mc:Choice>
  </mc:AlternateContent>
  <xr:revisionPtr revIDLastSave="0" documentId="13_ncr:1_{8E4BD0C6-56FF-4D57-919B-41FC6F3C5536}" xr6:coauthVersionLast="47" xr6:coauthVersionMax="47" xr10:uidLastSave="{00000000-0000-0000-0000-000000000000}"/>
  <bookViews>
    <workbookView xWindow="-120" yWindow="-120" windowWidth="29040" windowHeight="15720" xr2:uid="{3892EE38-1AD5-44CD-87CE-4DFAFD5EC8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1" i="1" l="1"/>
  <c r="J32" i="1"/>
  <c r="J37" i="1"/>
  <c r="J25" i="1"/>
  <c r="J20" i="1"/>
</calcChain>
</file>

<file path=xl/sharedStrings.xml><?xml version="1.0" encoding="utf-8"?>
<sst xmlns="http://schemas.openxmlformats.org/spreadsheetml/2006/main" count="98" uniqueCount="39">
  <si>
    <t>capacidade TEG</t>
  </si>
  <si>
    <t>Parametro</t>
  </si>
  <si>
    <t>Tabela Modalidade x Bancada x Pagamento x Condicao Valor</t>
  </si>
  <si>
    <t>TEG REGULAR</t>
  </si>
  <si>
    <t>Convencional</t>
  </si>
  <si>
    <t>Fixo</t>
  </si>
  <si>
    <t>16 alunos</t>
  </si>
  <si>
    <t>qtde minima</t>
  </si>
  <si>
    <t>Os especial = Sim</t>
  </si>
  <si>
    <t>Tipo de bancada</t>
  </si>
  <si>
    <t>TEG ESPECIAL</t>
  </si>
  <si>
    <t>Fixo Esp</t>
  </si>
  <si>
    <t>Per capita</t>
  </si>
  <si>
    <t>Per Cap Regular</t>
  </si>
  <si>
    <t>Tabela Veiculo</t>
  </si>
  <si>
    <t>Tipo de bancada=Acessivel</t>
  </si>
  <si>
    <t>valor veiculo</t>
  </si>
  <si>
    <t>Sim</t>
  </si>
  <si>
    <t xml:space="preserve">Os especial </t>
  </si>
  <si>
    <t>Acessivel</t>
  </si>
  <si>
    <t>Viagens</t>
  </si>
  <si>
    <t>Acessível</t>
  </si>
  <si>
    <t>Per Cap Acessi</t>
  </si>
  <si>
    <t>Capacidade</t>
  </si>
  <si>
    <t>Não</t>
  </si>
  <si>
    <t>Creche</t>
  </si>
  <si>
    <t>Mensagem Não existe Especial Creche</t>
  </si>
  <si>
    <t>Ate 15 alunos</t>
  </si>
  <si>
    <t>1 aluno</t>
  </si>
  <si>
    <t xml:space="preserve"> Viagem</t>
  </si>
  <si>
    <t>TEG CRECHE</t>
  </si>
  <si>
    <t>10 alunos</t>
  </si>
  <si>
    <t>Ate 9 alunos</t>
  </si>
  <si>
    <t>Desconto/ Viagem</t>
  </si>
  <si>
    <t>TEG Regular / Convencional</t>
  </si>
  <si>
    <t>TEG Regular / Acessivel</t>
  </si>
  <si>
    <t>TEG Regular / Creche</t>
  </si>
  <si>
    <t>TEG Especial / Acessivel</t>
  </si>
  <si>
    <t>TEG Especial / Convencional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</si>
</sst>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0" borderId="0" xfId="1" applyFont="1" applyBorder="1"/>
    <xf numFmtId="44" fontId="0" fillId="2" borderId="0" xfId="1" applyFont="1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8" xfId="0" applyFill="1" applyBorder="1"/>
    <xf numFmtId="44" fontId="0" fillId="0" borderId="3" xfId="1" applyFont="1" applyBorder="1"/>
    <xf numFmtId="44" fontId="0" fillId="0" borderId="5" xfId="1" applyFont="1" applyBorder="1"/>
    <xf numFmtId="44" fontId="0" fillId="0" borderId="8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77BA-B052-464C-B8E1-EA0C27DC69AC}">
  <dimension ref="A1:L41"/>
  <sheetViews>
    <sheetView tabSelected="1" workbookViewId="0">
      <selection activeCell="C21" sqref="C21"/>
    </sheetView>
  </sheetViews>
  <sheetFormatPr defaultRowHeight="15" x14ac:dyDescent="0.25"/>
  <cols>
    <col min="1" max="1" width="11.42578125" customWidth="1"/>
    <col min="2" max="2" width="27.28515625" bestFit="1" customWidth="1"/>
    <col min="3" max="3" width="30.5703125" customWidth="1"/>
    <col min="8" max="8" width="20.85546875" customWidth="1"/>
    <col min="9" max="9" width="48.140625" bestFit="1" customWidth="1"/>
    <col min="10" max="10" width="17.140625" customWidth="1"/>
    <col min="11" max="11" width="15.42578125" customWidth="1"/>
    <col min="12" max="12" width="16.7109375" customWidth="1"/>
  </cols>
  <sheetData>
    <row r="1" spans="1:12" x14ac:dyDescent="0.25">
      <c r="B1" t="s">
        <v>14</v>
      </c>
      <c r="C1" t="s">
        <v>0</v>
      </c>
      <c r="D1">
        <v>28</v>
      </c>
    </row>
    <row r="2" spans="1:12" x14ac:dyDescent="0.25">
      <c r="H2" s="1" t="s">
        <v>2</v>
      </c>
      <c r="I2" s="2"/>
      <c r="J2" s="2"/>
      <c r="K2" s="2"/>
      <c r="L2" s="3" t="s">
        <v>7</v>
      </c>
    </row>
    <row r="3" spans="1:12" x14ac:dyDescent="0.25">
      <c r="H3" s="4"/>
      <c r="I3" s="5"/>
      <c r="J3" s="5"/>
      <c r="K3" s="5"/>
      <c r="L3" s="6"/>
    </row>
    <row r="4" spans="1:12" x14ac:dyDescent="0.25">
      <c r="A4" t="s">
        <v>1</v>
      </c>
      <c r="B4" s="1" t="s">
        <v>34</v>
      </c>
      <c r="C4" s="2" t="s">
        <v>33</v>
      </c>
      <c r="D4" s="3">
        <v>3</v>
      </c>
      <c r="H4" s="1" t="s">
        <v>10</v>
      </c>
      <c r="I4" s="2" t="s">
        <v>4</v>
      </c>
      <c r="J4" s="2" t="s">
        <v>5</v>
      </c>
      <c r="K4" s="2" t="s">
        <v>11</v>
      </c>
      <c r="L4" s="15">
        <v>11465.63</v>
      </c>
    </row>
    <row r="5" spans="1:12" x14ac:dyDescent="0.25">
      <c r="B5" s="7" t="s">
        <v>36</v>
      </c>
      <c r="C5" s="8" t="s">
        <v>33</v>
      </c>
      <c r="D5" s="9">
        <v>3</v>
      </c>
      <c r="H5" s="4"/>
      <c r="I5" s="5"/>
      <c r="J5" s="5"/>
      <c r="K5" s="5"/>
      <c r="L5" s="16"/>
    </row>
    <row r="6" spans="1:12" x14ac:dyDescent="0.25">
      <c r="H6" s="4" t="s">
        <v>10</v>
      </c>
      <c r="I6" s="5" t="s">
        <v>4</v>
      </c>
      <c r="J6" s="5" t="s">
        <v>12</v>
      </c>
      <c r="K6" s="5" t="s">
        <v>13</v>
      </c>
      <c r="L6" s="16">
        <v>385.23</v>
      </c>
    </row>
    <row r="7" spans="1:12" x14ac:dyDescent="0.25">
      <c r="B7" s="1" t="s">
        <v>35</v>
      </c>
      <c r="C7" s="2" t="s">
        <v>29</v>
      </c>
      <c r="D7" s="3">
        <v>2</v>
      </c>
      <c r="H7" s="7" t="s">
        <v>10</v>
      </c>
      <c r="I7" s="8" t="s">
        <v>21</v>
      </c>
      <c r="J7" s="8" t="s">
        <v>12</v>
      </c>
      <c r="K7" s="8" t="s">
        <v>22</v>
      </c>
      <c r="L7" s="17">
        <v>2043.65</v>
      </c>
    </row>
    <row r="8" spans="1:12" x14ac:dyDescent="0.25">
      <c r="B8" s="4" t="s">
        <v>34</v>
      </c>
      <c r="C8" s="5" t="s">
        <v>29</v>
      </c>
      <c r="D8" s="6">
        <v>2</v>
      </c>
      <c r="H8" s="5"/>
      <c r="I8" s="5"/>
      <c r="J8" s="5"/>
      <c r="K8" s="5"/>
      <c r="L8" s="10"/>
    </row>
    <row r="9" spans="1:12" x14ac:dyDescent="0.25">
      <c r="B9" s="7" t="s">
        <v>36</v>
      </c>
      <c r="C9" s="8" t="s">
        <v>29</v>
      </c>
      <c r="D9" s="9">
        <v>2</v>
      </c>
      <c r="H9" s="1" t="s">
        <v>3</v>
      </c>
      <c r="I9" s="2" t="s">
        <v>4</v>
      </c>
      <c r="J9" s="2" t="s">
        <v>5</v>
      </c>
      <c r="K9" s="2" t="s">
        <v>6</v>
      </c>
      <c r="L9" s="15">
        <v>7492.52</v>
      </c>
    </row>
    <row r="10" spans="1:12" x14ac:dyDescent="0.25">
      <c r="B10" s="1" t="s">
        <v>38</v>
      </c>
      <c r="C10" s="2" t="s">
        <v>20</v>
      </c>
      <c r="D10" s="3">
        <v>2</v>
      </c>
      <c r="H10" s="4"/>
      <c r="I10" s="5"/>
      <c r="J10" s="5"/>
      <c r="K10" s="5"/>
      <c r="L10" s="16"/>
    </row>
    <row r="11" spans="1:12" x14ac:dyDescent="0.25">
      <c r="B11" s="4" t="s">
        <v>37</v>
      </c>
      <c r="C11" s="5" t="s">
        <v>20</v>
      </c>
      <c r="D11" s="6">
        <v>2</v>
      </c>
      <c r="H11" s="4" t="s">
        <v>3</v>
      </c>
      <c r="I11" s="5" t="s">
        <v>4</v>
      </c>
      <c r="J11" s="5" t="s">
        <v>12</v>
      </c>
      <c r="K11" s="5" t="s">
        <v>27</v>
      </c>
      <c r="L11" s="16">
        <v>385.23</v>
      </c>
    </row>
    <row r="12" spans="1:12" x14ac:dyDescent="0.25">
      <c r="B12" s="7"/>
      <c r="C12" s="8"/>
      <c r="D12" s="9"/>
      <c r="H12" s="7" t="s">
        <v>3</v>
      </c>
      <c r="I12" s="8" t="s">
        <v>21</v>
      </c>
      <c r="J12" s="8" t="s">
        <v>12</v>
      </c>
      <c r="K12" s="8" t="s">
        <v>28</v>
      </c>
      <c r="L12" s="17">
        <v>2043.65</v>
      </c>
    </row>
    <row r="13" spans="1:12" x14ac:dyDescent="0.25">
      <c r="B13" s="1" t="s">
        <v>35</v>
      </c>
      <c r="C13" s="2" t="s">
        <v>23</v>
      </c>
      <c r="D13" s="3">
        <v>5</v>
      </c>
      <c r="H13" s="5"/>
      <c r="I13" s="5"/>
      <c r="J13" s="5"/>
      <c r="K13" s="5"/>
      <c r="L13" s="10"/>
    </row>
    <row r="14" spans="1:12" x14ac:dyDescent="0.25">
      <c r="B14" s="4" t="s">
        <v>34</v>
      </c>
      <c r="C14" s="5" t="s">
        <v>23</v>
      </c>
      <c r="D14" s="6">
        <v>5</v>
      </c>
      <c r="H14" s="1" t="s">
        <v>30</v>
      </c>
      <c r="I14" s="2" t="s">
        <v>25</v>
      </c>
      <c r="J14" s="2" t="s">
        <v>5</v>
      </c>
      <c r="K14" s="2" t="s">
        <v>31</v>
      </c>
      <c r="L14" s="15">
        <v>7492.52</v>
      </c>
    </row>
    <row r="15" spans="1:12" x14ac:dyDescent="0.25">
      <c r="B15" s="7" t="s">
        <v>36</v>
      </c>
      <c r="C15" s="8" t="s">
        <v>23</v>
      </c>
      <c r="D15" s="9">
        <v>5</v>
      </c>
      <c r="H15" s="4"/>
      <c r="I15" s="5"/>
      <c r="J15" s="5"/>
      <c r="K15" s="5"/>
      <c r="L15" s="16"/>
    </row>
    <row r="16" spans="1:12" x14ac:dyDescent="0.25">
      <c r="B16" s="1" t="s">
        <v>37</v>
      </c>
      <c r="C16" s="2" t="s">
        <v>23</v>
      </c>
      <c r="D16" s="3">
        <v>5</v>
      </c>
      <c r="H16" s="7" t="s">
        <v>30</v>
      </c>
      <c r="I16" s="8" t="s">
        <v>25</v>
      </c>
      <c r="J16" s="8" t="s">
        <v>12</v>
      </c>
      <c r="K16" s="8" t="s">
        <v>32</v>
      </c>
      <c r="L16" s="17">
        <v>621.14</v>
      </c>
    </row>
    <row r="17" spans="2:12" x14ac:dyDescent="0.25">
      <c r="B17" s="7" t="s">
        <v>38</v>
      </c>
      <c r="C17" s="8" t="s">
        <v>23</v>
      </c>
      <c r="D17" s="9">
        <v>16</v>
      </c>
    </row>
    <row r="18" spans="2:12" x14ac:dyDescent="0.25">
      <c r="H18" s="1" t="s">
        <v>14</v>
      </c>
      <c r="I18" s="2" t="s">
        <v>18</v>
      </c>
      <c r="J18" s="2" t="s">
        <v>17</v>
      </c>
      <c r="K18" s="2"/>
      <c r="L18" s="3"/>
    </row>
    <row r="19" spans="2:12" x14ac:dyDescent="0.25">
      <c r="H19" s="4"/>
      <c r="I19" s="5" t="s">
        <v>9</v>
      </c>
      <c r="J19" s="5" t="s">
        <v>4</v>
      </c>
      <c r="K19" s="5"/>
      <c r="L19" s="6"/>
    </row>
    <row r="20" spans="2:12" x14ac:dyDescent="0.25">
      <c r="H20" s="4"/>
      <c r="I20" s="5" t="s">
        <v>16</v>
      </c>
      <c r="J20" s="11">
        <f>(L4*12)+(((D1*L6)*D10)*12)</f>
        <v>396462.12</v>
      </c>
      <c r="K20" s="5"/>
      <c r="L20" s="6"/>
    </row>
    <row r="21" spans="2:12" x14ac:dyDescent="0.25">
      <c r="H21" s="4"/>
      <c r="I21" s="5"/>
      <c r="J21" s="5"/>
      <c r="K21" s="5"/>
      <c r="L21" s="6"/>
    </row>
    <row r="22" spans="2:12" x14ac:dyDescent="0.25">
      <c r="H22" s="4"/>
      <c r="I22" s="5"/>
      <c r="J22" s="5"/>
      <c r="K22" s="5"/>
      <c r="L22" s="6"/>
    </row>
    <row r="23" spans="2:12" x14ac:dyDescent="0.25">
      <c r="H23" s="4" t="s">
        <v>14</v>
      </c>
      <c r="I23" s="5" t="s">
        <v>8</v>
      </c>
      <c r="J23" s="5" t="s">
        <v>17</v>
      </c>
      <c r="K23" s="5"/>
      <c r="L23" s="6"/>
    </row>
    <row r="24" spans="2:12" x14ac:dyDescent="0.25">
      <c r="H24" s="4"/>
      <c r="I24" s="5" t="s">
        <v>15</v>
      </c>
      <c r="J24" s="5" t="s">
        <v>19</v>
      </c>
      <c r="K24" s="5"/>
      <c r="L24" s="6"/>
    </row>
    <row r="25" spans="2:12" x14ac:dyDescent="0.25">
      <c r="H25" s="4"/>
      <c r="I25" s="5" t="s">
        <v>16</v>
      </c>
      <c r="J25" s="11">
        <f>(L4*12)+(12*D11*D16*L7)</f>
        <v>382825.56</v>
      </c>
      <c r="K25" s="5"/>
      <c r="L25" s="6"/>
    </row>
    <row r="26" spans="2:12" x14ac:dyDescent="0.25">
      <c r="H26" s="4"/>
      <c r="I26" s="5"/>
      <c r="J26" s="5"/>
      <c r="K26" s="5"/>
      <c r="L26" s="6"/>
    </row>
    <row r="27" spans="2:12" x14ac:dyDescent="0.25">
      <c r="H27" s="4" t="s">
        <v>14</v>
      </c>
      <c r="I27" s="5" t="s">
        <v>8</v>
      </c>
      <c r="J27" s="5" t="s">
        <v>17</v>
      </c>
      <c r="K27" s="5"/>
      <c r="L27" s="6"/>
    </row>
    <row r="28" spans="2:12" x14ac:dyDescent="0.25">
      <c r="H28" s="4"/>
      <c r="I28" s="5" t="s">
        <v>15</v>
      </c>
      <c r="J28" s="5" t="s">
        <v>25</v>
      </c>
      <c r="K28" s="5"/>
      <c r="L28" s="6"/>
    </row>
    <row r="29" spans="2:12" x14ac:dyDescent="0.25">
      <c r="H29" s="4"/>
      <c r="I29" s="5" t="s">
        <v>16</v>
      </c>
      <c r="J29" s="12" t="s">
        <v>26</v>
      </c>
      <c r="K29" s="13"/>
      <c r="L29" s="14"/>
    </row>
    <row r="30" spans="2:12" x14ac:dyDescent="0.25">
      <c r="H30" s="1" t="s">
        <v>14</v>
      </c>
      <c r="I30" s="2" t="s">
        <v>18</v>
      </c>
      <c r="J30" s="2" t="s">
        <v>24</v>
      </c>
      <c r="K30" s="2"/>
      <c r="L30" s="3"/>
    </row>
    <row r="31" spans="2:12" x14ac:dyDescent="0.25">
      <c r="H31" s="4"/>
      <c r="I31" s="5" t="s">
        <v>9</v>
      </c>
      <c r="J31" s="5" t="s">
        <v>4</v>
      </c>
      <c r="K31" s="5"/>
      <c r="L31" s="6"/>
    </row>
    <row r="32" spans="2:12" x14ac:dyDescent="0.25">
      <c r="H32" s="4"/>
      <c r="I32" s="5" t="s">
        <v>16</v>
      </c>
      <c r="J32" s="11">
        <f>(L9*12)+((((D1*D4)-D17)*L11)*12)</f>
        <v>404257.92</v>
      </c>
      <c r="K32" s="5"/>
      <c r="L32" s="6"/>
    </row>
    <row r="33" spans="8:12" x14ac:dyDescent="0.25">
      <c r="H33" s="4"/>
      <c r="I33" s="5"/>
      <c r="J33" s="5"/>
      <c r="K33" s="5"/>
      <c r="L33" s="6"/>
    </row>
    <row r="34" spans="8:12" x14ac:dyDescent="0.25">
      <c r="H34" s="4"/>
      <c r="I34" s="5"/>
      <c r="J34" s="5"/>
      <c r="K34" s="5"/>
      <c r="L34" s="6"/>
    </row>
    <row r="35" spans="8:12" x14ac:dyDescent="0.25">
      <c r="H35" s="4" t="s">
        <v>14</v>
      </c>
      <c r="I35" s="5" t="s">
        <v>18</v>
      </c>
      <c r="J35" s="5" t="s">
        <v>24</v>
      </c>
      <c r="K35" s="5"/>
      <c r="L35" s="6"/>
    </row>
    <row r="36" spans="8:12" x14ac:dyDescent="0.25">
      <c r="H36" s="4"/>
      <c r="I36" s="5" t="s">
        <v>9</v>
      </c>
      <c r="J36" s="5" t="s">
        <v>19</v>
      </c>
      <c r="K36" s="5"/>
      <c r="L36" s="6"/>
    </row>
    <row r="37" spans="8:12" x14ac:dyDescent="0.25">
      <c r="H37" s="4"/>
      <c r="I37" s="5" t="s">
        <v>16</v>
      </c>
      <c r="J37" s="11">
        <f>(L9*12)+(12*D7*D13*L12)</f>
        <v>335148.24</v>
      </c>
      <c r="K37" s="5"/>
      <c r="L37" s="6"/>
    </row>
    <row r="38" spans="8:12" x14ac:dyDescent="0.25">
      <c r="H38" s="4"/>
      <c r="I38" s="5"/>
      <c r="J38" s="5"/>
      <c r="K38" s="5"/>
      <c r="L38" s="6"/>
    </row>
    <row r="39" spans="8:12" x14ac:dyDescent="0.25">
      <c r="H39" s="4" t="s">
        <v>14</v>
      </c>
      <c r="I39" s="5" t="s">
        <v>18</v>
      </c>
      <c r="J39" s="5" t="s">
        <v>24</v>
      </c>
      <c r="K39" s="5"/>
      <c r="L39" s="6"/>
    </row>
    <row r="40" spans="8:12" x14ac:dyDescent="0.25">
      <c r="H40" s="4"/>
      <c r="I40" s="5" t="s">
        <v>9</v>
      </c>
      <c r="J40" s="5" t="s">
        <v>25</v>
      </c>
      <c r="K40" s="5"/>
      <c r="L40" s="6"/>
    </row>
    <row r="41" spans="8:12" x14ac:dyDescent="0.25">
      <c r="H41" s="4"/>
      <c r="I41" s="5" t="s">
        <v>16</v>
      </c>
      <c r="J41" s="11">
        <f>(L14*12)+((((D1*D5)-(D9*D15))*L16)*12)</f>
        <v>641482.56000000006</v>
      </c>
      <c r="K41" s="8"/>
      <c r="L41" s="9"/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martins</dc:creator>
  <cp:lastModifiedBy>vladimir martins</cp:lastModifiedBy>
  <dcterms:created xsi:type="dcterms:W3CDTF">2026-05-11T10:53:12Z</dcterms:created>
  <dcterms:modified xsi:type="dcterms:W3CDTF">2026-05-11T13:52:03Z</dcterms:modified>
</cp:coreProperties>
</file>