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089383\Aplicativos\teg_financ\documento\"/>
    </mc:Choice>
  </mc:AlternateContent>
  <xr:revisionPtr revIDLastSave="0" documentId="13_ncr:1_{238628CC-CCA4-4F70-8477-62876716C7E0}" xr6:coauthVersionLast="47" xr6:coauthVersionMax="47" xr10:uidLastSave="{00000000-0000-0000-0000-000000000000}"/>
  <bookViews>
    <workbookView xWindow="-120" yWindow="-120" windowWidth="29040" windowHeight="15720" xr2:uid="{3892EE38-1AD5-44CD-87CE-4DFAFD5EC81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1" i="1" l="1"/>
  <c r="J52" i="1"/>
  <c r="J57" i="1"/>
  <c r="J45" i="1"/>
  <c r="J40" i="1"/>
</calcChain>
</file>

<file path=xl/sharedStrings.xml><?xml version="1.0" encoding="utf-8"?>
<sst xmlns="http://schemas.openxmlformats.org/spreadsheetml/2006/main" count="100" uniqueCount="42">
  <si>
    <t>capacidade TEG</t>
  </si>
  <si>
    <t>Parametro</t>
  </si>
  <si>
    <t>Tabela Modalidade x Bancada x Pagamento x Condicao Valor</t>
  </si>
  <si>
    <t>TEG REGULAR</t>
  </si>
  <si>
    <t>Convencional</t>
  </si>
  <si>
    <t>Fixo</t>
  </si>
  <si>
    <t>16 alunos</t>
  </si>
  <si>
    <t>qtde minima</t>
  </si>
  <si>
    <t>Os especial = Sim</t>
  </si>
  <si>
    <t>Tipo de bancada</t>
  </si>
  <si>
    <t>TEG ESPECIAL</t>
  </si>
  <si>
    <t>Fixo Esp</t>
  </si>
  <si>
    <t>Per capita</t>
  </si>
  <si>
    <t>Per Cap Regular</t>
  </si>
  <si>
    <t>Tabela Veiculo</t>
  </si>
  <si>
    <t>Tipo de bancada=Acessivel</t>
  </si>
  <si>
    <t>valor veiculo</t>
  </si>
  <si>
    <t>Sim</t>
  </si>
  <si>
    <t xml:space="preserve">Os especial </t>
  </si>
  <si>
    <t>Acessivel</t>
  </si>
  <si>
    <t>Viagens</t>
  </si>
  <si>
    <t>Acessível</t>
  </si>
  <si>
    <t>Per Cap Acessi</t>
  </si>
  <si>
    <t>Capacidade</t>
  </si>
  <si>
    <t>Não</t>
  </si>
  <si>
    <t>Creche</t>
  </si>
  <si>
    <t>Mensagem Não existe Especial Creche</t>
  </si>
  <si>
    <t>Ate 15 alunos</t>
  </si>
  <si>
    <t>1 aluno</t>
  </si>
  <si>
    <t xml:space="preserve"> Viagem</t>
  </si>
  <si>
    <t>TEG CRECHE</t>
  </si>
  <si>
    <t>10 alunos</t>
  </si>
  <si>
    <t>Ate 9 alunos</t>
  </si>
  <si>
    <t>Desconto/ Viagem</t>
  </si>
  <si>
    <t>TEG Regular / Convencional</t>
  </si>
  <si>
    <t>TEG Regular / Acessivel</t>
  </si>
  <si>
    <t>TEG Especial / Acessivel</t>
  </si>
  <si>
    <t>TEG Especial / Convencional</t>
  </si>
  <si>
    <t>TEG Creche / Creche</t>
  </si>
  <si>
    <t>TEG Creche  / Creche</t>
  </si>
  <si>
    <t>Tabela Parametro Pgto Veiculo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</si>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</sst>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4" fontId="0" fillId="2" borderId="0" xfId="1" applyFont="1" applyFill="1" applyBorder="1"/>
    <xf numFmtId="0" fontId="0" fillId="2" borderId="0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6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/>
    <xf numFmtId="0" fontId="0" fillId="3" borderId="3" xfId="0" applyFill="1" applyBorder="1"/>
    <xf numFmtId="0" fontId="0" fillId="3" borderId="1" xfId="0" applyFill="1" applyBorder="1"/>
    <xf numFmtId="0" fontId="0" fillId="3" borderId="2" xfId="0" applyFill="1" applyBorder="1"/>
    <xf numFmtId="44" fontId="0" fillId="3" borderId="3" xfId="1" applyFont="1" applyFill="1" applyBorder="1"/>
    <xf numFmtId="0" fontId="0" fillId="3" borderId="4" xfId="0" applyFill="1" applyBorder="1"/>
    <xf numFmtId="44" fontId="0" fillId="3" borderId="5" xfId="1" applyFont="1" applyFill="1" applyBorder="1"/>
    <xf numFmtId="0" fontId="0" fillId="3" borderId="6" xfId="0" applyFill="1" applyBorder="1"/>
    <xf numFmtId="0" fontId="0" fillId="3" borderId="7" xfId="0" applyFill="1" applyBorder="1"/>
    <xf numFmtId="44" fontId="0" fillId="3" borderId="8" xfId="1" applyFont="1" applyFill="1" applyBorder="1"/>
    <xf numFmtId="44" fontId="0" fillId="3" borderId="0" xfId="1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44" fontId="0" fillId="4" borderId="0" xfId="1" applyFont="1" applyFill="1" applyBorder="1"/>
    <xf numFmtId="0" fontId="0" fillId="4" borderId="0" xfId="0" quotePrefix="1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77BA-B052-464C-B8E1-EA0C27DC69AC}">
  <dimension ref="A1:L61"/>
  <sheetViews>
    <sheetView tabSelected="1" topLeftCell="A25" zoomScale="85" zoomScaleNormal="85" workbookViewId="0">
      <selection activeCell="K9" sqref="K9"/>
    </sheetView>
  </sheetViews>
  <sheetFormatPr defaultRowHeight="15" x14ac:dyDescent="0.25"/>
  <cols>
    <col min="1" max="1" width="11.42578125" customWidth="1"/>
    <col min="2" max="2" width="27.28515625" bestFit="1" customWidth="1"/>
    <col min="3" max="3" width="30.5703125" customWidth="1"/>
    <col min="8" max="8" width="20.85546875" customWidth="1"/>
    <col min="9" max="9" width="14.28515625" customWidth="1"/>
    <col min="10" max="10" width="17.140625" customWidth="1"/>
    <col min="11" max="11" width="15.42578125" customWidth="1"/>
    <col min="12" max="12" width="16.7109375" customWidth="1"/>
  </cols>
  <sheetData>
    <row r="1" spans="1:10" x14ac:dyDescent="0.25">
      <c r="H1" s="43" t="s">
        <v>14</v>
      </c>
      <c r="I1" s="44"/>
      <c r="J1" s="45"/>
    </row>
    <row r="2" spans="1:10" x14ac:dyDescent="0.25">
      <c r="H2" s="46" t="s">
        <v>0</v>
      </c>
      <c r="I2" s="47"/>
      <c r="J2" s="48">
        <v>26</v>
      </c>
    </row>
    <row r="4" spans="1:10" x14ac:dyDescent="0.25">
      <c r="A4" t="s">
        <v>1</v>
      </c>
    </row>
    <row r="5" spans="1:10" x14ac:dyDescent="0.25">
      <c r="H5" t="s">
        <v>40</v>
      </c>
    </row>
    <row r="6" spans="1:10" x14ac:dyDescent="0.25">
      <c r="H6" s="15" t="s">
        <v>34</v>
      </c>
      <c r="I6" s="16" t="s">
        <v>33</v>
      </c>
      <c r="J6" s="17">
        <v>3</v>
      </c>
    </row>
    <row r="7" spans="1:10" x14ac:dyDescent="0.25">
      <c r="H7" s="14" t="s">
        <v>39</v>
      </c>
      <c r="I7" s="12" t="s">
        <v>33</v>
      </c>
      <c r="J7" s="13">
        <v>3</v>
      </c>
    </row>
    <row r="9" spans="1:10" x14ac:dyDescent="0.25">
      <c r="H9" s="15" t="s">
        <v>35</v>
      </c>
      <c r="I9" s="16" t="s">
        <v>29</v>
      </c>
      <c r="J9" s="17">
        <v>2</v>
      </c>
    </row>
    <row r="10" spans="1:10" x14ac:dyDescent="0.25">
      <c r="H10" s="18" t="s">
        <v>34</v>
      </c>
      <c r="I10" s="11" t="s">
        <v>29</v>
      </c>
      <c r="J10" s="19">
        <v>2</v>
      </c>
    </row>
    <row r="11" spans="1:10" x14ac:dyDescent="0.25">
      <c r="H11" s="14" t="s">
        <v>38</v>
      </c>
      <c r="I11" s="12" t="s">
        <v>29</v>
      </c>
      <c r="J11" s="13">
        <v>2</v>
      </c>
    </row>
    <row r="12" spans="1:10" x14ac:dyDescent="0.25">
      <c r="H12" s="15" t="s">
        <v>37</v>
      </c>
      <c r="I12" s="16" t="s">
        <v>20</v>
      </c>
      <c r="J12" s="17">
        <v>2</v>
      </c>
    </row>
    <row r="13" spans="1:10" x14ac:dyDescent="0.25">
      <c r="H13" s="18" t="s">
        <v>36</v>
      </c>
      <c r="I13" s="11" t="s">
        <v>20</v>
      </c>
      <c r="J13" s="19">
        <v>2</v>
      </c>
    </row>
    <row r="14" spans="1:10" x14ac:dyDescent="0.25">
      <c r="H14" s="7"/>
      <c r="I14" s="8"/>
      <c r="J14" s="9"/>
    </row>
    <row r="15" spans="1:10" x14ac:dyDescent="0.25">
      <c r="H15" s="15" t="s">
        <v>35</v>
      </c>
      <c r="I15" s="16" t="s">
        <v>23</v>
      </c>
      <c r="J15" s="17">
        <v>5</v>
      </c>
    </row>
    <row r="16" spans="1:10" x14ac:dyDescent="0.25">
      <c r="H16" s="18" t="s">
        <v>34</v>
      </c>
      <c r="I16" s="11" t="s">
        <v>23</v>
      </c>
      <c r="J16" s="19">
        <v>5</v>
      </c>
    </row>
    <row r="17" spans="8:12" x14ac:dyDescent="0.25">
      <c r="H17" s="14" t="s">
        <v>38</v>
      </c>
      <c r="I17" s="12" t="s">
        <v>23</v>
      </c>
      <c r="J17" s="13">
        <v>5</v>
      </c>
    </row>
    <row r="18" spans="8:12" x14ac:dyDescent="0.25">
      <c r="H18" s="15" t="s">
        <v>36</v>
      </c>
      <c r="I18" s="16" t="s">
        <v>23</v>
      </c>
      <c r="J18" s="17">
        <v>5</v>
      </c>
    </row>
    <row r="19" spans="8:12" x14ac:dyDescent="0.25">
      <c r="H19" s="14" t="s">
        <v>37</v>
      </c>
      <c r="I19" s="12" t="s">
        <v>23</v>
      </c>
      <c r="J19" s="13">
        <v>16</v>
      </c>
    </row>
    <row r="20" spans="8:12" x14ac:dyDescent="0.25">
      <c r="H20" s="18"/>
      <c r="I20" s="11"/>
      <c r="J20" s="11"/>
    </row>
    <row r="21" spans="8:12" x14ac:dyDescent="0.25">
      <c r="H21" s="18"/>
      <c r="I21" s="11"/>
      <c r="J21" s="11"/>
    </row>
    <row r="22" spans="8:12" x14ac:dyDescent="0.25">
      <c r="J22" s="2"/>
      <c r="K22" s="5"/>
    </row>
    <row r="23" spans="8:12" x14ac:dyDescent="0.25">
      <c r="H23" s="20" t="s">
        <v>2</v>
      </c>
      <c r="I23" s="21"/>
      <c r="J23" s="22"/>
      <c r="K23" s="22"/>
      <c r="L23" s="23" t="s">
        <v>7</v>
      </c>
    </row>
    <row r="24" spans="8:12" x14ac:dyDescent="0.25">
      <c r="H24" s="24" t="s">
        <v>10</v>
      </c>
      <c r="I24" s="25" t="s">
        <v>4</v>
      </c>
      <c r="J24" s="25" t="s">
        <v>5</v>
      </c>
      <c r="K24" s="25" t="s">
        <v>11</v>
      </c>
      <c r="L24" s="26">
        <v>11465.63</v>
      </c>
    </row>
    <row r="25" spans="8:12" x14ac:dyDescent="0.25">
      <c r="H25" s="27"/>
      <c r="I25" s="22"/>
      <c r="J25" s="22"/>
      <c r="K25" s="22"/>
      <c r="L25" s="28"/>
    </row>
    <row r="26" spans="8:12" x14ac:dyDescent="0.25">
      <c r="H26" s="27" t="s">
        <v>10</v>
      </c>
      <c r="I26" s="22" t="s">
        <v>4</v>
      </c>
      <c r="J26" s="22" t="s">
        <v>12</v>
      </c>
      <c r="K26" s="22" t="s">
        <v>13</v>
      </c>
      <c r="L26" s="28">
        <v>385.23</v>
      </c>
    </row>
    <row r="27" spans="8:12" x14ac:dyDescent="0.25">
      <c r="H27" s="29" t="s">
        <v>10</v>
      </c>
      <c r="I27" s="30" t="s">
        <v>21</v>
      </c>
      <c r="J27" s="30" t="s">
        <v>12</v>
      </c>
      <c r="K27" s="30" t="s">
        <v>22</v>
      </c>
      <c r="L27" s="31">
        <v>2043.65</v>
      </c>
    </row>
    <row r="28" spans="8:12" x14ac:dyDescent="0.25">
      <c r="H28" s="22"/>
      <c r="I28" s="22"/>
      <c r="J28" s="22"/>
      <c r="K28" s="22"/>
      <c r="L28" s="32"/>
    </row>
    <row r="29" spans="8:12" x14ac:dyDescent="0.25">
      <c r="H29" s="24" t="s">
        <v>3</v>
      </c>
      <c r="I29" s="25" t="s">
        <v>4</v>
      </c>
      <c r="J29" s="25" t="s">
        <v>5</v>
      </c>
      <c r="K29" s="25" t="s">
        <v>6</v>
      </c>
      <c r="L29" s="26">
        <v>7492.52</v>
      </c>
    </row>
    <row r="30" spans="8:12" x14ac:dyDescent="0.25">
      <c r="H30" s="27"/>
      <c r="I30" s="22"/>
      <c r="J30" s="22"/>
      <c r="K30" s="22"/>
      <c r="L30" s="28"/>
    </row>
    <row r="31" spans="8:12" x14ac:dyDescent="0.25">
      <c r="H31" s="27" t="s">
        <v>3</v>
      </c>
      <c r="I31" s="22" t="s">
        <v>4</v>
      </c>
      <c r="J31" s="22" t="s">
        <v>12</v>
      </c>
      <c r="K31" s="22" t="s">
        <v>27</v>
      </c>
      <c r="L31" s="28">
        <v>385.23</v>
      </c>
    </row>
    <row r="32" spans="8:12" x14ac:dyDescent="0.25">
      <c r="H32" s="29" t="s">
        <v>3</v>
      </c>
      <c r="I32" s="30" t="s">
        <v>21</v>
      </c>
      <c r="J32" s="30" t="s">
        <v>12</v>
      </c>
      <c r="K32" s="30" t="s">
        <v>28</v>
      </c>
      <c r="L32" s="31">
        <v>2043.65</v>
      </c>
    </row>
    <row r="33" spans="8:12" x14ac:dyDescent="0.25">
      <c r="H33" s="22"/>
      <c r="I33" s="22"/>
      <c r="J33" s="22"/>
      <c r="K33" s="22"/>
      <c r="L33" s="32"/>
    </row>
    <row r="34" spans="8:12" x14ac:dyDescent="0.25">
      <c r="H34" s="24" t="s">
        <v>30</v>
      </c>
      <c r="I34" s="25" t="s">
        <v>25</v>
      </c>
      <c r="J34" s="25" t="s">
        <v>5</v>
      </c>
      <c r="K34" s="25" t="s">
        <v>31</v>
      </c>
      <c r="L34" s="26">
        <v>7492.52</v>
      </c>
    </row>
    <row r="35" spans="8:12" x14ac:dyDescent="0.25">
      <c r="H35" s="27"/>
      <c r="I35" s="22"/>
      <c r="J35" s="22"/>
      <c r="K35" s="22"/>
      <c r="L35" s="28"/>
    </row>
    <row r="36" spans="8:12" x14ac:dyDescent="0.25">
      <c r="H36" s="29" t="s">
        <v>30</v>
      </c>
      <c r="I36" s="30" t="s">
        <v>25</v>
      </c>
      <c r="J36" s="30" t="s">
        <v>12</v>
      </c>
      <c r="K36" s="30" t="s">
        <v>32</v>
      </c>
      <c r="L36" s="31">
        <v>621.14</v>
      </c>
    </row>
    <row r="38" spans="8:12" x14ac:dyDescent="0.25">
      <c r="H38" s="33" t="s">
        <v>14</v>
      </c>
      <c r="I38" s="34" t="s">
        <v>18</v>
      </c>
      <c r="J38" s="34" t="s">
        <v>17</v>
      </c>
      <c r="K38" s="34"/>
      <c r="L38" s="35"/>
    </row>
    <row r="39" spans="8:12" x14ac:dyDescent="0.25">
      <c r="H39" s="36"/>
      <c r="I39" s="37" t="s">
        <v>9</v>
      </c>
      <c r="J39" s="37" t="s">
        <v>4</v>
      </c>
      <c r="K39" s="37"/>
      <c r="L39" s="38"/>
    </row>
    <row r="40" spans="8:12" x14ac:dyDescent="0.25">
      <c r="H40" s="36"/>
      <c r="I40" s="37" t="s">
        <v>16</v>
      </c>
      <c r="J40" s="39">
        <f>(L24*12)+(((J2*L26)*J12)*12)</f>
        <v>377971.07999999996</v>
      </c>
      <c r="K40" s="40" t="s">
        <v>41</v>
      </c>
      <c r="L40" s="38"/>
    </row>
    <row r="41" spans="8:12" x14ac:dyDescent="0.25">
      <c r="H41" s="36"/>
      <c r="I41" s="37"/>
      <c r="J41" s="37"/>
      <c r="K41" s="37"/>
      <c r="L41" s="38"/>
    </row>
    <row r="42" spans="8:12" x14ac:dyDescent="0.25">
      <c r="H42" s="36"/>
      <c r="I42" s="37"/>
      <c r="J42" s="37"/>
      <c r="K42" s="37"/>
      <c r="L42" s="38"/>
    </row>
    <row r="43" spans="8:12" x14ac:dyDescent="0.25">
      <c r="H43" s="36" t="s">
        <v>14</v>
      </c>
      <c r="I43" s="37" t="s">
        <v>8</v>
      </c>
      <c r="J43" s="37" t="s">
        <v>17</v>
      </c>
      <c r="K43" s="37"/>
      <c r="L43" s="38"/>
    </row>
    <row r="44" spans="8:12" x14ac:dyDescent="0.25">
      <c r="H44" s="36"/>
      <c r="I44" s="37" t="s">
        <v>15</v>
      </c>
      <c r="J44" s="37" t="s">
        <v>19</v>
      </c>
      <c r="K44" s="37"/>
      <c r="L44" s="38"/>
    </row>
    <row r="45" spans="8:12" x14ac:dyDescent="0.25">
      <c r="H45" s="36"/>
      <c r="I45" s="37" t="s">
        <v>16</v>
      </c>
      <c r="J45" s="39">
        <f>(L24*12)+(12*J13*J18*L27)</f>
        <v>382825.56</v>
      </c>
      <c r="K45" s="37"/>
      <c r="L45" s="38"/>
    </row>
    <row r="46" spans="8:12" x14ac:dyDescent="0.25">
      <c r="H46" s="36"/>
      <c r="I46" s="37"/>
      <c r="J46" s="37"/>
      <c r="K46" s="37"/>
      <c r="L46" s="38"/>
    </row>
    <row r="47" spans="8:12" x14ac:dyDescent="0.25">
      <c r="H47" s="36" t="s">
        <v>14</v>
      </c>
      <c r="I47" s="37" t="s">
        <v>8</v>
      </c>
      <c r="J47" s="37" t="s">
        <v>17</v>
      </c>
      <c r="K47" s="37"/>
      <c r="L47" s="38"/>
    </row>
    <row r="48" spans="8:12" x14ac:dyDescent="0.25">
      <c r="H48" s="36"/>
      <c r="I48" s="37" t="s">
        <v>15</v>
      </c>
      <c r="J48" s="37" t="s">
        <v>25</v>
      </c>
      <c r="K48" s="37"/>
      <c r="L48" s="38"/>
    </row>
    <row r="49" spans="8:12" x14ac:dyDescent="0.25">
      <c r="H49" s="36"/>
      <c r="I49" s="37" t="s">
        <v>16</v>
      </c>
      <c r="J49" s="37" t="s">
        <v>26</v>
      </c>
      <c r="K49" s="41"/>
      <c r="L49" s="42"/>
    </row>
    <row r="50" spans="8:12" x14ac:dyDescent="0.25">
      <c r="H50" s="1" t="s">
        <v>14</v>
      </c>
      <c r="I50" s="2" t="s">
        <v>18</v>
      </c>
      <c r="J50" s="2" t="s">
        <v>24</v>
      </c>
      <c r="K50" s="2"/>
      <c r="L50" s="3"/>
    </row>
    <row r="51" spans="8:12" x14ac:dyDescent="0.25">
      <c r="H51" s="4"/>
      <c r="I51" s="5" t="s">
        <v>9</v>
      </c>
      <c r="J51" s="5" t="s">
        <v>4</v>
      </c>
      <c r="K51" s="5"/>
      <c r="L51" s="6"/>
    </row>
    <row r="52" spans="8:12" x14ac:dyDescent="0.25">
      <c r="H52" s="4"/>
      <c r="I52" s="5" t="s">
        <v>16</v>
      </c>
      <c r="J52" s="10">
        <f>(L29*12)+((((J2*J6)-J19)*L31)*12)</f>
        <v>376521.36</v>
      </c>
      <c r="K52" s="5"/>
      <c r="L52" s="6"/>
    </row>
    <row r="53" spans="8:12" x14ac:dyDescent="0.25">
      <c r="H53" s="4"/>
      <c r="I53" s="5"/>
      <c r="J53" s="5"/>
      <c r="K53" s="5"/>
      <c r="L53" s="6"/>
    </row>
    <row r="54" spans="8:12" x14ac:dyDescent="0.25">
      <c r="H54" s="4"/>
      <c r="I54" s="5"/>
      <c r="J54" s="5"/>
      <c r="K54" s="5"/>
      <c r="L54" s="6"/>
    </row>
    <row r="55" spans="8:12" x14ac:dyDescent="0.25">
      <c r="H55" s="4" t="s">
        <v>14</v>
      </c>
      <c r="I55" s="5" t="s">
        <v>18</v>
      </c>
      <c r="J55" s="5" t="s">
        <v>24</v>
      </c>
      <c r="K55" s="5"/>
      <c r="L55" s="6"/>
    </row>
    <row r="56" spans="8:12" x14ac:dyDescent="0.25">
      <c r="H56" s="4"/>
      <c r="I56" s="5" t="s">
        <v>9</v>
      </c>
      <c r="J56" s="5" t="s">
        <v>19</v>
      </c>
      <c r="K56" s="5"/>
      <c r="L56" s="6"/>
    </row>
    <row r="57" spans="8:12" x14ac:dyDescent="0.25">
      <c r="H57" s="4"/>
      <c r="I57" s="5" t="s">
        <v>16</v>
      </c>
      <c r="J57" s="10">
        <f>(L29*12)+(12*J9*J15*L32)</f>
        <v>335148.24</v>
      </c>
      <c r="K57" s="5"/>
      <c r="L57" s="6"/>
    </row>
    <row r="58" spans="8:12" x14ac:dyDescent="0.25">
      <c r="H58" s="4"/>
      <c r="I58" s="5"/>
      <c r="J58" s="5"/>
      <c r="K58" s="5"/>
      <c r="L58" s="6"/>
    </row>
    <row r="59" spans="8:12" x14ac:dyDescent="0.25">
      <c r="H59" s="4" t="s">
        <v>14</v>
      </c>
      <c r="I59" s="5" t="s">
        <v>18</v>
      </c>
      <c r="J59" s="5" t="s">
        <v>24</v>
      </c>
      <c r="K59" s="5"/>
      <c r="L59" s="6"/>
    </row>
    <row r="60" spans="8:12" x14ac:dyDescent="0.25">
      <c r="H60" s="4"/>
      <c r="I60" s="5" t="s">
        <v>9</v>
      </c>
      <c r="J60" s="5" t="s">
        <v>25</v>
      </c>
      <c r="K60" s="5"/>
      <c r="L60" s="6"/>
    </row>
    <row r="61" spans="8:12" x14ac:dyDescent="0.25">
      <c r="H61" s="4"/>
      <c r="I61" s="5" t="s">
        <v>16</v>
      </c>
      <c r="J61" s="10">
        <f>(L34*12)+((((J2*J7)-(J11*J17))*L36)*12)</f>
        <v>596760.48</v>
      </c>
      <c r="K61" s="8"/>
      <c r="L61" s="9"/>
    </row>
  </sheetData>
  <mergeCells count="1">
    <mergeCell ref="H23:I23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martins</dc:creator>
  <cp:lastModifiedBy>vladimir martins</cp:lastModifiedBy>
  <dcterms:created xsi:type="dcterms:W3CDTF">2026-05-11T10:53:12Z</dcterms:created>
  <dcterms:modified xsi:type="dcterms:W3CDTF">2026-05-11T18:03:26Z</dcterms:modified>
</cp:coreProperties>
</file>