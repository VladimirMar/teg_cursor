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8_{1665E635-54CB-4EED-857B-A91BACF27E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</calcChain>
</file>

<file path=xl/sharedStrings.xml><?xml version="1.0" encoding="utf-8"?>
<sst xmlns="http://schemas.openxmlformats.org/spreadsheetml/2006/main" count="309" uniqueCount="72">
  <si>
    <t>=SE(C6=4;SOMA(O6+O7+O8+Q6+Q7+Q8)*333,82/30*FD$4+(P6+P7+P8+R6+R7+R8)*1947,98/30*FD$4;SE(C6=3;SE(O9+Q9=10;6492,53/30*FD$4+(O6+O7+O8+Q6+Q7+Q8)*333,82/30*FD$4+(P9+R9)*1947,98/30*FD$4;SE(O9+Q9&lt;=9;(O9+Q9)*538,24/30*FD$4)+(P9+R9)*1947,98/30*FD$4+(O6+O7+O8+Q6+Q7+Q8)*333,82/30*FD$4)+SE(O9+Q9&gt;=11;6492,53/30*FD$4+(O9+Q9-10)*538,24/30*FD$4;0);SE(C6=2;SE(P6+P7+P8+P9+R6+R7+R8+R9=1;1947,98/30*FD$4;SE(P6+P7+P8+P9+R6+R7+R8+R9=2;6492,53/30*FD$4;SE(P6+P7+P8+P9+R6+R7+R8+R9&gt;2;6492,53/30*FD$4+(P6+P7+P8+P9+R6+R7+R8+R9-2)*1947,98/30*FD$4)))+(O6+O7+O8+Q6+Q7+Q8)*333,82/30*FD$4+(O9+Q9)*538,24/30*FD$4;SE(C6=1;SE(O6+O7+O8+P6+P7+P8+Q6+Q7+Q8+R6+R7+R8&lt;=15;(O6+O7+O8+Q6+Q7+Q8)*333,82/30*FD$4;SE(O6+O7+O8+P6+P7+P8+Q6+Q7+Q8+R6+R7+R8&gt;=16;6492,53/30*FD$4+(O6+O7+O8+P6+P7+P8+Q6+Q7+Q8+R6+R7-16)*333,82/30*FD$4))))))</t>
  </si>
  <si>
    <t>SE(C6=3;SE(O9+Q9=10;6492,53/30*FD$4+(O6+O7+O8+Q6+Q7+Q8)*333,82/30*FD$4+(P9+R9)*1947,98/30*FD$4;SE(O9+Q9&lt;=9;(O9+Q9)*538,24/30*FD$4)+(P9+R9)*1947,98/30*FD$4+(O6+O7+O8+Q6+Q7+Q8)*333,82/30*FD$4)+SE(O9+Q9&gt;=11;6492,53/30*FD$4+(O9+Q9-10)*538,24/30*FD$4;0);</t>
  </si>
  <si>
    <t>SE(C6=1;SE(O6+O7+O8+P6+P7+P8+Q6+Q7+Q8+R6+R7+R8&lt;=15;(O6+O7+O8+Q6+Q7+Q8)*333,82/30*FD$4;SE(O6+O7+O8+P6+P7+P8+Q6+Q7+Q8+R6+R7+R8&gt;=16;6492,53/30*FD$4+(O6+O7+O8+P6+P7+P8+Q6+Q7+Q8+R6+R7-16)*333,82/30*FD$4))))))</t>
  </si>
  <si>
    <t>'SE(C6=2;SE(P6+P7+P8+P9+R6+R7+R8+R9=1;1947,98/30*FD$4;SE(P6+P7+P8+P9+R6+R7+R8+R9=2;6492,53/30*FD$4;SE(P6+P7+P8+P9+R6+R7+R8+R9&gt;2;6492,53/30*FD$4+(P6+P7+P8+P9+R6+R7+R8+R9-2)*1947,98/30*FD$4)))+(O6+O7+O8+Q6+Q7+Q8)*333,82/30*FD$4+(O9+Q9)*538,24/30*FD$4;</t>
  </si>
  <si>
    <t>Normal</t>
  </si>
  <si>
    <t>EMEI</t>
  </si>
  <si>
    <t>EMEF</t>
  </si>
  <si>
    <t>EMEE</t>
  </si>
  <si>
    <t>Não cadeirante Presencial</t>
  </si>
  <si>
    <t>+</t>
  </si>
  <si>
    <t>AtividadeComplementarNão Cadeirante</t>
  </si>
  <si>
    <t>x</t>
  </si>
  <si>
    <t>/30*Dia do Mês</t>
  </si>
  <si>
    <t>1 a 30</t>
  </si>
  <si>
    <t>verde</t>
  </si>
  <si>
    <t>amarelo</t>
  </si>
  <si>
    <t>+(P6+P7+P8+R6+R7+R8)*1947,98/30*FD$4;</t>
  </si>
  <si>
    <t>SE(C6=4;SOMA(O6+O7+O8+Q6+Q7+Q8)*333,82/30*FD$4+</t>
  </si>
  <si>
    <t>cadeirante</t>
  </si>
  <si>
    <t>Acessivel Adaptavel</t>
  </si>
  <si>
    <t>1947,98/30*DiasMes</t>
  </si>
  <si>
    <t>Especial</t>
  </si>
  <si>
    <t>SE(C6=3;SE(O9+Q9=10;6492,53/30*FD$4</t>
  </si>
  <si>
    <t>+(O6+O7+O8+Q6+Q7+Q8)*333,82/30*FD$4</t>
  </si>
  <si>
    <t>+(P9+R9)*1947,98/30*FD$4</t>
  </si>
  <si>
    <t>;SE(O9+Q9&lt;=9;(O9+Q9)*538,24/30*FD$4)</t>
  </si>
  <si>
    <t>+(P9+R9)*1947,98/30*FD$4+</t>
  </si>
  <si>
    <t>'SE(O9+Q9&gt;=11;6492,53/30*FD$4+(O9+Q9-10)*538,24/30*FD$4;0);</t>
  </si>
  <si>
    <t>(O6+O7+O8+Q6+Q7+Q8)*333,82/30*FD$4)+</t>
  </si>
  <si>
    <t>Creche</t>
  </si>
  <si>
    <t>CEI</t>
  </si>
  <si>
    <t>AT. COMPL. N CAD</t>
  </si>
  <si>
    <t>em verde</t>
  </si>
  <si>
    <t>em verde claro</t>
  </si>
  <si>
    <t>calculo</t>
  </si>
  <si>
    <t>6492/30*Dias do Mês</t>
  </si>
  <si>
    <t>se a soma =10 =&gt; 10 alunos</t>
  </si>
  <si>
    <t>Atendimento Complementar Cadeirante</t>
  </si>
  <si>
    <t>se a soma &lt;=9 =&gt; abaixo 9 alunos</t>
  </si>
  <si>
    <t>&lt;=9</t>
  </si>
  <si>
    <t>FIXO</t>
  </si>
  <si>
    <t>PERCAPITA</t>
  </si>
  <si>
    <t>SOMA * 538,24/30*Dias do Mês</t>
  </si>
  <si>
    <t>se a soma &gt;=11 =&gt; ACIMA DE 11  alunos</t>
  </si>
  <si>
    <t>(SOMA-10) * 538,24/30*Dias do Mês</t>
  </si>
  <si>
    <t>FIXA + PERCAPITA</t>
  </si>
  <si>
    <t>REGULAR</t>
  </si>
  <si>
    <t>NORMAL</t>
  </si>
  <si>
    <t>SE(C6=2;SE(P6+P7+P8+P9+R6+R7+R8+R9=1;1947,98/30*FD$4</t>
  </si>
  <si>
    <t>SE(P6+P7+P8+P9+R6+R7+R8+R9=2;6492,53/30*FD$4</t>
  </si>
  <si>
    <t>;;SE(P6+P7+P8+P9+R6+R7+R8+R9&gt;2;6492,53/30*FD$4</t>
  </si>
  <si>
    <t>+(P6+P7+P8+P9+R6+R7+R8+R9-2)*1947,98/30*FD$4)))</t>
  </si>
  <si>
    <t>6492,53/30*DiasMes</t>
  </si>
  <si>
    <t>se a soma == 1 aluno</t>
  </si>
  <si>
    <t>se a soma == 2 alunos</t>
  </si>
  <si>
    <t>se a soma &gt; 2 alunos</t>
  </si>
  <si>
    <t>soma - 2 anos</t>
  </si>
  <si>
    <t>1947,8/30*DiasMes</t>
  </si>
  <si>
    <t>+(O9+Q9)*538,24/30*FD$4;</t>
  </si>
  <si>
    <t>ACESSIVEL</t>
  </si>
  <si>
    <t>CONVENCIONAL</t>
  </si>
  <si>
    <t>SE(C6=1;SE(O6+O7+O8+P6+P7+P8+Q6+Q7+Q8+R6+R7+R8&lt;=15;(O6+O7+O8+Q6+Q7+Q8)*333,82/30*FD$4</t>
  </si>
  <si>
    <t>+(O6+O7+O8+P6+P7+P8+Q6+Q7+Q8+R6+R7-16)*333,82/30*FD$4))))))</t>
  </si>
  <si>
    <t>;SE(O6+O7+O8+P6+P7+P8+Q6+Q7+Q8+R6+R7+R8&gt;=16;6492,53/30*FD$4</t>
  </si>
  <si>
    <t>Se a soma&lt;=15</t>
  </si>
  <si>
    <t>soma</t>
  </si>
  <si>
    <t>SOMA * 333,82/30*Dias do Mês</t>
  </si>
  <si>
    <t>Se a soma&gt;=16</t>
  </si>
  <si>
    <t>(SOMA-16) * 333,82/30*Dias do Mês</t>
  </si>
  <si>
    <t>soma - 16 alunos</t>
  </si>
  <si>
    <t>GERAL</t>
  </si>
  <si>
    <t>=SE(C6=4;SOMA(O6+O7+O8+Q6+Q7+Q8)*333,82/30*FD$4+(P6+P7+P8+R6+R7+R8)*1947,98/30*FD$4;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</si>
</sst>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31"/>
      </patternFill>
    </fill>
    <fill>
      <patternFill patternType="solid">
        <fgColor rgb="FF99FFCC"/>
        <bgColor indexed="40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</fills>
  <borders count="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2" borderId="0" xfId="0" applyFill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0" borderId="0" xfId="0" applyFont="1"/>
    <xf numFmtId="0" fontId="0" fillId="2" borderId="0" xfId="0" quotePrefix="1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25</xdr:row>
      <xdr:rowOff>0</xdr:rowOff>
    </xdr:from>
    <xdr:to>
      <xdr:col>19</xdr:col>
      <xdr:colOff>419414</xdr:colOff>
      <xdr:row>31</xdr:row>
      <xdr:rowOff>181160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5362575"/>
          <a:ext cx="2248214" cy="1324160"/>
        </a:xfrm>
        <a:prstGeom prst="rect">
          <a:avLst/>
        </a:prstGeom>
      </xdr:spPr>
    </xdr:pic>
    <xdr:clientData/>
  </xdr:twoCellAnchor>
  <xdr:twoCellAnchor editAs="oneCell">
    <xdr:from>
      <xdr:col>15</xdr:col>
      <xdr:colOff>600075</xdr:colOff>
      <xdr:row>34</xdr:row>
      <xdr:rowOff>19050</xdr:rowOff>
    </xdr:from>
    <xdr:to>
      <xdr:col>19</xdr:col>
      <xdr:colOff>371784</xdr:colOff>
      <xdr:row>39</xdr:row>
      <xdr:rowOff>171604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01375" y="6905625"/>
          <a:ext cx="2210109" cy="110505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21</xdr:col>
      <xdr:colOff>381309</xdr:colOff>
      <xdr:row>10</xdr:row>
      <xdr:rowOff>152554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58650" y="1428750"/>
          <a:ext cx="2210109" cy="110505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19</xdr:col>
      <xdr:colOff>409888</xdr:colOff>
      <xdr:row>49</xdr:row>
      <xdr:rowOff>162107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39450" y="8601075"/>
          <a:ext cx="2238688" cy="1305107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21</xdr:col>
      <xdr:colOff>438467</xdr:colOff>
      <xdr:row>19</xdr:row>
      <xdr:rowOff>152581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058650" y="2952750"/>
          <a:ext cx="2267267" cy="129558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19</xdr:col>
      <xdr:colOff>419414</xdr:colOff>
      <xdr:row>57</xdr:row>
      <xdr:rowOff>181160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10125075"/>
          <a:ext cx="2248214" cy="13241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409888</xdr:colOff>
      <xdr:row>66</xdr:row>
      <xdr:rowOff>162107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010900" y="11839575"/>
          <a:ext cx="2238688" cy="130510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69</xdr:row>
      <xdr:rowOff>0</xdr:rowOff>
    </xdr:from>
    <xdr:to>
      <xdr:col>19</xdr:col>
      <xdr:colOff>381309</xdr:colOff>
      <xdr:row>74</xdr:row>
      <xdr:rowOff>152554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10900" y="13744575"/>
          <a:ext cx="2210109" cy="110505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77</xdr:row>
      <xdr:rowOff>0</xdr:rowOff>
    </xdr:from>
    <xdr:to>
      <xdr:col>19</xdr:col>
      <xdr:colOff>419414</xdr:colOff>
      <xdr:row>83</xdr:row>
      <xdr:rowOff>181160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0" y="15268575"/>
          <a:ext cx="2248214" cy="13241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93</xdr:row>
      <xdr:rowOff>0</xdr:rowOff>
    </xdr:from>
    <xdr:to>
      <xdr:col>19</xdr:col>
      <xdr:colOff>400361</xdr:colOff>
      <xdr:row>100</xdr:row>
      <xdr:rowOff>9713</xdr:rowOff>
    </xdr:to>
    <xdr:pic>
      <xdr:nvPicPr>
        <xdr:cNvPr id="12" name="Imagem 11" descr="Captura de tela 2025-06-30 10424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010900" y="18316575"/>
          <a:ext cx="2229161" cy="134321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104</xdr:row>
      <xdr:rowOff>0</xdr:rowOff>
    </xdr:from>
    <xdr:to>
      <xdr:col>19</xdr:col>
      <xdr:colOff>400361</xdr:colOff>
      <xdr:row>111</xdr:row>
      <xdr:rowOff>9713</xdr:rowOff>
    </xdr:to>
    <xdr:pic>
      <xdr:nvPicPr>
        <xdr:cNvPr id="13" name="Imagem 12" descr="Captura de tela 2025-06-30 10424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010900" y="18316575"/>
          <a:ext cx="2229161" cy="134321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113</xdr:row>
      <xdr:rowOff>0</xdr:rowOff>
    </xdr:from>
    <xdr:to>
      <xdr:col>19</xdr:col>
      <xdr:colOff>400361</xdr:colOff>
      <xdr:row>120</xdr:row>
      <xdr:rowOff>9713</xdr:rowOff>
    </xdr:to>
    <xdr:pic>
      <xdr:nvPicPr>
        <xdr:cNvPr id="14" name="Imagem 13" descr="Captura de tela 2025-06-30 10424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010900" y="20412075"/>
          <a:ext cx="2229161" cy="134321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122</xdr:row>
      <xdr:rowOff>0</xdr:rowOff>
    </xdr:from>
    <xdr:to>
      <xdr:col>19</xdr:col>
      <xdr:colOff>400361</xdr:colOff>
      <xdr:row>129</xdr:row>
      <xdr:rowOff>9713</xdr:rowOff>
    </xdr:to>
    <xdr:pic>
      <xdr:nvPicPr>
        <xdr:cNvPr id="15" name="Imagem 14" descr="Captura de tela 2025-06-30 10424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010900" y="22126575"/>
          <a:ext cx="2229161" cy="134321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131</xdr:row>
      <xdr:rowOff>0</xdr:rowOff>
    </xdr:from>
    <xdr:to>
      <xdr:col>19</xdr:col>
      <xdr:colOff>381309</xdr:colOff>
      <xdr:row>136</xdr:row>
      <xdr:rowOff>152554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10900" y="25555575"/>
          <a:ext cx="2210109" cy="110505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139</xdr:row>
      <xdr:rowOff>0</xdr:rowOff>
    </xdr:from>
    <xdr:to>
      <xdr:col>19</xdr:col>
      <xdr:colOff>419414</xdr:colOff>
      <xdr:row>145</xdr:row>
      <xdr:rowOff>181160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0" y="15268575"/>
          <a:ext cx="2248214" cy="1324160"/>
        </a:xfrm>
        <a:prstGeom prst="rect">
          <a:avLst/>
        </a:prstGeom>
      </xdr:spPr>
    </xdr:pic>
    <xdr:clientData/>
  </xdr:twoCellAnchor>
  <xdr:twoCellAnchor editAs="oneCell">
    <xdr:from>
      <xdr:col>17</xdr:col>
      <xdr:colOff>438150</xdr:colOff>
      <xdr:row>150</xdr:row>
      <xdr:rowOff>47625</xdr:rowOff>
    </xdr:from>
    <xdr:to>
      <xdr:col>21</xdr:col>
      <xdr:colOff>295596</xdr:colOff>
      <xdr:row>156</xdr:row>
      <xdr:rowOff>28732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58650" y="29222700"/>
          <a:ext cx="2295846" cy="112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"/>
  <sheetViews>
    <sheetView tabSelected="1" topLeftCell="A132" workbookViewId="0">
      <selection activeCell="F16" sqref="F16"/>
    </sheetView>
  </sheetViews>
  <sheetFormatPr defaultRowHeight="15" x14ac:dyDescent="0.25"/>
  <cols>
    <col min="3" max="3" width="11.7109375" customWidth="1"/>
    <col min="6" max="6" width="25.42578125" customWidth="1"/>
  </cols>
  <sheetData>
    <row r="1" spans="1:17" x14ac:dyDescent="0.25">
      <c r="A1" s="2" t="s">
        <v>70</v>
      </c>
      <c r="B1" s="1" t="s">
        <v>0</v>
      </c>
    </row>
    <row r="2" spans="1:17" ht="52.5" customHeight="1" x14ac:dyDescent="0.25">
      <c r="A2" s="2" t="s">
        <v>21</v>
      </c>
      <c r="B2" s="1" t="s">
        <v>71</v>
      </c>
    </row>
    <row r="5" spans="1:17" x14ac:dyDescent="0.25">
      <c r="C5" t="s">
        <v>17</v>
      </c>
    </row>
    <row r="6" spans="1:17" x14ac:dyDescent="0.25">
      <c r="C6" s="2" t="s">
        <v>41</v>
      </c>
      <c r="D6" t="s">
        <v>4</v>
      </c>
    </row>
    <row r="7" spans="1:17" x14ac:dyDescent="0.25">
      <c r="E7" t="s">
        <v>5</v>
      </c>
      <c r="F7" t="s">
        <v>8</v>
      </c>
      <c r="H7" t="s">
        <v>10</v>
      </c>
    </row>
    <row r="8" spans="1:17" x14ac:dyDescent="0.25">
      <c r="E8" t="s">
        <v>6</v>
      </c>
      <c r="F8" t="s">
        <v>8</v>
      </c>
      <c r="G8" s="1" t="s">
        <v>9</v>
      </c>
      <c r="H8" t="s">
        <v>10</v>
      </c>
      <c r="M8" s="1" t="s">
        <v>11</v>
      </c>
      <c r="N8">
        <v>333.82</v>
      </c>
      <c r="O8" s="1" t="s">
        <v>12</v>
      </c>
      <c r="Q8" t="s">
        <v>13</v>
      </c>
    </row>
    <row r="9" spans="1:17" x14ac:dyDescent="0.25">
      <c r="E9" t="s">
        <v>7</v>
      </c>
      <c r="F9" t="s">
        <v>8</v>
      </c>
      <c r="H9" t="s">
        <v>10</v>
      </c>
    </row>
    <row r="10" spans="1:17" x14ac:dyDescent="0.25">
      <c r="C10" s="10" t="s">
        <v>9</v>
      </c>
      <c r="F10" t="s">
        <v>14</v>
      </c>
      <c r="H10" t="s">
        <v>15</v>
      </c>
    </row>
    <row r="12" spans="1:17" x14ac:dyDescent="0.25">
      <c r="C12" t="s">
        <v>16</v>
      </c>
    </row>
    <row r="13" spans="1:17" x14ac:dyDescent="0.25">
      <c r="C13" s="2" t="s">
        <v>40</v>
      </c>
    </row>
    <row r="14" spans="1:17" x14ac:dyDescent="0.25">
      <c r="D14" t="s">
        <v>4</v>
      </c>
      <c r="H14" t="s">
        <v>19</v>
      </c>
      <c r="M14" t="s">
        <v>11</v>
      </c>
      <c r="N14" t="s">
        <v>20</v>
      </c>
      <c r="Q14" t="s">
        <v>13</v>
      </c>
    </row>
    <row r="15" spans="1:17" x14ac:dyDescent="0.25">
      <c r="E15" t="s">
        <v>5</v>
      </c>
      <c r="F15" t="s">
        <v>18</v>
      </c>
      <c r="G15" s="1" t="s">
        <v>9</v>
      </c>
      <c r="H15" t="s">
        <v>37</v>
      </c>
    </row>
    <row r="16" spans="1:17" x14ac:dyDescent="0.25">
      <c r="E16" t="s">
        <v>6</v>
      </c>
      <c r="F16" t="s">
        <v>18</v>
      </c>
      <c r="G16" s="1" t="s">
        <v>9</v>
      </c>
      <c r="H16" t="s">
        <v>37</v>
      </c>
    </row>
    <row r="17" spans="1:14" x14ac:dyDescent="0.25">
      <c r="E17" t="s">
        <v>7</v>
      </c>
      <c r="F17" t="s">
        <v>18</v>
      </c>
      <c r="G17" s="1" t="s">
        <v>9</v>
      </c>
      <c r="H17" t="s">
        <v>37</v>
      </c>
    </row>
    <row r="18" spans="1:14" x14ac:dyDescent="0.25">
      <c r="F18" t="s">
        <v>15</v>
      </c>
    </row>
    <row r="23" spans="1:14" x14ac:dyDescent="0.25">
      <c r="B23" s="1"/>
    </row>
    <row r="24" spans="1:14" ht="24.75" customHeight="1" x14ac:dyDescent="0.25">
      <c r="A24" s="2" t="s">
        <v>29</v>
      </c>
      <c r="B24" s="1" t="s">
        <v>1</v>
      </c>
    </row>
    <row r="26" spans="1:14" x14ac:dyDescent="0.25">
      <c r="C26" s="1" t="s">
        <v>22</v>
      </c>
    </row>
    <row r="27" spans="1:14" x14ac:dyDescent="0.25">
      <c r="C27" s="2" t="s">
        <v>40</v>
      </c>
    </row>
    <row r="28" spans="1:14" x14ac:dyDescent="0.25">
      <c r="D28" t="s">
        <v>4</v>
      </c>
      <c r="E28" s="3" t="s">
        <v>36</v>
      </c>
    </row>
    <row r="29" spans="1:14" x14ac:dyDescent="0.25">
      <c r="E29" t="s">
        <v>30</v>
      </c>
      <c r="F29" t="s">
        <v>8</v>
      </c>
      <c r="G29" s="1" t="s">
        <v>9</v>
      </c>
      <c r="H29" t="s">
        <v>31</v>
      </c>
      <c r="J29">
        <f>10</f>
        <v>10</v>
      </c>
      <c r="L29" t="s">
        <v>34</v>
      </c>
    </row>
    <row r="30" spans="1:14" x14ac:dyDescent="0.25">
      <c r="E30" t="s">
        <v>33</v>
      </c>
      <c r="L30" t="s">
        <v>35</v>
      </c>
      <c r="N30" t="s">
        <v>13</v>
      </c>
    </row>
    <row r="31" spans="1:14" x14ac:dyDescent="0.25">
      <c r="C31" s="1" t="s">
        <v>9</v>
      </c>
    </row>
    <row r="33" spans="3:17" x14ac:dyDescent="0.25">
      <c r="Q33" t="s">
        <v>32</v>
      </c>
    </row>
    <row r="35" spans="3:17" x14ac:dyDescent="0.25">
      <c r="C35" s="1" t="s">
        <v>23</v>
      </c>
    </row>
    <row r="36" spans="3:17" x14ac:dyDescent="0.25">
      <c r="C36" s="2" t="s">
        <v>41</v>
      </c>
    </row>
    <row r="37" spans="3:17" x14ac:dyDescent="0.25">
      <c r="D37" t="s">
        <v>4</v>
      </c>
    </row>
    <row r="38" spans="3:17" x14ac:dyDescent="0.25">
      <c r="E38" t="s">
        <v>5</v>
      </c>
      <c r="F38" t="s">
        <v>8</v>
      </c>
      <c r="H38" t="s">
        <v>10</v>
      </c>
      <c r="Q38" t="s">
        <v>13</v>
      </c>
    </row>
    <row r="39" spans="3:17" x14ac:dyDescent="0.25">
      <c r="E39" t="s">
        <v>6</v>
      </c>
      <c r="F39" t="s">
        <v>8</v>
      </c>
      <c r="G39" s="1" t="s">
        <v>9</v>
      </c>
      <c r="H39" t="s">
        <v>10</v>
      </c>
      <c r="M39" s="1" t="s">
        <v>11</v>
      </c>
      <c r="N39">
        <v>333.82</v>
      </c>
      <c r="O39" s="1" t="s">
        <v>12</v>
      </c>
    </row>
    <row r="40" spans="3:17" x14ac:dyDescent="0.25">
      <c r="E40" t="s">
        <v>7</v>
      </c>
      <c r="F40" t="s">
        <v>8</v>
      </c>
      <c r="H40" t="s">
        <v>10</v>
      </c>
    </row>
    <row r="44" spans="3:17" x14ac:dyDescent="0.25">
      <c r="C44" s="1" t="s">
        <v>24</v>
      </c>
    </row>
    <row r="45" spans="3:17" x14ac:dyDescent="0.25">
      <c r="C45" s="2" t="s">
        <v>41</v>
      </c>
    </row>
    <row r="46" spans="3:17" x14ac:dyDescent="0.25">
      <c r="D46" s="4" t="s">
        <v>4</v>
      </c>
    </row>
    <row r="47" spans="3:17" x14ac:dyDescent="0.25">
      <c r="E47" s="5" t="s">
        <v>30</v>
      </c>
      <c r="F47" t="s">
        <v>18</v>
      </c>
      <c r="G47" s="1" t="s">
        <v>9</v>
      </c>
      <c r="H47" t="s">
        <v>37</v>
      </c>
      <c r="M47" s="1" t="s">
        <v>11</v>
      </c>
      <c r="N47">
        <v>1947.98</v>
      </c>
      <c r="O47" s="1" t="s">
        <v>12</v>
      </c>
    </row>
    <row r="52" spans="3:15" x14ac:dyDescent="0.25">
      <c r="C52" t="s">
        <v>25</v>
      </c>
    </row>
    <row r="53" spans="3:15" x14ac:dyDescent="0.25">
      <c r="C53" s="2" t="s">
        <v>41</v>
      </c>
    </row>
    <row r="54" spans="3:15" x14ac:dyDescent="0.25">
      <c r="D54" t="s">
        <v>4</v>
      </c>
      <c r="E54" s="3" t="s">
        <v>38</v>
      </c>
    </row>
    <row r="55" spans="3:15" x14ac:dyDescent="0.25">
      <c r="E55" t="s">
        <v>30</v>
      </c>
      <c r="F55" t="s">
        <v>8</v>
      </c>
      <c r="G55" s="1" t="s">
        <v>9</v>
      </c>
      <c r="H55" t="s">
        <v>31</v>
      </c>
      <c r="J55" t="s">
        <v>39</v>
      </c>
      <c r="L55" t="s">
        <v>42</v>
      </c>
    </row>
    <row r="56" spans="3:15" x14ac:dyDescent="0.25">
      <c r="E56" t="s">
        <v>33</v>
      </c>
      <c r="N56" t="s">
        <v>13</v>
      </c>
    </row>
    <row r="57" spans="3:15" x14ac:dyDescent="0.25">
      <c r="C57" s="1" t="s">
        <v>9</v>
      </c>
    </row>
    <row r="60" spans="3:15" x14ac:dyDescent="0.25">
      <c r="C60" t="s">
        <v>26</v>
      </c>
    </row>
    <row r="61" spans="3:15" x14ac:dyDescent="0.25">
      <c r="C61" s="2" t="s">
        <v>41</v>
      </c>
    </row>
    <row r="62" spans="3:15" x14ac:dyDescent="0.25">
      <c r="D62" s="4" t="s">
        <v>4</v>
      </c>
    </row>
    <row r="63" spans="3:15" x14ac:dyDescent="0.25">
      <c r="E63" s="5" t="s">
        <v>30</v>
      </c>
      <c r="F63" t="s">
        <v>18</v>
      </c>
      <c r="G63" s="1" t="s">
        <v>9</v>
      </c>
      <c r="H63" t="s">
        <v>37</v>
      </c>
      <c r="M63" s="1" t="s">
        <v>11</v>
      </c>
      <c r="N63">
        <v>1947.98</v>
      </c>
      <c r="O63" s="1" t="s">
        <v>12</v>
      </c>
    </row>
    <row r="69" spans="3:15" x14ac:dyDescent="0.25">
      <c r="C69" s="1" t="s">
        <v>28</v>
      </c>
    </row>
    <row r="70" spans="3:15" x14ac:dyDescent="0.25">
      <c r="C70" s="2" t="s">
        <v>41</v>
      </c>
    </row>
    <row r="71" spans="3:15" x14ac:dyDescent="0.25">
      <c r="D71" t="s">
        <v>4</v>
      </c>
    </row>
    <row r="72" spans="3:15" x14ac:dyDescent="0.25">
      <c r="E72" t="s">
        <v>5</v>
      </c>
      <c r="F72" t="s">
        <v>8</v>
      </c>
      <c r="H72" t="s">
        <v>10</v>
      </c>
    </row>
    <row r="73" spans="3:15" x14ac:dyDescent="0.25">
      <c r="E73" t="s">
        <v>6</v>
      </c>
      <c r="F73" t="s">
        <v>8</v>
      </c>
      <c r="G73" s="1" t="s">
        <v>9</v>
      </c>
      <c r="H73" t="s">
        <v>10</v>
      </c>
      <c r="M73" s="1" t="s">
        <v>11</v>
      </c>
      <c r="N73">
        <v>333.82</v>
      </c>
      <c r="O73" s="1" t="s">
        <v>12</v>
      </c>
    </row>
    <row r="74" spans="3:15" x14ac:dyDescent="0.25">
      <c r="E74" t="s">
        <v>7</v>
      </c>
      <c r="F74" t="s">
        <v>8</v>
      </c>
      <c r="H74" t="s">
        <v>10</v>
      </c>
    </row>
    <row r="77" spans="3:15" x14ac:dyDescent="0.25">
      <c r="C77" t="s">
        <v>27</v>
      </c>
    </row>
    <row r="78" spans="3:15" x14ac:dyDescent="0.25">
      <c r="C78" s="2" t="s">
        <v>45</v>
      </c>
    </row>
    <row r="79" spans="3:15" x14ac:dyDescent="0.25">
      <c r="D79" t="s">
        <v>4</v>
      </c>
      <c r="E79" s="3" t="s">
        <v>43</v>
      </c>
    </row>
    <row r="80" spans="3:15" x14ac:dyDescent="0.25">
      <c r="E80" t="s">
        <v>30</v>
      </c>
      <c r="F80" t="s">
        <v>8</v>
      </c>
      <c r="G80" s="1" t="s">
        <v>9</v>
      </c>
      <c r="H80" t="s">
        <v>31</v>
      </c>
      <c r="J80" t="s">
        <v>39</v>
      </c>
      <c r="L80" t="s">
        <v>34</v>
      </c>
    </row>
    <row r="81" spans="1:16" x14ac:dyDescent="0.25">
      <c r="E81" t="s">
        <v>33</v>
      </c>
      <c r="L81" t="s">
        <v>35</v>
      </c>
    </row>
    <row r="82" spans="1:16" x14ac:dyDescent="0.25">
      <c r="C82" s="1"/>
      <c r="L82" t="s">
        <v>44</v>
      </c>
    </row>
    <row r="83" spans="1:16" x14ac:dyDescent="0.25">
      <c r="N83" t="s">
        <v>13</v>
      </c>
    </row>
    <row r="89" spans="1:16" x14ac:dyDescent="0.25">
      <c r="A89" s="2" t="s">
        <v>46</v>
      </c>
      <c r="B89" t="s">
        <v>3</v>
      </c>
    </row>
    <row r="90" spans="1:16" x14ac:dyDescent="0.25">
      <c r="A90" s="2" t="s">
        <v>47</v>
      </c>
      <c r="B90" s="1"/>
    </row>
    <row r="91" spans="1:16" x14ac:dyDescent="0.25">
      <c r="A91" s="2" t="s">
        <v>59</v>
      </c>
    </row>
    <row r="92" spans="1:16" x14ac:dyDescent="0.25">
      <c r="C92" t="s">
        <v>48</v>
      </c>
    </row>
    <row r="93" spans="1:16" x14ac:dyDescent="0.25">
      <c r="F93" s="9" t="s">
        <v>53</v>
      </c>
      <c r="L93" s="9" t="s">
        <v>53</v>
      </c>
    </row>
    <row r="94" spans="1:16" x14ac:dyDescent="0.25">
      <c r="C94" t="s">
        <v>4</v>
      </c>
      <c r="G94" s="9" t="s">
        <v>19</v>
      </c>
      <c r="L94" t="s">
        <v>11</v>
      </c>
      <c r="M94" t="s">
        <v>20</v>
      </c>
      <c r="P94" t="s">
        <v>13</v>
      </c>
    </row>
    <row r="95" spans="1:16" x14ac:dyDescent="0.25">
      <c r="D95" s="6" t="s">
        <v>5</v>
      </c>
      <c r="E95" t="s">
        <v>18</v>
      </c>
      <c r="F95" s="1" t="s">
        <v>9</v>
      </c>
      <c r="G95" t="s">
        <v>37</v>
      </c>
    </row>
    <row r="96" spans="1:16" x14ac:dyDescent="0.25">
      <c r="D96" s="7" t="s">
        <v>6</v>
      </c>
      <c r="E96" t="s">
        <v>18</v>
      </c>
      <c r="F96" s="1" t="s">
        <v>9</v>
      </c>
      <c r="G96" t="s">
        <v>37</v>
      </c>
    </row>
    <row r="97" spans="3:16" x14ac:dyDescent="0.25">
      <c r="D97" s="8" t="s">
        <v>7</v>
      </c>
      <c r="E97" t="s">
        <v>18</v>
      </c>
      <c r="F97" s="1" t="s">
        <v>9</v>
      </c>
      <c r="G97" t="s">
        <v>37</v>
      </c>
    </row>
    <row r="98" spans="3:16" x14ac:dyDescent="0.25">
      <c r="D98" s="5" t="s">
        <v>30</v>
      </c>
      <c r="E98" t="s">
        <v>18</v>
      </c>
      <c r="F98" s="1" t="s">
        <v>9</v>
      </c>
      <c r="G98" t="s">
        <v>37</v>
      </c>
    </row>
    <row r="103" spans="3:16" x14ac:dyDescent="0.25">
      <c r="C103" t="s">
        <v>49</v>
      </c>
    </row>
    <row r="104" spans="3:16" x14ac:dyDescent="0.25">
      <c r="F104" s="9" t="s">
        <v>54</v>
      </c>
      <c r="L104" s="9" t="s">
        <v>54</v>
      </c>
    </row>
    <row r="105" spans="3:16" x14ac:dyDescent="0.25">
      <c r="C105" t="s">
        <v>4</v>
      </c>
      <c r="G105" s="9" t="s">
        <v>19</v>
      </c>
      <c r="L105" t="s">
        <v>11</v>
      </c>
      <c r="M105" t="s">
        <v>52</v>
      </c>
      <c r="P105" t="s">
        <v>13</v>
      </c>
    </row>
    <row r="106" spans="3:16" x14ac:dyDescent="0.25">
      <c r="D106" s="6" t="s">
        <v>5</v>
      </c>
      <c r="E106" t="s">
        <v>18</v>
      </c>
      <c r="F106" s="1" t="s">
        <v>9</v>
      </c>
      <c r="G106" t="s">
        <v>37</v>
      </c>
    </row>
    <row r="107" spans="3:16" x14ac:dyDescent="0.25">
      <c r="D107" s="7" t="s">
        <v>6</v>
      </c>
      <c r="E107" t="s">
        <v>18</v>
      </c>
      <c r="F107" s="1" t="s">
        <v>9</v>
      </c>
      <c r="G107" t="s">
        <v>37</v>
      </c>
    </row>
    <row r="108" spans="3:16" x14ac:dyDescent="0.25">
      <c r="D108" s="8" t="s">
        <v>7</v>
      </c>
      <c r="E108" t="s">
        <v>18</v>
      </c>
      <c r="F108" s="1" t="s">
        <v>9</v>
      </c>
      <c r="G108" t="s">
        <v>37</v>
      </c>
    </row>
    <row r="109" spans="3:16" x14ac:dyDescent="0.25">
      <c r="D109" s="5" t="s">
        <v>30</v>
      </c>
      <c r="E109" t="s">
        <v>18</v>
      </c>
      <c r="F109" s="1" t="s">
        <v>9</v>
      </c>
      <c r="G109" t="s">
        <v>37</v>
      </c>
    </row>
    <row r="112" spans="3:16" x14ac:dyDescent="0.25">
      <c r="C112" t="s">
        <v>50</v>
      </c>
    </row>
    <row r="113" spans="3:16" x14ac:dyDescent="0.25">
      <c r="F113" s="9" t="s">
        <v>55</v>
      </c>
      <c r="L113" s="9" t="s">
        <v>55</v>
      </c>
    </row>
    <row r="114" spans="3:16" x14ac:dyDescent="0.25">
      <c r="C114" t="s">
        <v>4</v>
      </c>
      <c r="G114" s="9" t="s">
        <v>19</v>
      </c>
      <c r="L114" t="s">
        <v>11</v>
      </c>
      <c r="M114" t="s">
        <v>52</v>
      </c>
      <c r="P114" t="s">
        <v>13</v>
      </c>
    </row>
    <row r="115" spans="3:16" x14ac:dyDescent="0.25">
      <c r="D115" s="6" t="s">
        <v>5</v>
      </c>
      <c r="E115" t="s">
        <v>18</v>
      </c>
      <c r="F115" s="1" t="s">
        <v>9</v>
      </c>
      <c r="G115" t="s">
        <v>37</v>
      </c>
    </row>
    <row r="116" spans="3:16" x14ac:dyDescent="0.25">
      <c r="D116" s="7" t="s">
        <v>6</v>
      </c>
      <c r="E116" t="s">
        <v>18</v>
      </c>
      <c r="F116" s="1" t="s">
        <v>9</v>
      </c>
      <c r="G116" t="s">
        <v>37</v>
      </c>
    </row>
    <row r="117" spans="3:16" x14ac:dyDescent="0.25">
      <c r="D117" s="8" t="s">
        <v>7</v>
      </c>
      <c r="E117" t="s">
        <v>18</v>
      </c>
      <c r="F117" s="1" t="s">
        <v>9</v>
      </c>
      <c r="G117" t="s">
        <v>37</v>
      </c>
    </row>
    <row r="118" spans="3:16" x14ac:dyDescent="0.25">
      <c r="D118" s="5" t="s">
        <v>30</v>
      </c>
      <c r="E118" t="s">
        <v>18</v>
      </c>
      <c r="F118" s="1" t="s">
        <v>9</v>
      </c>
      <c r="G118" t="s">
        <v>37</v>
      </c>
    </row>
    <row r="121" spans="3:16" x14ac:dyDescent="0.25">
      <c r="C121" t="s">
        <v>51</v>
      </c>
    </row>
    <row r="122" spans="3:16" x14ac:dyDescent="0.25">
      <c r="F122" s="9" t="s">
        <v>56</v>
      </c>
      <c r="L122" s="9" t="s">
        <v>56</v>
      </c>
    </row>
    <row r="123" spans="3:16" x14ac:dyDescent="0.25">
      <c r="C123" t="s">
        <v>4</v>
      </c>
      <c r="G123" s="9" t="s">
        <v>19</v>
      </c>
      <c r="L123" t="s">
        <v>11</v>
      </c>
      <c r="M123" t="s">
        <v>57</v>
      </c>
      <c r="P123" t="s">
        <v>13</v>
      </c>
    </row>
    <row r="124" spans="3:16" x14ac:dyDescent="0.25">
      <c r="D124" s="6" t="s">
        <v>5</v>
      </c>
      <c r="E124" t="s">
        <v>18</v>
      </c>
      <c r="F124" s="1" t="s">
        <v>9</v>
      </c>
      <c r="G124" t="s">
        <v>37</v>
      </c>
    </row>
    <row r="125" spans="3:16" x14ac:dyDescent="0.25">
      <c r="D125" s="7" t="s">
        <v>6</v>
      </c>
      <c r="E125" t="s">
        <v>18</v>
      </c>
      <c r="F125" s="1" t="s">
        <v>9</v>
      </c>
      <c r="G125" t="s">
        <v>37</v>
      </c>
    </row>
    <row r="126" spans="3:16" x14ac:dyDescent="0.25">
      <c r="D126" s="8" t="s">
        <v>7</v>
      </c>
      <c r="E126" t="s">
        <v>18</v>
      </c>
      <c r="F126" s="1" t="s">
        <v>9</v>
      </c>
      <c r="G126" t="s">
        <v>37</v>
      </c>
    </row>
    <row r="127" spans="3:16" x14ac:dyDescent="0.25">
      <c r="D127" s="5" t="s">
        <v>30</v>
      </c>
      <c r="E127" t="s">
        <v>18</v>
      </c>
      <c r="F127" s="1" t="s">
        <v>9</v>
      </c>
      <c r="G127" t="s">
        <v>37</v>
      </c>
    </row>
    <row r="130" spans="3:15" x14ac:dyDescent="0.25">
      <c r="C130" s="1" t="s">
        <v>23</v>
      </c>
    </row>
    <row r="131" spans="3:15" x14ac:dyDescent="0.25">
      <c r="C131" s="2" t="s">
        <v>41</v>
      </c>
    </row>
    <row r="132" spans="3:15" x14ac:dyDescent="0.25">
      <c r="D132" t="s">
        <v>4</v>
      </c>
    </row>
    <row r="133" spans="3:15" x14ac:dyDescent="0.25">
      <c r="E133" t="s">
        <v>5</v>
      </c>
      <c r="F133" t="s">
        <v>8</v>
      </c>
      <c r="H133" t="s">
        <v>10</v>
      </c>
    </row>
    <row r="134" spans="3:15" x14ac:dyDescent="0.25">
      <c r="E134" t="s">
        <v>6</v>
      </c>
      <c r="F134" t="s">
        <v>8</v>
      </c>
      <c r="G134" s="1" t="s">
        <v>9</v>
      </c>
      <c r="H134" t="s">
        <v>10</v>
      </c>
      <c r="M134" s="1" t="s">
        <v>11</v>
      </c>
      <c r="N134">
        <v>333.82</v>
      </c>
      <c r="O134" s="1" t="s">
        <v>12</v>
      </c>
    </row>
    <row r="135" spans="3:15" x14ac:dyDescent="0.25">
      <c r="E135" t="s">
        <v>7</v>
      </c>
      <c r="F135" t="s">
        <v>8</v>
      </c>
      <c r="H135" t="s">
        <v>10</v>
      </c>
    </row>
    <row r="139" spans="3:15" x14ac:dyDescent="0.25">
      <c r="C139" t="s">
        <v>58</v>
      </c>
    </row>
    <row r="140" spans="3:15" x14ac:dyDescent="0.25">
      <c r="C140" s="2" t="s">
        <v>41</v>
      </c>
      <c r="D140" s="2"/>
    </row>
    <row r="141" spans="3:15" x14ac:dyDescent="0.25">
      <c r="D141" t="s">
        <v>4</v>
      </c>
      <c r="E141" s="3"/>
    </row>
    <row r="142" spans="3:15" x14ac:dyDescent="0.25">
      <c r="E142" t="s">
        <v>30</v>
      </c>
      <c r="F142" t="s">
        <v>8</v>
      </c>
      <c r="G142" s="1" t="s">
        <v>9</v>
      </c>
      <c r="H142" t="s">
        <v>31</v>
      </c>
      <c r="J142" t="s">
        <v>39</v>
      </c>
      <c r="L142" t="s">
        <v>34</v>
      </c>
    </row>
    <row r="143" spans="3:15" x14ac:dyDescent="0.25">
      <c r="E143" t="s">
        <v>33</v>
      </c>
      <c r="L143" t="s">
        <v>42</v>
      </c>
    </row>
    <row r="144" spans="3:15" x14ac:dyDescent="0.25">
      <c r="C144" s="1"/>
      <c r="N144" t="s">
        <v>13</v>
      </c>
    </row>
    <row r="148" spans="1:14" x14ac:dyDescent="0.25">
      <c r="A148" s="2" t="s">
        <v>46</v>
      </c>
      <c r="B148" s="1" t="s">
        <v>2</v>
      </c>
    </row>
    <row r="149" spans="1:14" x14ac:dyDescent="0.25">
      <c r="A149" s="2" t="s">
        <v>47</v>
      </c>
    </row>
    <row r="150" spans="1:14" x14ac:dyDescent="0.25">
      <c r="A150" s="2" t="s">
        <v>60</v>
      </c>
      <c r="B150" s="2"/>
    </row>
    <row r="151" spans="1:14" x14ac:dyDescent="0.25">
      <c r="B151" t="s">
        <v>61</v>
      </c>
    </row>
    <row r="152" spans="1:14" x14ac:dyDescent="0.25">
      <c r="B152" s="2" t="s">
        <v>65</v>
      </c>
      <c r="C152" t="s">
        <v>4</v>
      </c>
    </row>
    <row r="153" spans="1:14" x14ac:dyDescent="0.25">
      <c r="D153" t="s">
        <v>5</v>
      </c>
      <c r="E153" t="s">
        <v>8</v>
      </c>
      <c r="G153" t="s">
        <v>18</v>
      </c>
      <c r="I153" t="s">
        <v>10</v>
      </c>
      <c r="N153" t="s">
        <v>37</v>
      </c>
    </row>
    <row r="154" spans="1:14" x14ac:dyDescent="0.25">
      <c r="D154" t="s">
        <v>6</v>
      </c>
      <c r="E154" t="s">
        <v>8</v>
      </c>
      <c r="G154" t="s">
        <v>18</v>
      </c>
      <c r="I154" t="s">
        <v>10</v>
      </c>
      <c r="N154" t="s">
        <v>37</v>
      </c>
    </row>
    <row r="155" spans="1:14" x14ac:dyDescent="0.25">
      <c r="D155" t="s">
        <v>7</v>
      </c>
      <c r="E155" t="s">
        <v>8</v>
      </c>
      <c r="G155" t="s">
        <v>18</v>
      </c>
      <c r="I155" t="s">
        <v>10</v>
      </c>
      <c r="N155" t="s">
        <v>37</v>
      </c>
    </row>
    <row r="157" spans="1:14" x14ac:dyDescent="0.25">
      <c r="C157" s="2" t="s">
        <v>64</v>
      </c>
      <c r="D157" s="2"/>
    </row>
    <row r="158" spans="1:14" x14ac:dyDescent="0.25">
      <c r="C158" t="s">
        <v>4</v>
      </c>
    </row>
    <row r="159" spans="1:14" x14ac:dyDescent="0.25">
      <c r="D159" t="s">
        <v>5</v>
      </c>
      <c r="E159" t="s">
        <v>8</v>
      </c>
      <c r="G159" s="1" t="s">
        <v>9</v>
      </c>
      <c r="H159" t="s">
        <v>10</v>
      </c>
      <c r="M159" t="s">
        <v>34</v>
      </c>
    </row>
    <row r="160" spans="1:14" x14ac:dyDescent="0.25">
      <c r="D160" t="s">
        <v>6</v>
      </c>
      <c r="E160" t="s">
        <v>8</v>
      </c>
      <c r="H160" t="s">
        <v>10</v>
      </c>
      <c r="M160" t="s">
        <v>66</v>
      </c>
    </row>
    <row r="161" spans="2:17" x14ac:dyDescent="0.25">
      <c r="D161" t="s">
        <v>7</v>
      </c>
      <c r="E161" t="s">
        <v>8</v>
      </c>
      <c r="H161" t="s">
        <v>10</v>
      </c>
      <c r="O161" t="s">
        <v>13</v>
      </c>
    </row>
    <row r="163" spans="2:17" x14ac:dyDescent="0.25">
      <c r="B163" t="s">
        <v>63</v>
      </c>
    </row>
    <row r="165" spans="2:17" x14ac:dyDescent="0.25">
      <c r="C165" s="2" t="s">
        <v>67</v>
      </c>
      <c r="M165" t="s">
        <v>11</v>
      </c>
      <c r="N165" t="s">
        <v>52</v>
      </c>
      <c r="Q165" t="s">
        <v>13</v>
      </c>
    </row>
    <row r="167" spans="2:17" x14ac:dyDescent="0.25">
      <c r="C167" s="2" t="s">
        <v>69</v>
      </c>
    </row>
    <row r="169" spans="2:17" x14ac:dyDescent="0.25">
      <c r="B169" s="1" t="s">
        <v>62</v>
      </c>
      <c r="M169" t="s">
        <v>34</v>
      </c>
    </row>
    <row r="170" spans="2:17" x14ac:dyDescent="0.25">
      <c r="M170" t="s">
        <v>68</v>
      </c>
    </row>
    <row r="171" spans="2:17" x14ac:dyDescent="0.25">
      <c r="O171" t="s">
        <v>13</v>
      </c>
    </row>
  </sheetData>
  <conditionalFormatting sqref="D46 D62">
    <cfRule type="cellIs" dxfId="1" priority="3" operator="equal">
      <formula>"CRECHE"</formula>
    </cfRule>
    <cfRule type="cellIs" dxfId="0" priority="4" operator="equal">
      <formula>"ADAPTADO"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m089383</dc:creator>
  <cp:lastModifiedBy>vladimir martins</cp:lastModifiedBy>
  <dcterms:created xsi:type="dcterms:W3CDTF">2025-06-30T12:41:00Z</dcterms:created>
  <dcterms:modified xsi:type="dcterms:W3CDTF">2026-05-08T13:52:13Z</dcterms:modified>
</cp:coreProperties>
</file>